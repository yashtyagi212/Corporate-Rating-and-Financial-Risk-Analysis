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yagi\Desktop\Corporate Rating and Financial Risk Analysis\"/>
    </mc:Choice>
  </mc:AlternateContent>
  <xr:revisionPtr revIDLastSave="0" documentId="13_ncr:1_{78C4B6CC-9193-4191-BA48-A285329BB93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  <sheet name="RatingLookup" sheetId="2" r:id="rId2"/>
    <sheet name="DAX Measures (Reference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2030" i="1" l="1"/>
  <c r="AI2030" i="1"/>
  <c r="AH2030" i="1"/>
  <c r="AG2030" i="1"/>
  <c r="AJ2029" i="1"/>
  <c r="AI2029" i="1"/>
  <c r="AH2029" i="1"/>
  <c r="AG2029" i="1"/>
  <c r="AJ2028" i="1"/>
  <c r="AI2028" i="1"/>
  <c r="AH2028" i="1"/>
  <c r="AG2028" i="1"/>
  <c r="AJ2027" i="1"/>
  <c r="AI2027" i="1"/>
  <c r="AH2027" i="1"/>
  <c r="AG2027" i="1"/>
  <c r="AJ2026" i="1"/>
  <c r="AI2026" i="1"/>
  <c r="AH2026" i="1"/>
  <c r="AG2026" i="1"/>
  <c r="AJ2025" i="1"/>
  <c r="AI2025" i="1"/>
  <c r="AH2025" i="1"/>
  <c r="AG2025" i="1"/>
  <c r="AJ2024" i="1"/>
  <c r="AI2024" i="1"/>
  <c r="AH2024" i="1"/>
  <c r="AG2024" i="1"/>
  <c r="AJ2023" i="1"/>
  <c r="AI2023" i="1"/>
  <c r="AH2023" i="1"/>
  <c r="AG2023" i="1"/>
  <c r="AJ2022" i="1"/>
  <c r="AI2022" i="1"/>
  <c r="AH2022" i="1"/>
  <c r="AG2022" i="1"/>
  <c r="AJ2021" i="1"/>
  <c r="AI2021" i="1"/>
  <c r="AH2021" i="1"/>
  <c r="AG2021" i="1"/>
  <c r="AJ2020" i="1"/>
  <c r="AI2020" i="1"/>
  <c r="AH2020" i="1"/>
  <c r="AG2020" i="1"/>
  <c r="AJ2019" i="1"/>
  <c r="AI2019" i="1"/>
  <c r="AH2019" i="1"/>
  <c r="AG2019" i="1"/>
  <c r="AJ2018" i="1"/>
  <c r="AI2018" i="1"/>
  <c r="AH2018" i="1"/>
  <c r="AG2018" i="1"/>
  <c r="AJ2017" i="1"/>
  <c r="AI2017" i="1"/>
  <c r="AH2017" i="1"/>
  <c r="AG2017" i="1"/>
  <c r="AJ2016" i="1"/>
  <c r="AI2016" i="1"/>
  <c r="AH2016" i="1"/>
  <c r="AG2016" i="1"/>
  <c r="AJ2015" i="1"/>
  <c r="AI2015" i="1"/>
  <c r="AH2015" i="1"/>
  <c r="AG2015" i="1"/>
  <c r="AJ2014" i="1"/>
  <c r="AI2014" i="1"/>
  <c r="AH2014" i="1"/>
  <c r="AG2014" i="1"/>
  <c r="AJ2013" i="1"/>
  <c r="AI2013" i="1"/>
  <c r="AH2013" i="1"/>
  <c r="AG2013" i="1"/>
  <c r="AJ2012" i="1"/>
  <c r="AI2012" i="1"/>
  <c r="AH2012" i="1"/>
  <c r="AG2012" i="1"/>
  <c r="AJ2011" i="1"/>
  <c r="AI2011" i="1"/>
  <c r="AH2011" i="1"/>
  <c r="AG2011" i="1"/>
  <c r="AJ2010" i="1"/>
  <c r="AI2010" i="1"/>
  <c r="AH2010" i="1"/>
  <c r="AG2010" i="1"/>
  <c r="AJ2009" i="1"/>
  <c r="AI2009" i="1"/>
  <c r="AH2009" i="1"/>
  <c r="AG2009" i="1"/>
  <c r="AJ2008" i="1"/>
  <c r="AI2008" i="1"/>
  <c r="AH2008" i="1"/>
  <c r="AG2008" i="1"/>
  <c r="AJ2007" i="1"/>
  <c r="AI2007" i="1"/>
  <c r="AH2007" i="1"/>
  <c r="AG2007" i="1"/>
  <c r="AJ2006" i="1"/>
  <c r="AI2006" i="1"/>
  <c r="AH2006" i="1"/>
  <c r="AG2006" i="1"/>
  <c r="AJ2005" i="1"/>
  <c r="AI2005" i="1"/>
  <c r="AH2005" i="1"/>
  <c r="AG2005" i="1"/>
  <c r="AJ2004" i="1"/>
  <c r="AI2004" i="1"/>
  <c r="AH2004" i="1"/>
  <c r="AG2004" i="1"/>
  <c r="AJ2003" i="1"/>
  <c r="AI2003" i="1"/>
  <c r="AH2003" i="1"/>
  <c r="AG2003" i="1"/>
  <c r="AJ2002" i="1"/>
  <c r="AI2002" i="1"/>
  <c r="AH2002" i="1"/>
  <c r="AG2002" i="1"/>
  <c r="AJ2001" i="1"/>
  <c r="AI2001" i="1"/>
  <c r="AH2001" i="1"/>
  <c r="AG2001" i="1"/>
  <c r="AJ2000" i="1"/>
  <c r="AI2000" i="1"/>
  <c r="AH2000" i="1"/>
  <c r="AG2000" i="1"/>
  <c r="AJ1999" i="1"/>
  <c r="AI1999" i="1"/>
  <c r="AH1999" i="1"/>
  <c r="AG1999" i="1"/>
  <c r="AJ1998" i="1"/>
  <c r="AI1998" i="1"/>
  <c r="AH1998" i="1"/>
  <c r="AG1998" i="1"/>
  <c r="AJ1997" i="1"/>
  <c r="AI1997" i="1"/>
  <c r="AH1997" i="1"/>
  <c r="AG1997" i="1"/>
  <c r="AJ1996" i="1"/>
  <c r="AI1996" i="1"/>
  <c r="AH1996" i="1"/>
  <c r="AG1996" i="1"/>
  <c r="AJ1995" i="1"/>
  <c r="AI1995" i="1"/>
  <c r="AH1995" i="1"/>
  <c r="AG1995" i="1"/>
  <c r="AJ1994" i="1"/>
  <c r="AI1994" i="1"/>
  <c r="AH1994" i="1"/>
  <c r="AG1994" i="1"/>
  <c r="AJ1993" i="1"/>
  <c r="AI1993" i="1"/>
  <c r="AH1993" i="1"/>
  <c r="AG1993" i="1"/>
  <c r="AJ1992" i="1"/>
  <c r="AI1992" i="1"/>
  <c r="AH1992" i="1"/>
  <c r="AG1992" i="1"/>
  <c r="AJ1991" i="1"/>
  <c r="AI1991" i="1"/>
  <c r="AH1991" i="1"/>
  <c r="AG1991" i="1"/>
  <c r="AJ1990" i="1"/>
  <c r="AI1990" i="1"/>
  <c r="AH1990" i="1"/>
  <c r="AG1990" i="1"/>
  <c r="AJ1989" i="1"/>
  <c r="AI1989" i="1"/>
  <c r="AH1989" i="1"/>
  <c r="AG1989" i="1"/>
  <c r="AJ1988" i="1"/>
  <c r="AI1988" i="1"/>
  <c r="AH1988" i="1"/>
  <c r="AG1988" i="1"/>
  <c r="AJ1987" i="1"/>
  <c r="AI1987" i="1"/>
  <c r="AH1987" i="1"/>
  <c r="AG1987" i="1"/>
  <c r="AJ1986" i="1"/>
  <c r="AI1986" i="1"/>
  <c r="AH1986" i="1"/>
  <c r="AG1986" i="1"/>
  <c r="AJ1985" i="1"/>
  <c r="AI1985" i="1"/>
  <c r="AH1985" i="1"/>
  <c r="AG1985" i="1"/>
  <c r="AJ1984" i="1"/>
  <c r="AI1984" i="1"/>
  <c r="AH1984" i="1"/>
  <c r="AG1984" i="1"/>
  <c r="AJ1983" i="1"/>
  <c r="AI1983" i="1"/>
  <c r="AH1983" i="1"/>
  <c r="AG1983" i="1"/>
  <c r="AJ1982" i="1"/>
  <c r="AI1982" i="1"/>
  <c r="AH1982" i="1"/>
  <c r="AG1982" i="1"/>
  <c r="AJ1981" i="1"/>
  <c r="AI1981" i="1"/>
  <c r="AH1981" i="1"/>
  <c r="AG1981" i="1"/>
  <c r="AJ1980" i="1"/>
  <c r="AI1980" i="1"/>
  <c r="AH1980" i="1"/>
  <c r="AG1980" i="1"/>
  <c r="AJ1979" i="1"/>
  <c r="AI1979" i="1"/>
  <c r="AH1979" i="1"/>
  <c r="AG1979" i="1"/>
  <c r="AJ1978" i="1"/>
  <c r="AI1978" i="1"/>
  <c r="AH1978" i="1"/>
  <c r="AG1978" i="1"/>
  <c r="AJ1977" i="1"/>
  <c r="AI1977" i="1"/>
  <c r="AH1977" i="1"/>
  <c r="AG1977" i="1"/>
  <c r="AJ1976" i="1"/>
  <c r="AI1976" i="1"/>
  <c r="AH1976" i="1"/>
  <c r="AG1976" i="1"/>
  <c r="AJ1975" i="1"/>
  <c r="AI1975" i="1"/>
  <c r="AH1975" i="1"/>
  <c r="AG1975" i="1"/>
  <c r="AJ1974" i="1"/>
  <c r="AI1974" i="1"/>
  <c r="AH1974" i="1"/>
  <c r="AG1974" i="1"/>
  <c r="AJ1973" i="1"/>
  <c r="AI1973" i="1"/>
  <c r="AH1973" i="1"/>
  <c r="AG1973" i="1"/>
  <c r="AJ1972" i="1"/>
  <c r="AI1972" i="1"/>
  <c r="AH1972" i="1"/>
  <c r="AG1972" i="1"/>
  <c r="AJ1971" i="1"/>
  <c r="AI1971" i="1"/>
  <c r="AH1971" i="1"/>
  <c r="AG1971" i="1"/>
  <c r="AJ1970" i="1"/>
  <c r="AI1970" i="1"/>
  <c r="AH1970" i="1"/>
  <c r="AG1970" i="1"/>
  <c r="AJ1969" i="1"/>
  <c r="AI1969" i="1"/>
  <c r="AH1969" i="1"/>
  <c r="AG1969" i="1"/>
  <c r="AJ1968" i="1"/>
  <c r="AI1968" i="1"/>
  <c r="AH1968" i="1"/>
  <c r="AG1968" i="1"/>
  <c r="AJ1967" i="1"/>
  <c r="AI1967" i="1"/>
  <c r="AH1967" i="1"/>
  <c r="AG1967" i="1"/>
  <c r="AJ1966" i="1"/>
  <c r="AI1966" i="1"/>
  <c r="AH1966" i="1"/>
  <c r="AG1966" i="1"/>
  <c r="AJ1965" i="1"/>
  <c r="AI1965" i="1"/>
  <c r="AH1965" i="1"/>
  <c r="AG1965" i="1"/>
  <c r="AJ1964" i="1"/>
  <c r="AI1964" i="1"/>
  <c r="AH1964" i="1"/>
  <c r="AG1964" i="1"/>
  <c r="AJ1963" i="1"/>
  <c r="AI1963" i="1"/>
  <c r="AH1963" i="1"/>
  <c r="AG1963" i="1"/>
  <c r="AJ1962" i="1"/>
  <c r="AI1962" i="1"/>
  <c r="AH1962" i="1"/>
  <c r="AG1962" i="1"/>
  <c r="AJ1961" i="1"/>
  <c r="AI1961" i="1"/>
  <c r="AH1961" i="1"/>
  <c r="AG1961" i="1"/>
  <c r="AJ1960" i="1"/>
  <c r="AI1960" i="1"/>
  <c r="AH1960" i="1"/>
  <c r="AG1960" i="1"/>
  <c r="AJ1959" i="1"/>
  <c r="AI1959" i="1"/>
  <c r="AH1959" i="1"/>
  <c r="AG1959" i="1"/>
  <c r="AJ1958" i="1"/>
  <c r="AI1958" i="1"/>
  <c r="AH1958" i="1"/>
  <c r="AG1958" i="1"/>
  <c r="AJ1957" i="1"/>
  <c r="AI1957" i="1"/>
  <c r="AH1957" i="1"/>
  <c r="AG1957" i="1"/>
  <c r="AJ1956" i="1"/>
  <c r="AI1956" i="1"/>
  <c r="AH1956" i="1"/>
  <c r="AG1956" i="1"/>
  <c r="AJ1955" i="1"/>
  <c r="AI1955" i="1"/>
  <c r="AH1955" i="1"/>
  <c r="AG1955" i="1"/>
  <c r="AJ1954" i="1"/>
  <c r="AI1954" i="1"/>
  <c r="AH1954" i="1"/>
  <c r="AG1954" i="1"/>
  <c r="AJ1953" i="1"/>
  <c r="AI1953" i="1"/>
  <c r="AH1953" i="1"/>
  <c r="AG1953" i="1"/>
  <c r="AJ1952" i="1"/>
  <c r="AI1952" i="1"/>
  <c r="AH1952" i="1"/>
  <c r="AG1952" i="1"/>
  <c r="AJ1951" i="1"/>
  <c r="AI1951" i="1"/>
  <c r="AH1951" i="1"/>
  <c r="AG1951" i="1"/>
  <c r="AJ1950" i="1"/>
  <c r="AI1950" i="1"/>
  <c r="AH1950" i="1"/>
  <c r="AG1950" i="1"/>
  <c r="AJ1949" i="1"/>
  <c r="AI1949" i="1"/>
  <c r="AH1949" i="1"/>
  <c r="AG1949" i="1"/>
  <c r="AJ1948" i="1"/>
  <c r="AI1948" i="1"/>
  <c r="AH1948" i="1"/>
  <c r="AG1948" i="1"/>
  <c r="AJ1947" i="1"/>
  <c r="AI1947" i="1"/>
  <c r="AH1947" i="1"/>
  <c r="AG1947" i="1"/>
  <c r="AJ1946" i="1"/>
  <c r="AI1946" i="1"/>
  <c r="AH1946" i="1"/>
  <c r="AG1946" i="1"/>
  <c r="AJ1945" i="1"/>
  <c r="AI1945" i="1"/>
  <c r="AH1945" i="1"/>
  <c r="AG1945" i="1"/>
  <c r="AJ1944" i="1"/>
  <c r="AI1944" i="1"/>
  <c r="AH1944" i="1"/>
  <c r="AG1944" i="1"/>
  <c r="AJ1943" i="1"/>
  <c r="AI1943" i="1"/>
  <c r="AH1943" i="1"/>
  <c r="AG1943" i="1"/>
  <c r="AJ1942" i="1"/>
  <c r="AI1942" i="1"/>
  <c r="AH1942" i="1"/>
  <c r="AG1942" i="1"/>
  <c r="AJ1941" i="1"/>
  <c r="AI1941" i="1"/>
  <c r="AH1941" i="1"/>
  <c r="AG1941" i="1"/>
  <c r="AJ1940" i="1"/>
  <c r="AI1940" i="1"/>
  <c r="AH1940" i="1"/>
  <c r="AG1940" i="1"/>
  <c r="AJ1939" i="1"/>
  <c r="AI1939" i="1"/>
  <c r="AH1939" i="1"/>
  <c r="AG1939" i="1"/>
  <c r="AJ1938" i="1"/>
  <c r="AI1938" i="1"/>
  <c r="AH1938" i="1"/>
  <c r="AG1938" i="1"/>
  <c r="AJ1937" i="1"/>
  <c r="AI1937" i="1"/>
  <c r="AH1937" i="1"/>
  <c r="AG1937" i="1"/>
  <c r="AJ1936" i="1"/>
  <c r="AI1936" i="1"/>
  <c r="AH1936" i="1"/>
  <c r="AG1936" i="1"/>
  <c r="AJ1935" i="1"/>
  <c r="AI1935" i="1"/>
  <c r="AH1935" i="1"/>
  <c r="AG1935" i="1"/>
  <c r="AJ1934" i="1"/>
  <c r="AI1934" i="1"/>
  <c r="AH1934" i="1"/>
  <c r="AG1934" i="1"/>
  <c r="AJ1933" i="1"/>
  <c r="AI1933" i="1"/>
  <c r="AH1933" i="1"/>
  <c r="AG1933" i="1"/>
  <c r="AJ1932" i="1"/>
  <c r="AI1932" i="1"/>
  <c r="AH1932" i="1"/>
  <c r="AG1932" i="1"/>
  <c r="AJ1931" i="1"/>
  <c r="AI1931" i="1"/>
  <c r="AH1931" i="1"/>
  <c r="AG1931" i="1"/>
  <c r="AJ1930" i="1"/>
  <c r="AI1930" i="1"/>
  <c r="AH1930" i="1"/>
  <c r="AG1930" i="1"/>
  <c r="AJ1929" i="1"/>
  <c r="AI1929" i="1"/>
  <c r="AH1929" i="1"/>
  <c r="AG1929" i="1"/>
  <c r="AJ1928" i="1"/>
  <c r="AI1928" i="1"/>
  <c r="AH1928" i="1"/>
  <c r="AG1928" i="1"/>
  <c r="AJ1927" i="1"/>
  <c r="AI1927" i="1"/>
  <c r="AH1927" i="1"/>
  <c r="AG1927" i="1"/>
  <c r="AJ1926" i="1"/>
  <c r="AI1926" i="1"/>
  <c r="AH1926" i="1"/>
  <c r="AG1926" i="1"/>
  <c r="AJ1925" i="1"/>
  <c r="AI1925" i="1"/>
  <c r="AH1925" i="1"/>
  <c r="AG1925" i="1"/>
  <c r="AJ1924" i="1"/>
  <c r="AI1924" i="1"/>
  <c r="AH1924" i="1"/>
  <c r="AG1924" i="1"/>
  <c r="AJ1923" i="1"/>
  <c r="AI1923" i="1"/>
  <c r="AH1923" i="1"/>
  <c r="AG1923" i="1"/>
  <c r="AJ1922" i="1"/>
  <c r="AI1922" i="1"/>
  <c r="AH1922" i="1"/>
  <c r="AG1922" i="1"/>
  <c r="AJ1921" i="1"/>
  <c r="AI1921" i="1"/>
  <c r="AH1921" i="1"/>
  <c r="AG1921" i="1"/>
  <c r="AJ1920" i="1"/>
  <c r="AI1920" i="1"/>
  <c r="AH1920" i="1"/>
  <c r="AG1920" i="1"/>
  <c r="AJ1919" i="1"/>
  <c r="AI1919" i="1"/>
  <c r="AH1919" i="1"/>
  <c r="AG1919" i="1"/>
  <c r="AJ1918" i="1"/>
  <c r="AI1918" i="1"/>
  <c r="AH1918" i="1"/>
  <c r="AG1918" i="1"/>
  <c r="AJ1917" i="1"/>
  <c r="AI1917" i="1"/>
  <c r="AH1917" i="1"/>
  <c r="AG1917" i="1"/>
  <c r="AJ1916" i="1"/>
  <c r="AI1916" i="1"/>
  <c r="AH1916" i="1"/>
  <c r="AG1916" i="1"/>
  <c r="AJ1915" i="1"/>
  <c r="AI1915" i="1"/>
  <c r="AH1915" i="1"/>
  <c r="AG1915" i="1"/>
  <c r="AJ1914" i="1"/>
  <c r="AI1914" i="1"/>
  <c r="AH1914" i="1"/>
  <c r="AG1914" i="1"/>
  <c r="AJ1913" i="1"/>
  <c r="AI1913" i="1"/>
  <c r="AH1913" i="1"/>
  <c r="AG1913" i="1"/>
  <c r="AJ1912" i="1"/>
  <c r="AI1912" i="1"/>
  <c r="AH1912" i="1"/>
  <c r="AG1912" i="1"/>
  <c r="AJ1911" i="1"/>
  <c r="AI1911" i="1"/>
  <c r="AH1911" i="1"/>
  <c r="AG1911" i="1"/>
  <c r="AJ1910" i="1"/>
  <c r="AI1910" i="1"/>
  <c r="AH1910" i="1"/>
  <c r="AG1910" i="1"/>
  <c r="AJ1909" i="1"/>
  <c r="AI1909" i="1"/>
  <c r="AH1909" i="1"/>
  <c r="AG1909" i="1"/>
  <c r="AJ1908" i="1"/>
  <c r="AI1908" i="1"/>
  <c r="AH1908" i="1"/>
  <c r="AG1908" i="1"/>
  <c r="AJ1907" i="1"/>
  <c r="AI1907" i="1"/>
  <c r="AH1907" i="1"/>
  <c r="AG1907" i="1"/>
  <c r="AJ1906" i="1"/>
  <c r="AI1906" i="1"/>
  <c r="AH1906" i="1"/>
  <c r="AG1906" i="1"/>
  <c r="AJ1905" i="1"/>
  <c r="AI1905" i="1"/>
  <c r="AH1905" i="1"/>
  <c r="AG1905" i="1"/>
  <c r="AJ1904" i="1"/>
  <c r="AI1904" i="1"/>
  <c r="AH1904" i="1"/>
  <c r="AG1904" i="1"/>
  <c r="AJ1903" i="1"/>
  <c r="AI1903" i="1"/>
  <c r="AH1903" i="1"/>
  <c r="AG1903" i="1"/>
  <c r="AJ1902" i="1"/>
  <c r="AI1902" i="1"/>
  <c r="AH1902" i="1"/>
  <c r="AG1902" i="1"/>
  <c r="AJ1901" i="1"/>
  <c r="AI1901" i="1"/>
  <c r="AH1901" i="1"/>
  <c r="AG1901" i="1"/>
  <c r="AJ1900" i="1"/>
  <c r="AI1900" i="1"/>
  <c r="AH1900" i="1"/>
  <c r="AG1900" i="1"/>
  <c r="AJ1899" i="1"/>
  <c r="AI1899" i="1"/>
  <c r="AH1899" i="1"/>
  <c r="AG1899" i="1"/>
  <c r="AJ1898" i="1"/>
  <c r="AI1898" i="1"/>
  <c r="AH1898" i="1"/>
  <c r="AG1898" i="1"/>
  <c r="AJ1897" i="1"/>
  <c r="AI1897" i="1"/>
  <c r="AH1897" i="1"/>
  <c r="AG1897" i="1"/>
  <c r="AJ1896" i="1"/>
  <c r="AI1896" i="1"/>
  <c r="AH1896" i="1"/>
  <c r="AG1896" i="1"/>
  <c r="AJ1895" i="1"/>
  <c r="AI1895" i="1"/>
  <c r="AH1895" i="1"/>
  <c r="AG1895" i="1"/>
  <c r="AJ1894" i="1"/>
  <c r="AI1894" i="1"/>
  <c r="AH1894" i="1"/>
  <c r="AG1894" i="1"/>
  <c r="AJ1893" i="1"/>
  <c r="AI1893" i="1"/>
  <c r="AH1893" i="1"/>
  <c r="AG1893" i="1"/>
  <c r="AJ1892" i="1"/>
  <c r="AI1892" i="1"/>
  <c r="AH1892" i="1"/>
  <c r="AG1892" i="1"/>
  <c r="AJ1891" i="1"/>
  <c r="AI1891" i="1"/>
  <c r="AH1891" i="1"/>
  <c r="AG1891" i="1"/>
  <c r="AJ1890" i="1"/>
  <c r="AI1890" i="1"/>
  <c r="AH1890" i="1"/>
  <c r="AG1890" i="1"/>
  <c r="AJ1889" i="1"/>
  <c r="AI1889" i="1"/>
  <c r="AH1889" i="1"/>
  <c r="AG1889" i="1"/>
  <c r="AJ1888" i="1"/>
  <c r="AI1888" i="1"/>
  <c r="AH1888" i="1"/>
  <c r="AG1888" i="1"/>
  <c r="AJ1887" i="1"/>
  <c r="AI1887" i="1"/>
  <c r="AH1887" i="1"/>
  <c r="AG1887" i="1"/>
  <c r="AJ1886" i="1"/>
  <c r="AI1886" i="1"/>
  <c r="AH1886" i="1"/>
  <c r="AG1886" i="1"/>
  <c r="AJ1885" i="1"/>
  <c r="AI1885" i="1"/>
  <c r="AH1885" i="1"/>
  <c r="AG1885" i="1"/>
  <c r="AJ1884" i="1"/>
  <c r="AI1884" i="1"/>
  <c r="AH1884" i="1"/>
  <c r="AG1884" i="1"/>
  <c r="AJ1883" i="1"/>
  <c r="AI1883" i="1"/>
  <c r="AH1883" i="1"/>
  <c r="AG1883" i="1"/>
  <c r="AJ1882" i="1"/>
  <c r="AI1882" i="1"/>
  <c r="AH1882" i="1"/>
  <c r="AG1882" i="1"/>
  <c r="AJ1881" i="1"/>
  <c r="AI1881" i="1"/>
  <c r="AH1881" i="1"/>
  <c r="AG1881" i="1"/>
  <c r="AJ1880" i="1"/>
  <c r="AI1880" i="1"/>
  <c r="AH1880" i="1"/>
  <c r="AG1880" i="1"/>
  <c r="AJ1879" i="1"/>
  <c r="AI1879" i="1"/>
  <c r="AH1879" i="1"/>
  <c r="AG1879" i="1"/>
  <c r="AJ1878" i="1"/>
  <c r="AI1878" i="1"/>
  <c r="AH1878" i="1"/>
  <c r="AG1878" i="1"/>
  <c r="AJ1877" i="1"/>
  <c r="AI1877" i="1"/>
  <c r="AH1877" i="1"/>
  <c r="AG1877" i="1"/>
  <c r="AJ1876" i="1"/>
  <c r="AI1876" i="1"/>
  <c r="AH1876" i="1"/>
  <c r="AG1876" i="1"/>
  <c r="AJ1875" i="1"/>
  <c r="AI1875" i="1"/>
  <c r="AH1875" i="1"/>
  <c r="AG1875" i="1"/>
  <c r="AJ1874" i="1"/>
  <c r="AI1874" i="1"/>
  <c r="AH1874" i="1"/>
  <c r="AG1874" i="1"/>
  <c r="AJ1873" i="1"/>
  <c r="AI1873" i="1"/>
  <c r="AH1873" i="1"/>
  <c r="AG1873" i="1"/>
  <c r="AJ1872" i="1"/>
  <c r="AI1872" i="1"/>
  <c r="AH1872" i="1"/>
  <c r="AG1872" i="1"/>
  <c r="AJ1871" i="1"/>
  <c r="AI1871" i="1"/>
  <c r="AH1871" i="1"/>
  <c r="AG1871" i="1"/>
  <c r="AJ1870" i="1"/>
  <c r="AI1870" i="1"/>
  <c r="AH1870" i="1"/>
  <c r="AG1870" i="1"/>
  <c r="AJ1869" i="1"/>
  <c r="AI1869" i="1"/>
  <c r="AH1869" i="1"/>
  <c r="AG1869" i="1"/>
  <c r="AJ1868" i="1"/>
  <c r="AI1868" i="1"/>
  <c r="AH1868" i="1"/>
  <c r="AG1868" i="1"/>
  <c r="AJ1867" i="1"/>
  <c r="AI1867" i="1"/>
  <c r="AH1867" i="1"/>
  <c r="AG1867" i="1"/>
  <c r="AJ1866" i="1"/>
  <c r="AI1866" i="1"/>
  <c r="AH1866" i="1"/>
  <c r="AG1866" i="1"/>
  <c r="AJ1865" i="1"/>
  <c r="AI1865" i="1"/>
  <c r="AH1865" i="1"/>
  <c r="AG1865" i="1"/>
  <c r="AJ1864" i="1"/>
  <c r="AI1864" i="1"/>
  <c r="AH1864" i="1"/>
  <c r="AG1864" i="1"/>
  <c r="AJ1863" i="1"/>
  <c r="AI1863" i="1"/>
  <c r="AH1863" i="1"/>
  <c r="AG1863" i="1"/>
  <c r="AJ1862" i="1"/>
  <c r="AI1862" i="1"/>
  <c r="AH1862" i="1"/>
  <c r="AG1862" i="1"/>
  <c r="AJ1861" i="1"/>
  <c r="AI1861" i="1"/>
  <c r="AH1861" i="1"/>
  <c r="AG1861" i="1"/>
  <c r="AJ1860" i="1"/>
  <c r="AI1860" i="1"/>
  <c r="AH1860" i="1"/>
  <c r="AG1860" i="1"/>
  <c r="AJ1859" i="1"/>
  <c r="AI1859" i="1"/>
  <c r="AH1859" i="1"/>
  <c r="AG1859" i="1"/>
  <c r="AJ1858" i="1"/>
  <c r="AI1858" i="1"/>
  <c r="AH1858" i="1"/>
  <c r="AG1858" i="1"/>
  <c r="AJ1857" i="1"/>
  <c r="AI1857" i="1"/>
  <c r="AH1857" i="1"/>
  <c r="AG1857" i="1"/>
  <c r="AJ1856" i="1"/>
  <c r="AI1856" i="1"/>
  <c r="AH1856" i="1"/>
  <c r="AG1856" i="1"/>
  <c r="AJ1855" i="1"/>
  <c r="AI1855" i="1"/>
  <c r="AH1855" i="1"/>
  <c r="AG1855" i="1"/>
  <c r="AJ1854" i="1"/>
  <c r="AI1854" i="1"/>
  <c r="AH1854" i="1"/>
  <c r="AG1854" i="1"/>
  <c r="AJ1853" i="1"/>
  <c r="AI1853" i="1"/>
  <c r="AH1853" i="1"/>
  <c r="AG1853" i="1"/>
  <c r="AJ1852" i="1"/>
  <c r="AI1852" i="1"/>
  <c r="AH1852" i="1"/>
  <c r="AG1852" i="1"/>
  <c r="AJ1851" i="1"/>
  <c r="AI1851" i="1"/>
  <c r="AH1851" i="1"/>
  <c r="AG1851" i="1"/>
  <c r="AJ1850" i="1"/>
  <c r="AI1850" i="1"/>
  <c r="AH1850" i="1"/>
  <c r="AG1850" i="1"/>
  <c r="AJ1849" i="1"/>
  <c r="AI1849" i="1"/>
  <c r="AH1849" i="1"/>
  <c r="AG1849" i="1"/>
  <c r="AJ1848" i="1"/>
  <c r="AI1848" i="1"/>
  <c r="AH1848" i="1"/>
  <c r="AG1848" i="1"/>
  <c r="AJ1847" i="1"/>
  <c r="AI1847" i="1"/>
  <c r="AH1847" i="1"/>
  <c r="AG1847" i="1"/>
  <c r="AJ1846" i="1"/>
  <c r="AI1846" i="1"/>
  <c r="AH1846" i="1"/>
  <c r="AG1846" i="1"/>
  <c r="AJ1845" i="1"/>
  <c r="AI1845" i="1"/>
  <c r="AH1845" i="1"/>
  <c r="AG1845" i="1"/>
  <c r="AJ1844" i="1"/>
  <c r="AI1844" i="1"/>
  <c r="AH1844" i="1"/>
  <c r="AG1844" i="1"/>
  <c r="AJ1843" i="1"/>
  <c r="AI1843" i="1"/>
  <c r="AH1843" i="1"/>
  <c r="AG1843" i="1"/>
  <c r="AJ1842" i="1"/>
  <c r="AI1842" i="1"/>
  <c r="AH1842" i="1"/>
  <c r="AG1842" i="1"/>
  <c r="AJ1841" i="1"/>
  <c r="AI1841" i="1"/>
  <c r="AH1841" i="1"/>
  <c r="AG1841" i="1"/>
  <c r="AJ1840" i="1"/>
  <c r="AI1840" i="1"/>
  <c r="AH1840" i="1"/>
  <c r="AG1840" i="1"/>
  <c r="AJ1839" i="1"/>
  <c r="AI1839" i="1"/>
  <c r="AH1839" i="1"/>
  <c r="AG1839" i="1"/>
  <c r="AJ1838" i="1"/>
  <c r="AI1838" i="1"/>
  <c r="AH1838" i="1"/>
  <c r="AG1838" i="1"/>
  <c r="AJ1837" i="1"/>
  <c r="AI1837" i="1"/>
  <c r="AH1837" i="1"/>
  <c r="AG1837" i="1"/>
  <c r="AJ1836" i="1"/>
  <c r="AI1836" i="1"/>
  <c r="AH1836" i="1"/>
  <c r="AG1836" i="1"/>
  <c r="AJ1835" i="1"/>
  <c r="AI1835" i="1"/>
  <c r="AH1835" i="1"/>
  <c r="AG1835" i="1"/>
  <c r="AJ1834" i="1"/>
  <c r="AI1834" i="1"/>
  <c r="AH1834" i="1"/>
  <c r="AG1834" i="1"/>
  <c r="AJ1833" i="1"/>
  <c r="AI1833" i="1"/>
  <c r="AH1833" i="1"/>
  <c r="AG1833" i="1"/>
  <c r="AJ1832" i="1"/>
  <c r="AI1832" i="1"/>
  <c r="AH1832" i="1"/>
  <c r="AG1832" i="1"/>
  <c r="AJ1831" i="1"/>
  <c r="AI1831" i="1"/>
  <c r="AH1831" i="1"/>
  <c r="AG1831" i="1"/>
  <c r="AJ1830" i="1"/>
  <c r="AI1830" i="1"/>
  <c r="AH1830" i="1"/>
  <c r="AG1830" i="1"/>
  <c r="AJ1829" i="1"/>
  <c r="AI1829" i="1"/>
  <c r="AH1829" i="1"/>
  <c r="AG1829" i="1"/>
  <c r="AJ1828" i="1"/>
  <c r="AI1828" i="1"/>
  <c r="AH1828" i="1"/>
  <c r="AG1828" i="1"/>
  <c r="AJ1827" i="1"/>
  <c r="AI1827" i="1"/>
  <c r="AH1827" i="1"/>
  <c r="AG1827" i="1"/>
  <c r="AJ1826" i="1"/>
  <c r="AI1826" i="1"/>
  <c r="AH1826" i="1"/>
  <c r="AG1826" i="1"/>
  <c r="AJ1825" i="1"/>
  <c r="AI1825" i="1"/>
  <c r="AH1825" i="1"/>
  <c r="AG1825" i="1"/>
  <c r="AJ1824" i="1"/>
  <c r="AI1824" i="1"/>
  <c r="AH1824" i="1"/>
  <c r="AG1824" i="1"/>
  <c r="AJ1823" i="1"/>
  <c r="AI1823" i="1"/>
  <c r="AH1823" i="1"/>
  <c r="AG1823" i="1"/>
  <c r="AJ1822" i="1"/>
  <c r="AI1822" i="1"/>
  <c r="AH1822" i="1"/>
  <c r="AG1822" i="1"/>
  <c r="AJ1821" i="1"/>
  <c r="AI1821" i="1"/>
  <c r="AH1821" i="1"/>
  <c r="AG1821" i="1"/>
  <c r="AJ1820" i="1"/>
  <c r="AI1820" i="1"/>
  <c r="AH1820" i="1"/>
  <c r="AG1820" i="1"/>
  <c r="AJ1819" i="1"/>
  <c r="AI1819" i="1"/>
  <c r="AH1819" i="1"/>
  <c r="AG1819" i="1"/>
  <c r="AJ1818" i="1"/>
  <c r="AI1818" i="1"/>
  <c r="AH1818" i="1"/>
  <c r="AG1818" i="1"/>
  <c r="AJ1817" i="1"/>
  <c r="AI1817" i="1"/>
  <c r="AH1817" i="1"/>
  <c r="AG1817" i="1"/>
  <c r="AJ1816" i="1"/>
  <c r="AI1816" i="1"/>
  <c r="AH1816" i="1"/>
  <c r="AG1816" i="1"/>
  <c r="AJ1815" i="1"/>
  <c r="AI1815" i="1"/>
  <c r="AH1815" i="1"/>
  <c r="AG1815" i="1"/>
  <c r="AJ1814" i="1"/>
  <c r="AI1814" i="1"/>
  <c r="AH1814" i="1"/>
  <c r="AG1814" i="1"/>
  <c r="AJ1813" i="1"/>
  <c r="AI1813" i="1"/>
  <c r="AH1813" i="1"/>
  <c r="AG1813" i="1"/>
  <c r="AJ1812" i="1"/>
  <c r="AI1812" i="1"/>
  <c r="AH1812" i="1"/>
  <c r="AG1812" i="1"/>
  <c r="AJ1811" i="1"/>
  <c r="AI1811" i="1"/>
  <c r="AH1811" i="1"/>
  <c r="AG1811" i="1"/>
  <c r="AJ1810" i="1"/>
  <c r="AI1810" i="1"/>
  <c r="AH1810" i="1"/>
  <c r="AG1810" i="1"/>
  <c r="AJ1809" i="1"/>
  <c r="AI1809" i="1"/>
  <c r="AH1809" i="1"/>
  <c r="AG1809" i="1"/>
  <c r="AJ1808" i="1"/>
  <c r="AI1808" i="1"/>
  <c r="AH1808" i="1"/>
  <c r="AG1808" i="1"/>
  <c r="AJ1807" i="1"/>
  <c r="AI1807" i="1"/>
  <c r="AH1807" i="1"/>
  <c r="AG1807" i="1"/>
  <c r="AJ1806" i="1"/>
  <c r="AI1806" i="1"/>
  <c r="AH1806" i="1"/>
  <c r="AG1806" i="1"/>
  <c r="AJ1805" i="1"/>
  <c r="AI1805" i="1"/>
  <c r="AH1805" i="1"/>
  <c r="AG1805" i="1"/>
  <c r="AJ1804" i="1"/>
  <c r="AI1804" i="1"/>
  <c r="AH1804" i="1"/>
  <c r="AG1804" i="1"/>
  <c r="AJ1803" i="1"/>
  <c r="AI1803" i="1"/>
  <c r="AH1803" i="1"/>
  <c r="AG1803" i="1"/>
  <c r="AJ1802" i="1"/>
  <c r="AI1802" i="1"/>
  <c r="AH1802" i="1"/>
  <c r="AG1802" i="1"/>
  <c r="AJ1801" i="1"/>
  <c r="AI1801" i="1"/>
  <c r="AH1801" i="1"/>
  <c r="AG1801" i="1"/>
  <c r="AJ1800" i="1"/>
  <c r="AI1800" i="1"/>
  <c r="AH1800" i="1"/>
  <c r="AG1800" i="1"/>
  <c r="AJ1799" i="1"/>
  <c r="AI1799" i="1"/>
  <c r="AH1799" i="1"/>
  <c r="AG1799" i="1"/>
  <c r="AJ1798" i="1"/>
  <c r="AI1798" i="1"/>
  <c r="AH1798" i="1"/>
  <c r="AG1798" i="1"/>
  <c r="AJ1797" i="1"/>
  <c r="AI1797" i="1"/>
  <c r="AH1797" i="1"/>
  <c r="AG1797" i="1"/>
  <c r="AJ1796" i="1"/>
  <c r="AI1796" i="1"/>
  <c r="AH1796" i="1"/>
  <c r="AG1796" i="1"/>
  <c r="AJ1795" i="1"/>
  <c r="AI1795" i="1"/>
  <c r="AH1795" i="1"/>
  <c r="AG1795" i="1"/>
  <c r="AJ1794" i="1"/>
  <c r="AI1794" i="1"/>
  <c r="AH1794" i="1"/>
  <c r="AG1794" i="1"/>
  <c r="AJ1793" i="1"/>
  <c r="AI1793" i="1"/>
  <c r="AH1793" i="1"/>
  <c r="AG1793" i="1"/>
  <c r="AJ1792" i="1"/>
  <c r="AI1792" i="1"/>
  <c r="AH1792" i="1"/>
  <c r="AG1792" i="1"/>
  <c r="AJ1791" i="1"/>
  <c r="AI1791" i="1"/>
  <c r="AH1791" i="1"/>
  <c r="AG1791" i="1"/>
  <c r="AJ1790" i="1"/>
  <c r="AI1790" i="1"/>
  <c r="AH1790" i="1"/>
  <c r="AG1790" i="1"/>
  <c r="AJ1789" i="1"/>
  <c r="AI1789" i="1"/>
  <c r="AH1789" i="1"/>
  <c r="AG1789" i="1"/>
  <c r="AJ1788" i="1"/>
  <c r="AI1788" i="1"/>
  <c r="AH1788" i="1"/>
  <c r="AG1788" i="1"/>
  <c r="AJ1787" i="1"/>
  <c r="AI1787" i="1"/>
  <c r="AH1787" i="1"/>
  <c r="AG1787" i="1"/>
  <c r="AJ1786" i="1"/>
  <c r="AI1786" i="1"/>
  <c r="AH1786" i="1"/>
  <c r="AG1786" i="1"/>
  <c r="AJ1785" i="1"/>
  <c r="AI1785" i="1"/>
  <c r="AH1785" i="1"/>
  <c r="AG1785" i="1"/>
  <c r="AJ1784" i="1"/>
  <c r="AI1784" i="1"/>
  <c r="AH1784" i="1"/>
  <c r="AG1784" i="1"/>
  <c r="AJ1783" i="1"/>
  <c r="AI1783" i="1"/>
  <c r="AH1783" i="1"/>
  <c r="AG1783" i="1"/>
  <c r="AJ1782" i="1"/>
  <c r="AI1782" i="1"/>
  <c r="AH1782" i="1"/>
  <c r="AG1782" i="1"/>
  <c r="AJ1781" i="1"/>
  <c r="AI1781" i="1"/>
  <c r="AH1781" i="1"/>
  <c r="AG1781" i="1"/>
  <c r="AJ1780" i="1"/>
  <c r="AI1780" i="1"/>
  <c r="AH1780" i="1"/>
  <c r="AG1780" i="1"/>
  <c r="AJ1779" i="1"/>
  <c r="AI1779" i="1"/>
  <c r="AH1779" i="1"/>
  <c r="AG1779" i="1"/>
  <c r="AJ1778" i="1"/>
  <c r="AI1778" i="1"/>
  <c r="AH1778" i="1"/>
  <c r="AG1778" i="1"/>
  <c r="AJ1777" i="1"/>
  <c r="AI1777" i="1"/>
  <c r="AH1777" i="1"/>
  <c r="AG1777" i="1"/>
  <c r="AJ1776" i="1"/>
  <c r="AI1776" i="1"/>
  <c r="AH1776" i="1"/>
  <c r="AG1776" i="1"/>
  <c r="AJ1775" i="1"/>
  <c r="AI1775" i="1"/>
  <c r="AH1775" i="1"/>
  <c r="AG1775" i="1"/>
  <c r="AJ1774" i="1"/>
  <c r="AI1774" i="1"/>
  <c r="AH1774" i="1"/>
  <c r="AG1774" i="1"/>
  <c r="AJ1773" i="1"/>
  <c r="AI1773" i="1"/>
  <c r="AH1773" i="1"/>
  <c r="AG1773" i="1"/>
  <c r="AJ1772" i="1"/>
  <c r="AI1772" i="1"/>
  <c r="AH1772" i="1"/>
  <c r="AG1772" i="1"/>
  <c r="AJ1771" i="1"/>
  <c r="AI1771" i="1"/>
  <c r="AH1771" i="1"/>
  <c r="AG1771" i="1"/>
  <c r="AJ1770" i="1"/>
  <c r="AI1770" i="1"/>
  <c r="AH1770" i="1"/>
  <c r="AG1770" i="1"/>
  <c r="AJ1769" i="1"/>
  <c r="AI1769" i="1"/>
  <c r="AH1769" i="1"/>
  <c r="AG1769" i="1"/>
  <c r="AJ1768" i="1"/>
  <c r="AI1768" i="1"/>
  <c r="AH1768" i="1"/>
  <c r="AG1768" i="1"/>
  <c r="AJ1767" i="1"/>
  <c r="AI1767" i="1"/>
  <c r="AH1767" i="1"/>
  <c r="AG1767" i="1"/>
  <c r="AJ1766" i="1"/>
  <c r="AI1766" i="1"/>
  <c r="AH1766" i="1"/>
  <c r="AG1766" i="1"/>
  <c r="AJ1765" i="1"/>
  <c r="AI1765" i="1"/>
  <c r="AH1765" i="1"/>
  <c r="AG1765" i="1"/>
  <c r="AJ1764" i="1"/>
  <c r="AI1764" i="1"/>
  <c r="AH1764" i="1"/>
  <c r="AG1764" i="1"/>
  <c r="AJ1763" i="1"/>
  <c r="AI1763" i="1"/>
  <c r="AH1763" i="1"/>
  <c r="AG1763" i="1"/>
  <c r="AJ1762" i="1"/>
  <c r="AI1762" i="1"/>
  <c r="AH1762" i="1"/>
  <c r="AG1762" i="1"/>
  <c r="AJ1761" i="1"/>
  <c r="AI1761" i="1"/>
  <c r="AH1761" i="1"/>
  <c r="AG1761" i="1"/>
  <c r="AJ1760" i="1"/>
  <c r="AI1760" i="1"/>
  <c r="AH1760" i="1"/>
  <c r="AG1760" i="1"/>
  <c r="AJ1759" i="1"/>
  <c r="AI1759" i="1"/>
  <c r="AH1759" i="1"/>
  <c r="AG1759" i="1"/>
  <c r="AJ1758" i="1"/>
  <c r="AI1758" i="1"/>
  <c r="AH1758" i="1"/>
  <c r="AG1758" i="1"/>
  <c r="AJ1757" i="1"/>
  <c r="AI1757" i="1"/>
  <c r="AH1757" i="1"/>
  <c r="AG1757" i="1"/>
  <c r="AJ1756" i="1"/>
  <c r="AI1756" i="1"/>
  <c r="AH1756" i="1"/>
  <c r="AG1756" i="1"/>
  <c r="AJ1755" i="1"/>
  <c r="AI1755" i="1"/>
  <c r="AH1755" i="1"/>
  <c r="AG1755" i="1"/>
  <c r="AJ1754" i="1"/>
  <c r="AI1754" i="1"/>
  <c r="AH1754" i="1"/>
  <c r="AG1754" i="1"/>
  <c r="AJ1753" i="1"/>
  <c r="AI1753" i="1"/>
  <c r="AH1753" i="1"/>
  <c r="AG1753" i="1"/>
  <c r="AJ1752" i="1"/>
  <c r="AI1752" i="1"/>
  <c r="AH1752" i="1"/>
  <c r="AG1752" i="1"/>
  <c r="AJ1751" i="1"/>
  <c r="AI1751" i="1"/>
  <c r="AH1751" i="1"/>
  <c r="AG1751" i="1"/>
  <c r="AJ1750" i="1"/>
  <c r="AI1750" i="1"/>
  <c r="AH1750" i="1"/>
  <c r="AG1750" i="1"/>
  <c r="AJ1749" i="1"/>
  <c r="AI1749" i="1"/>
  <c r="AH1749" i="1"/>
  <c r="AG1749" i="1"/>
  <c r="AJ1748" i="1"/>
  <c r="AI1748" i="1"/>
  <c r="AH1748" i="1"/>
  <c r="AG1748" i="1"/>
  <c r="AJ1747" i="1"/>
  <c r="AI1747" i="1"/>
  <c r="AH1747" i="1"/>
  <c r="AG1747" i="1"/>
  <c r="AJ1746" i="1"/>
  <c r="AI1746" i="1"/>
  <c r="AH1746" i="1"/>
  <c r="AG1746" i="1"/>
  <c r="AJ1745" i="1"/>
  <c r="AI1745" i="1"/>
  <c r="AH1745" i="1"/>
  <c r="AG1745" i="1"/>
  <c r="AJ1744" i="1"/>
  <c r="AI1744" i="1"/>
  <c r="AH1744" i="1"/>
  <c r="AG1744" i="1"/>
  <c r="AJ1743" i="1"/>
  <c r="AI1743" i="1"/>
  <c r="AH1743" i="1"/>
  <c r="AG1743" i="1"/>
  <c r="AJ1742" i="1"/>
  <c r="AI1742" i="1"/>
  <c r="AH1742" i="1"/>
  <c r="AG1742" i="1"/>
  <c r="AJ1741" i="1"/>
  <c r="AI1741" i="1"/>
  <c r="AH1741" i="1"/>
  <c r="AG1741" i="1"/>
  <c r="AJ1740" i="1"/>
  <c r="AI1740" i="1"/>
  <c r="AH1740" i="1"/>
  <c r="AG1740" i="1"/>
  <c r="AJ1739" i="1"/>
  <c r="AI1739" i="1"/>
  <c r="AH1739" i="1"/>
  <c r="AG1739" i="1"/>
  <c r="AJ1738" i="1"/>
  <c r="AI1738" i="1"/>
  <c r="AH1738" i="1"/>
  <c r="AG1738" i="1"/>
  <c r="AJ1737" i="1"/>
  <c r="AI1737" i="1"/>
  <c r="AH1737" i="1"/>
  <c r="AG1737" i="1"/>
  <c r="AJ1736" i="1"/>
  <c r="AI1736" i="1"/>
  <c r="AH1736" i="1"/>
  <c r="AG1736" i="1"/>
  <c r="AJ1735" i="1"/>
  <c r="AI1735" i="1"/>
  <c r="AH1735" i="1"/>
  <c r="AG1735" i="1"/>
  <c r="AJ1734" i="1"/>
  <c r="AI1734" i="1"/>
  <c r="AH1734" i="1"/>
  <c r="AG1734" i="1"/>
  <c r="AJ1733" i="1"/>
  <c r="AI1733" i="1"/>
  <c r="AH1733" i="1"/>
  <c r="AG1733" i="1"/>
  <c r="AJ1732" i="1"/>
  <c r="AI1732" i="1"/>
  <c r="AH1732" i="1"/>
  <c r="AG1732" i="1"/>
  <c r="AJ1731" i="1"/>
  <c r="AI1731" i="1"/>
  <c r="AH1731" i="1"/>
  <c r="AG1731" i="1"/>
  <c r="AJ1730" i="1"/>
  <c r="AI1730" i="1"/>
  <c r="AH1730" i="1"/>
  <c r="AG1730" i="1"/>
  <c r="AJ1729" i="1"/>
  <c r="AI1729" i="1"/>
  <c r="AH1729" i="1"/>
  <c r="AG1729" i="1"/>
  <c r="AJ1728" i="1"/>
  <c r="AI1728" i="1"/>
  <c r="AH1728" i="1"/>
  <c r="AG1728" i="1"/>
  <c r="AJ1727" i="1"/>
  <c r="AI1727" i="1"/>
  <c r="AH1727" i="1"/>
  <c r="AG1727" i="1"/>
  <c r="AJ1726" i="1"/>
  <c r="AI1726" i="1"/>
  <c r="AH1726" i="1"/>
  <c r="AG1726" i="1"/>
  <c r="AJ1725" i="1"/>
  <c r="AI1725" i="1"/>
  <c r="AH1725" i="1"/>
  <c r="AG1725" i="1"/>
  <c r="AJ1724" i="1"/>
  <c r="AI1724" i="1"/>
  <c r="AH1724" i="1"/>
  <c r="AG1724" i="1"/>
  <c r="AJ1723" i="1"/>
  <c r="AI1723" i="1"/>
  <c r="AH1723" i="1"/>
  <c r="AG1723" i="1"/>
  <c r="AJ1722" i="1"/>
  <c r="AI1722" i="1"/>
  <c r="AH1722" i="1"/>
  <c r="AG1722" i="1"/>
  <c r="AJ1721" i="1"/>
  <c r="AI1721" i="1"/>
  <c r="AH1721" i="1"/>
  <c r="AG1721" i="1"/>
  <c r="AJ1720" i="1"/>
  <c r="AI1720" i="1"/>
  <c r="AH1720" i="1"/>
  <c r="AG1720" i="1"/>
  <c r="AJ1719" i="1"/>
  <c r="AI1719" i="1"/>
  <c r="AH1719" i="1"/>
  <c r="AG1719" i="1"/>
  <c r="AJ1718" i="1"/>
  <c r="AI1718" i="1"/>
  <c r="AH1718" i="1"/>
  <c r="AG1718" i="1"/>
  <c r="AJ1717" i="1"/>
  <c r="AI1717" i="1"/>
  <c r="AH1717" i="1"/>
  <c r="AG1717" i="1"/>
  <c r="AJ1716" i="1"/>
  <c r="AI1716" i="1"/>
  <c r="AH1716" i="1"/>
  <c r="AG1716" i="1"/>
  <c r="AJ1715" i="1"/>
  <c r="AI1715" i="1"/>
  <c r="AH1715" i="1"/>
  <c r="AG1715" i="1"/>
  <c r="AJ1714" i="1"/>
  <c r="AI1714" i="1"/>
  <c r="AH1714" i="1"/>
  <c r="AG1714" i="1"/>
  <c r="AJ1713" i="1"/>
  <c r="AI1713" i="1"/>
  <c r="AH1713" i="1"/>
  <c r="AG1713" i="1"/>
  <c r="AJ1712" i="1"/>
  <c r="AI1712" i="1"/>
  <c r="AH1712" i="1"/>
  <c r="AG1712" i="1"/>
  <c r="AJ1711" i="1"/>
  <c r="AI1711" i="1"/>
  <c r="AH1711" i="1"/>
  <c r="AG1711" i="1"/>
  <c r="AJ1710" i="1"/>
  <c r="AI1710" i="1"/>
  <c r="AH1710" i="1"/>
  <c r="AG1710" i="1"/>
  <c r="AJ1709" i="1"/>
  <c r="AI1709" i="1"/>
  <c r="AH1709" i="1"/>
  <c r="AG1709" i="1"/>
  <c r="AJ1708" i="1"/>
  <c r="AI1708" i="1"/>
  <c r="AH1708" i="1"/>
  <c r="AG1708" i="1"/>
  <c r="AJ1707" i="1"/>
  <c r="AI1707" i="1"/>
  <c r="AH1707" i="1"/>
  <c r="AG1707" i="1"/>
  <c r="AJ1706" i="1"/>
  <c r="AI1706" i="1"/>
  <c r="AH1706" i="1"/>
  <c r="AG1706" i="1"/>
  <c r="AJ1705" i="1"/>
  <c r="AI1705" i="1"/>
  <c r="AH1705" i="1"/>
  <c r="AG1705" i="1"/>
  <c r="AJ1704" i="1"/>
  <c r="AI1704" i="1"/>
  <c r="AH1704" i="1"/>
  <c r="AG1704" i="1"/>
  <c r="AJ1703" i="1"/>
  <c r="AI1703" i="1"/>
  <c r="AH1703" i="1"/>
  <c r="AG1703" i="1"/>
  <c r="AJ1702" i="1"/>
  <c r="AI1702" i="1"/>
  <c r="AH1702" i="1"/>
  <c r="AG1702" i="1"/>
  <c r="AJ1701" i="1"/>
  <c r="AI1701" i="1"/>
  <c r="AH1701" i="1"/>
  <c r="AG1701" i="1"/>
  <c r="AJ1700" i="1"/>
  <c r="AI1700" i="1"/>
  <c r="AH1700" i="1"/>
  <c r="AG1700" i="1"/>
  <c r="AJ1699" i="1"/>
  <c r="AI1699" i="1"/>
  <c r="AH1699" i="1"/>
  <c r="AG1699" i="1"/>
  <c r="AJ1698" i="1"/>
  <c r="AI1698" i="1"/>
  <c r="AH1698" i="1"/>
  <c r="AG1698" i="1"/>
  <c r="AJ1697" i="1"/>
  <c r="AI1697" i="1"/>
  <c r="AH1697" i="1"/>
  <c r="AG1697" i="1"/>
  <c r="AJ1696" i="1"/>
  <c r="AI1696" i="1"/>
  <c r="AH1696" i="1"/>
  <c r="AG1696" i="1"/>
  <c r="AJ1695" i="1"/>
  <c r="AI1695" i="1"/>
  <c r="AH1695" i="1"/>
  <c r="AG1695" i="1"/>
  <c r="AJ1694" i="1"/>
  <c r="AI1694" i="1"/>
  <c r="AH1694" i="1"/>
  <c r="AG1694" i="1"/>
  <c r="AJ1693" i="1"/>
  <c r="AI1693" i="1"/>
  <c r="AH1693" i="1"/>
  <c r="AG1693" i="1"/>
  <c r="AJ1692" i="1"/>
  <c r="AI1692" i="1"/>
  <c r="AH1692" i="1"/>
  <c r="AG1692" i="1"/>
  <c r="AJ1691" i="1"/>
  <c r="AI1691" i="1"/>
  <c r="AH1691" i="1"/>
  <c r="AG1691" i="1"/>
  <c r="AJ1690" i="1"/>
  <c r="AI1690" i="1"/>
  <c r="AH1690" i="1"/>
  <c r="AG1690" i="1"/>
  <c r="AJ1689" i="1"/>
  <c r="AI1689" i="1"/>
  <c r="AH1689" i="1"/>
  <c r="AG1689" i="1"/>
  <c r="AJ1688" i="1"/>
  <c r="AI1688" i="1"/>
  <c r="AH1688" i="1"/>
  <c r="AG1688" i="1"/>
  <c r="AJ1687" i="1"/>
  <c r="AI1687" i="1"/>
  <c r="AH1687" i="1"/>
  <c r="AG1687" i="1"/>
  <c r="AJ1686" i="1"/>
  <c r="AI1686" i="1"/>
  <c r="AH1686" i="1"/>
  <c r="AG1686" i="1"/>
  <c r="AJ1685" i="1"/>
  <c r="AI1685" i="1"/>
  <c r="AH1685" i="1"/>
  <c r="AG1685" i="1"/>
  <c r="AJ1684" i="1"/>
  <c r="AI1684" i="1"/>
  <c r="AH1684" i="1"/>
  <c r="AG1684" i="1"/>
  <c r="AJ1683" i="1"/>
  <c r="AI1683" i="1"/>
  <c r="AH1683" i="1"/>
  <c r="AG1683" i="1"/>
  <c r="AJ1682" i="1"/>
  <c r="AI1682" i="1"/>
  <c r="AH1682" i="1"/>
  <c r="AG1682" i="1"/>
  <c r="AJ1681" i="1"/>
  <c r="AI1681" i="1"/>
  <c r="AH1681" i="1"/>
  <c r="AG1681" i="1"/>
  <c r="AJ1680" i="1"/>
  <c r="AI1680" i="1"/>
  <c r="AH1680" i="1"/>
  <c r="AG1680" i="1"/>
  <c r="AJ1679" i="1"/>
  <c r="AI1679" i="1"/>
  <c r="AH1679" i="1"/>
  <c r="AG1679" i="1"/>
  <c r="AJ1678" i="1"/>
  <c r="AI1678" i="1"/>
  <c r="AH1678" i="1"/>
  <c r="AG1678" i="1"/>
  <c r="AJ1677" i="1"/>
  <c r="AI1677" i="1"/>
  <c r="AH1677" i="1"/>
  <c r="AG1677" i="1"/>
  <c r="AJ1676" i="1"/>
  <c r="AI1676" i="1"/>
  <c r="AH1676" i="1"/>
  <c r="AG1676" i="1"/>
  <c r="AJ1675" i="1"/>
  <c r="AI1675" i="1"/>
  <c r="AH1675" i="1"/>
  <c r="AG1675" i="1"/>
  <c r="AJ1674" i="1"/>
  <c r="AI1674" i="1"/>
  <c r="AH1674" i="1"/>
  <c r="AG1674" i="1"/>
  <c r="AJ1673" i="1"/>
  <c r="AI1673" i="1"/>
  <c r="AH1673" i="1"/>
  <c r="AG1673" i="1"/>
  <c r="AJ1672" i="1"/>
  <c r="AI1672" i="1"/>
  <c r="AH1672" i="1"/>
  <c r="AG1672" i="1"/>
  <c r="AJ1671" i="1"/>
  <c r="AI1671" i="1"/>
  <c r="AH1671" i="1"/>
  <c r="AG1671" i="1"/>
  <c r="AJ1670" i="1"/>
  <c r="AI1670" i="1"/>
  <c r="AH1670" i="1"/>
  <c r="AG1670" i="1"/>
  <c r="AJ1669" i="1"/>
  <c r="AI1669" i="1"/>
  <c r="AH1669" i="1"/>
  <c r="AG1669" i="1"/>
  <c r="AJ1668" i="1"/>
  <c r="AI1668" i="1"/>
  <c r="AH1668" i="1"/>
  <c r="AG1668" i="1"/>
  <c r="AJ1667" i="1"/>
  <c r="AI1667" i="1"/>
  <c r="AH1667" i="1"/>
  <c r="AG1667" i="1"/>
  <c r="AJ1666" i="1"/>
  <c r="AI1666" i="1"/>
  <c r="AH1666" i="1"/>
  <c r="AG1666" i="1"/>
  <c r="AJ1665" i="1"/>
  <c r="AI1665" i="1"/>
  <c r="AH1665" i="1"/>
  <c r="AG1665" i="1"/>
  <c r="AJ1664" i="1"/>
  <c r="AI1664" i="1"/>
  <c r="AH1664" i="1"/>
  <c r="AG1664" i="1"/>
  <c r="AJ1663" i="1"/>
  <c r="AI1663" i="1"/>
  <c r="AH1663" i="1"/>
  <c r="AG1663" i="1"/>
  <c r="AJ1662" i="1"/>
  <c r="AI1662" i="1"/>
  <c r="AH1662" i="1"/>
  <c r="AG1662" i="1"/>
  <c r="AJ1661" i="1"/>
  <c r="AI1661" i="1"/>
  <c r="AH1661" i="1"/>
  <c r="AG1661" i="1"/>
  <c r="AJ1660" i="1"/>
  <c r="AI1660" i="1"/>
  <c r="AH1660" i="1"/>
  <c r="AG1660" i="1"/>
  <c r="AJ1659" i="1"/>
  <c r="AI1659" i="1"/>
  <c r="AH1659" i="1"/>
  <c r="AG1659" i="1"/>
  <c r="AJ1658" i="1"/>
  <c r="AI1658" i="1"/>
  <c r="AH1658" i="1"/>
  <c r="AG1658" i="1"/>
  <c r="AJ1657" i="1"/>
  <c r="AI1657" i="1"/>
  <c r="AH1657" i="1"/>
  <c r="AG1657" i="1"/>
  <c r="AJ1656" i="1"/>
  <c r="AI1656" i="1"/>
  <c r="AH1656" i="1"/>
  <c r="AG1656" i="1"/>
  <c r="AJ1655" i="1"/>
  <c r="AI1655" i="1"/>
  <c r="AH1655" i="1"/>
  <c r="AG1655" i="1"/>
  <c r="AJ1654" i="1"/>
  <c r="AI1654" i="1"/>
  <c r="AH1654" i="1"/>
  <c r="AG1654" i="1"/>
  <c r="AJ1653" i="1"/>
  <c r="AI1653" i="1"/>
  <c r="AH1653" i="1"/>
  <c r="AG1653" i="1"/>
  <c r="AJ1652" i="1"/>
  <c r="AI1652" i="1"/>
  <c r="AH1652" i="1"/>
  <c r="AG1652" i="1"/>
  <c r="AJ1651" i="1"/>
  <c r="AI1651" i="1"/>
  <c r="AH1651" i="1"/>
  <c r="AG1651" i="1"/>
  <c r="AJ1650" i="1"/>
  <c r="AI1650" i="1"/>
  <c r="AH1650" i="1"/>
  <c r="AG1650" i="1"/>
  <c r="AJ1649" i="1"/>
  <c r="AI1649" i="1"/>
  <c r="AH1649" i="1"/>
  <c r="AG1649" i="1"/>
  <c r="AJ1648" i="1"/>
  <c r="AI1648" i="1"/>
  <c r="AH1648" i="1"/>
  <c r="AG1648" i="1"/>
  <c r="AJ1647" i="1"/>
  <c r="AI1647" i="1"/>
  <c r="AH1647" i="1"/>
  <c r="AG1647" i="1"/>
  <c r="AJ1646" i="1"/>
  <c r="AI1646" i="1"/>
  <c r="AH1646" i="1"/>
  <c r="AG1646" i="1"/>
  <c r="AJ1645" i="1"/>
  <c r="AI1645" i="1"/>
  <c r="AH1645" i="1"/>
  <c r="AG1645" i="1"/>
  <c r="AJ1644" i="1"/>
  <c r="AI1644" i="1"/>
  <c r="AH1644" i="1"/>
  <c r="AG1644" i="1"/>
  <c r="AJ1643" i="1"/>
  <c r="AI1643" i="1"/>
  <c r="AH1643" i="1"/>
  <c r="AG1643" i="1"/>
  <c r="AJ1642" i="1"/>
  <c r="AI1642" i="1"/>
  <c r="AH1642" i="1"/>
  <c r="AG1642" i="1"/>
  <c r="AJ1641" i="1"/>
  <c r="AI1641" i="1"/>
  <c r="AH1641" i="1"/>
  <c r="AG1641" i="1"/>
  <c r="AJ1640" i="1"/>
  <c r="AI1640" i="1"/>
  <c r="AH1640" i="1"/>
  <c r="AG1640" i="1"/>
  <c r="AJ1639" i="1"/>
  <c r="AI1639" i="1"/>
  <c r="AH1639" i="1"/>
  <c r="AG1639" i="1"/>
  <c r="AJ1638" i="1"/>
  <c r="AI1638" i="1"/>
  <c r="AH1638" i="1"/>
  <c r="AG1638" i="1"/>
  <c r="AJ1637" i="1"/>
  <c r="AI1637" i="1"/>
  <c r="AH1637" i="1"/>
  <c r="AG1637" i="1"/>
  <c r="AJ1636" i="1"/>
  <c r="AI1636" i="1"/>
  <c r="AH1636" i="1"/>
  <c r="AG1636" i="1"/>
  <c r="AJ1635" i="1"/>
  <c r="AI1635" i="1"/>
  <c r="AH1635" i="1"/>
  <c r="AG1635" i="1"/>
  <c r="AJ1634" i="1"/>
  <c r="AI1634" i="1"/>
  <c r="AH1634" i="1"/>
  <c r="AG1634" i="1"/>
  <c r="AJ1633" i="1"/>
  <c r="AI1633" i="1"/>
  <c r="AH1633" i="1"/>
  <c r="AG1633" i="1"/>
  <c r="AJ1632" i="1"/>
  <c r="AI1632" i="1"/>
  <c r="AH1632" i="1"/>
  <c r="AG1632" i="1"/>
  <c r="AJ1631" i="1"/>
  <c r="AI1631" i="1"/>
  <c r="AH1631" i="1"/>
  <c r="AG1631" i="1"/>
  <c r="AJ1630" i="1"/>
  <c r="AI1630" i="1"/>
  <c r="AH1630" i="1"/>
  <c r="AG1630" i="1"/>
  <c r="AJ1629" i="1"/>
  <c r="AI1629" i="1"/>
  <c r="AH1629" i="1"/>
  <c r="AG1629" i="1"/>
  <c r="AJ1628" i="1"/>
  <c r="AI1628" i="1"/>
  <c r="AH1628" i="1"/>
  <c r="AG1628" i="1"/>
  <c r="AJ1627" i="1"/>
  <c r="AI1627" i="1"/>
  <c r="AH1627" i="1"/>
  <c r="AG1627" i="1"/>
  <c r="AJ1626" i="1"/>
  <c r="AI1626" i="1"/>
  <c r="AH1626" i="1"/>
  <c r="AG1626" i="1"/>
  <c r="AJ1625" i="1"/>
  <c r="AI1625" i="1"/>
  <c r="AH1625" i="1"/>
  <c r="AG1625" i="1"/>
  <c r="AJ1624" i="1"/>
  <c r="AI1624" i="1"/>
  <c r="AH1624" i="1"/>
  <c r="AG1624" i="1"/>
  <c r="AJ1623" i="1"/>
  <c r="AI1623" i="1"/>
  <c r="AH1623" i="1"/>
  <c r="AG1623" i="1"/>
  <c r="AJ1622" i="1"/>
  <c r="AI1622" i="1"/>
  <c r="AH1622" i="1"/>
  <c r="AG1622" i="1"/>
  <c r="AJ1621" i="1"/>
  <c r="AI1621" i="1"/>
  <c r="AH1621" i="1"/>
  <c r="AG1621" i="1"/>
  <c r="AJ1620" i="1"/>
  <c r="AI1620" i="1"/>
  <c r="AH1620" i="1"/>
  <c r="AG1620" i="1"/>
  <c r="AJ1619" i="1"/>
  <c r="AI1619" i="1"/>
  <c r="AH1619" i="1"/>
  <c r="AG1619" i="1"/>
  <c r="AJ1618" i="1"/>
  <c r="AI1618" i="1"/>
  <c r="AH1618" i="1"/>
  <c r="AG1618" i="1"/>
  <c r="AJ1617" i="1"/>
  <c r="AI1617" i="1"/>
  <c r="AH1617" i="1"/>
  <c r="AG1617" i="1"/>
  <c r="AJ1616" i="1"/>
  <c r="AI1616" i="1"/>
  <c r="AH1616" i="1"/>
  <c r="AG1616" i="1"/>
  <c r="AJ1615" i="1"/>
  <c r="AI1615" i="1"/>
  <c r="AH1615" i="1"/>
  <c r="AG1615" i="1"/>
  <c r="AJ1614" i="1"/>
  <c r="AI1614" i="1"/>
  <c r="AH1614" i="1"/>
  <c r="AG1614" i="1"/>
  <c r="AJ1613" i="1"/>
  <c r="AI1613" i="1"/>
  <c r="AH1613" i="1"/>
  <c r="AG1613" i="1"/>
  <c r="AJ1612" i="1"/>
  <c r="AI1612" i="1"/>
  <c r="AH1612" i="1"/>
  <c r="AG1612" i="1"/>
  <c r="AJ1611" i="1"/>
  <c r="AI1611" i="1"/>
  <c r="AH1611" i="1"/>
  <c r="AG1611" i="1"/>
  <c r="AJ1610" i="1"/>
  <c r="AI1610" i="1"/>
  <c r="AH1610" i="1"/>
  <c r="AG1610" i="1"/>
  <c r="AJ1609" i="1"/>
  <c r="AI1609" i="1"/>
  <c r="AH1609" i="1"/>
  <c r="AG1609" i="1"/>
  <c r="AJ1608" i="1"/>
  <c r="AI1608" i="1"/>
  <c r="AH1608" i="1"/>
  <c r="AG1608" i="1"/>
  <c r="AJ1607" i="1"/>
  <c r="AI1607" i="1"/>
  <c r="AH1607" i="1"/>
  <c r="AG1607" i="1"/>
  <c r="AJ1606" i="1"/>
  <c r="AI1606" i="1"/>
  <c r="AH1606" i="1"/>
  <c r="AG1606" i="1"/>
  <c r="AJ1605" i="1"/>
  <c r="AI1605" i="1"/>
  <c r="AH1605" i="1"/>
  <c r="AG1605" i="1"/>
  <c r="AJ1604" i="1"/>
  <c r="AI1604" i="1"/>
  <c r="AH1604" i="1"/>
  <c r="AG1604" i="1"/>
  <c r="AJ1603" i="1"/>
  <c r="AI1603" i="1"/>
  <c r="AH1603" i="1"/>
  <c r="AG1603" i="1"/>
  <c r="AJ1602" i="1"/>
  <c r="AI1602" i="1"/>
  <c r="AH1602" i="1"/>
  <c r="AG1602" i="1"/>
  <c r="AJ1601" i="1"/>
  <c r="AI1601" i="1"/>
  <c r="AH1601" i="1"/>
  <c r="AG1601" i="1"/>
  <c r="AJ1600" i="1"/>
  <c r="AI1600" i="1"/>
  <c r="AH1600" i="1"/>
  <c r="AG1600" i="1"/>
  <c r="AJ1599" i="1"/>
  <c r="AI1599" i="1"/>
  <c r="AH1599" i="1"/>
  <c r="AG1599" i="1"/>
  <c r="AJ1598" i="1"/>
  <c r="AI1598" i="1"/>
  <c r="AH1598" i="1"/>
  <c r="AG1598" i="1"/>
  <c r="AJ1597" i="1"/>
  <c r="AI1597" i="1"/>
  <c r="AH1597" i="1"/>
  <c r="AG1597" i="1"/>
  <c r="AJ1596" i="1"/>
  <c r="AI1596" i="1"/>
  <c r="AH1596" i="1"/>
  <c r="AG1596" i="1"/>
  <c r="AJ1595" i="1"/>
  <c r="AI1595" i="1"/>
  <c r="AH1595" i="1"/>
  <c r="AG1595" i="1"/>
  <c r="AJ1594" i="1"/>
  <c r="AI1594" i="1"/>
  <c r="AH1594" i="1"/>
  <c r="AG1594" i="1"/>
  <c r="AJ1593" i="1"/>
  <c r="AI1593" i="1"/>
  <c r="AH1593" i="1"/>
  <c r="AG1593" i="1"/>
  <c r="AJ1592" i="1"/>
  <c r="AI1592" i="1"/>
  <c r="AH1592" i="1"/>
  <c r="AG1592" i="1"/>
  <c r="AJ1591" i="1"/>
  <c r="AI1591" i="1"/>
  <c r="AH1591" i="1"/>
  <c r="AG1591" i="1"/>
  <c r="AJ1590" i="1"/>
  <c r="AI1590" i="1"/>
  <c r="AH1590" i="1"/>
  <c r="AG1590" i="1"/>
  <c r="AJ1589" i="1"/>
  <c r="AI1589" i="1"/>
  <c r="AH1589" i="1"/>
  <c r="AG1589" i="1"/>
  <c r="AJ1588" i="1"/>
  <c r="AI1588" i="1"/>
  <c r="AH1588" i="1"/>
  <c r="AG1588" i="1"/>
  <c r="AJ1587" i="1"/>
  <c r="AI1587" i="1"/>
  <c r="AH1587" i="1"/>
  <c r="AG1587" i="1"/>
  <c r="AJ1586" i="1"/>
  <c r="AI1586" i="1"/>
  <c r="AH1586" i="1"/>
  <c r="AG1586" i="1"/>
  <c r="AJ1585" i="1"/>
  <c r="AI1585" i="1"/>
  <c r="AH1585" i="1"/>
  <c r="AG1585" i="1"/>
  <c r="AJ1584" i="1"/>
  <c r="AI1584" i="1"/>
  <c r="AH1584" i="1"/>
  <c r="AG1584" i="1"/>
  <c r="AJ1583" i="1"/>
  <c r="AI1583" i="1"/>
  <c r="AH1583" i="1"/>
  <c r="AG1583" i="1"/>
  <c r="AJ1582" i="1"/>
  <c r="AI1582" i="1"/>
  <c r="AH1582" i="1"/>
  <c r="AG1582" i="1"/>
  <c r="AJ1581" i="1"/>
  <c r="AI1581" i="1"/>
  <c r="AH1581" i="1"/>
  <c r="AG1581" i="1"/>
  <c r="AJ1580" i="1"/>
  <c r="AI1580" i="1"/>
  <c r="AH1580" i="1"/>
  <c r="AG1580" i="1"/>
  <c r="AJ1579" i="1"/>
  <c r="AI1579" i="1"/>
  <c r="AH1579" i="1"/>
  <c r="AG1579" i="1"/>
  <c r="AJ1578" i="1"/>
  <c r="AI1578" i="1"/>
  <c r="AH1578" i="1"/>
  <c r="AG1578" i="1"/>
  <c r="AJ1577" i="1"/>
  <c r="AI1577" i="1"/>
  <c r="AH1577" i="1"/>
  <c r="AG1577" i="1"/>
  <c r="AJ1576" i="1"/>
  <c r="AI1576" i="1"/>
  <c r="AH1576" i="1"/>
  <c r="AG1576" i="1"/>
  <c r="AJ1575" i="1"/>
  <c r="AI1575" i="1"/>
  <c r="AH1575" i="1"/>
  <c r="AG1575" i="1"/>
  <c r="AJ1574" i="1"/>
  <c r="AI1574" i="1"/>
  <c r="AH1574" i="1"/>
  <c r="AG1574" i="1"/>
  <c r="AJ1573" i="1"/>
  <c r="AI1573" i="1"/>
  <c r="AH1573" i="1"/>
  <c r="AG1573" i="1"/>
  <c r="AJ1572" i="1"/>
  <c r="AI1572" i="1"/>
  <c r="AH1572" i="1"/>
  <c r="AG1572" i="1"/>
  <c r="AJ1571" i="1"/>
  <c r="AI1571" i="1"/>
  <c r="AH1571" i="1"/>
  <c r="AG1571" i="1"/>
  <c r="AJ1570" i="1"/>
  <c r="AI1570" i="1"/>
  <c r="AH1570" i="1"/>
  <c r="AG1570" i="1"/>
  <c r="AJ1569" i="1"/>
  <c r="AI1569" i="1"/>
  <c r="AH1569" i="1"/>
  <c r="AG1569" i="1"/>
  <c r="AJ1568" i="1"/>
  <c r="AI1568" i="1"/>
  <c r="AH1568" i="1"/>
  <c r="AG1568" i="1"/>
  <c r="AJ1567" i="1"/>
  <c r="AI1567" i="1"/>
  <c r="AH1567" i="1"/>
  <c r="AG1567" i="1"/>
  <c r="AJ1566" i="1"/>
  <c r="AI1566" i="1"/>
  <c r="AH1566" i="1"/>
  <c r="AG1566" i="1"/>
  <c r="AJ1565" i="1"/>
  <c r="AI1565" i="1"/>
  <c r="AH1565" i="1"/>
  <c r="AG1565" i="1"/>
  <c r="AJ1564" i="1"/>
  <c r="AI1564" i="1"/>
  <c r="AH1564" i="1"/>
  <c r="AG1564" i="1"/>
  <c r="AJ1563" i="1"/>
  <c r="AI1563" i="1"/>
  <c r="AH1563" i="1"/>
  <c r="AG1563" i="1"/>
  <c r="AJ1562" i="1"/>
  <c r="AI1562" i="1"/>
  <c r="AH1562" i="1"/>
  <c r="AG1562" i="1"/>
  <c r="AJ1561" i="1"/>
  <c r="AI1561" i="1"/>
  <c r="AH1561" i="1"/>
  <c r="AG1561" i="1"/>
  <c r="AJ1560" i="1"/>
  <c r="AI1560" i="1"/>
  <c r="AH1560" i="1"/>
  <c r="AG1560" i="1"/>
  <c r="AJ1559" i="1"/>
  <c r="AI1559" i="1"/>
  <c r="AH1559" i="1"/>
  <c r="AG1559" i="1"/>
  <c r="AJ1558" i="1"/>
  <c r="AI1558" i="1"/>
  <c r="AH1558" i="1"/>
  <c r="AG1558" i="1"/>
  <c r="AJ1557" i="1"/>
  <c r="AI1557" i="1"/>
  <c r="AH1557" i="1"/>
  <c r="AG1557" i="1"/>
  <c r="AJ1556" i="1"/>
  <c r="AI1556" i="1"/>
  <c r="AH1556" i="1"/>
  <c r="AG1556" i="1"/>
  <c r="AJ1555" i="1"/>
  <c r="AI1555" i="1"/>
  <c r="AH1555" i="1"/>
  <c r="AG1555" i="1"/>
  <c r="AJ1554" i="1"/>
  <c r="AI1554" i="1"/>
  <c r="AH1554" i="1"/>
  <c r="AG1554" i="1"/>
  <c r="AJ1553" i="1"/>
  <c r="AI1553" i="1"/>
  <c r="AH1553" i="1"/>
  <c r="AG1553" i="1"/>
  <c r="AJ1552" i="1"/>
  <c r="AI1552" i="1"/>
  <c r="AH1552" i="1"/>
  <c r="AG1552" i="1"/>
  <c r="AJ1551" i="1"/>
  <c r="AI1551" i="1"/>
  <c r="AH1551" i="1"/>
  <c r="AG1551" i="1"/>
  <c r="AJ1550" i="1"/>
  <c r="AI1550" i="1"/>
  <c r="AH1550" i="1"/>
  <c r="AG1550" i="1"/>
  <c r="AJ1549" i="1"/>
  <c r="AI1549" i="1"/>
  <c r="AH1549" i="1"/>
  <c r="AG1549" i="1"/>
  <c r="AJ1548" i="1"/>
  <c r="AI1548" i="1"/>
  <c r="AH1548" i="1"/>
  <c r="AG1548" i="1"/>
  <c r="AJ1547" i="1"/>
  <c r="AI1547" i="1"/>
  <c r="AH1547" i="1"/>
  <c r="AG1547" i="1"/>
  <c r="AJ1546" i="1"/>
  <c r="AI1546" i="1"/>
  <c r="AH1546" i="1"/>
  <c r="AG1546" i="1"/>
  <c r="AJ1545" i="1"/>
  <c r="AI1545" i="1"/>
  <c r="AH1545" i="1"/>
  <c r="AG1545" i="1"/>
  <c r="AJ1544" i="1"/>
  <c r="AI1544" i="1"/>
  <c r="AH1544" i="1"/>
  <c r="AG1544" i="1"/>
  <c r="AJ1543" i="1"/>
  <c r="AI1543" i="1"/>
  <c r="AH1543" i="1"/>
  <c r="AG1543" i="1"/>
  <c r="AJ1542" i="1"/>
  <c r="AI1542" i="1"/>
  <c r="AH1542" i="1"/>
  <c r="AG1542" i="1"/>
  <c r="AJ1541" i="1"/>
  <c r="AI1541" i="1"/>
  <c r="AH1541" i="1"/>
  <c r="AG1541" i="1"/>
  <c r="AJ1540" i="1"/>
  <c r="AI1540" i="1"/>
  <c r="AH1540" i="1"/>
  <c r="AG1540" i="1"/>
  <c r="AJ1539" i="1"/>
  <c r="AI1539" i="1"/>
  <c r="AH1539" i="1"/>
  <c r="AG1539" i="1"/>
  <c r="AJ1538" i="1"/>
  <c r="AI1538" i="1"/>
  <c r="AH1538" i="1"/>
  <c r="AG1538" i="1"/>
  <c r="AJ1537" i="1"/>
  <c r="AI1537" i="1"/>
  <c r="AH1537" i="1"/>
  <c r="AG1537" i="1"/>
  <c r="AJ1536" i="1"/>
  <c r="AI1536" i="1"/>
  <c r="AH1536" i="1"/>
  <c r="AG1536" i="1"/>
  <c r="AJ1535" i="1"/>
  <c r="AI1535" i="1"/>
  <c r="AH1535" i="1"/>
  <c r="AG1535" i="1"/>
  <c r="AJ1534" i="1"/>
  <c r="AI1534" i="1"/>
  <c r="AH1534" i="1"/>
  <c r="AG1534" i="1"/>
  <c r="AJ1533" i="1"/>
  <c r="AI1533" i="1"/>
  <c r="AH1533" i="1"/>
  <c r="AG1533" i="1"/>
  <c r="AJ1532" i="1"/>
  <c r="AI1532" i="1"/>
  <c r="AH1532" i="1"/>
  <c r="AG1532" i="1"/>
  <c r="AJ1531" i="1"/>
  <c r="AI1531" i="1"/>
  <c r="AH1531" i="1"/>
  <c r="AG1531" i="1"/>
  <c r="AJ1530" i="1"/>
  <c r="AI1530" i="1"/>
  <c r="AH1530" i="1"/>
  <c r="AG1530" i="1"/>
  <c r="AJ1529" i="1"/>
  <c r="AI1529" i="1"/>
  <c r="AH1529" i="1"/>
  <c r="AG1529" i="1"/>
  <c r="AJ1528" i="1"/>
  <c r="AI1528" i="1"/>
  <c r="AH1528" i="1"/>
  <c r="AG1528" i="1"/>
  <c r="AJ1527" i="1"/>
  <c r="AI1527" i="1"/>
  <c r="AH1527" i="1"/>
  <c r="AG1527" i="1"/>
  <c r="AJ1526" i="1"/>
  <c r="AI1526" i="1"/>
  <c r="AH1526" i="1"/>
  <c r="AG1526" i="1"/>
  <c r="AJ1525" i="1"/>
  <c r="AI1525" i="1"/>
  <c r="AH1525" i="1"/>
  <c r="AG1525" i="1"/>
  <c r="AJ1524" i="1"/>
  <c r="AI1524" i="1"/>
  <c r="AH1524" i="1"/>
  <c r="AG1524" i="1"/>
  <c r="AJ1523" i="1"/>
  <c r="AI1523" i="1"/>
  <c r="AH1523" i="1"/>
  <c r="AG1523" i="1"/>
  <c r="AJ1522" i="1"/>
  <c r="AI1522" i="1"/>
  <c r="AH1522" i="1"/>
  <c r="AG1522" i="1"/>
  <c r="AJ1521" i="1"/>
  <c r="AI1521" i="1"/>
  <c r="AH1521" i="1"/>
  <c r="AG1521" i="1"/>
  <c r="AJ1520" i="1"/>
  <c r="AI1520" i="1"/>
  <c r="AH1520" i="1"/>
  <c r="AG1520" i="1"/>
  <c r="AJ1519" i="1"/>
  <c r="AI1519" i="1"/>
  <c r="AH1519" i="1"/>
  <c r="AG1519" i="1"/>
  <c r="AJ1518" i="1"/>
  <c r="AI1518" i="1"/>
  <c r="AH1518" i="1"/>
  <c r="AG1518" i="1"/>
  <c r="AJ1517" i="1"/>
  <c r="AI1517" i="1"/>
  <c r="AH1517" i="1"/>
  <c r="AG1517" i="1"/>
  <c r="AJ1516" i="1"/>
  <c r="AI1516" i="1"/>
  <c r="AH1516" i="1"/>
  <c r="AG1516" i="1"/>
  <c r="AJ1515" i="1"/>
  <c r="AI1515" i="1"/>
  <c r="AH1515" i="1"/>
  <c r="AG1515" i="1"/>
  <c r="AJ1514" i="1"/>
  <c r="AI1514" i="1"/>
  <c r="AH1514" i="1"/>
  <c r="AG1514" i="1"/>
  <c r="AJ1513" i="1"/>
  <c r="AI1513" i="1"/>
  <c r="AH1513" i="1"/>
  <c r="AG1513" i="1"/>
  <c r="AJ1512" i="1"/>
  <c r="AI1512" i="1"/>
  <c r="AH1512" i="1"/>
  <c r="AG1512" i="1"/>
  <c r="AJ1511" i="1"/>
  <c r="AI1511" i="1"/>
  <c r="AH1511" i="1"/>
  <c r="AG1511" i="1"/>
  <c r="AJ1510" i="1"/>
  <c r="AI1510" i="1"/>
  <c r="AH1510" i="1"/>
  <c r="AG1510" i="1"/>
  <c r="AJ1509" i="1"/>
  <c r="AI1509" i="1"/>
  <c r="AH1509" i="1"/>
  <c r="AG1509" i="1"/>
  <c r="AJ1508" i="1"/>
  <c r="AI1508" i="1"/>
  <c r="AH1508" i="1"/>
  <c r="AG1508" i="1"/>
  <c r="AJ1507" i="1"/>
  <c r="AI1507" i="1"/>
  <c r="AH1507" i="1"/>
  <c r="AG1507" i="1"/>
  <c r="AJ1506" i="1"/>
  <c r="AI1506" i="1"/>
  <c r="AH1506" i="1"/>
  <c r="AG1506" i="1"/>
  <c r="AJ1505" i="1"/>
  <c r="AI1505" i="1"/>
  <c r="AH1505" i="1"/>
  <c r="AG1505" i="1"/>
  <c r="AJ1504" i="1"/>
  <c r="AI1504" i="1"/>
  <c r="AH1504" i="1"/>
  <c r="AG1504" i="1"/>
  <c r="AJ1503" i="1"/>
  <c r="AI1503" i="1"/>
  <c r="AH1503" i="1"/>
  <c r="AG1503" i="1"/>
  <c r="AJ1502" i="1"/>
  <c r="AI1502" i="1"/>
  <c r="AH1502" i="1"/>
  <c r="AG1502" i="1"/>
  <c r="AJ1501" i="1"/>
  <c r="AI1501" i="1"/>
  <c r="AH1501" i="1"/>
  <c r="AG1501" i="1"/>
  <c r="AJ1500" i="1"/>
  <c r="AI1500" i="1"/>
  <c r="AH1500" i="1"/>
  <c r="AG1500" i="1"/>
  <c r="AJ1499" i="1"/>
  <c r="AI1499" i="1"/>
  <c r="AH1499" i="1"/>
  <c r="AG1499" i="1"/>
  <c r="AJ1498" i="1"/>
  <c r="AI1498" i="1"/>
  <c r="AH1498" i="1"/>
  <c r="AG1498" i="1"/>
  <c r="AJ1497" i="1"/>
  <c r="AI1497" i="1"/>
  <c r="AH1497" i="1"/>
  <c r="AG1497" i="1"/>
  <c r="AJ1496" i="1"/>
  <c r="AI1496" i="1"/>
  <c r="AH1496" i="1"/>
  <c r="AG1496" i="1"/>
  <c r="AJ1495" i="1"/>
  <c r="AI1495" i="1"/>
  <c r="AH1495" i="1"/>
  <c r="AG1495" i="1"/>
  <c r="AJ1494" i="1"/>
  <c r="AI1494" i="1"/>
  <c r="AH1494" i="1"/>
  <c r="AG1494" i="1"/>
  <c r="AJ1493" i="1"/>
  <c r="AI1493" i="1"/>
  <c r="AH1493" i="1"/>
  <c r="AG1493" i="1"/>
  <c r="AJ1492" i="1"/>
  <c r="AI1492" i="1"/>
  <c r="AH1492" i="1"/>
  <c r="AG1492" i="1"/>
  <c r="AJ1491" i="1"/>
  <c r="AI1491" i="1"/>
  <c r="AH1491" i="1"/>
  <c r="AG1491" i="1"/>
  <c r="AJ1490" i="1"/>
  <c r="AI1490" i="1"/>
  <c r="AH1490" i="1"/>
  <c r="AG1490" i="1"/>
  <c r="AJ1489" i="1"/>
  <c r="AI1489" i="1"/>
  <c r="AH1489" i="1"/>
  <c r="AG1489" i="1"/>
  <c r="AJ1488" i="1"/>
  <c r="AI1488" i="1"/>
  <c r="AH1488" i="1"/>
  <c r="AG1488" i="1"/>
  <c r="AJ1487" i="1"/>
  <c r="AI1487" i="1"/>
  <c r="AH1487" i="1"/>
  <c r="AG1487" i="1"/>
  <c r="AJ1486" i="1"/>
  <c r="AI1486" i="1"/>
  <c r="AH1486" i="1"/>
  <c r="AG1486" i="1"/>
  <c r="AJ1485" i="1"/>
  <c r="AI1485" i="1"/>
  <c r="AH1485" i="1"/>
  <c r="AG1485" i="1"/>
  <c r="AJ1484" i="1"/>
  <c r="AI1484" i="1"/>
  <c r="AH1484" i="1"/>
  <c r="AG1484" i="1"/>
  <c r="AJ1483" i="1"/>
  <c r="AI1483" i="1"/>
  <c r="AH1483" i="1"/>
  <c r="AG1483" i="1"/>
  <c r="AJ1482" i="1"/>
  <c r="AI1482" i="1"/>
  <c r="AH1482" i="1"/>
  <c r="AG1482" i="1"/>
  <c r="AJ1481" i="1"/>
  <c r="AI1481" i="1"/>
  <c r="AH1481" i="1"/>
  <c r="AG1481" i="1"/>
  <c r="AJ1480" i="1"/>
  <c r="AI1480" i="1"/>
  <c r="AH1480" i="1"/>
  <c r="AG1480" i="1"/>
  <c r="AJ1479" i="1"/>
  <c r="AI1479" i="1"/>
  <c r="AH1479" i="1"/>
  <c r="AG1479" i="1"/>
  <c r="AJ1478" i="1"/>
  <c r="AI1478" i="1"/>
  <c r="AH1478" i="1"/>
  <c r="AG1478" i="1"/>
  <c r="AJ1477" i="1"/>
  <c r="AI1477" i="1"/>
  <c r="AH1477" i="1"/>
  <c r="AG1477" i="1"/>
  <c r="AJ1476" i="1"/>
  <c r="AI1476" i="1"/>
  <c r="AH1476" i="1"/>
  <c r="AG1476" i="1"/>
  <c r="AJ1475" i="1"/>
  <c r="AI1475" i="1"/>
  <c r="AH1475" i="1"/>
  <c r="AG1475" i="1"/>
  <c r="AJ1474" i="1"/>
  <c r="AI1474" i="1"/>
  <c r="AH1474" i="1"/>
  <c r="AG1474" i="1"/>
  <c r="AJ1473" i="1"/>
  <c r="AI1473" i="1"/>
  <c r="AH1473" i="1"/>
  <c r="AG1473" i="1"/>
  <c r="AJ1472" i="1"/>
  <c r="AI1472" i="1"/>
  <c r="AH1472" i="1"/>
  <c r="AG1472" i="1"/>
  <c r="AJ1471" i="1"/>
  <c r="AI1471" i="1"/>
  <c r="AH1471" i="1"/>
  <c r="AG1471" i="1"/>
  <c r="AJ1470" i="1"/>
  <c r="AI1470" i="1"/>
  <c r="AH1470" i="1"/>
  <c r="AG1470" i="1"/>
  <c r="AJ1469" i="1"/>
  <c r="AI1469" i="1"/>
  <c r="AH1469" i="1"/>
  <c r="AG1469" i="1"/>
  <c r="AJ1468" i="1"/>
  <c r="AI1468" i="1"/>
  <c r="AH1468" i="1"/>
  <c r="AG1468" i="1"/>
  <c r="AJ1467" i="1"/>
  <c r="AI1467" i="1"/>
  <c r="AH1467" i="1"/>
  <c r="AG1467" i="1"/>
  <c r="AJ1466" i="1"/>
  <c r="AI1466" i="1"/>
  <c r="AH1466" i="1"/>
  <c r="AG1466" i="1"/>
  <c r="AJ1465" i="1"/>
  <c r="AI1465" i="1"/>
  <c r="AH1465" i="1"/>
  <c r="AG1465" i="1"/>
  <c r="AJ1464" i="1"/>
  <c r="AI1464" i="1"/>
  <c r="AH1464" i="1"/>
  <c r="AG1464" i="1"/>
  <c r="AJ1463" i="1"/>
  <c r="AI1463" i="1"/>
  <c r="AH1463" i="1"/>
  <c r="AG1463" i="1"/>
  <c r="AJ1462" i="1"/>
  <c r="AI1462" i="1"/>
  <c r="AH1462" i="1"/>
  <c r="AG1462" i="1"/>
  <c r="AJ1461" i="1"/>
  <c r="AI1461" i="1"/>
  <c r="AH1461" i="1"/>
  <c r="AG1461" i="1"/>
  <c r="AJ1460" i="1"/>
  <c r="AI1460" i="1"/>
  <c r="AH1460" i="1"/>
  <c r="AG1460" i="1"/>
  <c r="AJ1459" i="1"/>
  <c r="AI1459" i="1"/>
  <c r="AH1459" i="1"/>
  <c r="AG1459" i="1"/>
  <c r="AJ1458" i="1"/>
  <c r="AI1458" i="1"/>
  <c r="AH1458" i="1"/>
  <c r="AG1458" i="1"/>
  <c r="AJ1457" i="1"/>
  <c r="AI1457" i="1"/>
  <c r="AH1457" i="1"/>
  <c r="AG1457" i="1"/>
  <c r="AJ1456" i="1"/>
  <c r="AI1456" i="1"/>
  <c r="AH1456" i="1"/>
  <c r="AG1456" i="1"/>
  <c r="AJ1455" i="1"/>
  <c r="AI1455" i="1"/>
  <c r="AH1455" i="1"/>
  <c r="AG1455" i="1"/>
  <c r="AJ1454" i="1"/>
  <c r="AI1454" i="1"/>
  <c r="AH1454" i="1"/>
  <c r="AG1454" i="1"/>
  <c r="AJ1453" i="1"/>
  <c r="AI1453" i="1"/>
  <c r="AH1453" i="1"/>
  <c r="AG1453" i="1"/>
  <c r="AJ1452" i="1"/>
  <c r="AI1452" i="1"/>
  <c r="AH1452" i="1"/>
  <c r="AG1452" i="1"/>
  <c r="AJ1451" i="1"/>
  <c r="AI1451" i="1"/>
  <c r="AH1451" i="1"/>
  <c r="AG1451" i="1"/>
  <c r="AJ1450" i="1"/>
  <c r="AI1450" i="1"/>
  <c r="AH1450" i="1"/>
  <c r="AG1450" i="1"/>
  <c r="AJ1449" i="1"/>
  <c r="AI1449" i="1"/>
  <c r="AH1449" i="1"/>
  <c r="AG1449" i="1"/>
  <c r="AJ1448" i="1"/>
  <c r="AI1448" i="1"/>
  <c r="AH1448" i="1"/>
  <c r="AG1448" i="1"/>
  <c r="AJ1447" i="1"/>
  <c r="AI1447" i="1"/>
  <c r="AH1447" i="1"/>
  <c r="AG1447" i="1"/>
  <c r="AJ1446" i="1"/>
  <c r="AI1446" i="1"/>
  <c r="AH1446" i="1"/>
  <c r="AG1446" i="1"/>
  <c r="AJ1445" i="1"/>
  <c r="AI1445" i="1"/>
  <c r="AH1445" i="1"/>
  <c r="AG1445" i="1"/>
  <c r="AJ1444" i="1"/>
  <c r="AI1444" i="1"/>
  <c r="AH1444" i="1"/>
  <c r="AG1444" i="1"/>
  <c r="AJ1443" i="1"/>
  <c r="AI1443" i="1"/>
  <c r="AH1443" i="1"/>
  <c r="AG1443" i="1"/>
  <c r="AJ1442" i="1"/>
  <c r="AI1442" i="1"/>
  <c r="AH1442" i="1"/>
  <c r="AG1442" i="1"/>
  <c r="AJ1441" i="1"/>
  <c r="AI1441" i="1"/>
  <c r="AH1441" i="1"/>
  <c r="AG1441" i="1"/>
  <c r="AJ1440" i="1"/>
  <c r="AI1440" i="1"/>
  <c r="AH1440" i="1"/>
  <c r="AG1440" i="1"/>
  <c r="AJ1439" i="1"/>
  <c r="AI1439" i="1"/>
  <c r="AH1439" i="1"/>
  <c r="AG1439" i="1"/>
  <c r="AJ1438" i="1"/>
  <c r="AI1438" i="1"/>
  <c r="AH1438" i="1"/>
  <c r="AG1438" i="1"/>
  <c r="AJ1437" i="1"/>
  <c r="AI1437" i="1"/>
  <c r="AH1437" i="1"/>
  <c r="AG1437" i="1"/>
  <c r="AJ1436" i="1"/>
  <c r="AI1436" i="1"/>
  <c r="AH1436" i="1"/>
  <c r="AG1436" i="1"/>
  <c r="AJ1435" i="1"/>
  <c r="AI1435" i="1"/>
  <c r="AH1435" i="1"/>
  <c r="AG1435" i="1"/>
  <c r="AJ1434" i="1"/>
  <c r="AI1434" i="1"/>
  <c r="AH1434" i="1"/>
  <c r="AG1434" i="1"/>
  <c r="AJ1433" i="1"/>
  <c r="AI1433" i="1"/>
  <c r="AH1433" i="1"/>
  <c r="AG1433" i="1"/>
  <c r="AJ1432" i="1"/>
  <c r="AI1432" i="1"/>
  <c r="AH1432" i="1"/>
  <c r="AG1432" i="1"/>
  <c r="AJ1431" i="1"/>
  <c r="AI1431" i="1"/>
  <c r="AH1431" i="1"/>
  <c r="AG1431" i="1"/>
  <c r="AJ1430" i="1"/>
  <c r="AI1430" i="1"/>
  <c r="AH1430" i="1"/>
  <c r="AG1430" i="1"/>
  <c r="AJ1429" i="1"/>
  <c r="AI1429" i="1"/>
  <c r="AH1429" i="1"/>
  <c r="AG1429" i="1"/>
  <c r="AJ1428" i="1"/>
  <c r="AI1428" i="1"/>
  <c r="AH1428" i="1"/>
  <c r="AG1428" i="1"/>
  <c r="AJ1427" i="1"/>
  <c r="AI1427" i="1"/>
  <c r="AH1427" i="1"/>
  <c r="AG1427" i="1"/>
  <c r="AJ1426" i="1"/>
  <c r="AI1426" i="1"/>
  <c r="AH1426" i="1"/>
  <c r="AG1426" i="1"/>
  <c r="AJ1425" i="1"/>
  <c r="AI1425" i="1"/>
  <c r="AH1425" i="1"/>
  <c r="AG1425" i="1"/>
  <c r="AJ1424" i="1"/>
  <c r="AI1424" i="1"/>
  <c r="AH1424" i="1"/>
  <c r="AG1424" i="1"/>
  <c r="AJ1423" i="1"/>
  <c r="AI1423" i="1"/>
  <c r="AH1423" i="1"/>
  <c r="AG1423" i="1"/>
  <c r="AJ1422" i="1"/>
  <c r="AI1422" i="1"/>
  <c r="AH1422" i="1"/>
  <c r="AG1422" i="1"/>
  <c r="AJ1421" i="1"/>
  <c r="AI1421" i="1"/>
  <c r="AH1421" i="1"/>
  <c r="AG1421" i="1"/>
  <c r="AJ1420" i="1"/>
  <c r="AI1420" i="1"/>
  <c r="AH1420" i="1"/>
  <c r="AG1420" i="1"/>
  <c r="AJ1419" i="1"/>
  <c r="AI1419" i="1"/>
  <c r="AH1419" i="1"/>
  <c r="AG1419" i="1"/>
  <c r="AJ1418" i="1"/>
  <c r="AI1418" i="1"/>
  <c r="AH1418" i="1"/>
  <c r="AG1418" i="1"/>
  <c r="AJ1417" i="1"/>
  <c r="AI1417" i="1"/>
  <c r="AH1417" i="1"/>
  <c r="AG1417" i="1"/>
  <c r="AJ1416" i="1"/>
  <c r="AI1416" i="1"/>
  <c r="AH1416" i="1"/>
  <c r="AG1416" i="1"/>
  <c r="AJ1415" i="1"/>
  <c r="AI1415" i="1"/>
  <c r="AH1415" i="1"/>
  <c r="AG1415" i="1"/>
  <c r="AJ1414" i="1"/>
  <c r="AI1414" i="1"/>
  <c r="AH1414" i="1"/>
  <c r="AG1414" i="1"/>
  <c r="AJ1413" i="1"/>
  <c r="AI1413" i="1"/>
  <c r="AH1413" i="1"/>
  <c r="AG1413" i="1"/>
  <c r="AJ1412" i="1"/>
  <c r="AI1412" i="1"/>
  <c r="AH1412" i="1"/>
  <c r="AG1412" i="1"/>
  <c r="AJ1411" i="1"/>
  <c r="AI1411" i="1"/>
  <c r="AH1411" i="1"/>
  <c r="AG1411" i="1"/>
  <c r="AJ1410" i="1"/>
  <c r="AI1410" i="1"/>
  <c r="AH1410" i="1"/>
  <c r="AG1410" i="1"/>
  <c r="AJ1409" i="1"/>
  <c r="AI1409" i="1"/>
  <c r="AH1409" i="1"/>
  <c r="AG1409" i="1"/>
  <c r="AJ1408" i="1"/>
  <c r="AI1408" i="1"/>
  <c r="AH1408" i="1"/>
  <c r="AG1408" i="1"/>
  <c r="AJ1407" i="1"/>
  <c r="AI1407" i="1"/>
  <c r="AH1407" i="1"/>
  <c r="AG1407" i="1"/>
  <c r="AJ1406" i="1"/>
  <c r="AI1406" i="1"/>
  <c r="AH1406" i="1"/>
  <c r="AG1406" i="1"/>
  <c r="AJ1405" i="1"/>
  <c r="AI1405" i="1"/>
  <c r="AH1405" i="1"/>
  <c r="AG1405" i="1"/>
  <c r="AJ1404" i="1"/>
  <c r="AI1404" i="1"/>
  <c r="AH1404" i="1"/>
  <c r="AG1404" i="1"/>
  <c r="AJ1403" i="1"/>
  <c r="AI1403" i="1"/>
  <c r="AH1403" i="1"/>
  <c r="AG1403" i="1"/>
  <c r="AJ1402" i="1"/>
  <c r="AI1402" i="1"/>
  <c r="AH1402" i="1"/>
  <c r="AG1402" i="1"/>
  <c r="AJ1401" i="1"/>
  <c r="AI1401" i="1"/>
  <c r="AH1401" i="1"/>
  <c r="AG1401" i="1"/>
  <c r="AJ1400" i="1"/>
  <c r="AI1400" i="1"/>
  <c r="AH1400" i="1"/>
  <c r="AG1400" i="1"/>
  <c r="AJ1399" i="1"/>
  <c r="AI1399" i="1"/>
  <c r="AH1399" i="1"/>
  <c r="AG1399" i="1"/>
  <c r="AJ1398" i="1"/>
  <c r="AI1398" i="1"/>
  <c r="AH1398" i="1"/>
  <c r="AG1398" i="1"/>
  <c r="AJ1397" i="1"/>
  <c r="AI1397" i="1"/>
  <c r="AH1397" i="1"/>
  <c r="AG1397" i="1"/>
  <c r="AJ1396" i="1"/>
  <c r="AI1396" i="1"/>
  <c r="AH1396" i="1"/>
  <c r="AG1396" i="1"/>
  <c r="AJ1395" i="1"/>
  <c r="AI1395" i="1"/>
  <c r="AH1395" i="1"/>
  <c r="AG1395" i="1"/>
  <c r="AJ1394" i="1"/>
  <c r="AI1394" i="1"/>
  <c r="AH1394" i="1"/>
  <c r="AG1394" i="1"/>
  <c r="AJ1393" i="1"/>
  <c r="AI1393" i="1"/>
  <c r="AH1393" i="1"/>
  <c r="AG1393" i="1"/>
  <c r="AJ1392" i="1"/>
  <c r="AI1392" i="1"/>
  <c r="AH1392" i="1"/>
  <c r="AG1392" i="1"/>
  <c r="AJ1391" i="1"/>
  <c r="AI1391" i="1"/>
  <c r="AH1391" i="1"/>
  <c r="AG1391" i="1"/>
  <c r="AJ1390" i="1"/>
  <c r="AI1390" i="1"/>
  <c r="AH1390" i="1"/>
  <c r="AG1390" i="1"/>
  <c r="AJ1389" i="1"/>
  <c r="AI1389" i="1"/>
  <c r="AH1389" i="1"/>
  <c r="AG1389" i="1"/>
  <c r="AJ1388" i="1"/>
  <c r="AI1388" i="1"/>
  <c r="AH1388" i="1"/>
  <c r="AG1388" i="1"/>
  <c r="AJ1387" i="1"/>
  <c r="AI1387" i="1"/>
  <c r="AH1387" i="1"/>
  <c r="AG1387" i="1"/>
  <c r="AJ1386" i="1"/>
  <c r="AI1386" i="1"/>
  <c r="AH1386" i="1"/>
  <c r="AG1386" i="1"/>
  <c r="AJ1385" i="1"/>
  <c r="AI1385" i="1"/>
  <c r="AH1385" i="1"/>
  <c r="AG1385" i="1"/>
  <c r="AJ1384" i="1"/>
  <c r="AI1384" i="1"/>
  <c r="AH1384" i="1"/>
  <c r="AG1384" i="1"/>
  <c r="AJ1383" i="1"/>
  <c r="AI1383" i="1"/>
  <c r="AH1383" i="1"/>
  <c r="AG1383" i="1"/>
  <c r="AJ1382" i="1"/>
  <c r="AI1382" i="1"/>
  <c r="AH1382" i="1"/>
  <c r="AG1382" i="1"/>
  <c r="AJ1381" i="1"/>
  <c r="AI1381" i="1"/>
  <c r="AH1381" i="1"/>
  <c r="AG1381" i="1"/>
  <c r="AJ1380" i="1"/>
  <c r="AI1380" i="1"/>
  <c r="AH1380" i="1"/>
  <c r="AG1380" i="1"/>
  <c r="AJ1379" i="1"/>
  <c r="AI1379" i="1"/>
  <c r="AH1379" i="1"/>
  <c r="AG1379" i="1"/>
  <c r="AJ1378" i="1"/>
  <c r="AI1378" i="1"/>
  <c r="AH1378" i="1"/>
  <c r="AG1378" i="1"/>
  <c r="AJ1377" i="1"/>
  <c r="AI1377" i="1"/>
  <c r="AH1377" i="1"/>
  <c r="AG1377" i="1"/>
  <c r="AJ1376" i="1"/>
  <c r="AI1376" i="1"/>
  <c r="AH1376" i="1"/>
  <c r="AG1376" i="1"/>
  <c r="AJ1375" i="1"/>
  <c r="AI1375" i="1"/>
  <c r="AH1375" i="1"/>
  <c r="AG1375" i="1"/>
  <c r="AJ1374" i="1"/>
  <c r="AI1374" i="1"/>
  <c r="AH1374" i="1"/>
  <c r="AG1374" i="1"/>
  <c r="AJ1373" i="1"/>
  <c r="AI1373" i="1"/>
  <c r="AH1373" i="1"/>
  <c r="AG1373" i="1"/>
  <c r="AJ1372" i="1"/>
  <c r="AI1372" i="1"/>
  <c r="AH1372" i="1"/>
  <c r="AG1372" i="1"/>
  <c r="AJ1371" i="1"/>
  <c r="AI1371" i="1"/>
  <c r="AH1371" i="1"/>
  <c r="AG1371" i="1"/>
  <c r="AJ1370" i="1"/>
  <c r="AI1370" i="1"/>
  <c r="AH1370" i="1"/>
  <c r="AG1370" i="1"/>
  <c r="AJ1369" i="1"/>
  <c r="AI1369" i="1"/>
  <c r="AH1369" i="1"/>
  <c r="AG1369" i="1"/>
  <c r="AJ1368" i="1"/>
  <c r="AI1368" i="1"/>
  <c r="AH1368" i="1"/>
  <c r="AG1368" i="1"/>
  <c r="AJ1367" i="1"/>
  <c r="AI1367" i="1"/>
  <c r="AH1367" i="1"/>
  <c r="AG1367" i="1"/>
  <c r="AJ1366" i="1"/>
  <c r="AI1366" i="1"/>
  <c r="AH1366" i="1"/>
  <c r="AG1366" i="1"/>
  <c r="AJ1365" i="1"/>
  <c r="AI1365" i="1"/>
  <c r="AH1365" i="1"/>
  <c r="AG1365" i="1"/>
  <c r="AJ1364" i="1"/>
  <c r="AI1364" i="1"/>
  <c r="AH1364" i="1"/>
  <c r="AG1364" i="1"/>
  <c r="AJ1363" i="1"/>
  <c r="AI1363" i="1"/>
  <c r="AH1363" i="1"/>
  <c r="AG1363" i="1"/>
  <c r="AJ1362" i="1"/>
  <c r="AI1362" i="1"/>
  <c r="AH1362" i="1"/>
  <c r="AG1362" i="1"/>
  <c r="AJ1361" i="1"/>
  <c r="AI1361" i="1"/>
  <c r="AH1361" i="1"/>
  <c r="AG1361" i="1"/>
  <c r="AJ1360" i="1"/>
  <c r="AI1360" i="1"/>
  <c r="AH1360" i="1"/>
  <c r="AG1360" i="1"/>
  <c r="AJ1359" i="1"/>
  <c r="AI1359" i="1"/>
  <c r="AH1359" i="1"/>
  <c r="AG1359" i="1"/>
  <c r="AJ1358" i="1"/>
  <c r="AI1358" i="1"/>
  <c r="AH1358" i="1"/>
  <c r="AG1358" i="1"/>
  <c r="AJ1357" i="1"/>
  <c r="AI1357" i="1"/>
  <c r="AH1357" i="1"/>
  <c r="AG1357" i="1"/>
  <c r="AJ1356" i="1"/>
  <c r="AI1356" i="1"/>
  <c r="AH1356" i="1"/>
  <c r="AG1356" i="1"/>
  <c r="AJ1355" i="1"/>
  <c r="AI1355" i="1"/>
  <c r="AH1355" i="1"/>
  <c r="AG1355" i="1"/>
  <c r="AJ1354" i="1"/>
  <c r="AI1354" i="1"/>
  <c r="AH1354" i="1"/>
  <c r="AG1354" i="1"/>
  <c r="AJ1353" i="1"/>
  <c r="AI1353" i="1"/>
  <c r="AH1353" i="1"/>
  <c r="AG1353" i="1"/>
  <c r="AJ1352" i="1"/>
  <c r="AI1352" i="1"/>
  <c r="AH1352" i="1"/>
  <c r="AG1352" i="1"/>
  <c r="AJ1351" i="1"/>
  <c r="AI1351" i="1"/>
  <c r="AH1351" i="1"/>
  <c r="AG1351" i="1"/>
  <c r="AJ1350" i="1"/>
  <c r="AI1350" i="1"/>
  <c r="AH1350" i="1"/>
  <c r="AG1350" i="1"/>
  <c r="AJ1349" i="1"/>
  <c r="AI1349" i="1"/>
  <c r="AH1349" i="1"/>
  <c r="AG1349" i="1"/>
  <c r="AJ1348" i="1"/>
  <c r="AI1348" i="1"/>
  <c r="AH1348" i="1"/>
  <c r="AG1348" i="1"/>
  <c r="AJ1347" i="1"/>
  <c r="AI1347" i="1"/>
  <c r="AH1347" i="1"/>
  <c r="AG1347" i="1"/>
  <c r="AJ1346" i="1"/>
  <c r="AI1346" i="1"/>
  <c r="AH1346" i="1"/>
  <c r="AG1346" i="1"/>
  <c r="AJ1345" i="1"/>
  <c r="AI1345" i="1"/>
  <c r="AH1345" i="1"/>
  <c r="AG1345" i="1"/>
  <c r="AJ1344" i="1"/>
  <c r="AI1344" i="1"/>
  <c r="AH1344" i="1"/>
  <c r="AG1344" i="1"/>
  <c r="AJ1343" i="1"/>
  <c r="AI1343" i="1"/>
  <c r="AH1343" i="1"/>
  <c r="AG1343" i="1"/>
  <c r="AJ1342" i="1"/>
  <c r="AI1342" i="1"/>
  <c r="AH1342" i="1"/>
  <c r="AG1342" i="1"/>
  <c r="AJ1341" i="1"/>
  <c r="AI1341" i="1"/>
  <c r="AH1341" i="1"/>
  <c r="AG1341" i="1"/>
  <c r="AJ1340" i="1"/>
  <c r="AI1340" i="1"/>
  <c r="AH1340" i="1"/>
  <c r="AG1340" i="1"/>
  <c r="AJ1339" i="1"/>
  <c r="AI1339" i="1"/>
  <c r="AH1339" i="1"/>
  <c r="AG1339" i="1"/>
  <c r="AJ1338" i="1"/>
  <c r="AI1338" i="1"/>
  <c r="AH1338" i="1"/>
  <c r="AG1338" i="1"/>
  <c r="AJ1337" i="1"/>
  <c r="AI1337" i="1"/>
  <c r="AH1337" i="1"/>
  <c r="AG1337" i="1"/>
  <c r="AJ1336" i="1"/>
  <c r="AI1336" i="1"/>
  <c r="AH1336" i="1"/>
  <c r="AG1336" i="1"/>
  <c r="AJ1335" i="1"/>
  <c r="AI1335" i="1"/>
  <c r="AH1335" i="1"/>
  <c r="AG1335" i="1"/>
  <c r="AJ1334" i="1"/>
  <c r="AI1334" i="1"/>
  <c r="AH1334" i="1"/>
  <c r="AG1334" i="1"/>
  <c r="AJ1333" i="1"/>
  <c r="AI1333" i="1"/>
  <c r="AH1333" i="1"/>
  <c r="AG1333" i="1"/>
  <c r="AJ1332" i="1"/>
  <c r="AI1332" i="1"/>
  <c r="AH1332" i="1"/>
  <c r="AG1332" i="1"/>
  <c r="AJ1331" i="1"/>
  <c r="AI1331" i="1"/>
  <c r="AH1331" i="1"/>
  <c r="AG1331" i="1"/>
  <c r="AJ1330" i="1"/>
  <c r="AI1330" i="1"/>
  <c r="AH1330" i="1"/>
  <c r="AG1330" i="1"/>
  <c r="AJ1329" i="1"/>
  <c r="AI1329" i="1"/>
  <c r="AH1329" i="1"/>
  <c r="AG1329" i="1"/>
  <c r="AJ1328" i="1"/>
  <c r="AI1328" i="1"/>
  <c r="AH1328" i="1"/>
  <c r="AG1328" i="1"/>
  <c r="AJ1327" i="1"/>
  <c r="AI1327" i="1"/>
  <c r="AH1327" i="1"/>
  <c r="AG1327" i="1"/>
  <c r="AJ1326" i="1"/>
  <c r="AI1326" i="1"/>
  <c r="AH1326" i="1"/>
  <c r="AG1326" i="1"/>
  <c r="AJ1325" i="1"/>
  <c r="AI1325" i="1"/>
  <c r="AH1325" i="1"/>
  <c r="AG1325" i="1"/>
  <c r="AJ1324" i="1"/>
  <c r="AI1324" i="1"/>
  <c r="AH1324" i="1"/>
  <c r="AG1324" i="1"/>
  <c r="AJ1323" i="1"/>
  <c r="AI1323" i="1"/>
  <c r="AH1323" i="1"/>
  <c r="AG1323" i="1"/>
  <c r="AJ1322" i="1"/>
  <c r="AI1322" i="1"/>
  <c r="AH1322" i="1"/>
  <c r="AG1322" i="1"/>
  <c r="AJ1321" i="1"/>
  <c r="AI1321" i="1"/>
  <c r="AH1321" i="1"/>
  <c r="AG1321" i="1"/>
  <c r="AJ1320" i="1"/>
  <c r="AI1320" i="1"/>
  <c r="AH1320" i="1"/>
  <c r="AG1320" i="1"/>
  <c r="AJ1319" i="1"/>
  <c r="AI1319" i="1"/>
  <c r="AH1319" i="1"/>
  <c r="AG1319" i="1"/>
  <c r="AJ1318" i="1"/>
  <c r="AI1318" i="1"/>
  <c r="AH1318" i="1"/>
  <c r="AG1318" i="1"/>
  <c r="AJ1317" i="1"/>
  <c r="AI1317" i="1"/>
  <c r="AH1317" i="1"/>
  <c r="AG1317" i="1"/>
  <c r="AJ1316" i="1"/>
  <c r="AI1316" i="1"/>
  <c r="AH1316" i="1"/>
  <c r="AG1316" i="1"/>
  <c r="AJ1315" i="1"/>
  <c r="AI1315" i="1"/>
  <c r="AH1315" i="1"/>
  <c r="AG1315" i="1"/>
  <c r="AJ1314" i="1"/>
  <c r="AI1314" i="1"/>
  <c r="AH1314" i="1"/>
  <c r="AG1314" i="1"/>
  <c r="AJ1313" i="1"/>
  <c r="AI1313" i="1"/>
  <c r="AH1313" i="1"/>
  <c r="AG1313" i="1"/>
  <c r="AJ1312" i="1"/>
  <c r="AI1312" i="1"/>
  <c r="AH1312" i="1"/>
  <c r="AG1312" i="1"/>
  <c r="AJ1311" i="1"/>
  <c r="AI1311" i="1"/>
  <c r="AH1311" i="1"/>
  <c r="AG1311" i="1"/>
  <c r="AJ1310" i="1"/>
  <c r="AI1310" i="1"/>
  <c r="AH1310" i="1"/>
  <c r="AG1310" i="1"/>
  <c r="AJ1309" i="1"/>
  <c r="AI1309" i="1"/>
  <c r="AH1309" i="1"/>
  <c r="AG1309" i="1"/>
  <c r="AJ1308" i="1"/>
  <c r="AI1308" i="1"/>
  <c r="AH1308" i="1"/>
  <c r="AG1308" i="1"/>
  <c r="AJ1307" i="1"/>
  <c r="AI1307" i="1"/>
  <c r="AH1307" i="1"/>
  <c r="AG1307" i="1"/>
  <c r="AJ1306" i="1"/>
  <c r="AI1306" i="1"/>
  <c r="AH1306" i="1"/>
  <c r="AG1306" i="1"/>
  <c r="AJ1305" i="1"/>
  <c r="AI1305" i="1"/>
  <c r="AH1305" i="1"/>
  <c r="AG1305" i="1"/>
  <c r="AJ1304" i="1"/>
  <c r="AI1304" i="1"/>
  <c r="AH1304" i="1"/>
  <c r="AG1304" i="1"/>
  <c r="AJ1303" i="1"/>
  <c r="AI1303" i="1"/>
  <c r="AH1303" i="1"/>
  <c r="AG1303" i="1"/>
  <c r="AJ1302" i="1"/>
  <c r="AI1302" i="1"/>
  <c r="AH1302" i="1"/>
  <c r="AG1302" i="1"/>
  <c r="AJ1301" i="1"/>
  <c r="AI1301" i="1"/>
  <c r="AH1301" i="1"/>
  <c r="AG1301" i="1"/>
  <c r="AJ1300" i="1"/>
  <c r="AI1300" i="1"/>
  <c r="AH1300" i="1"/>
  <c r="AG1300" i="1"/>
  <c r="AJ1299" i="1"/>
  <c r="AI1299" i="1"/>
  <c r="AH1299" i="1"/>
  <c r="AG1299" i="1"/>
  <c r="AJ1298" i="1"/>
  <c r="AI1298" i="1"/>
  <c r="AH1298" i="1"/>
  <c r="AG1298" i="1"/>
  <c r="AJ1297" i="1"/>
  <c r="AI1297" i="1"/>
  <c r="AH1297" i="1"/>
  <c r="AG1297" i="1"/>
  <c r="AJ1296" i="1"/>
  <c r="AI1296" i="1"/>
  <c r="AH1296" i="1"/>
  <c r="AG1296" i="1"/>
  <c r="AJ1295" i="1"/>
  <c r="AI1295" i="1"/>
  <c r="AH1295" i="1"/>
  <c r="AG1295" i="1"/>
  <c r="AJ1294" i="1"/>
  <c r="AI1294" i="1"/>
  <c r="AH1294" i="1"/>
  <c r="AG1294" i="1"/>
  <c r="AJ1293" i="1"/>
  <c r="AI1293" i="1"/>
  <c r="AH1293" i="1"/>
  <c r="AG1293" i="1"/>
  <c r="AJ1292" i="1"/>
  <c r="AI1292" i="1"/>
  <c r="AH1292" i="1"/>
  <c r="AG1292" i="1"/>
  <c r="AJ1291" i="1"/>
  <c r="AI1291" i="1"/>
  <c r="AH1291" i="1"/>
  <c r="AG1291" i="1"/>
  <c r="AJ1290" i="1"/>
  <c r="AI1290" i="1"/>
  <c r="AH1290" i="1"/>
  <c r="AG1290" i="1"/>
  <c r="AJ1289" i="1"/>
  <c r="AI1289" i="1"/>
  <c r="AH1289" i="1"/>
  <c r="AG1289" i="1"/>
  <c r="AJ1288" i="1"/>
  <c r="AI1288" i="1"/>
  <c r="AH1288" i="1"/>
  <c r="AG1288" i="1"/>
  <c r="AJ1287" i="1"/>
  <c r="AI1287" i="1"/>
  <c r="AH1287" i="1"/>
  <c r="AG1287" i="1"/>
  <c r="AJ1286" i="1"/>
  <c r="AI1286" i="1"/>
  <c r="AH1286" i="1"/>
  <c r="AG1286" i="1"/>
  <c r="AJ1285" i="1"/>
  <c r="AI1285" i="1"/>
  <c r="AH1285" i="1"/>
  <c r="AG1285" i="1"/>
  <c r="AJ1284" i="1"/>
  <c r="AI1284" i="1"/>
  <c r="AH1284" i="1"/>
  <c r="AG1284" i="1"/>
  <c r="AJ1283" i="1"/>
  <c r="AI1283" i="1"/>
  <c r="AH1283" i="1"/>
  <c r="AG1283" i="1"/>
  <c r="AJ1282" i="1"/>
  <c r="AI1282" i="1"/>
  <c r="AH1282" i="1"/>
  <c r="AG1282" i="1"/>
  <c r="AJ1281" i="1"/>
  <c r="AI1281" i="1"/>
  <c r="AH1281" i="1"/>
  <c r="AG1281" i="1"/>
  <c r="AJ1280" i="1"/>
  <c r="AI1280" i="1"/>
  <c r="AH1280" i="1"/>
  <c r="AG1280" i="1"/>
  <c r="AJ1279" i="1"/>
  <c r="AI1279" i="1"/>
  <c r="AH1279" i="1"/>
  <c r="AG1279" i="1"/>
  <c r="AJ1278" i="1"/>
  <c r="AI1278" i="1"/>
  <c r="AH1278" i="1"/>
  <c r="AG1278" i="1"/>
  <c r="AJ1277" i="1"/>
  <c r="AI1277" i="1"/>
  <c r="AH1277" i="1"/>
  <c r="AG1277" i="1"/>
  <c r="AJ1276" i="1"/>
  <c r="AI1276" i="1"/>
  <c r="AH1276" i="1"/>
  <c r="AG1276" i="1"/>
  <c r="AJ1275" i="1"/>
  <c r="AI1275" i="1"/>
  <c r="AH1275" i="1"/>
  <c r="AG1275" i="1"/>
  <c r="AJ1274" i="1"/>
  <c r="AI1274" i="1"/>
  <c r="AH1274" i="1"/>
  <c r="AG1274" i="1"/>
  <c r="AJ1273" i="1"/>
  <c r="AI1273" i="1"/>
  <c r="AH1273" i="1"/>
  <c r="AG1273" i="1"/>
  <c r="AJ1272" i="1"/>
  <c r="AI1272" i="1"/>
  <c r="AH1272" i="1"/>
  <c r="AG1272" i="1"/>
  <c r="AJ1271" i="1"/>
  <c r="AI1271" i="1"/>
  <c r="AH1271" i="1"/>
  <c r="AG1271" i="1"/>
  <c r="AJ1270" i="1"/>
  <c r="AI1270" i="1"/>
  <c r="AH1270" i="1"/>
  <c r="AG1270" i="1"/>
  <c r="AJ1269" i="1"/>
  <c r="AI1269" i="1"/>
  <c r="AH1269" i="1"/>
  <c r="AG1269" i="1"/>
  <c r="AJ1268" i="1"/>
  <c r="AI1268" i="1"/>
  <c r="AH1268" i="1"/>
  <c r="AG1268" i="1"/>
  <c r="AJ1267" i="1"/>
  <c r="AI1267" i="1"/>
  <c r="AH1267" i="1"/>
  <c r="AG1267" i="1"/>
  <c r="AJ1266" i="1"/>
  <c r="AI1266" i="1"/>
  <c r="AH1266" i="1"/>
  <c r="AG1266" i="1"/>
  <c r="AJ1265" i="1"/>
  <c r="AI1265" i="1"/>
  <c r="AH1265" i="1"/>
  <c r="AG1265" i="1"/>
  <c r="AJ1264" i="1"/>
  <c r="AI1264" i="1"/>
  <c r="AH1264" i="1"/>
  <c r="AG1264" i="1"/>
  <c r="AJ1263" i="1"/>
  <c r="AI1263" i="1"/>
  <c r="AH1263" i="1"/>
  <c r="AG1263" i="1"/>
  <c r="AJ1262" i="1"/>
  <c r="AI1262" i="1"/>
  <c r="AH1262" i="1"/>
  <c r="AG1262" i="1"/>
  <c r="AJ1261" i="1"/>
  <c r="AI1261" i="1"/>
  <c r="AH1261" i="1"/>
  <c r="AG1261" i="1"/>
  <c r="AJ1260" i="1"/>
  <c r="AI1260" i="1"/>
  <c r="AH1260" i="1"/>
  <c r="AG1260" i="1"/>
  <c r="AJ1259" i="1"/>
  <c r="AI1259" i="1"/>
  <c r="AH1259" i="1"/>
  <c r="AG1259" i="1"/>
  <c r="AJ1258" i="1"/>
  <c r="AI1258" i="1"/>
  <c r="AH1258" i="1"/>
  <c r="AG1258" i="1"/>
  <c r="AJ1257" i="1"/>
  <c r="AI1257" i="1"/>
  <c r="AH1257" i="1"/>
  <c r="AG1257" i="1"/>
  <c r="AJ1256" i="1"/>
  <c r="AI1256" i="1"/>
  <c r="AH1256" i="1"/>
  <c r="AG1256" i="1"/>
  <c r="AJ1255" i="1"/>
  <c r="AI1255" i="1"/>
  <c r="AH1255" i="1"/>
  <c r="AG1255" i="1"/>
  <c r="AJ1254" i="1"/>
  <c r="AI1254" i="1"/>
  <c r="AH1254" i="1"/>
  <c r="AG1254" i="1"/>
  <c r="AJ1253" i="1"/>
  <c r="AI1253" i="1"/>
  <c r="AH1253" i="1"/>
  <c r="AG1253" i="1"/>
  <c r="AJ1252" i="1"/>
  <c r="AI1252" i="1"/>
  <c r="AH1252" i="1"/>
  <c r="AG1252" i="1"/>
  <c r="AJ1251" i="1"/>
  <c r="AI1251" i="1"/>
  <c r="AH1251" i="1"/>
  <c r="AG1251" i="1"/>
  <c r="AJ1250" i="1"/>
  <c r="AI1250" i="1"/>
  <c r="AH1250" i="1"/>
  <c r="AG1250" i="1"/>
  <c r="AJ1249" i="1"/>
  <c r="AI1249" i="1"/>
  <c r="AH1249" i="1"/>
  <c r="AG1249" i="1"/>
  <c r="AJ1248" i="1"/>
  <c r="AI1248" i="1"/>
  <c r="AH1248" i="1"/>
  <c r="AG1248" i="1"/>
  <c r="AJ1247" i="1"/>
  <c r="AI1247" i="1"/>
  <c r="AH1247" i="1"/>
  <c r="AG1247" i="1"/>
  <c r="AJ1246" i="1"/>
  <c r="AI1246" i="1"/>
  <c r="AH1246" i="1"/>
  <c r="AG1246" i="1"/>
  <c r="AJ1245" i="1"/>
  <c r="AI1245" i="1"/>
  <c r="AH1245" i="1"/>
  <c r="AG1245" i="1"/>
  <c r="AJ1244" i="1"/>
  <c r="AI1244" i="1"/>
  <c r="AH1244" i="1"/>
  <c r="AG1244" i="1"/>
  <c r="AJ1243" i="1"/>
  <c r="AI1243" i="1"/>
  <c r="AH1243" i="1"/>
  <c r="AG1243" i="1"/>
  <c r="AJ1242" i="1"/>
  <c r="AI1242" i="1"/>
  <c r="AH1242" i="1"/>
  <c r="AG1242" i="1"/>
  <c r="AJ1241" i="1"/>
  <c r="AI1241" i="1"/>
  <c r="AH1241" i="1"/>
  <c r="AG1241" i="1"/>
  <c r="AJ1240" i="1"/>
  <c r="AI1240" i="1"/>
  <c r="AH1240" i="1"/>
  <c r="AG1240" i="1"/>
  <c r="AJ1239" i="1"/>
  <c r="AI1239" i="1"/>
  <c r="AH1239" i="1"/>
  <c r="AG1239" i="1"/>
  <c r="AJ1238" i="1"/>
  <c r="AI1238" i="1"/>
  <c r="AH1238" i="1"/>
  <c r="AG1238" i="1"/>
  <c r="AJ1237" i="1"/>
  <c r="AI1237" i="1"/>
  <c r="AH1237" i="1"/>
  <c r="AG1237" i="1"/>
  <c r="AJ1236" i="1"/>
  <c r="AI1236" i="1"/>
  <c r="AH1236" i="1"/>
  <c r="AG1236" i="1"/>
  <c r="AJ1235" i="1"/>
  <c r="AI1235" i="1"/>
  <c r="AH1235" i="1"/>
  <c r="AG1235" i="1"/>
  <c r="AJ1234" i="1"/>
  <c r="AI1234" i="1"/>
  <c r="AH1234" i="1"/>
  <c r="AG1234" i="1"/>
  <c r="AJ1233" i="1"/>
  <c r="AI1233" i="1"/>
  <c r="AH1233" i="1"/>
  <c r="AG1233" i="1"/>
  <c r="AJ1232" i="1"/>
  <c r="AI1232" i="1"/>
  <c r="AH1232" i="1"/>
  <c r="AG1232" i="1"/>
  <c r="AJ1231" i="1"/>
  <c r="AI1231" i="1"/>
  <c r="AH1231" i="1"/>
  <c r="AG1231" i="1"/>
  <c r="AJ1230" i="1"/>
  <c r="AI1230" i="1"/>
  <c r="AH1230" i="1"/>
  <c r="AG1230" i="1"/>
  <c r="AJ1229" i="1"/>
  <c r="AI1229" i="1"/>
  <c r="AH1229" i="1"/>
  <c r="AG1229" i="1"/>
  <c r="AJ1228" i="1"/>
  <c r="AI1228" i="1"/>
  <c r="AH1228" i="1"/>
  <c r="AG1228" i="1"/>
  <c r="AJ1227" i="1"/>
  <c r="AI1227" i="1"/>
  <c r="AH1227" i="1"/>
  <c r="AG1227" i="1"/>
  <c r="AJ1226" i="1"/>
  <c r="AI1226" i="1"/>
  <c r="AH1226" i="1"/>
  <c r="AG1226" i="1"/>
  <c r="AJ1225" i="1"/>
  <c r="AI1225" i="1"/>
  <c r="AH1225" i="1"/>
  <c r="AG1225" i="1"/>
  <c r="AJ1224" i="1"/>
  <c r="AI1224" i="1"/>
  <c r="AH1224" i="1"/>
  <c r="AG1224" i="1"/>
  <c r="AJ1223" i="1"/>
  <c r="AI1223" i="1"/>
  <c r="AH1223" i="1"/>
  <c r="AG1223" i="1"/>
  <c r="AJ1222" i="1"/>
  <c r="AI1222" i="1"/>
  <c r="AH1222" i="1"/>
  <c r="AG1222" i="1"/>
  <c r="AJ1221" i="1"/>
  <c r="AI1221" i="1"/>
  <c r="AH1221" i="1"/>
  <c r="AG1221" i="1"/>
  <c r="AJ1220" i="1"/>
  <c r="AI1220" i="1"/>
  <c r="AH1220" i="1"/>
  <c r="AG1220" i="1"/>
  <c r="AJ1219" i="1"/>
  <c r="AI1219" i="1"/>
  <c r="AH1219" i="1"/>
  <c r="AG1219" i="1"/>
  <c r="AJ1218" i="1"/>
  <c r="AI1218" i="1"/>
  <c r="AH1218" i="1"/>
  <c r="AG1218" i="1"/>
  <c r="AJ1217" i="1"/>
  <c r="AI1217" i="1"/>
  <c r="AH1217" i="1"/>
  <c r="AG1217" i="1"/>
  <c r="AJ1216" i="1"/>
  <c r="AI1216" i="1"/>
  <c r="AH1216" i="1"/>
  <c r="AG1216" i="1"/>
  <c r="AJ1215" i="1"/>
  <c r="AI1215" i="1"/>
  <c r="AH1215" i="1"/>
  <c r="AG1215" i="1"/>
  <c r="AJ1214" i="1"/>
  <c r="AI1214" i="1"/>
  <c r="AH1214" i="1"/>
  <c r="AG1214" i="1"/>
  <c r="AJ1213" i="1"/>
  <c r="AI1213" i="1"/>
  <c r="AH1213" i="1"/>
  <c r="AG1213" i="1"/>
  <c r="AJ1212" i="1"/>
  <c r="AI1212" i="1"/>
  <c r="AH1212" i="1"/>
  <c r="AG1212" i="1"/>
  <c r="AJ1211" i="1"/>
  <c r="AI1211" i="1"/>
  <c r="AH1211" i="1"/>
  <c r="AG1211" i="1"/>
  <c r="AJ1210" i="1"/>
  <c r="AI1210" i="1"/>
  <c r="AH1210" i="1"/>
  <c r="AG1210" i="1"/>
  <c r="AJ1209" i="1"/>
  <c r="AI1209" i="1"/>
  <c r="AH1209" i="1"/>
  <c r="AG1209" i="1"/>
  <c r="AJ1208" i="1"/>
  <c r="AI1208" i="1"/>
  <c r="AH1208" i="1"/>
  <c r="AG1208" i="1"/>
  <c r="AJ1207" i="1"/>
  <c r="AI1207" i="1"/>
  <c r="AH1207" i="1"/>
  <c r="AG1207" i="1"/>
  <c r="AJ1206" i="1"/>
  <c r="AI1206" i="1"/>
  <c r="AH1206" i="1"/>
  <c r="AG1206" i="1"/>
  <c r="AJ1205" i="1"/>
  <c r="AI1205" i="1"/>
  <c r="AH1205" i="1"/>
  <c r="AG1205" i="1"/>
  <c r="AJ1204" i="1"/>
  <c r="AI1204" i="1"/>
  <c r="AH1204" i="1"/>
  <c r="AG1204" i="1"/>
  <c r="AJ1203" i="1"/>
  <c r="AI1203" i="1"/>
  <c r="AH1203" i="1"/>
  <c r="AG1203" i="1"/>
  <c r="AJ1202" i="1"/>
  <c r="AI1202" i="1"/>
  <c r="AH1202" i="1"/>
  <c r="AG1202" i="1"/>
  <c r="AJ1201" i="1"/>
  <c r="AI1201" i="1"/>
  <c r="AH1201" i="1"/>
  <c r="AG1201" i="1"/>
  <c r="AJ1200" i="1"/>
  <c r="AI1200" i="1"/>
  <c r="AH1200" i="1"/>
  <c r="AG1200" i="1"/>
  <c r="AJ1199" i="1"/>
  <c r="AI1199" i="1"/>
  <c r="AH1199" i="1"/>
  <c r="AG1199" i="1"/>
  <c r="AJ1198" i="1"/>
  <c r="AI1198" i="1"/>
  <c r="AH1198" i="1"/>
  <c r="AG1198" i="1"/>
  <c r="AJ1197" i="1"/>
  <c r="AI1197" i="1"/>
  <c r="AH1197" i="1"/>
  <c r="AG1197" i="1"/>
  <c r="AJ1196" i="1"/>
  <c r="AI1196" i="1"/>
  <c r="AH1196" i="1"/>
  <c r="AG1196" i="1"/>
  <c r="AJ1195" i="1"/>
  <c r="AI1195" i="1"/>
  <c r="AH1195" i="1"/>
  <c r="AG1195" i="1"/>
  <c r="AJ1194" i="1"/>
  <c r="AI1194" i="1"/>
  <c r="AH1194" i="1"/>
  <c r="AG1194" i="1"/>
  <c r="AJ1193" i="1"/>
  <c r="AI1193" i="1"/>
  <c r="AH1193" i="1"/>
  <c r="AG1193" i="1"/>
  <c r="AJ1192" i="1"/>
  <c r="AI1192" i="1"/>
  <c r="AH1192" i="1"/>
  <c r="AG1192" i="1"/>
  <c r="AJ1191" i="1"/>
  <c r="AI1191" i="1"/>
  <c r="AH1191" i="1"/>
  <c r="AG1191" i="1"/>
  <c r="AJ1190" i="1"/>
  <c r="AI1190" i="1"/>
  <c r="AH1190" i="1"/>
  <c r="AG1190" i="1"/>
  <c r="AJ1189" i="1"/>
  <c r="AI1189" i="1"/>
  <c r="AH1189" i="1"/>
  <c r="AG1189" i="1"/>
  <c r="AJ1188" i="1"/>
  <c r="AI1188" i="1"/>
  <c r="AH1188" i="1"/>
  <c r="AG1188" i="1"/>
  <c r="AJ1187" i="1"/>
  <c r="AI1187" i="1"/>
  <c r="AH1187" i="1"/>
  <c r="AG1187" i="1"/>
  <c r="AJ1186" i="1"/>
  <c r="AI1186" i="1"/>
  <c r="AH1186" i="1"/>
  <c r="AG1186" i="1"/>
  <c r="AJ1185" i="1"/>
  <c r="AI1185" i="1"/>
  <c r="AH1185" i="1"/>
  <c r="AG1185" i="1"/>
  <c r="AJ1184" i="1"/>
  <c r="AI1184" i="1"/>
  <c r="AH1184" i="1"/>
  <c r="AG1184" i="1"/>
  <c r="AJ1183" i="1"/>
  <c r="AI1183" i="1"/>
  <c r="AH1183" i="1"/>
  <c r="AG1183" i="1"/>
  <c r="AJ1182" i="1"/>
  <c r="AI1182" i="1"/>
  <c r="AH1182" i="1"/>
  <c r="AG1182" i="1"/>
  <c r="AJ1181" i="1"/>
  <c r="AI1181" i="1"/>
  <c r="AH1181" i="1"/>
  <c r="AG1181" i="1"/>
  <c r="AJ1180" i="1"/>
  <c r="AI1180" i="1"/>
  <c r="AH1180" i="1"/>
  <c r="AG1180" i="1"/>
  <c r="AJ1179" i="1"/>
  <c r="AI1179" i="1"/>
  <c r="AH1179" i="1"/>
  <c r="AG1179" i="1"/>
  <c r="AJ1178" i="1"/>
  <c r="AI1178" i="1"/>
  <c r="AH1178" i="1"/>
  <c r="AG1178" i="1"/>
  <c r="AJ1177" i="1"/>
  <c r="AI1177" i="1"/>
  <c r="AH1177" i="1"/>
  <c r="AG1177" i="1"/>
  <c r="AJ1176" i="1"/>
  <c r="AI1176" i="1"/>
  <c r="AH1176" i="1"/>
  <c r="AG1176" i="1"/>
  <c r="AJ1175" i="1"/>
  <c r="AI1175" i="1"/>
  <c r="AH1175" i="1"/>
  <c r="AG1175" i="1"/>
  <c r="AJ1174" i="1"/>
  <c r="AI1174" i="1"/>
  <c r="AH1174" i="1"/>
  <c r="AG1174" i="1"/>
  <c r="AJ1173" i="1"/>
  <c r="AI1173" i="1"/>
  <c r="AH1173" i="1"/>
  <c r="AG1173" i="1"/>
  <c r="AJ1172" i="1"/>
  <c r="AI1172" i="1"/>
  <c r="AH1172" i="1"/>
  <c r="AG1172" i="1"/>
  <c r="AJ1171" i="1"/>
  <c r="AI1171" i="1"/>
  <c r="AH1171" i="1"/>
  <c r="AG1171" i="1"/>
  <c r="AJ1170" i="1"/>
  <c r="AI1170" i="1"/>
  <c r="AH1170" i="1"/>
  <c r="AG1170" i="1"/>
  <c r="AJ1169" i="1"/>
  <c r="AI1169" i="1"/>
  <c r="AH1169" i="1"/>
  <c r="AG1169" i="1"/>
  <c r="AJ1168" i="1"/>
  <c r="AI1168" i="1"/>
  <c r="AH1168" i="1"/>
  <c r="AG1168" i="1"/>
  <c r="AJ1167" i="1"/>
  <c r="AI1167" i="1"/>
  <c r="AH1167" i="1"/>
  <c r="AG1167" i="1"/>
  <c r="AJ1166" i="1"/>
  <c r="AI1166" i="1"/>
  <c r="AH1166" i="1"/>
  <c r="AG1166" i="1"/>
  <c r="AJ1165" i="1"/>
  <c r="AI1165" i="1"/>
  <c r="AH1165" i="1"/>
  <c r="AG1165" i="1"/>
  <c r="AJ1164" i="1"/>
  <c r="AI1164" i="1"/>
  <c r="AH1164" i="1"/>
  <c r="AG1164" i="1"/>
  <c r="AJ1163" i="1"/>
  <c r="AI1163" i="1"/>
  <c r="AH1163" i="1"/>
  <c r="AG1163" i="1"/>
  <c r="AJ1162" i="1"/>
  <c r="AI1162" i="1"/>
  <c r="AH1162" i="1"/>
  <c r="AG1162" i="1"/>
  <c r="AJ1161" i="1"/>
  <c r="AI1161" i="1"/>
  <c r="AH1161" i="1"/>
  <c r="AG1161" i="1"/>
  <c r="AJ1160" i="1"/>
  <c r="AI1160" i="1"/>
  <c r="AH1160" i="1"/>
  <c r="AG1160" i="1"/>
  <c r="AJ1159" i="1"/>
  <c r="AI1159" i="1"/>
  <c r="AH1159" i="1"/>
  <c r="AG1159" i="1"/>
  <c r="AJ1158" i="1"/>
  <c r="AI1158" i="1"/>
  <c r="AH1158" i="1"/>
  <c r="AG1158" i="1"/>
  <c r="AJ1157" i="1"/>
  <c r="AI1157" i="1"/>
  <c r="AH1157" i="1"/>
  <c r="AG1157" i="1"/>
  <c r="AJ1156" i="1"/>
  <c r="AI1156" i="1"/>
  <c r="AH1156" i="1"/>
  <c r="AG1156" i="1"/>
  <c r="AJ1155" i="1"/>
  <c r="AI1155" i="1"/>
  <c r="AH1155" i="1"/>
  <c r="AG1155" i="1"/>
  <c r="AJ1154" i="1"/>
  <c r="AI1154" i="1"/>
  <c r="AH1154" i="1"/>
  <c r="AG1154" i="1"/>
  <c r="AJ1153" i="1"/>
  <c r="AI1153" i="1"/>
  <c r="AH1153" i="1"/>
  <c r="AG1153" i="1"/>
  <c r="AJ1152" i="1"/>
  <c r="AI1152" i="1"/>
  <c r="AH1152" i="1"/>
  <c r="AG1152" i="1"/>
  <c r="AJ1151" i="1"/>
  <c r="AI1151" i="1"/>
  <c r="AH1151" i="1"/>
  <c r="AG1151" i="1"/>
  <c r="AJ1150" i="1"/>
  <c r="AI1150" i="1"/>
  <c r="AH1150" i="1"/>
  <c r="AG1150" i="1"/>
  <c r="AJ1149" i="1"/>
  <c r="AI1149" i="1"/>
  <c r="AH1149" i="1"/>
  <c r="AG1149" i="1"/>
  <c r="AJ1148" i="1"/>
  <c r="AI1148" i="1"/>
  <c r="AH1148" i="1"/>
  <c r="AG1148" i="1"/>
  <c r="AJ1147" i="1"/>
  <c r="AI1147" i="1"/>
  <c r="AH1147" i="1"/>
  <c r="AG1147" i="1"/>
  <c r="AJ1146" i="1"/>
  <c r="AI1146" i="1"/>
  <c r="AH1146" i="1"/>
  <c r="AG1146" i="1"/>
  <c r="AJ1145" i="1"/>
  <c r="AI1145" i="1"/>
  <c r="AH1145" i="1"/>
  <c r="AG1145" i="1"/>
  <c r="AJ1144" i="1"/>
  <c r="AI1144" i="1"/>
  <c r="AH1144" i="1"/>
  <c r="AG1144" i="1"/>
  <c r="AJ1143" i="1"/>
  <c r="AI1143" i="1"/>
  <c r="AH1143" i="1"/>
  <c r="AG1143" i="1"/>
  <c r="AJ1142" i="1"/>
  <c r="AI1142" i="1"/>
  <c r="AH1142" i="1"/>
  <c r="AG1142" i="1"/>
  <c r="AJ1141" i="1"/>
  <c r="AI1141" i="1"/>
  <c r="AH1141" i="1"/>
  <c r="AG1141" i="1"/>
  <c r="AJ1140" i="1"/>
  <c r="AI1140" i="1"/>
  <c r="AH1140" i="1"/>
  <c r="AG1140" i="1"/>
  <c r="AJ1139" i="1"/>
  <c r="AI1139" i="1"/>
  <c r="AH1139" i="1"/>
  <c r="AG1139" i="1"/>
  <c r="AJ1138" i="1"/>
  <c r="AI1138" i="1"/>
  <c r="AH1138" i="1"/>
  <c r="AG1138" i="1"/>
  <c r="AJ1137" i="1"/>
  <c r="AI1137" i="1"/>
  <c r="AH1137" i="1"/>
  <c r="AG1137" i="1"/>
  <c r="AJ1136" i="1"/>
  <c r="AI1136" i="1"/>
  <c r="AH1136" i="1"/>
  <c r="AG1136" i="1"/>
  <c r="AJ1135" i="1"/>
  <c r="AI1135" i="1"/>
  <c r="AH1135" i="1"/>
  <c r="AG1135" i="1"/>
  <c r="AJ1134" i="1"/>
  <c r="AI1134" i="1"/>
  <c r="AH1134" i="1"/>
  <c r="AG1134" i="1"/>
  <c r="AJ1133" i="1"/>
  <c r="AI1133" i="1"/>
  <c r="AH1133" i="1"/>
  <c r="AG1133" i="1"/>
  <c r="AJ1132" i="1"/>
  <c r="AI1132" i="1"/>
  <c r="AH1132" i="1"/>
  <c r="AG1132" i="1"/>
  <c r="AJ1131" i="1"/>
  <c r="AI1131" i="1"/>
  <c r="AH1131" i="1"/>
  <c r="AG1131" i="1"/>
  <c r="AJ1130" i="1"/>
  <c r="AI1130" i="1"/>
  <c r="AH1130" i="1"/>
  <c r="AG1130" i="1"/>
  <c r="AJ1129" i="1"/>
  <c r="AI1129" i="1"/>
  <c r="AH1129" i="1"/>
  <c r="AG1129" i="1"/>
  <c r="AJ1128" i="1"/>
  <c r="AI1128" i="1"/>
  <c r="AH1128" i="1"/>
  <c r="AG1128" i="1"/>
  <c r="AJ1127" i="1"/>
  <c r="AI1127" i="1"/>
  <c r="AH1127" i="1"/>
  <c r="AG1127" i="1"/>
  <c r="AJ1126" i="1"/>
  <c r="AI1126" i="1"/>
  <c r="AH1126" i="1"/>
  <c r="AG1126" i="1"/>
  <c r="AJ1125" i="1"/>
  <c r="AI1125" i="1"/>
  <c r="AH1125" i="1"/>
  <c r="AG1125" i="1"/>
  <c r="AJ1124" i="1"/>
  <c r="AI1124" i="1"/>
  <c r="AH1124" i="1"/>
  <c r="AG1124" i="1"/>
  <c r="AJ1123" i="1"/>
  <c r="AI1123" i="1"/>
  <c r="AH1123" i="1"/>
  <c r="AG1123" i="1"/>
  <c r="AJ1122" i="1"/>
  <c r="AI1122" i="1"/>
  <c r="AH1122" i="1"/>
  <c r="AG1122" i="1"/>
  <c r="AJ1121" i="1"/>
  <c r="AI1121" i="1"/>
  <c r="AH1121" i="1"/>
  <c r="AG1121" i="1"/>
  <c r="AJ1120" i="1"/>
  <c r="AI1120" i="1"/>
  <c r="AH1120" i="1"/>
  <c r="AG1120" i="1"/>
  <c r="AJ1119" i="1"/>
  <c r="AI1119" i="1"/>
  <c r="AH1119" i="1"/>
  <c r="AG1119" i="1"/>
  <c r="AJ1118" i="1"/>
  <c r="AI1118" i="1"/>
  <c r="AH1118" i="1"/>
  <c r="AG1118" i="1"/>
  <c r="AJ1117" i="1"/>
  <c r="AI1117" i="1"/>
  <c r="AH1117" i="1"/>
  <c r="AG1117" i="1"/>
  <c r="AJ1116" i="1"/>
  <c r="AI1116" i="1"/>
  <c r="AH1116" i="1"/>
  <c r="AG1116" i="1"/>
  <c r="AJ1115" i="1"/>
  <c r="AI1115" i="1"/>
  <c r="AH1115" i="1"/>
  <c r="AG1115" i="1"/>
  <c r="AJ1114" i="1"/>
  <c r="AI1114" i="1"/>
  <c r="AH1114" i="1"/>
  <c r="AG1114" i="1"/>
  <c r="AJ1113" i="1"/>
  <c r="AI1113" i="1"/>
  <c r="AH1113" i="1"/>
  <c r="AG1113" i="1"/>
  <c r="AJ1112" i="1"/>
  <c r="AI1112" i="1"/>
  <c r="AH1112" i="1"/>
  <c r="AG1112" i="1"/>
  <c r="AJ1111" i="1"/>
  <c r="AI1111" i="1"/>
  <c r="AH1111" i="1"/>
  <c r="AG1111" i="1"/>
  <c r="AJ1110" i="1"/>
  <c r="AI1110" i="1"/>
  <c r="AH1110" i="1"/>
  <c r="AG1110" i="1"/>
  <c r="AJ1109" i="1"/>
  <c r="AI1109" i="1"/>
  <c r="AH1109" i="1"/>
  <c r="AG1109" i="1"/>
  <c r="AJ1108" i="1"/>
  <c r="AI1108" i="1"/>
  <c r="AH1108" i="1"/>
  <c r="AG1108" i="1"/>
  <c r="AJ1107" i="1"/>
  <c r="AI1107" i="1"/>
  <c r="AH1107" i="1"/>
  <c r="AG1107" i="1"/>
  <c r="AJ1106" i="1"/>
  <c r="AI1106" i="1"/>
  <c r="AH1106" i="1"/>
  <c r="AG1106" i="1"/>
  <c r="AJ1105" i="1"/>
  <c r="AI1105" i="1"/>
  <c r="AH1105" i="1"/>
  <c r="AG1105" i="1"/>
  <c r="AJ1104" i="1"/>
  <c r="AI1104" i="1"/>
  <c r="AH1104" i="1"/>
  <c r="AG1104" i="1"/>
  <c r="AJ1103" i="1"/>
  <c r="AI1103" i="1"/>
  <c r="AH1103" i="1"/>
  <c r="AG1103" i="1"/>
  <c r="AJ1102" i="1"/>
  <c r="AI1102" i="1"/>
  <c r="AH1102" i="1"/>
  <c r="AG1102" i="1"/>
  <c r="AJ1101" i="1"/>
  <c r="AI1101" i="1"/>
  <c r="AH1101" i="1"/>
  <c r="AG1101" i="1"/>
  <c r="AJ1100" i="1"/>
  <c r="AI1100" i="1"/>
  <c r="AH1100" i="1"/>
  <c r="AG1100" i="1"/>
  <c r="AJ1099" i="1"/>
  <c r="AI1099" i="1"/>
  <c r="AH1099" i="1"/>
  <c r="AG1099" i="1"/>
  <c r="AJ1098" i="1"/>
  <c r="AI1098" i="1"/>
  <c r="AH1098" i="1"/>
  <c r="AG1098" i="1"/>
  <c r="AJ1097" i="1"/>
  <c r="AI1097" i="1"/>
  <c r="AH1097" i="1"/>
  <c r="AG1097" i="1"/>
  <c r="AJ1096" i="1"/>
  <c r="AI1096" i="1"/>
  <c r="AH1096" i="1"/>
  <c r="AG1096" i="1"/>
  <c r="AJ1095" i="1"/>
  <c r="AI1095" i="1"/>
  <c r="AH1095" i="1"/>
  <c r="AG1095" i="1"/>
  <c r="AJ1094" i="1"/>
  <c r="AI1094" i="1"/>
  <c r="AH1094" i="1"/>
  <c r="AG1094" i="1"/>
  <c r="AJ1093" i="1"/>
  <c r="AI1093" i="1"/>
  <c r="AH1093" i="1"/>
  <c r="AG1093" i="1"/>
  <c r="AJ1092" i="1"/>
  <c r="AI1092" i="1"/>
  <c r="AH1092" i="1"/>
  <c r="AG1092" i="1"/>
  <c r="AJ1091" i="1"/>
  <c r="AI1091" i="1"/>
  <c r="AH1091" i="1"/>
  <c r="AG1091" i="1"/>
  <c r="AJ1090" i="1"/>
  <c r="AI1090" i="1"/>
  <c r="AH1090" i="1"/>
  <c r="AG1090" i="1"/>
  <c r="AJ1089" i="1"/>
  <c r="AI1089" i="1"/>
  <c r="AH1089" i="1"/>
  <c r="AG1089" i="1"/>
  <c r="AJ1088" i="1"/>
  <c r="AI1088" i="1"/>
  <c r="AH1088" i="1"/>
  <c r="AG1088" i="1"/>
  <c r="AJ1087" i="1"/>
  <c r="AI1087" i="1"/>
  <c r="AH1087" i="1"/>
  <c r="AG1087" i="1"/>
  <c r="AJ1086" i="1"/>
  <c r="AI1086" i="1"/>
  <c r="AH1086" i="1"/>
  <c r="AG1086" i="1"/>
  <c r="AJ1085" i="1"/>
  <c r="AI1085" i="1"/>
  <c r="AH1085" i="1"/>
  <c r="AG1085" i="1"/>
  <c r="AJ1084" i="1"/>
  <c r="AI1084" i="1"/>
  <c r="AH1084" i="1"/>
  <c r="AG1084" i="1"/>
  <c r="AJ1083" i="1"/>
  <c r="AI1083" i="1"/>
  <c r="AH1083" i="1"/>
  <c r="AG1083" i="1"/>
  <c r="AJ1082" i="1"/>
  <c r="AI1082" i="1"/>
  <c r="AH1082" i="1"/>
  <c r="AG1082" i="1"/>
  <c r="AJ1081" i="1"/>
  <c r="AI1081" i="1"/>
  <c r="AH1081" i="1"/>
  <c r="AG1081" i="1"/>
  <c r="AJ1080" i="1"/>
  <c r="AI1080" i="1"/>
  <c r="AH1080" i="1"/>
  <c r="AG1080" i="1"/>
  <c r="AJ1079" i="1"/>
  <c r="AI1079" i="1"/>
  <c r="AH1079" i="1"/>
  <c r="AG1079" i="1"/>
  <c r="AJ1078" i="1"/>
  <c r="AI1078" i="1"/>
  <c r="AH1078" i="1"/>
  <c r="AG1078" i="1"/>
  <c r="AJ1077" i="1"/>
  <c r="AI1077" i="1"/>
  <c r="AH1077" i="1"/>
  <c r="AG1077" i="1"/>
  <c r="AJ1076" i="1"/>
  <c r="AI1076" i="1"/>
  <c r="AH1076" i="1"/>
  <c r="AG1076" i="1"/>
  <c r="AJ1075" i="1"/>
  <c r="AI1075" i="1"/>
  <c r="AH1075" i="1"/>
  <c r="AG1075" i="1"/>
  <c r="AJ1074" i="1"/>
  <c r="AI1074" i="1"/>
  <c r="AH1074" i="1"/>
  <c r="AG1074" i="1"/>
  <c r="AJ1073" i="1"/>
  <c r="AI1073" i="1"/>
  <c r="AH1073" i="1"/>
  <c r="AG1073" i="1"/>
  <c r="AJ1072" i="1"/>
  <c r="AI1072" i="1"/>
  <c r="AH1072" i="1"/>
  <c r="AG1072" i="1"/>
  <c r="AJ1071" i="1"/>
  <c r="AI1071" i="1"/>
  <c r="AH1071" i="1"/>
  <c r="AG1071" i="1"/>
  <c r="AJ1070" i="1"/>
  <c r="AI1070" i="1"/>
  <c r="AH1070" i="1"/>
  <c r="AG1070" i="1"/>
  <c r="AJ1069" i="1"/>
  <c r="AI1069" i="1"/>
  <c r="AH1069" i="1"/>
  <c r="AG1069" i="1"/>
  <c r="AJ1068" i="1"/>
  <c r="AI1068" i="1"/>
  <c r="AH1068" i="1"/>
  <c r="AG1068" i="1"/>
  <c r="AJ1067" i="1"/>
  <c r="AI1067" i="1"/>
  <c r="AH1067" i="1"/>
  <c r="AG1067" i="1"/>
  <c r="AJ1066" i="1"/>
  <c r="AI1066" i="1"/>
  <c r="AH1066" i="1"/>
  <c r="AG1066" i="1"/>
  <c r="AJ1065" i="1"/>
  <c r="AI1065" i="1"/>
  <c r="AH1065" i="1"/>
  <c r="AG1065" i="1"/>
  <c r="AJ1064" i="1"/>
  <c r="AI1064" i="1"/>
  <c r="AH1064" i="1"/>
  <c r="AG1064" i="1"/>
  <c r="AJ1063" i="1"/>
  <c r="AI1063" i="1"/>
  <c r="AH1063" i="1"/>
  <c r="AG1063" i="1"/>
  <c r="AJ1062" i="1"/>
  <c r="AI1062" i="1"/>
  <c r="AH1062" i="1"/>
  <c r="AG1062" i="1"/>
  <c r="AJ1061" i="1"/>
  <c r="AI1061" i="1"/>
  <c r="AH1061" i="1"/>
  <c r="AG1061" i="1"/>
  <c r="AJ1060" i="1"/>
  <c r="AI1060" i="1"/>
  <c r="AH1060" i="1"/>
  <c r="AG1060" i="1"/>
  <c r="AJ1059" i="1"/>
  <c r="AI1059" i="1"/>
  <c r="AH1059" i="1"/>
  <c r="AG1059" i="1"/>
  <c r="AJ1058" i="1"/>
  <c r="AI1058" i="1"/>
  <c r="AH1058" i="1"/>
  <c r="AG1058" i="1"/>
  <c r="AJ1057" i="1"/>
  <c r="AI1057" i="1"/>
  <c r="AH1057" i="1"/>
  <c r="AG1057" i="1"/>
  <c r="AJ1056" i="1"/>
  <c r="AI1056" i="1"/>
  <c r="AH1056" i="1"/>
  <c r="AG1056" i="1"/>
  <c r="AJ1055" i="1"/>
  <c r="AI1055" i="1"/>
  <c r="AH1055" i="1"/>
  <c r="AG1055" i="1"/>
  <c r="AJ1054" i="1"/>
  <c r="AI1054" i="1"/>
  <c r="AH1054" i="1"/>
  <c r="AG1054" i="1"/>
  <c r="AJ1053" i="1"/>
  <c r="AI1053" i="1"/>
  <c r="AH1053" i="1"/>
  <c r="AG1053" i="1"/>
  <c r="AJ1052" i="1"/>
  <c r="AI1052" i="1"/>
  <c r="AH1052" i="1"/>
  <c r="AG1052" i="1"/>
  <c r="AJ1051" i="1"/>
  <c r="AI1051" i="1"/>
  <c r="AH1051" i="1"/>
  <c r="AG1051" i="1"/>
  <c r="AJ1050" i="1"/>
  <c r="AI1050" i="1"/>
  <c r="AH1050" i="1"/>
  <c r="AG1050" i="1"/>
  <c r="AJ1049" i="1"/>
  <c r="AI1049" i="1"/>
  <c r="AH1049" i="1"/>
  <c r="AG1049" i="1"/>
  <c r="AJ1048" i="1"/>
  <c r="AI1048" i="1"/>
  <c r="AH1048" i="1"/>
  <c r="AG1048" i="1"/>
  <c r="AJ1047" i="1"/>
  <c r="AI1047" i="1"/>
  <c r="AH1047" i="1"/>
  <c r="AG1047" i="1"/>
  <c r="AJ1046" i="1"/>
  <c r="AI1046" i="1"/>
  <c r="AH1046" i="1"/>
  <c r="AG1046" i="1"/>
  <c r="AJ1045" i="1"/>
  <c r="AI1045" i="1"/>
  <c r="AH1045" i="1"/>
  <c r="AG1045" i="1"/>
  <c r="AJ1044" i="1"/>
  <c r="AI1044" i="1"/>
  <c r="AH1044" i="1"/>
  <c r="AG1044" i="1"/>
  <c r="AJ1043" i="1"/>
  <c r="AI1043" i="1"/>
  <c r="AH1043" i="1"/>
  <c r="AG1043" i="1"/>
  <c r="AJ1042" i="1"/>
  <c r="AI1042" i="1"/>
  <c r="AH1042" i="1"/>
  <c r="AG1042" i="1"/>
  <c r="AJ1041" i="1"/>
  <c r="AI1041" i="1"/>
  <c r="AH1041" i="1"/>
  <c r="AG1041" i="1"/>
  <c r="AJ1040" i="1"/>
  <c r="AI1040" i="1"/>
  <c r="AH1040" i="1"/>
  <c r="AG1040" i="1"/>
  <c r="AJ1039" i="1"/>
  <c r="AI1039" i="1"/>
  <c r="AH1039" i="1"/>
  <c r="AG1039" i="1"/>
  <c r="AJ1038" i="1"/>
  <c r="AI1038" i="1"/>
  <c r="AH1038" i="1"/>
  <c r="AG1038" i="1"/>
  <c r="AJ1037" i="1"/>
  <c r="AI1037" i="1"/>
  <c r="AH1037" i="1"/>
  <c r="AG1037" i="1"/>
  <c r="AJ1036" i="1"/>
  <c r="AI1036" i="1"/>
  <c r="AH1036" i="1"/>
  <c r="AG1036" i="1"/>
  <c r="AJ1035" i="1"/>
  <c r="AI1035" i="1"/>
  <c r="AH1035" i="1"/>
  <c r="AG1035" i="1"/>
  <c r="AJ1034" i="1"/>
  <c r="AI1034" i="1"/>
  <c r="AH1034" i="1"/>
  <c r="AG1034" i="1"/>
  <c r="AJ1033" i="1"/>
  <c r="AI1033" i="1"/>
  <c r="AH1033" i="1"/>
  <c r="AG1033" i="1"/>
  <c r="AJ1032" i="1"/>
  <c r="AI1032" i="1"/>
  <c r="AH1032" i="1"/>
  <c r="AG1032" i="1"/>
  <c r="AJ1031" i="1"/>
  <c r="AI1031" i="1"/>
  <c r="AH1031" i="1"/>
  <c r="AG1031" i="1"/>
  <c r="AJ1030" i="1"/>
  <c r="AI1030" i="1"/>
  <c r="AH1030" i="1"/>
  <c r="AG1030" i="1"/>
  <c r="AJ1029" i="1"/>
  <c r="AI1029" i="1"/>
  <c r="AH1029" i="1"/>
  <c r="AG1029" i="1"/>
  <c r="AJ1028" i="1"/>
  <c r="AI1028" i="1"/>
  <c r="AH1028" i="1"/>
  <c r="AG1028" i="1"/>
  <c r="AJ1027" i="1"/>
  <c r="AI1027" i="1"/>
  <c r="AH1027" i="1"/>
  <c r="AG1027" i="1"/>
  <c r="AJ1026" i="1"/>
  <c r="AI1026" i="1"/>
  <c r="AH1026" i="1"/>
  <c r="AG1026" i="1"/>
  <c r="AJ1025" i="1"/>
  <c r="AI1025" i="1"/>
  <c r="AH1025" i="1"/>
  <c r="AG1025" i="1"/>
  <c r="AJ1024" i="1"/>
  <c r="AI1024" i="1"/>
  <c r="AH1024" i="1"/>
  <c r="AG1024" i="1"/>
  <c r="AJ1023" i="1"/>
  <c r="AI1023" i="1"/>
  <c r="AH1023" i="1"/>
  <c r="AG1023" i="1"/>
  <c r="AJ1022" i="1"/>
  <c r="AI1022" i="1"/>
  <c r="AH1022" i="1"/>
  <c r="AG1022" i="1"/>
  <c r="AJ1021" i="1"/>
  <c r="AI1021" i="1"/>
  <c r="AH1021" i="1"/>
  <c r="AG1021" i="1"/>
  <c r="AJ1020" i="1"/>
  <c r="AI1020" i="1"/>
  <c r="AH1020" i="1"/>
  <c r="AG1020" i="1"/>
  <c r="AJ1019" i="1"/>
  <c r="AI1019" i="1"/>
  <c r="AH1019" i="1"/>
  <c r="AG1019" i="1"/>
  <c r="AJ1018" i="1"/>
  <c r="AI1018" i="1"/>
  <c r="AH1018" i="1"/>
  <c r="AG1018" i="1"/>
  <c r="AJ1017" i="1"/>
  <c r="AI1017" i="1"/>
  <c r="AH1017" i="1"/>
  <c r="AG1017" i="1"/>
  <c r="AJ1016" i="1"/>
  <c r="AI1016" i="1"/>
  <c r="AH1016" i="1"/>
  <c r="AG1016" i="1"/>
  <c r="AJ1015" i="1"/>
  <c r="AI1015" i="1"/>
  <c r="AH1015" i="1"/>
  <c r="AG1015" i="1"/>
  <c r="AJ1014" i="1"/>
  <c r="AI1014" i="1"/>
  <c r="AH1014" i="1"/>
  <c r="AG1014" i="1"/>
  <c r="AJ1013" i="1"/>
  <c r="AI1013" i="1"/>
  <c r="AH1013" i="1"/>
  <c r="AG1013" i="1"/>
  <c r="AJ1012" i="1"/>
  <c r="AI1012" i="1"/>
  <c r="AH1012" i="1"/>
  <c r="AG1012" i="1"/>
  <c r="AJ1011" i="1"/>
  <c r="AI1011" i="1"/>
  <c r="AH1011" i="1"/>
  <c r="AG1011" i="1"/>
  <c r="AJ1010" i="1"/>
  <c r="AI1010" i="1"/>
  <c r="AH1010" i="1"/>
  <c r="AG1010" i="1"/>
  <c r="AJ1009" i="1"/>
  <c r="AI1009" i="1"/>
  <c r="AH1009" i="1"/>
  <c r="AG1009" i="1"/>
  <c r="AJ1008" i="1"/>
  <c r="AI1008" i="1"/>
  <c r="AH1008" i="1"/>
  <c r="AG1008" i="1"/>
  <c r="AJ1007" i="1"/>
  <c r="AI1007" i="1"/>
  <c r="AH1007" i="1"/>
  <c r="AG1007" i="1"/>
  <c r="AJ1006" i="1"/>
  <c r="AI1006" i="1"/>
  <c r="AH1006" i="1"/>
  <c r="AG1006" i="1"/>
  <c r="AJ1005" i="1"/>
  <c r="AI1005" i="1"/>
  <c r="AH1005" i="1"/>
  <c r="AG1005" i="1"/>
  <c r="AJ1004" i="1"/>
  <c r="AI1004" i="1"/>
  <c r="AH1004" i="1"/>
  <c r="AG1004" i="1"/>
  <c r="AJ1003" i="1"/>
  <c r="AI1003" i="1"/>
  <c r="AH1003" i="1"/>
  <c r="AG1003" i="1"/>
  <c r="AJ1002" i="1"/>
  <c r="AI1002" i="1"/>
  <c r="AH1002" i="1"/>
  <c r="AG1002" i="1"/>
  <c r="AJ1001" i="1"/>
  <c r="AI1001" i="1"/>
  <c r="AH1001" i="1"/>
  <c r="AG1001" i="1"/>
  <c r="AJ1000" i="1"/>
  <c r="AI1000" i="1"/>
  <c r="AH1000" i="1"/>
  <c r="AG1000" i="1"/>
  <c r="AJ999" i="1"/>
  <c r="AI999" i="1"/>
  <c r="AH999" i="1"/>
  <c r="AG999" i="1"/>
  <c r="AJ998" i="1"/>
  <c r="AI998" i="1"/>
  <c r="AH998" i="1"/>
  <c r="AG998" i="1"/>
  <c r="AJ997" i="1"/>
  <c r="AI997" i="1"/>
  <c r="AH997" i="1"/>
  <c r="AG997" i="1"/>
  <c r="AJ996" i="1"/>
  <c r="AI996" i="1"/>
  <c r="AH996" i="1"/>
  <c r="AG996" i="1"/>
  <c r="AJ995" i="1"/>
  <c r="AI995" i="1"/>
  <c r="AH995" i="1"/>
  <c r="AG995" i="1"/>
  <c r="AJ994" i="1"/>
  <c r="AI994" i="1"/>
  <c r="AH994" i="1"/>
  <c r="AG994" i="1"/>
  <c r="AJ993" i="1"/>
  <c r="AI993" i="1"/>
  <c r="AH993" i="1"/>
  <c r="AG993" i="1"/>
  <c r="AJ992" i="1"/>
  <c r="AI992" i="1"/>
  <c r="AH992" i="1"/>
  <c r="AG992" i="1"/>
  <c r="AJ991" i="1"/>
  <c r="AI991" i="1"/>
  <c r="AH991" i="1"/>
  <c r="AG991" i="1"/>
  <c r="AJ990" i="1"/>
  <c r="AI990" i="1"/>
  <c r="AH990" i="1"/>
  <c r="AG990" i="1"/>
  <c r="AJ989" i="1"/>
  <c r="AI989" i="1"/>
  <c r="AH989" i="1"/>
  <c r="AG989" i="1"/>
  <c r="AJ988" i="1"/>
  <c r="AI988" i="1"/>
  <c r="AH988" i="1"/>
  <c r="AG988" i="1"/>
  <c r="AJ987" i="1"/>
  <c r="AI987" i="1"/>
  <c r="AH987" i="1"/>
  <c r="AG987" i="1"/>
  <c r="AJ986" i="1"/>
  <c r="AI986" i="1"/>
  <c r="AH986" i="1"/>
  <c r="AG986" i="1"/>
  <c r="AJ985" i="1"/>
  <c r="AI985" i="1"/>
  <c r="AH985" i="1"/>
  <c r="AG985" i="1"/>
  <c r="AJ984" i="1"/>
  <c r="AI984" i="1"/>
  <c r="AH984" i="1"/>
  <c r="AG984" i="1"/>
  <c r="AJ983" i="1"/>
  <c r="AI983" i="1"/>
  <c r="AH983" i="1"/>
  <c r="AG983" i="1"/>
  <c r="AJ982" i="1"/>
  <c r="AI982" i="1"/>
  <c r="AH982" i="1"/>
  <c r="AG982" i="1"/>
  <c r="AJ981" i="1"/>
  <c r="AI981" i="1"/>
  <c r="AH981" i="1"/>
  <c r="AG981" i="1"/>
  <c r="AJ980" i="1"/>
  <c r="AI980" i="1"/>
  <c r="AH980" i="1"/>
  <c r="AG980" i="1"/>
  <c r="AJ979" i="1"/>
  <c r="AI979" i="1"/>
  <c r="AH979" i="1"/>
  <c r="AG979" i="1"/>
  <c r="AJ978" i="1"/>
  <c r="AI978" i="1"/>
  <c r="AH978" i="1"/>
  <c r="AG978" i="1"/>
  <c r="AJ977" i="1"/>
  <c r="AI977" i="1"/>
  <c r="AH977" i="1"/>
  <c r="AG977" i="1"/>
  <c r="AJ976" i="1"/>
  <c r="AI976" i="1"/>
  <c r="AH976" i="1"/>
  <c r="AG976" i="1"/>
  <c r="AJ975" i="1"/>
  <c r="AI975" i="1"/>
  <c r="AH975" i="1"/>
  <c r="AG975" i="1"/>
  <c r="AJ974" i="1"/>
  <c r="AI974" i="1"/>
  <c r="AH974" i="1"/>
  <c r="AG974" i="1"/>
  <c r="AJ973" i="1"/>
  <c r="AI973" i="1"/>
  <c r="AH973" i="1"/>
  <c r="AG973" i="1"/>
  <c r="AJ972" i="1"/>
  <c r="AI972" i="1"/>
  <c r="AH972" i="1"/>
  <c r="AG972" i="1"/>
  <c r="AJ971" i="1"/>
  <c r="AI971" i="1"/>
  <c r="AH971" i="1"/>
  <c r="AG971" i="1"/>
  <c r="AJ970" i="1"/>
  <c r="AI970" i="1"/>
  <c r="AH970" i="1"/>
  <c r="AG970" i="1"/>
  <c r="AJ969" i="1"/>
  <c r="AI969" i="1"/>
  <c r="AH969" i="1"/>
  <c r="AG969" i="1"/>
  <c r="AJ968" i="1"/>
  <c r="AI968" i="1"/>
  <c r="AH968" i="1"/>
  <c r="AG968" i="1"/>
  <c r="AJ967" i="1"/>
  <c r="AI967" i="1"/>
  <c r="AH967" i="1"/>
  <c r="AG967" i="1"/>
  <c r="AJ966" i="1"/>
  <c r="AI966" i="1"/>
  <c r="AH966" i="1"/>
  <c r="AG966" i="1"/>
  <c r="AJ965" i="1"/>
  <c r="AI965" i="1"/>
  <c r="AH965" i="1"/>
  <c r="AG965" i="1"/>
  <c r="AJ964" i="1"/>
  <c r="AI964" i="1"/>
  <c r="AH964" i="1"/>
  <c r="AG964" i="1"/>
  <c r="AJ963" i="1"/>
  <c r="AI963" i="1"/>
  <c r="AH963" i="1"/>
  <c r="AG963" i="1"/>
  <c r="AJ962" i="1"/>
  <c r="AI962" i="1"/>
  <c r="AH962" i="1"/>
  <c r="AG962" i="1"/>
  <c r="AJ961" i="1"/>
  <c r="AI961" i="1"/>
  <c r="AH961" i="1"/>
  <c r="AG961" i="1"/>
  <c r="AJ960" i="1"/>
  <c r="AI960" i="1"/>
  <c r="AH960" i="1"/>
  <c r="AG960" i="1"/>
  <c r="AJ959" i="1"/>
  <c r="AI959" i="1"/>
  <c r="AH959" i="1"/>
  <c r="AG959" i="1"/>
  <c r="AJ958" i="1"/>
  <c r="AI958" i="1"/>
  <c r="AH958" i="1"/>
  <c r="AG958" i="1"/>
  <c r="AJ957" i="1"/>
  <c r="AI957" i="1"/>
  <c r="AH957" i="1"/>
  <c r="AG957" i="1"/>
  <c r="AJ956" i="1"/>
  <c r="AI956" i="1"/>
  <c r="AH956" i="1"/>
  <c r="AG956" i="1"/>
  <c r="AJ955" i="1"/>
  <c r="AI955" i="1"/>
  <c r="AH955" i="1"/>
  <c r="AG955" i="1"/>
  <c r="AJ954" i="1"/>
  <c r="AI954" i="1"/>
  <c r="AH954" i="1"/>
  <c r="AG954" i="1"/>
  <c r="AJ953" i="1"/>
  <c r="AI953" i="1"/>
  <c r="AH953" i="1"/>
  <c r="AG953" i="1"/>
  <c r="AJ952" i="1"/>
  <c r="AI952" i="1"/>
  <c r="AH952" i="1"/>
  <c r="AG952" i="1"/>
  <c r="AJ951" i="1"/>
  <c r="AI951" i="1"/>
  <c r="AH951" i="1"/>
  <c r="AG951" i="1"/>
  <c r="AJ950" i="1"/>
  <c r="AI950" i="1"/>
  <c r="AH950" i="1"/>
  <c r="AG950" i="1"/>
  <c r="AJ949" i="1"/>
  <c r="AI949" i="1"/>
  <c r="AH949" i="1"/>
  <c r="AG949" i="1"/>
  <c r="AJ948" i="1"/>
  <c r="AI948" i="1"/>
  <c r="AH948" i="1"/>
  <c r="AG948" i="1"/>
  <c r="AJ947" i="1"/>
  <c r="AI947" i="1"/>
  <c r="AH947" i="1"/>
  <c r="AG947" i="1"/>
  <c r="AJ946" i="1"/>
  <c r="AI946" i="1"/>
  <c r="AH946" i="1"/>
  <c r="AG946" i="1"/>
  <c r="AJ945" i="1"/>
  <c r="AI945" i="1"/>
  <c r="AH945" i="1"/>
  <c r="AG945" i="1"/>
  <c r="AJ944" i="1"/>
  <c r="AI944" i="1"/>
  <c r="AH944" i="1"/>
  <c r="AG944" i="1"/>
  <c r="AJ943" i="1"/>
  <c r="AI943" i="1"/>
  <c r="AH943" i="1"/>
  <c r="AG943" i="1"/>
  <c r="AJ942" i="1"/>
  <c r="AI942" i="1"/>
  <c r="AH942" i="1"/>
  <c r="AG942" i="1"/>
  <c r="AJ941" i="1"/>
  <c r="AI941" i="1"/>
  <c r="AH941" i="1"/>
  <c r="AG941" i="1"/>
  <c r="AJ940" i="1"/>
  <c r="AI940" i="1"/>
  <c r="AH940" i="1"/>
  <c r="AG940" i="1"/>
  <c r="AJ939" i="1"/>
  <c r="AI939" i="1"/>
  <c r="AH939" i="1"/>
  <c r="AG939" i="1"/>
  <c r="AJ938" i="1"/>
  <c r="AI938" i="1"/>
  <c r="AH938" i="1"/>
  <c r="AG938" i="1"/>
  <c r="AJ937" i="1"/>
  <c r="AI937" i="1"/>
  <c r="AH937" i="1"/>
  <c r="AG937" i="1"/>
  <c r="AJ936" i="1"/>
  <c r="AI936" i="1"/>
  <c r="AH936" i="1"/>
  <c r="AG936" i="1"/>
  <c r="AJ935" i="1"/>
  <c r="AI935" i="1"/>
  <c r="AH935" i="1"/>
  <c r="AG935" i="1"/>
  <c r="AJ934" i="1"/>
  <c r="AI934" i="1"/>
  <c r="AH934" i="1"/>
  <c r="AG934" i="1"/>
  <c r="AJ933" i="1"/>
  <c r="AI933" i="1"/>
  <c r="AH933" i="1"/>
  <c r="AG933" i="1"/>
  <c r="AJ932" i="1"/>
  <c r="AI932" i="1"/>
  <c r="AH932" i="1"/>
  <c r="AG932" i="1"/>
  <c r="AJ931" i="1"/>
  <c r="AI931" i="1"/>
  <c r="AH931" i="1"/>
  <c r="AG931" i="1"/>
  <c r="AJ930" i="1"/>
  <c r="AI930" i="1"/>
  <c r="AH930" i="1"/>
  <c r="AG930" i="1"/>
  <c r="AJ929" i="1"/>
  <c r="AI929" i="1"/>
  <c r="AH929" i="1"/>
  <c r="AG929" i="1"/>
  <c r="AJ928" i="1"/>
  <c r="AI928" i="1"/>
  <c r="AH928" i="1"/>
  <c r="AG928" i="1"/>
  <c r="AJ927" i="1"/>
  <c r="AI927" i="1"/>
  <c r="AH927" i="1"/>
  <c r="AG927" i="1"/>
  <c r="AJ926" i="1"/>
  <c r="AI926" i="1"/>
  <c r="AH926" i="1"/>
  <c r="AG926" i="1"/>
  <c r="AJ925" i="1"/>
  <c r="AI925" i="1"/>
  <c r="AH925" i="1"/>
  <c r="AG925" i="1"/>
  <c r="AJ924" i="1"/>
  <c r="AI924" i="1"/>
  <c r="AH924" i="1"/>
  <c r="AG924" i="1"/>
  <c r="AJ923" i="1"/>
  <c r="AI923" i="1"/>
  <c r="AH923" i="1"/>
  <c r="AG923" i="1"/>
  <c r="AJ922" i="1"/>
  <c r="AI922" i="1"/>
  <c r="AH922" i="1"/>
  <c r="AG922" i="1"/>
  <c r="AJ921" i="1"/>
  <c r="AI921" i="1"/>
  <c r="AH921" i="1"/>
  <c r="AG921" i="1"/>
  <c r="AJ920" i="1"/>
  <c r="AI920" i="1"/>
  <c r="AH920" i="1"/>
  <c r="AG920" i="1"/>
  <c r="AJ919" i="1"/>
  <c r="AI919" i="1"/>
  <c r="AH919" i="1"/>
  <c r="AG919" i="1"/>
  <c r="AJ918" i="1"/>
  <c r="AI918" i="1"/>
  <c r="AH918" i="1"/>
  <c r="AG918" i="1"/>
  <c r="AJ917" i="1"/>
  <c r="AI917" i="1"/>
  <c r="AH917" i="1"/>
  <c r="AG917" i="1"/>
  <c r="AJ916" i="1"/>
  <c r="AI916" i="1"/>
  <c r="AH916" i="1"/>
  <c r="AG916" i="1"/>
  <c r="AJ915" i="1"/>
  <c r="AI915" i="1"/>
  <c r="AH915" i="1"/>
  <c r="AG915" i="1"/>
  <c r="AJ914" i="1"/>
  <c r="AI914" i="1"/>
  <c r="AH914" i="1"/>
  <c r="AG914" i="1"/>
  <c r="AJ913" i="1"/>
  <c r="AI913" i="1"/>
  <c r="AH913" i="1"/>
  <c r="AG913" i="1"/>
  <c r="AJ912" i="1"/>
  <c r="AI912" i="1"/>
  <c r="AH912" i="1"/>
  <c r="AG912" i="1"/>
  <c r="AJ911" i="1"/>
  <c r="AI911" i="1"/>
  <c r="AH911" i="1"/>
  <c r="AG911" i="1"/>
  <c r="AJ910" i="1"/>
  <c r="AI910" i="1"/>
  <c r="AH910" i="1"/>
  <c r="AG910" i="1"/>
  <c r="AJ909" i="1"/>
  <c r="AI909" i="1"/>
  <c r="AH909" i="1"/>
  <c r="AG909" i="1"/>
  <c r="AJ908" i="1"/>
  <c r="AI908" i="1"/>
  <c r="AH908" i="1"/>
  <c r="AG908" i="1"/>
  <c r="AJ907" i="1"/>
  <c r="AI907" i="1"/>
  <c r="AH907" i="1"/>
  <c r="AG907" i="1"/>
  <c r="AJ906" i="1"/>
  <c r="AI906" i="1"/>
  <c r="AH906" i="1"/>
  <c r="AG906" i="1"/>
  <c r="AJ905" i="1"/>
  <c r="AI905" i="1"/>
  <c r="AH905" i="1"/>
  <c r="AG905" i="1"/>
  <c r="AJ904" i="1"/>
  <c r="AI904" i="1"/>
  <c r="AH904" i="1"/>
  <c r="AG904" i="1"/>
  <c r="AJ903" i="1"/>
  <c r="AI903" i="1"/>
  <c r="AH903" i="1"/>
  <c r="AG903" i="1"/>
  <c r="AJ902" i="1"/>
  <c r="AI902" i="1"/>
  <c r="AH902" i="1"/>
  <c r="AG902" i="1"/>
  <c r="AJ901" i="1"/>
  <c r="AI901" i="1"/>
  <c r="AH901" i="1"/>
  <c r="AG901" i="1"/>
  <c r="AJ900" i="1"/>
  <c r="AI900" i="1"/>
  <c r="AH900" i="1"/>
  <c r="AG900" i="1"/>
  <c r="AJ899" i="1"/>
  <c r="AI899" i="1"/>
  <c r="AH899" i="1"/>
  <c r="AG899" i="1"/>
  <c r="AJ898" i="1"/>
  <c r="AI898" i="1"/>
  <c r="AH898" i="1"/>
  <c r="AG898" i="1"/>
  <c r="AJ897" i="1"/>
  <c r="AI897" i="1"/>
  <c r="AH897" i="1"/>
  <c r="AG897" i="1"/>
  <c r="AJ896" i="1"/>
  <c r="AI896" i="1"/>
  <c r="AH896" i="1"/>
  <c r="AG896" i="1"/>
  <c r="AJ895" i="1"/>
  <c r="AI895" i="1"/>
  <c r="AH895" i="1"/>
  <c r="AG895" i="1"/>
  <c r="AJ894" i="1"/>
  <c r="AI894" i="1"/>
  <c r="AH894" i="1"/>
  <c r="AG894" i="1"/>
  <c r="AJ893" i="1"/>
  <c r="AI893" i="1"/>
  <c r="AH893" i="1"/>
  <c r="AG893" i="1"/>
  <c r="AJ892" i="1"/>
  <c r="AI892" i="1"/>
  <c r="AH892" i="1"/>
  <c r="AG892" i="1"/>
  <c r="AJ891" i="1"/>
  <c r="AI891" i="1"/>
  <c r="AH891" i="1"/>
  <c r="AG891" i="1"/>
  <c r="AJ890" i="1"/>
  <c r="AI890" i="1"/>
  <c r="AH890" i="1"/>
  <c r="AG890" i="1"/>
  <c r="AJ889" i="1"/>
  <c r="AI889" i="1"/>
  <c r="AH889" i="1"/>
  <c r="AG889" i="1"/>
  <c r="AJ888" i="1"/>
  <c r="AI888" i="1"/>
  <c r="AH888" i="1"/>
  <c r="AG888" i="1"/>
  <c r="AJ887" i="1"/>
  <c r="AI887" i="1"/>
  <c r="AH887" i="1"/>
  <c r="AG887" i="1"/>
  <c r="AJ886" i="1"/>
  <c r="AI886" i="1"/>
  <c r="AH886" i="1"/>
  <c r="AG886" i="1"/>
  <c r="AJ885" i="1"/>
  <c r="AI885" i="1"/>
  <c r="AH885" i="1"/>
  <c r="AG885" i="1"/>
  <c r="AJ884" i="1"/>
  <c r="AI884" i="1"/>
  <c r="AH884" i="1"/>
  <c r="AG884" i="1"/>
  <c r="AJ883" i="1"/>
  <c r="AI883" i="1"/>
  <c r="AH883" i="1"/>
  <c r="AG883" i="1"/>
  <c r="AJ882" i="1"/>
  <c r="AI882" i="1"/>
  <c r="AH882" i="1"/>
  <c r="AG882" i="1"/>
  <c r="AJ881" i="1"/>
  <c r="AI881" i="1"/>
  <c r="AH881" i="1"/>
  <c r="AG881" i="1"/>
  <c r="AJ880" i="1"/>
  <c r="AI880" i="1"/>
  <c r="AH880" i="1"/>
  <c r="AG880" i="1"/>
  <c r="AJ879" i="1"/>
  <c r="AI879" i="1"/>
  <c r="AH879" i="1"/>
  <c r="AG879" i="1"/>
  <c r="AJ878" i="1"/>
  <c r="AI878" i="1"/>
  <c r="AH878" i="1"/>
  <c r="AG878" i="1"/>
  <c r="AJ877" i="1"/>
  <c r="AI877" i="1"/>
  <c r="AH877" i="1"/>
  <c r="AG877" i="1"/>
  <c r="AJ876" i="1"/>
  <c r="AI876" i="1"/>
  <c r="AH876" i="1"/>
  <c r="AG876" i="1"/>
  <c r="AJ875" i="1"/>
  <c r="AI875" i="1"/>
  <c r="AH875" i="1"/>
  <c r="AG875" i="1"/>
  <c r="AJ874" i="1"/>
  <c r="AI874" i="1"/>
  <c r="AH874" i="1"/>
  <c r="AG874" i="1"/>
  <c r="AJ873" i="1"/>
  <c r="AI873" i="1"/>
  <c r="AH873" i="1"/>
  <c r="AG873" i="1"/>
  <c r="AJ872" i="1"/>
  <c r="AI872" i="1"/>
  <c r="AH872" i="1"/>
  <c r="AG872" i="1"/>
  <c r="AJ871" i="1"/>
  <c r="AI871" i="1"/>
  <c r="AH871" i="1"/>
  <c r="AG871" i="1"/>
  <c r="AJ870" i="1"/>
  <c r="AI870" i="1"/>
  <c r="AH870" i="1"/>
  <c r="AG870" i="1"/>
  <c r="AJ869" i="1"/>
  <c r="AI869" i="1"/>
  <c r="AH869" i="1"/>
  <c r="AG869" i="1"/>
  <c r="AJ868" i="1"/>
  <c r="AI868" i="1"/>
  <c r="AH868" i="1"/>
  <c r="AG868" i="1"/>
  <c r="AJ867" i="1"/>
  <c r="AI867" i="1"/>
  <c r="AH867" i="1"/>
  <c r="AG867" i="1"/>
  <c r="AJ866" i="1"/>
  <c r="AI866" i="1"/>
  <c r="AH866" i="1"/>
  <c r="AG866" i="1"/>
  <c r="AJ865" i="1"/>
  <c r="AI865" i="1"/>
  <c r="AH865" i="1"/>
  <c r="AG865" i="1"/>
  <c r="AJ864" i="1"/>
  <c r="AI864" i="1"/>
  <c r="AH864" i="1"/>
  <c r="AG864" i="1"/>
  <c r="AJ863" i="1"/>
  <c r="AI863" i="1"/>
  <c r="AH863" i="1"/>
  <c r="AG863" i="1"/>
  <c r="AJ862" i="1"/>
  <c r="AI862" i="1"/>
  <c r="AH862" i="1"/>
  <c r="AG862" i="1"/>
  <c r="AJ861" i="1"/>
  <c r="AI861" i="1"/>
  <c r="AH861" i="1"/>
  <c r="AG861" i="1"/>
  <c r="AJ860" i="1"/>
  <c r="AI860" i="1"/>
  <c r="AH860" i="1"/>
  <c r="AG860" i="1"/>
  <c r="AJ859" i="1"/>
  <c r="AI859" i="1"/>
  <c r="AH859" i="1"/>
  <c r="AG859" i="1"/>
  <c r="AJ858" i="1"/>
  <c r="AI858" i="1"/>
  <c r="AH858" i="1"/>
  <c r="AG858" i="1"/>
  <c r="AJ857" i="1"/>
  <c r="AI857" i="1"/>
  <c r="AH857" i="1"/>
  <c r="AG857" i="1"/>
  <c r="AJ856" i="1"/>
  <c r="AI856" i="1"/>
  <c r="AH856" i="1"/>
  <c r="AG856" i="1"/>
  <c r="AJ855" i="1"/>
  <c r="AI855" i="1"/>
  <c r="AH855" i="1"/>
  <c r="AG855" i="1"/>
  <c r="AJ854" i="1"/>
  <c r="AI854" i="1"/>
  <c r="AH854" i="1"/>
  <c r="AG854" i="1"/>
  <c r="AJ853" i="1"/>
  <c r="AI853" i="1"/>
  <c r="AH853" i="1"/>
  <c r="AG853" i="1"/>
  <c r="AJ852" i="1"/>
  <c r="AI852" i="1"/>
  <c r="AH852" i="1"/>
  <c r="AG852" i="1"/>
  <c r="AJ851" i="1"/>
  <c r="AI851" i="1"/>
  <c r="AH851" i="1"/>
  <c r="AG851" i="1"/>
  <c r="AJ850" i="1"/>
  <c r="AI850" i="1"/>
  <c r="AH850" i="1"/>
  <c r="AG850" i="1"/>
  <c r="AJ849" i="1"/>
  <c r="AI849" i="1"/>
  <c r="AH849" i="1"/>
  <c r="AG849" i="1"/>
  <c r="AJ848" i="1"/>
  <c r="AI848" i="1"/>
  <c r="AH848" i="1"/>
  <c r="AG848" i="1"/>
  <c r="AJ847" i="1"/>
  <c r="AI847" i="1"/>
  <c r="AH847" i="1"/>
  <c r="AG847" i="1"/>
  <c r="AJ846" i="1"/>
  <c r="AI846" i="1"/>
  <c r="AH846" i="1"/>
  <c r="AG846" i="1"/>
  <c r="AJ845" i="1"/>
  <c r="AI845" i="1"/>
  <c r="AH845" i="1"/>
  <c r="AG845" i="1"/>
  <c r="AJ844" i="1"/>
  <c r="AI844" i="1"/>
  <c r="AH844" i="1"/>
  <c r="AG844" i="1"/>
  <c r="AJ843" i="1"/>
  <c r="AI843" i="1"/>
  <c r="AH843" i="1"/>
  <c r="AG843" i="1"/>
  <c r="AJ842" i="1"/>
  <c r="AI842" i="1"/>
  <c r="AH842" i="1"/>
  <c r="AG842" i="1"/>
  <c r="AJ841" i="1"/>
  <c r="AI841" i="1"/>
  <c r="AH841" i="1"/>
  <c r="AG841" i="1"/>
  <c r="AJ840" i="1"/>
  <c r="AI840" i="1"/>
  <c r="AH840" i="1"/>
  <c r="AG840" i="1"/>
  <c r="AJ839" i="1"/>
  <c r="AI839" i="1"/>
  <c r="AH839" i="1"/>
  <c r="AG839" i="1"/>
  <c r="AJ838" i="1"/>
  <c r="AI838" i="1"/>
  <c r="AH838" i="1"/>
  <c r="AG838" i="1"/>
  <c r="AJ837" i="1"/>
  <c r="AI837" i="1"/>
  <c r="AH837" i="1"/>
  <c r="AG837" i="1"/>
  <c r="AJ836" i="1"/>
  <c r="AI836" i="1"/>
  <c r="AH836" i="1"/>
  <c r="AG836" i="1"/>
  <c r="AJ835" i="1"/>
  <c r="AI835" i="1"/>
  <c r="AH835" i="1"/>
  <c r="AG835" i="1"/>
  <c r="AJ834" i="1"/>
  <c r="AI834" i="1"/>
  <c r="AH834" i="1"/>
  <c r="AG834" i="1"/>
  <c r="AJ833" i="1"/>
  <c r="AI833" i="1"/>
  <c r="AH833" i="1"/>
  <c r="AG833" i="1"/>
  <c r="AJ832" i="1"/>
  <c r="AI832" i="1"/>
  <c r="AH832" i="1"/>
  <c r="AG832" i="1"/>
  <c r="AJ831" i="1"/>
  <c r="AI831" i="1"/>
  <c r="AH831" i="1"/>
  <c r="AG831" i="1"/>
  <c r="AJ830" i="1"/>
  <c r="AI830" i="1"/>
  <c r="AH830" i="1"/>
  <c r="AG830" i="1"/>
  <c r="AJ829" i="1"/>
  <c r="AI829" i="1"/>
  <c r="AH829" i="1"/>
  <c r="AG829" i="1"/>
  <c r="AJ828" i="1"/>
  <c r="AI828" i="1"/>
  <c r="AH828" i="1"/>
  <c r="AG828" i="1"/>
  <c r="AJ827" i="1"/>
  <c r="AI827" i="1"/>
  <c r="AH827" i="1"/>
  <c r="AG827" i="1"/>
  <c r="AJ826" i="1"/>
  <c r="AI826" i="1"/>
  <c r="AH826" i="1"/>
  <c r="AG826" i="1"/>
  <c r="AJ825" i="1"/>
  <c r="AI825" i="1"/>
  <c r="AH825" i="1"/>
  <c r="AG825" i="1"/>
  <c r="AJ824" i="1"/>
  <c r="AI824" i="1"/>
  <c r="AH824" i="1"/>
  <c r="AG824" i="1"/>
  <c r="AJ823" i="1"/>
  <c r="AI823" i="1"/>
  <c r="AH823" i="1"/>
  <c r="AG823" i="1"/>
  <c r="AJ822" i="1"/>
  <c r="AI822" i="1"/>
  <c r="AH822" i="1"/>
  <c r="AG822" i="1"/>
  <c r="AJ821" i="1"/>
  <c r="AI821" i="1"/>
  <c r="AH821" i="1"/>
  <c r="AG821" i="1"/>
  <c r="AJ820" i="1"/>
  <c r="AI820" i="1"/>
  <c r="AH820" i="1"/>
  <c r="AG820" i="1"/>
  <c r="AJ819" i="1"/>
  <c r="AI819" i="1"/>
  <c r="AH819" i="1"/>
  <c r="AG819" i="1"/>
  <c r="AJ818" i="1"/>
  <c r="AI818" i="1"/>
  <c r="AH818" i="1"/>
  <c r="AG818" i="1"/>
  <c r="AJ817" i="1"/>
  <c r="AI817" i="1"/>
  <c r="AH817" i="1"/>
  <c r="AG817" i="1"/>
  <c r="AJ816" i="1"/>
  <c r="AI816" i="1"/>
  <c r="AH816" i="1"/>
  <c r="AG816" i="1"/>
  <c r="AJ815" i="1"/>
  <c r="AI815" i="1"/>
  <c r="AH815" i="1"/>
  <c r="AG815" i="1"/>
  <c r="AJ814" i="1"/>
  <c r="AI814" i="1"/>
  <c r="AH814" i="1"/>
  <c r="AG814" i="1"/>
  <c r="AJ813" i="1"/>
  <c r="AI813" i="1"/>
  <c r="AH813" i="1"/>
  <c r="AG813" i="1"/>
  <c r="AJ812" i="1"/>
  <c r="AI812" i="1"/>
  <c r="AH812" i="1"/>
  <c r="AG812" i="1"/>
  <c r="AJ811" i="1"/>
  <c r="AI811" i="1"/>
  <c r="AH811" i="1"/>
  <c r="AG811" i="1"/>
  <c r="AJ810" i="1"/>
  <c r="AI810" i="1"/>
  <c r="AH810" i="1"/>
  <c r="AG810" i="1"/>
  <c r="AJ809" i="1"/>
  <c r="AI809" i="1"/>
  <c r="AH809" i="1"/>
  <c r="AG809" i="1"/>
  <c r="AJ808" i="1"/>
  <c r="AI808" i="1"/>
  <c r="AH808" i="1"/>
  <c r="AG808" i="1"/>
  <c r="AJ807" i="1"/>
  <c r="AI807" i="1"/>
  <c r="AH807" i="1"/>
  <c r="AG807" i="1"/>
  <c r="AJ806" i="1"/>
  <c r="AI806" i="1"/>
  <c r="AH806" i="1"/>
  <c r="AG806" i="1"/>
  <c r="AJ805" i="1"/>
  <c r="AI805" i="1"/>
  <c r="AH805" i="1"/>
  <c r="AG805" i="1"/>
  <c r="AJ804" i="1"/>
  <c r="AI804" i="1"/>
  <c r="AH804" i="1"/>
  <c r="AG804" i="1"/>
  <c r="AJ803" i="1"/>
  <c r="AI803" i="1"/>
  <c r="AH803" i="1"/>
  <c r="AG803" i="1"/>
  <c r="AJ802" i="1"/>
  <c r="AI802" i="1"/>
  <c r="AH802" i="1"/>
  <c r="AG802" i="1"/>
  <c r="AJ801" i="1"/>
  <c r="AI801" i="1"/>
  <c r="AH801" i="1"/>
  <c r="AG801" i="1"/>
  <c r="AJ800" i="1"/>
  <c r="AI800" i="1"/>
  <c r="AH800" i="1"/>
  <c r="AG800" i="1"/>
  <c r="AJ799" i="1"/>
  <c r="AI799" i="1"/>
  <c r="AH799" i="1"/>
  <c r="AG799" i="1"/>
  <c r="AJ798" i="1"/>
  <c r="AI798" i="1"/>
  <c r="AH798" i="1"/>
  <c r="AG798" i="1"/>
  <c r="AJ797" i="1"/>
  <c r="AI797" i="1"/>
  <c r="AH797" i="1"/>
  <c r="AG797" i="1"/>
  <c r="AJ796" i="1"/>
  <c r="AI796" i="1"/>
  <c r="AH796" i="1"/>
  <c r="AG796" i="1"/>
  <c r="AJ795" i="1"/>
  <c r="AI795" i="1"/>
  <c r="AH795" i="1"/>
  <c r="AG795" i="1"/>
  <c r="AJ794" i="1"/>
  <c r="AI794" i="1"/>
  <c r="AH794" i="1"/>
  <c r="AG794" i="1"/>
  <c r="AJ793" i="1"/>
  <c r="AI793" i="1"/>
  <c r="AH793" i="1"/>
  <c r="AG793" i="1"/>
  <c r="AJ792" i="1"/>
  <c r="AI792" i="1"/>
  <c r="AH792" i="1"/>
  <c r="AG792" i="1"/>
  <c r="AJ791" i="1"/>
  <c r="AI791" i="1"/>
  <c r="AH791" i="1"/>
  <c r="AG791" i="1"/>
  <c r="AJ790" i="1"/>
  <c r="AI790" i="1"/>
  <c r="AH790" i="1"/>
  <c r="AG790" i="1"/>
  <c r="AJ789" i="1"/>
  <c r="AI789" i="1"/>
  <c r="AH789" i="1"/>
  <c r="AG789" i="1"/>
  <c r="AJ788" i="1"/>
  <c r="AI788" i="1"/>
  <c r="AH788" i="1"/>
  <c r="AG788" i="1"/>
  <c r="AJ787" i="1"/>
  <c r="AI787" i="1"/>
  <c r="AH787" i="1"/>
  <c r="AG787" i="1"/>
  <c r="AJ786" i="1"/>
  <c r="AI786" i="1"/>
  <c r="AH786" i="1"/>
  <c r="AG786" i="1"/>
  <c r="AJ785" i="1"/>
  <c r="AI785" i="1"/>
  <c r="AH785" i="1"/>
  <c r="AG785" i="1"/>
  <c r="AJ784" i="1"/>
  <c r="AI784" i="1"/>
  <c r="AH784" i="1"/>
  <c r="AG784" i="1"/>
  <c r="AJ783" i="1"/>
  <c r="AI783" i="1"/>
  <c r="AH783" i="1"/>
  <c r="AG783" i="1"/>
  <c r="AJ782" i="1"/>
  <c r="AI782" i="1"/>
  <c r="AH782" i="1"/>
  <c r="AG782" i="1"/>
  <c r="AJ781" i="1"/>
  <c r="AI781" i="1"/>
  <c r="AH781" i="1"/>
  <c r="AG781" i="1"/>
  <c r="AJ780" i="1"/>
  <c r="AI780" i="1"/>
  <c r="AH780" i="1"/>
  <c r="AG780" i="1"/>
  <c r="AJ779" i="1"/>
  <c r="AI779" i="1"/>
  <c r="AH779" i="1"/>
  <c r="AG779" i="1"/>
  <c r="AJ778" i="1"/>
  <c r="AI778" i="1"/>
  <c r="AH778" i="1"/>
  <c r="AG778" i="1"/>
  <c r="AJ777" i="1"/>
  <c r="AI777" i="1"/>
  <c r="AH777" i="1"/>
  <c r="AG777" i="1"/>
  <c r="AJ776" i="1"/>
  <c r="AI776" i="1"/>
  <c r="AH776" i="1"/>
  <c r="AG776" i="1"/>
  <c r="AJ775" i="1"/>
  <c r="AI775" i="1"/>
  <c r="AH775" i="1"/>
  <c r="AG775" i="1"/>
  <c r="AJ774" i="1"/>
  <c r="AI774" i="1"/>
  <c r="AH774" i="1"/>
  <c r="AG774" i="1"/>
  <c r="AJ773" i="1"/>
  <c r="AI773" i="1"/>
  <c r="AH773" i="1"/>
  <c r="AG773" i="1"/>
  <c r="AJ772" i="1"/>
  <c r="AI772" i="1"/>
  <c r="AH772" i="1"/>
  <c r="AG772" i="1"/>
  <c r="AJ771" i="1"/>
  <c r="AI771" i="1"/>
  <c r="AH771" i="1"/>
  <c r="AG771" i="1"/>
  <c r="AJ770" i="1"/>
  <c r="AI770" i="1"/>
  <c r="AH770" i="1"/>
  <c r="AG770" i="1"/>
  <c r="AJ769" i="1"/>
  <c r="AI769" i="1"/>
  <c r="AH769" i="1"/>
  <c r="AG769" i="1"/>
  <c r="AJ768" i="1"/>
  <c r="AI768" i="1"/>
  <c r="AH768" i="1"/>
  <c r="AG768" i="1"/>
  <c r="AJ767" i="1"/>
  <c r="AI767" i="1"/>
  <c r="AH767" i="1"/>
  <c r="AG767" i="1"/>
  <c r="AJ766" i="1"/>
  <c r="AI766" i="1"/>
  <c r="AH766" i="1"/>
  <c r="AG766" i="1"/>
  <c r="AJ765" i="1"/>
  <c r="AI765" i="1"/>
  <c r="AH765" i="1"/>
  <c r="AG765" i="1"/>
  <c r="AJ764" i="1"/>
  <c r="AI764" i="1"/>
  <c r="AH764" i="1"/>
  <c r="AG764" i="1"/>
  <c r="AJ763" i="1"/>
  <c r="AI763" i="1"/>
  <c r="AH763" i="1"/>
  <c r="AG763" i="1"/>
  <c r="AJ762" i="1"/>
  <c r="AI762" i="1"/>
  <c r="AH762" i="1"/>
  <c r="AG762" i="1"/>
  <c r="AJ761" i="1"/>
  <c r="AI761" i="1"/>
  <c r="AH761" i="1"/>
  <c r="AG761" i="1"/>
  <c r="AJ760" i="1"/>
  <c r="AI760" i="1"/>
  <c r="AH760" i="1"/>
  <c r="AG760" i="1"/>
  <c r="AJ759" i="1"/>
  <c r="AI759" i="1"/>
  <c r="AH759" i="1"/>
  <c r="AG759" i="1"/>
  <c r="AJ758" i="1"/>
  <c r="AI758" i="1"/>
  <c r="AH758" i="1"/>
  <c r="AG758" i="1"/>
  <c r="AJ757" i="1"/>
  <c r="AI757" i="1"/>
  <c r="AH757" i="1"/>
  <c r="AG757" i="1"/>
  <c r="AJ756" i="1"/>
  <c r="AI756" i="1"/>
  <c r="AH756" i="1"/>
  <c r="AG756" i="1"/>
  <c r="AJ755" i="1"/>
  <c r="AI755" i="1"/>
  <c r="AH755" i="1"/>
  <c r="AG755" i="1"/>
  <c r="AJ754" i="1"/>
  <c r="AI754" i="1"/>
  <c r="AH754" i="1"/>
  <c r="AG754" i="1"/>
  <c r="AJ753" i="1"/>
  <c r="AI753" i="1"/>
  <c r="AH753" i="1"/>
  <c r="AG753" i="1"/>
  <c r="AJ752" i="1"/>
  <c r="AI752" i="1"/>
  <c r="AH752" i="1"/>
  <c r="AG752" i="1"/>
  <c r="AJ751" i="1"/>
  <c r="AI751" i="1"/>
  <c r="AH751" i="1"/>
  <c r="AG751" i="1"/>
  <c r="AJ750" i="1"/>
  <c r="AI750" i="1"/>
  <c r="AH750" i="1"/>
  <c r="AG750" i="1"/>
  <c r="AJ749" i="1"/>
  <c r="AI749" i="1"/>
  <c r="AH749" i="1"/>
  <c r="AG749" i="1"/>
  <c r="AJ748" i="1"/>
  <c r="AI748" i="1"/>
  <c r="AH748" i="1"/>
  <c r="AG748" i="1"/>
  <c r="AJ747" i="1"/>
  <c r="AI747" i="1"/>
  <c r="AH747" i="1"/>
  <c r="AG747" i="1"/>
  <c r="AJ746" i="1"/>
  <c r="AI746" i="1"/>
  <c r="AH746" i="1"/>
  <c r="AG746" i="1"/>
  <c r="AJ745" i="1"/>
  <c r="AI745" i="1"/>
  <c r="AH745" i="1"/>
  <c r="AG745" i="1"/>
  <c r="AJ744" i="1"/>
  <c r="AI744" i="1"/>
  <c r="AH744" i="1"/>
  <c r="AG744" i="1"/>
  <c r="AJ743" i="1"/>
  <c r="AI743" i="1"/>
  <c r="AH743" i="1"/>
  <c r="AG743" i="1"/>
  <c r="AJ742" i="1"/>
  <c r="AI742" i="1"/>
  <c r="AH742" i="1"/>
  <c r="AG742" i="1"/>
  <c r="AJ741" i="1"/>
  <c r="AI741" i="1"/>
  <c r="AH741" i="1"/>
  <c r="AG741" i="1"/>
  <c r="AJ740" i="1"/>
  <c r="AI740" i="1"/>
  <c r="AH740" i="1"/>
  <c r="AG740" i="1"/>
  <c r="AJ739" i="1"/>
  <c r="AI739" i="1"/>
  <c r="AH739" i="1"/>
  <c r="AG739" i="1"/>
  <c r="AJ738" i="1"/>
  <c r="AI738" i="1"/>
  <c r="AH738" i="1"/>
  <c r="AG738" i="1"/>
  <c r="AJ737" i="1"/>
  <c r="AI737" i="1"/>
  <c r="AH737" i="1"/>
  <c r="AG737" i="1"/>
  <c r="AJ736" i="1"/>
  <c r="AI736" i="1"/>
  <c r="AH736" i="1"/>
  <c r="AG736" i="1"/>
  <c r="AJ735" i="1"/>
  <c r="AI735" i="1"/>
  <c r="AH735" i="1"/>
  <c r="AG735" i="1"/>
  <c r="AJ734" i="1"/>
  <c r="AI734" i="1"/>
  <c r="AH734" i="1"/>
  <c r="AG734" i="1"/>
  <c r="AJ733" i="1"/>
  <c r="AI733" i="1"/>
  <c r="AH733" i="1"/>
  <c r="AG733" i="1"/>
  <c r="AJ732" i="1"/>
  <c r="AI732" i="1"/>
  <c r="AH732" i="1"/>
  <c r="AG732" i="1"/>
  <c r="AJ731" i="1"/>
  <c r="AI731" i="1"/>
  <c r="AH731" i="1"/>
  <c r="AG731" i="1"/>
  <c r="AJ730" i="1"/>
  <c r="AI730" i="1"/>
  <c r="AH730" i="1"/>
  <c r="AG730" i="1"/>
  <c r="AJ729" i="1"/>
  <c r="AI729" i="1"/>
  <c r="AH729" i="1"/>
  <c r="AG729" i="1"/>
  <c r="AJ728" i="1"/>
  <c r="AI728" i="1"/>
  <c r="AH728" i="1"/>
  <c r="AG728" i="1"/>
  <c r="AJ727" i="1"/>
  <c r="AI727" i="1"/>
  <c r="AH727" i="1"/>
  <c r="AG727" i="1"/>
  <c r="AJ726" i="1"/>
  <c r="AI726" i="1"/>
  <c r="AH726" i="1"/>
  <c r="AG726" i="1"/>
  <c r="AJ725" i="1"/>
  <c r="AI725" i="1"/>
  <c r="AH725" i="1"/>
  <c r="AG725" i="1"/>
  <c r="AJ724" i="1"/>
  <c r="AI724" i="1"/>
  <c r="AH724" i="1"/>
  <c r="AG724" i="1"/>
  <c r="AJ723" i="1"/>
  <c r="AI723" i="1"/>
  <c r="AH723" i="1"/>
  <c r="AG723" i="1"/>
  <c r="AJ722" i="1"/>
  <c r="AI722" i="1"/>
  <c r="AH722" i="1"/>
  <c r="AG722" i="1"/>
  <c r="AJ721" i="1"/>
  <c r="AI721" i="1"/>
  <c r="AH721" i="1"/>
  <c r="AG721" i="1"/>
  <c r="AJ720" i="1"/>
  <c r="AI720" i="1"/>
  <c r="AH720" i="1"/>
  <c r="AG720" i="1"/>
  <c r="AJ719" i="1"/>
  <c r="AI719" i="1"/>
  <c r="AH719" i="1"/>
  <c r="AG719" i="1"/>
  <c r="AJ718" i="1"/>
  <c r="AI718" i="1"/>
  <c r="AH718" i="1"/>
  <c r="AG718" i="1"/>
  <c r="AJ717" i="1"/>
  <c r="AI717" i="1"/>
  <c r="AH717" i="1"/>
  <c r="AG717" i="1"/>
  <c r="AJ716" i="1"/>
  <c r="AI716" i="1"/>
  <c r="AH716" i="1"/>
  <c r="AG716" i="1"/>
  <c r="AJ715" i="1"/>
  <c r="AI715" i="1"/>
  <c r="AH715" i="1"/>
  <c r="AG715" i="1"/>
  <c r="AJ714" i="1"/>
  <c r="AI714" i="1"/>
  <c r="AH714" i="1"/>
  <c r="AG714" i="1"/>
  <c r="AJ713" i="1"/>
  <c r="AI713" i="1"/>
  <c r="AH713" i="1"/>
  <c r="AG713" i="1"/>
  <c r="AJ712" i="1"/>
  <c r="AI712" i="1"/>
  <c r="AH712" i="1"/>
  <c r="AG712" i="1"/>
  <c r="AJ711" i="1"/>
  <c r="AI711" i="1"/>
  <c r="AH711" i="1"/>
  <c r="AG711" i="1"/>
  <c r="AJ710" i="1"/>
  <c r="AI710" i="1"/>
  <c r="AH710" i="1"/>
  <c r="AG710" i="1"/>
  <c r="AJ709" i="1"/>
  <c r="AI709" i="1"/>
  <c r="AH709" i="1"/>
  <c r="AG709" i="1"/>
  <c r="AJ708" i="1"/>
  <c r="AI708" i="1"/>
  <c r="AH708" i="1"/>
  <c r="AG708" i="1"/>
  <c r="AJ707" i="1"/>
  <c r="AI707" i="1"/>
  <c r="AH707" i="1"/>
  <c r="AG707" i="1"/>
  <c r="AJ706" i="1"/>
  <c r="AI706" i="1"/>
  <c r="AH706" i="1"/>
  <c r="AG706" i="1"/>
  <c r="AJ705" i="1"/>
  <c r="AI705" i="1"/>
  <c r="AH705" i="1"/>
  <c r="AG705" i="1"/>
  <c r="AJ704" i="1"/>
  <c r="AI704" i="1"/>
  <c r="AH704" i="1"/>
  <c r="AG704" i="1"/>
  <c r="AJ703" i="1"/>
  <c r="AI703" i="1"/>
  <c r="AH703" i="1"/>
  <c r="AG703" i="1"/>
  <c r="AJ702" i="1"/>
  <c r="AI702" i="1"/>
  <c r="AH702" i="1"/>
  <c r="AG702" i="1"/>
  <c r="AJ701" i="1"/>
  <c r="AI701" i="1"/>
  <c r="AH701" i="1"/>
  <c r="AG701" i="1"/>
  <c r="AJ700" i="1"/>
  <c r="AI700" i="1"/>
  <c r="AH700" i="1"/>
  <c r="AG700" i="1"/>
  <c r="AJ699" i="1"/>
  <c r="AI699" i="1"/>
  <c r="AH699" i="1"/>
  <c r="AG699" i="1"/>
  <c r="AJ698" i="1"/>
  <c r="AI698" i="1"/>
  <c r="AH698" i="1"/>
  <c r="AG698" i="1"/>
  <c r="AJ697" i="1"/>
  <c r="AI697" i="1"/>
  <c r="AH697" i="1"/>
  <c r="AG697" i="1"/>
  <c r="AJ696" i="1"/>
  <c r="AI696" i="1"/>
  <c r="AH696" i="1"/>
  <c r="AG696" i="1"/>
  <c r="AJ695" i="1"/>
  <c r="AI695" i="1"/>
  <c r="AH695" i="1"/>
  <c r="AG695" i="1"/>
  <c r="AJ694" i="1"/>
  <c r="AI694" i="1"/>
  <c r="AH694" i="1"/>
  <c r="AG694" i="1"/>
  <c r="AJ693" i="1"/>
  <c r="AI693" i="1"/>
  <c r="AH693" i="1"/>
  <c r="AG693" i="1"/>
  <c r="AJ692" i="1"/>
  <c r="AI692" i="1"/>
  <c r="AH692" i="1"/>
  <c r="AG692" i="1"/>
  <c r="AJ691" i="1"/>
  <c r="AI691" i="1"/>
  <c r="AH691" i="1"/>
  <c r="AG691" i="1"/>
  <c r="AJ690" i="1"/>
  <c r="AI690" i="1"/>
  <c r="AH690" i="1"/>
  <c r="AG690" i="1"/>
  <c r="AJ689" i="1"/>
  <c r="AI689" i="1"/>
  <c r="AH689" i="1"/>
  <c r="AG689" i="1"/>
  <c r="AJ688" i="1"/>
  <c r="AI688" i="1"/>
  <c r="AH688" i="1"/>
  <c r="AG688" i="1"/>
  <c r="AJ687" i="1"/>
  <c r="AI687" i="1"/>
  <c r="AH687" i="1"/>
  <c r="AG687" i="1"/>
  <c r="AJ686" i="1"/>
  <c r="AI686" i="1"/>
  <c r="AH686" i="1"/>
  <c r="AG686" i="1"/>
  <c r="AJ685" i="1"/>
  <c r="AI685" i="1"/>
  <c r="AH685" i="1"/>
  <c r="AG685" i="1"/>
  <c r="AJ684" i="1"/>
  <c r="AI684" i="1"/>
  <c r="AH684" i="1"/>
  <c r="AG684" i="1"/>
  <c r="AJ683" i="1"/>
  <c r="AI683" i="1"/>
  <c r="AH683" i="1"/>
  <c r="AG683" i="1"/>
  <c r="AJ682" i="1"/>
  <c r="AI682" i="1"/>
  <c r="AH682" i="1"/>
  <c r="AG682" i="1"/>
  <c r="AJ681" i="1"/>
  <c r="AI681" i="1"/>
  <c r="AH681" i="1"/>
  <c r="AG681" i="1"/>
  <c r="AJ680" i="1"/>
  <c r="AI680" i="1"/>
  <c r="AH680" i="1"/>
  <c r="AG680" i="1"/>
  <c r="AJ679" i="1"/>
  <c r="AI679" i="1"/>
  <c r="AH679" i="1"/>
  <c r="AG679" i="1"/>
  <c r="AJ678" i="1"/>
  <c r="AI678" i="1"/>
  <c r="AH678" i="1"/>
  <c r="AG678" i="1"/>
  <c r="AJ677" i="1"/>
  <c r="AI677" i="1"/>
  <c r="AH677" i="1"/>
  <c r="AG677" i="1"/>
  <c r="AJ676" i="1"/>
  <c r="AI676" i="1"/>
  <c r="AH676" i="1"/>
  <c r="AG676" i="1"/>
  <c r="AJ675" i="1"/>
  <c r="AI675" i="1"/>
  <c r="AH675" i="1"/>
  <c r="AG675" i="1"/>
  <c r="AJ674" i="1"/>
  <c r="AI674" i="1"/>
  <c r="AH674" i="1"/>
  <c r="AG674" i="1"/>
  <c r="AJ673" i="1"/>
  <c r="AI673" i="1"/>
  <c r="AH673" i="1"/>
  <c r="AG673" i="1"/>
  <c r="AJ672" i="1"/>
  <c r="AI672" i="1"/>
  <c r="AH672" i="1"/>
  <c r="AG672" i="1"/>
  <c r="AJ671" i="1"/>
  <c r="AI671" i="1"/>
  <c r="AH671" i="1"/>
  <c r="AG671" i="1"/>
  <c r="AJ670" i="1"/>
  <c r="AI670" i="1"/>
  <c r="AH670" i="1"/>
  <c r="AG670" i="1"/>
  <c r="AJ669" i="1"/>
  <c r="AI669" i="1"/>
  <c r="AH669" i="1"/>
  <c r="AG669" i="1"/>
  <c r="AJ668" i="1"/>
  <c r="AI668" i="1"/>
  <c r="AH668" i="1"/>
  <c r="AG668" i="1"/>
  <c r="AJ667" i="1"/>
  <c r="AI667" i="1"/>
  <c r="AH667" i="1"/>
  <c r="AG667" i="1"/>
  <c r="AJ666" i="1"/>
  <c r="AI666" i="1"/>
  <c r="AH666" i="1"/>
  <c r="AG666" i="1"/>
  <c r="AJ665" i="1"/>
  <c r="AI665" i="1"/>
  <c r="AH665" i="1"/>
  <c r="AG665" i="1"/>
  <c r="AJ664" i="1"/>
  <c r="AI664" i="1"/>
  <c r="AH664" i="1"/>
  <c r="AG664" i="1"/>
  <c r="AJ663" i="1"/>
  <c r="AI663" i="1"/>
  <c r="AH663" i="1"/>
  <c r="AG663" i="1"/>
  <c r="AJ662" i="1"/>
  <c r="AI662" i="1"/>
  <c r="AH662" i="1"/>
  <c r="AG662" i="1"/>
  <c r="AJ661" i="1"/>
  <c r="AI661" i="1"/>
  <c r="AH661" i="1"/>
  <c r="AG661" i="1"/>
  <c r="AJ660" i="1"/>
  <c r="AI660" i="1"/>
  <c r="AH660" i="1"/>
  <c r="AG660" i="1"/>
  <c r="AJ659" i="1"/>
  <c r="AI659" i="1"/>
  <c r="AH659" i="1"/>
  <c r="AG659" i="1"/>
  <c r="AJ658" i="1"/>
  <c r="AI658" i="1"/>
  <c r="AH658" i="1"/>
  <c r="AG658" i="1"/>
  <c r="AJ657" i="1"/>
  <c r="AI657" i="1"/>
  <c r="AH657" i="1"/>
  <c r="AG657" i="1"/>
  <c r="AJ656" i="1"/>
  <c r="AI656" i="1"/>
  <c r="AH656" i="1"/>
  <c r="AG656" i="1"/>
  <c r="AJ655" i="1"/>
  <c r="AI655" i="1"/>
  <c r="AH655" i="1"/>
  <c r="AG655" i="1"/>
  <c r="AJ654" i="1"/>
  <c r="AI654" i="1"/>
  <c r="AH654" i="1"/>
  <c r="AG654" i="1"/>
  <c r="AJ653" i="1"/>
  <c r="AI653" i="1"/>
  <c r="AH653" i="1"/>
  <c r="AG653" i="1"/>
  <c r="AJ652" i="1"/>
  <c r="AI652" i="1"/>
  <c r="AH652" i="1"/>
  <c r="AG652" i="1"/>
  <c r="AJ651" i="1"/>
  <c r="AI651" i="1"/>
  <c r="AH651" i="1"/>
  <c r="AG651" i="1"/>
  <c r="AJ650" i="1"/>
  <c r="AI650" i="1"/>
  <c r="AH650" i="1"/>
  <c r="AG650" i="1"/>
  <c r="AJ649" i="1"/>
  <c r="AI649" i="1"/>
  <c r="AH649" i="1"/>
  <c r="AG649" i="1"/>
  <c r="AJ648" i="1"/>
  <c r="AI648" i="1"/>
  <c r="AH648" i="1"/>
  <c r="AG648" i="1"/>
  <c r="AJ647" i="1"/>
  <c r="AI647" i="1"/>
  <c r="AH647" i="1"/>
  <c r="AG647" i="1"/>
  <c r="AJ646" i="1"/>
  <c r="AI646" i="1"/>
  <c r="AH646" i="1"/>
  <c r="AG646" i="1"/>
  <c r="AJ645" i="1"/>
  <c r="AI645" i="1"/>
  <c r="AH645" i="1"/>
  <c r="AG645" i="1"/>
  <c r="AJ644" i="1"/>
  <c r="AI644" i="1"/>
  <c r="AH644" i="1"/>
  <c r="AG644" i="1"/>
  <c r="AJ643" i="1"/>
  <c r="AI643" i="1"/>
  <c r="AH643" i="1"/>
  <c r="AG643" i="1"/>
  <c r="AJ642" i="1"/>
  <c r="AI642" i="1"/>
  <c r="AH642" i="1"/>
  <c r="AG642" i="1"/>
  <c r="AJ641" i="1"/>
  <c r="AI641" i="1"/>
  <c r="AH641" i="1"/>
  <c r="AG641" i="1"/>
  <c r="AJ640" i="1"/>
  <c r="AI640" i="1"/>
  <c r="AH640" i="1"/>
  <c r="AG640" i="1"/>
  <c r="AJ639" i="1"/>
  <c r="AI639" i="1"/>
  <c r="AH639" i="1"/>
  <c r="AG639" i="1"/>
  <c r="AJ638" i="1"/>
  <c r="AI638" i="1"/>
  <c r="AH638" i="1"/>
  <c r="AG638" i="1"/>
  <c r="AJ637" i="1"/>
  <c r="AI637" i="1"/>
  <c r="AH637" i="1"/>
  <c r="AG637" i="1"/>
  <c r="AJ636" i="1"/>
  <c r="AI636" i="1"/>
  <c r="AH636" i="1"/>
  <c r="AG636" i="1"/>
  <c r="AJ635" i="1"/>
  <c r="AI635" i="1"/>
  <c r="AH635" i="1"/>
  <c r="AG635" i="1"/>
  <c r="AJ634" i="1"/>
  <c r="AI634" i="1"/>
  <c r="AH634" i="1"/>
  <c r="AG634" i="1"/>
  <c r="AJ633" i="1"/>
  <c r="AI633" i="1"/>
  <c r="AH633" i="1"/>
  <c r="AG633" i="1"/>
  <c r="AJ632" i="1"/>
  <c r="AI632" i="1"/>
  <c r="AH632" i="1"/>
  <c r="AG632" i="1"/>
  <c r="AJ631" i="1"/>
  <c r="AI631" i="1"/>
  <c r="AH631" i="1"/>
  <c r="AG631" i="1"/>
  <c r="AJ630" i="1"/>
  <c r="AI630" i="1"/>
  <c r="AH630" i="1"/>
  <c r="AG630" i="1"/>
  <c r="AJ629" i="1"/>
  <c r="AI629" i="1"/>
  <c r="AH629" i="1"/>
  <c r="AG629" i="1"/>
  <c r="AJ628" i="1"/>
  <c r="AI628" i="1"/>
  <c r="AH628" i="1"/>
  <c r="AG628" i="1"/>
  <c r="AJ627" i="1"/>
  <c r="AI627" i="1"/>
  <c r="AH627" i="1"/>
  <c r="AG627" i="1"/>
  <c r="AJ626" i="1"/>
  <c r="AI626" i="1"/>
  <c r="AH626" i="1"/>
  <c r="AG626" i="1"/>
  <c r="AJ625" i="1"/>
  <c r="AI625" i="1"/>
  <c r="AH625" i="1"/>
  <c r="AG625" i="1"/>
  <c r="AJ624" i="1"/>
  <c r="AI624" i="1"/>
  <c r="AH624" i="1"/>
  <c r="AG624" i="1"/>
  <c r="AJ623" i="1"/>
  <c r="AI623" i="1"/>
  <c r="AH623" i="1"/>
  <c r="AG623" i="1"/>
  <c r="AJ622" i="1"/>
  <c r="AI622" i="1"/>
  <c r="AH622" i="1"/>
  <c r="AG622" i="1"/>
  <c r="AJ621" i="1"/>
  <c r="AI621" i="1"/>
  <c r="AH621" i="1"/>
  <c r="AG621" i="1"/>
  <c r="AJ620" i="1"/>
  <c r="AI620" i="1"/>
  <c r="AH620" i="1"/>
  <c r="AG620" i="1"/>
  <c r="AJ619" i="1"/>
  <c r="AI619" i="1"/>
  <c r="AH619" i="1"/>
  <c r="AG619" i="1"/>
  <c r="AJ618" i="1"/>
  <c r="AI618" i="1"/>
  <c r="AH618" i="1"/>
  <c r="AG618" i="1"/>
  <c r="AJ617" i="1"/>
  <c r="AI617" i="1"/>
  <c r="AH617" i="1"/>
  <c r="AG617" i="1"/>
  <c r="AJ616" i="1"/>
  <c r="AI616" i="1"/>
  <c r="AH616" i="1"/>
  <c r="AG616" i="1"/>
  <c r="AJ615" i="1"/>
  <c r="AI615" i="1"/>
  <c r="AH615" i="1"/>
  <c r="AG615" i="1"/>
  <c r="AJ614" i="1"/>
  <c r="AI614" i="1"/>
  <c r="AH614" i="1"/>
  <c r="AG614" i="1"/>
  <c r="AJ613" i="1"/>
  <c r="AI613" i="1"/>
  <c r="AH613" i="1"/>
  <c r="AG613" i="1"/>
  <c r="AJ612" i="1"/>
  <c r="AI612" i="1"/>
  <c r="AH612" i="1"/>
  <c r="AG612" i="1"/>
  <c r="AJ611" i="1"/>
  <c r="AI611" i="1"/>
  <c r="AH611" i="1"/>
  <c r="AG611" i="1"/>
  <c r="AJ610" i="1"/>
  <c r="AI610" i="1"/>
  <c r="AH610" i="1"/>
  <c r="AG610" i="1"/>
  <c r="AJ609" i="1"/>
  <c r="AI609" i="1"/>
  <c r="AH609" i="1"/>
  <c r="AG609" i="1"/>
  <c r="AJ608" i="1"/>
  <c r="AI608" i="1"/>
  <c r="AH608" i="1"/>
  <c r="AG608" i="1"/>
  <c r="AJ607" i="1"/>
  <c r="AI607" i="1"/>
  <c r="AH607" i="1"/>
  <c r="AG607" i="1"/>
  <c r="AJ606" i="1"/>
  <c r="AI606" i="1"/>
  <c r="AH606" i="1"/>
  <c r="AG606" i="1"/>
  <c r="AJ605" i="1"/>
  <c r="AI605" i="1"/>
  <c r="AH605" i="1"/>
  <c r="AG605" i="1"/>
  <c r="AJ604" i="1"/>
  <c r="AI604" i="1"/>
  <c r="AH604" i="1"/>
  <c r="AG604" i="1"/>
  <c r="AJ603" i="1"/>
  <c r="AI603" i="1"/>
  <c r="AH603" i="1"/>
  <c r="AG603" i="1"/>
  <c r="AJ602" i="1"/>
  <c r="AI602" i="1"/>
  <c r="AH602" i="1"/>
  <c r="AG602" i="1"/>
  <c r="AJ601" i="1"/>
  <c r="AI601" i="1"/>
  <c r="AH601" i="1"/>
  <c r="AG601" i="1"/>
  <c r="AJ600" i="1"/>
  <c r="AI600" i="1"/>
  <c r="AH600" i="1"/>
  <c r="AG600" i="1"/>
  <c r="AJ599" i="1"/>
  <c r="AI599" i="1"/>
  <c r="AH599" i="1"/>
  <c r="AG599" i="1"/>
  <c r="AJ598" i="1"/>
  <c r="AI598" i="1"/>
  <c r="AH598" i="1"/>
  <c r="AG598" i="1"/>
  <c r="AJ597" i="1"/>
  <c r="AI597" i="1"/>
  <c r="AH597" i="1"/>
  <c r="AG597" i="1"/>
  <c r="AJ596" i="1"/>
  <c r="AI596" i="1"/>
  <c r="AH596" i="1"/>
  <c r="AG596" i="1"/>
  <c r="AJ595" i="1"/>
  <c r="AI595" i="1"/>
  <c r="AH595" i="1"/>
  <c r="AG595" i="1"/>
  <c r="AJ594" i="1"/>
  <c r="AI594" i="1"/>
  <c r="AH594" i="1"/>
  <c r="AG594" i="1"/>
  <c r="AJ593" i="1"/>
  <c r="AI593" i="1"/>
  <c r="AH593" i="1"/>
  <c r="AG593" i="1"/>
  <c r="AJ592" i="1"/>
  <c r="AI592" i="1"/>
  <c r="AH592" i="1"/>
  <c r="AG592" i="1"/>
  <c r="AJ591" i="1"/>
  <c r="AI591" i="1"/>
  <c r="AH591" i="1"/>
  <c r="AG591" i="1"/>
  <c r="AJ590" i="1"/>
  <c r="AI590" i="1"/>
  <c r="AH590" i="1"/>
  <c r="AG590" i="1"/>
  <c r="AJ589" i="1"/>
  <c r="AI589" i="1"/>
  <c r="AH589" i="1"/>
  <c r="AG589" i="1"/>
  <c r="AJ588" i="1"/>
  <c r="AI588" i="1"/>
  <c r="AH588" i="1"/>
  <c r="AG588" i="1"/>
  <c r="AJ587" i="1"/>
  <c r="AI587" i="1"/>
  <c r="AH587" i="1"/>
  <c r="AG587" i="1"/>
  <c r="AJ586" i="1"/>
  <c r="AI586" i="1"/>
  <c r="AH586" i="1"/>
  <c r="AG586" i="1"/>
  <c r="AJ585" i="1"/>
  <c r="AI585" i="1"/>
  <c r="AH585" i="1"/>
  <c r="AG585" i="1"/>
  <c r="AJ584" i="1"/>
  <c r="AI584" i="1"/>
  <c r="AH584" i="1"/>
  <c r="AG584" i="1"/>
  <c r="AJ583" i="1"/>
  <c r="AI583" i="1"/>
  <c r="AH583" i="1"/>
  <c r="AG583" i="1"/>
  <c r="AJ582" i="1"/>
  <c r="AI582" i="1"/>
  <c r="AH582" i="1"/>
  <c r="AG582" i="1"/>
  <c r="AJ581" i="1"/>
  <c r="AI581" i="1"/>
  <c r="AH581" i="1"/>
  <c r="AG581" i="1"/>
  <c r="AJ580" i="1"/>
  <c r="AI580" i="1"/>
  <c r="AH580" i="1"/>
  <c r="AG580" i="1"/>
  <c r="AJ579" i="1"/>
  <c r="AI579" i="1"/>
  <c r="AH579" i="1"/>
  <c r="AG579" i="1"/>
  <c r="AJ578" i="1"/>
  <c r="AI578" i="1"/>
  <c r="AH578" i="1"/>
  <c r="AG578" i="1"/>
  <c r="AJ577" i="1"/>
  <c r="AI577" i="1"/>
  <c r="AH577" i="1"/>
  <c r="AG577" i="1"/>
  <c r="AJ576" i="1"/>
  <c r="AI576" i="1"/>
  <c r="AH576" i="1"/>
  <c r="AG576" i="1"/>
  <c r="AJ575" i="1"/>
  <c r="AI575" i="1"/>
  <c r="AH575" i="1"/>
  <c r="AG575" i="1"/>
  <c r="AJ574" i="1"/>
  <c r="AI574" i="1"/>
  <c r="AH574" i="1"/>
  <c r="AG574" i="1"/>
  <c r="AJ573" i="1"/>
  <c r="AI573" i="1"/>
  <c r="AH573" i="1"/>
  <c r="AG573" i="1"/>
  <c r="AJ572" i="1"/>
  <c r="AI572" i="1"/>
  <c r="AH572" i="1"/>
  <c r="AG572" i="1"/>
  <c r="AJ571" i="1"/>
  <c r="AI571" i="1"/>
  <c r="AH571" i="1"/>
  <c r="AG571" i="1"/>
  <c r="AJ570" i="1"/>
  <c r="AI570" i="1"/>
  <c r="AH570" i="1"/>
  <c r="AG570" i="1"/>
  <c r="AJ569" i="1"/>
  <c r="AI569" i="1"/>
  <c r="AH569" i="1"/>
  <c r="AG569" i="1"/>
  <c r="AJ568" i="1"/>
  <c r="AI568" i="1"/>
  <c r="AH568" i="1"/>
  <c r="AG568" i="1"/>
  <c r="AJ567" i="1"/>
  <c r="AI567" i="1"/>
  <c r="AH567" i="1"/>
  <c r="AG567" i="1"/>
  <c r="AJ566" i="1"/>
  <c r="AI566" i="1"/>
  <c r="AH566" i="1"/>
  <c r="AG566" i="1"/>
  <c r="AJ565" i="1"/>
  <c r="AI565" i="1"/>
  <c r="AH565" i="1"/>
  <c r="AG565" i="1"/>
  <c r="AJ564" i="1"/>
  <c r="AI564" i="1"/>
  <c r="AH564" i="1"/>
  <c r="AG564" i="1"/>
  <c r="AJ563" i="1"/>
  <c r="AI563" i="1"/>
  <c r="AH563" i="1"/>
  <c r="AG563" i="1"/>
  <c r="AJ562" i="1"/>
  <c r="AI562" i="1"/>
  <c r="AH562" i="1"/>
  <c r="AG562" i="1"/>
  <c r="AJ561" i="1"/>
  <c r="AI561" i="1"/>
  <c r="AH561" i="1"/>
  <c r="AG561" i="1"/>
  <c r="AJ560" i="1"/>
  <c r="AI560" i="1"/>
  <c r="AH560" i="1"/>
  <c r="AG560" i="1"/>
  <c r="AJ559" i="1"/>
  <c r="AI559" i="1"/>
  <c r="AH559" i="1"/>
  <c r="AG559" i="1"/>
  <c r="AJ558" i="1"/>
  <c r="AI558" i="1"/>
  <c r="AH558" i="1"/>
  <c r="AG558" i="1"/>
  <c r="AJ557" i="1"/>
  <c r="AI557" i="1"/>
  <c r="AH557" i="1"/>
  <c r="AG557" i="1"/>
  <c r="AJ556" i="1"/>
  <c r="AI556" i="1"/>
  <c r="AH556" i="1"/>
  <c r="AG556" i="1"/>
  <c r="AJ555" i="1"/>
  <c r="AI555" i="1"/>
  <c r="AH555" i="1"/>
  <c r="AG555" i="1"/>
  <c r="AJ554" i="1"/>
  <c r="AI554" i="1"/>
  <c r="AH554" i="1"/>
  <c r="AG554" i="1"/>
  <c r="AJ553" i="1"/>
  <c r="AI553" i="1"/>
  <c r="AH553" i="1"/>
  <c r="AG553" i="1"/>
  <c r="AJ552" i="1"/>
  <c r="AI552" i="1"/>
  <c r="AH552" i="1"/>
  <c r="AG552" i="1"/>
  <c r="AJ551" i="1"/>
  <c r="AI551" i="1"/>
  <c r="AH551" i="1"/>
  <c r="AG551" i="1"/>
  <c r="AJ550" i="1"/>
  <c r="AI550" i="1"/>
  <c r="AH550" i="1"/>
  <c r="AG550" i="1"/>
  <c r="AJ549" i="1"/>
  <c r="AI549" i="1"/>
  <c r="AH549" i="1"/>
  <c r="AG549" i="1"/>
  <c r="AJ548" i="1"/>
  <c r="AI548" i="1"/>
  <c r="AH548" i="1"/>
  <c r="AG548" i="1"/>
  <c r="AJ547" i="1"/>
  <c r="AI547" i="1"/>
  <c r="AH547" i="1"/>
  <c r="AG547" i="1"/>
  <c r="AJ546" i="1"/>
  <c r="AI546" i="1"/>
  <c r="AH546" i="1"/>
  <c r="AG546" i="1"/>
  <c r="AJ545" i="1"/>
  <c r="AI545" i="1"/>
  <c r="AH545" i="1"/>
  <c r="AG545" i="1"/>
  <c r="AJ544" i="1"/>
  <c r="AI544" i="1"/>
  <c r="AH544" i="1"/>
  <c r="AG544" i="1"/>
  <c r="AJ543" i="1"/>
  <c r="AI543" i="1"/>
  <c r="AH543" i="1"/>
  <c r="AG543" i="1"/>
  <c r="AJ542" i="1"/>
  <c r="AI542" i="1"/>
  <c r="AH542" i="1"/>
  <c r="AG542" i="1"/>
  <c r="AJ541" i="1"/>
  <c r="AI541" i="1"/>
  <c r="AH541" i="1"/>
  <c r="AG541" i="1"/>
  <c r="AJ540" i="1"/>
  <c r="AI540" i="1"/>
  <c r="AH540" i="1"/>
  <c r="AG540" i="1"/>
  <c r="AJ539" i="1"/>
  <c r="AI539" i="1"/>
  <c r="AH539" i="1"/>
  <c r="AG539" i="1"/>
  <c r="AJ538" i="1"/>
  <c r="AI538" i="1"/>
  <c r="AH538" i="1"/>
  <c r="AG538" i="1"/>
  <c r="AJ537" i="1"/>
  <c r="AI537" i="1"/>
  <c r="AH537" i="1"/>
  <c r="AG537" i="1"/>
  <c r="AJ536" i="1"/>
  <c r="AI536" i="1"/>
  <c r="AH536" i="1"/>
  <c r="AG536" i="1"/>
  <c r="AJ535" i="1"/>
  <c r="AI535" i="1"/>
  <c r="AH535" i="1"/>
  <c r="AG535" i="1"/>
  <c r="AJ534" i="1"/>
  <c r="AI534" i="1"/>
  <c r="AH534" i="1"/>
  <c r="AG534" i="1"/>
  <c r="AJ533" i="1"/>
  <c r="AI533" i="1"/>
  <c r="AH533" i="1"/>
  <c r="AG533" i="1"/>
  <c r="AJ532" i="1"/>
  <c r="AI532" i="1"/>
  <c r="AH532" i="1"/>
  <c r="AG532" i="1"/>
  <c r="AJ531" i="1"/>
  <c r="AI531" i="1"/>
  <c r="AH531" i="1"/>
  <c r="AG531" i="1"/>
  <c r="AJ530" i="1"/>
  <c r="AI530" i="1"/>
  <c r="AH530" i="1"/>
  <c r="AG530" i="1"/>
  <c r="AJ529" i="1"/>
  <c r="AI529" i="1"/>
  <c r="AH529" i="1"/>
  <c r="AG529" i="1"/>
  <c r="AJ528" i="1"/>
  <c r="AI528" i="1"/>
  <c r="AH528" i="1"/>
  <c r="AG528" i="1"/>
  <c r="AJ527" i="1"/>
  <c r="AI527" i="1"/>
  <c r="AH527" i="1"/>
  <c r="AG527" i="1"/>
  <c r="AJ526" i="1"/>
  <c r="AI526" i="1"/>
  <c r="AH526" i="1"/>
  <c r="AG526" i="1"/>
  <c r="AJ525" i="1"/>
  <c r="AI525" i="1"/>
  <c r="AH525" i="1"/>
  <c r="AG525" i="1"/>
  <c r="AJ524" i="1"/>
  <c r="AI524" i="1"/>
  <c r="AH524" i="1"/>
  <c r="AG524" i="1"/>
  <c r="AJ523" i="1"/>
  <c r="AI523" i="1"/>
  <c r="AH523" i="1"/>
  <c r="AG523" i="1"/>
  <c r="AJ522" i="1"/>
  <c r="AI522" i="1"/>
  <c r="AH522" i="1"/>
  <c r="AG522" i="1"/>
  <c r="AJ521" i="1"/>
  <c r="AI521" i="1"/>
  <c r="AH521" i="1"/>
  <c r="AG521" i="1"/>
  <c r="AJ520" i="1"/>
  <c r="AI520" i="1"/>
  <c r="AH520" i="1"/>
  <c r="AG520" i="1"/>
  <c r="AJ519" i="1"/>
  <c r="AI519" i="1"/>
  <c r="AH519" i="1"/>
  <c r="AG519" i="1"/>
  <c r="AJ518" i="1"/>
  <c r="AI518" i="1"/>
  <c r="AH518" i="1"/>
  <c r="AG518" i="1"/>
  <c r="AJ517" i="1"/>
  <c r="AI517" i="1"/>
  <c r="AH517" i="1"/>
  <c r="AG517" i="1"/>
  <c r="AJ516" i="1"/>
  <c r="AI516" i="1"/>
  <c r="AH516" i="1"/>
  <c r="AG516" i="1"/>
  <c r="AJ515" i="1"/>
  <c r="AI515" i="1"/>
  <c r="AH515" i="1"/>
  <c r="AG515" i="1"/>
  <c r="AJ514" i="1"/>
  <c r="AI514" i="1"/>
  <c r="AH514" i="1"/>
  <c r="AG514" i="1"/>
  <c r="AJ513" i="1"/>
  <c r="AI513" i="1"/>
  <c r="AH513" i="1"/>
  <c r="AG513" i="1"/>
  <c r="AJ512" i="1"/>
  <c r="AI512" i="1"/>
  <c r="AH512" i="1"/>
  <c r="AG512" i="1"/>
  <c r="AJ511" i="1"/>
  <c r="AI511" i="1"/>
  <c r="AH511" i="1"/>
  <c r="AG511" i="1"/>
  <c r="AJ510" i="1"/>
  <c r="AI510" i="1"/>
  <c r="AH510" i="1"/>
  <c r="AG510" i="1"/>
  <c r="AJ509" i="1"/>
  <c r="AI509" i="1"/>
  <c r="AH509" i="1"/>
  <c r="AG509" i="1"/>
  <c r="AJ508" i="1"/>
  <c r="AI508" i="1"/>
  <c r="AH508" i="1"/>
  <c r="AG508" i="1"/>
  <c r="AJ507" i="1"/>
  <c r="AI507" i="1"/>
  <c r="AH507" i="1"/>
  <c r="AG507" i="1"/>
  <c r="AJ506" i="1"/>
  <c r="AI506" i="1"/>
  <c r="AH506" i="1"/>
  <c r="AG506" i="1"/>
  <c r="AJ505" i="1"/>
  <c r="AI505" i="1"/>
  <c r="AH505" i="1"/>
  <c r="AG505" i="1"/>
  <c r="AJ504" i="1"/>
  <c r="AI504" i="1"/>
  <c r="AH504" i="1"/>
  <c r="AG504" i="1"/>
  <c r="AJ503" i="1"/>
  <c r="AI503" i="1"/>
  <c r="AH503" i="1"/>
  <c r="AG503" i="1"/>
  <c r="AJ502" i="1"/>
  <c r="AI502" i="1"/>
  <c r="AH502" i="1"/>
  <c r="AG502" i="1"/>
  <c r="AJ501" i="1"/>
  <c r="AI501" i="1"/>
  <c r="AH501" i="1"/>
  <c r="AG501" i="1"/>
  <c r="AJ500" i="1"/>
  <c r="AI500" i="1"/>
  <c r="AH500" i="1"/>
  <c r="AG500" i="1"/>
  <c r="AJ499" i="1"/>
  <c r="AI499" i="1"/>
  <c r="AH499" i="1"/>
  <c r="AG499" i="1"/>
  <c r="AJ498" i="1"/>
  <c r="AI498" i="1"/>
  <c r="AH498" i="1"/>
  <c r="AG498" i="1"/>
  <c r="AJ497" i="1"/>
  <c r="AI497" i="1"/>
  <c r="AH497" i="1"/>
  <c r="AG497" i="1"/>
  <c r="AJ496" i="1"/>
  <c r="AI496" i="1"/>
  <c r="AH496" i="1"/>
  <c r="AG496" i="1"/>
  <c r="AJ495" i="1"/>
  <c r="AI495" i="1"/>
  <c r="AH495" i="1"/>
  <c r="AG495" i="1"/>
  <c r="AJ494" i="1"/>
  <c r="AI494" i="1"/>
  <c r="AH494" i="1"/>
  <c r="AG494" i="1"/>
  <c r="AJ493" i="1"/>
  <c r="AI493" i="1"/>
  <c r="AH493" i="1"/>
  <c r="AG493" i="1"/>
  <c r="AJ492" i="1"/>
  <c r="AI492" i="1"/>
  <c r="AH492" i="1"/>
  <c r="AG492" i="1"/>
  <c r="AJ491" i="1"/>
  <c r="AI491" i="1"/>
  <c r="AH491" i="1"/>
  <c r="AG491" i="1"/>
  <c r="AJ490" i="1"/>
  <c r="AI490" i="1"/>
  <c r="AH490" i="1"/>
  <c r="AG490" i="1"/>
  <c r="AJ489" i="1"/>
  <c r="AI489" i="1"/>
  <c r="AH489" i="1"/>
  <c r="AG489" i="1"/>
  <c r="AJ488" i="1"/>
  <c r="AI488" i="1"/>
  <c r="AH488" i="1"/>
  <c r="AG488" i="1"/>
  <c r="AJ487" i="1"/>
  <c r="AI487" i="1"/>
  <c r="AH487" i="1"/>
  <c r="AG487" i="1"/>
  <c r="AJ486" i="1"/>
  <c r="AI486" i="1"/>
  <c r="AH486" i="1"/>
  <c r="AG486" i="1"/>
  <c r="AJ485" i="1"/>
  <c r="AI485" i="1"/>
  <c r="AH485" i="1"/>
  <c r="AG485" i="1"/>
  <c r="AJ484" i="1"/>
  <c r="AI484" i="1"/>
  <c r="AH484" i="1"/>
  <c r="AG484" i="1"/>
  <c r="AJ483" i="1"/>
  <c r="AI483" i="1"/>
  <c r="AH483" i="1"/>
  <c r="AG483" i="1"/>
  <c r="AJ482" i="1"/>
  <c r="AI482" i="1"/>
  <c r="AH482" i="1"/>
  <c r="AG482" i="1"/>
  <c r="AJ481" i="1"/>
  <c r="AI481" i="1"/>
  <c r="AH481" i="1"/>
  <c r="AG481" i="1"/>
  <c r="AJ480" i="1"/>
  <c r="AI480" i="1"/>
  <c r="AH480" i="1"/>
  <c r="AG480" i="1"/>
  <c r="AJ479" i="1"/>
  <c r="AI479" i="1"/>
  <c r="AH479" i="1"/>
  <c r="AG479" i="1"/>
  <c r="AJ478" i="1"/>
  <c r="AI478" i="1"/>
  <c r="AH478" i="1"/>
  <c r="AG478" i="1"/>
  <c r="AJ477" i="1"/>
  <c r="AI477" i="1"/>
  <c r="AH477" i="1"/>
  <c r="AG477" i="1"/>
  <c r="AJ476" i="1"/>
  <c r="AI476" i="1"/>
  <c r="AH476" i="1"/>
  <c r="AG476" i="1"/>
  <c r="AJ475" i="1"/>
  <c r="AI475" i="1"/>
  <c r="AH475" i="1"/>
  <c r="AG475" i="1"/>
  <c r="AJ474" i="1"/>
  <c r="AI474" i="1"/>
  <c r="AH474" i="1"/>
  <c r="AG474" i="1"/>
  <c r="AJ473" i="1"/>
  <c r="AI473" i="1"/>
  <c r="AH473" i="1"/>
  <c r="AG473" i="1"/>
  <c r="AJ472" i="1"/>
  <c r="AI472" i="1"/>
  <c r="AH472" i="1"/>
  <c r="AG472" i="1"/>
  <c r="AJ471" i="1"/>
  <c r="AI471" i="1"/>
  <c r="AH471" i="1"/>
  <c r="AG471" i="1"/>
  <c r="AJ470" i="1"/>
  <c r="AI470" i="1"/>
  <c r="AH470" i="1"/>
  <c r="AG470" i="1"/>
  <c r="AJ469" i="1"/>
  <c r="AI469" i="1"/>
  <c r="AH469" i="1"/>
  <c r="AG469" i="1"/>
  <c r="AJ468" i="1"/>
  <c r="AI468" i="1"/>
  <c r="AH468" i="1"/>
  <c r="AG468" i="1"/>
  <c r="AJ467" i="1"/>
  <c r="AI467" i="1"/>
  <c r="AH467" i="1"/>
  <c r="AG467" i="1"/>
  <c r="AJ466" i="1"/>
  <c r="AI466" i="1"/>
  <c r="AH466" i="1"/>
  <c r="AG466" i="1"/>
  <c r="AJ465" i="1"/>
  <c r="AI465" i="1"/>
  <c r="AH465" i="1"/>
  <c r="AG465" i="1"/>
  <c r="AJ464" i="1"/>
  <c r="AI464" i="1"/>
  <c r="AH464" i="1"/>
  <c r="AG464" i="1"/>
  <c r="AJ463" i="1"/>
  <c r="AI463" i="1"/>
  <c r="AH463" i="1"/>
  <c r="AG463" i="1"/>
  <c r="AJ462" i="1"/>
  <c r="AI462" i="1"/>
  <c r="AH462" i="1"/>
  <c r="AG462" i="1"/>
  <c r="AJ461" i="1"/>
  <c r="AI461" i="1"/>
  <c r="AH461" i="1"/>
  <c r="AG461" i="1"/>
  <c r="AJ460" i="1"/>
  <c r="AI460" i="1"/>
  <c r="AH460" i="1"/>
  <c r="AG460" i="1"/>
  <c r="AJ459" i="1"/>
  <c r="AI459" i="1"/>
  <c r="AH459" i="1"/>
  <c r="AG459" i="1"/>
  <c r="AJ458" i="1"/>
  <c r="AI458" i="1"/>
  <c r="AH458" i="1"/>
  <c r="AG458" i="1"/>
  <c r="AJ457" i="1"/>
  <c r="AI457" i="1"/>
  <c r="AH457" i="1"/>
  <c r="AG457" i="1"/>
  <c r="AJ456" i="1"/>
  <c r="AI456" i="1"/>
  <c r="AH456" i="1"/>
  <c r="AG456" i="1"/>
  <c r="AJ455" i="1"/>
  <c r="AI455" i="1"/>
  <c r="AH455" i="1"/>
  <c r="AG455" i="1"/>
  <c r="AJ454" i="1"/>
  <c r="AI454" i="1"/>
  <c r="AH454" i="1"/>
  <c r="AG454" i="1"/>
  <c r="AJ453" i="1"/>
  <c r="AI453" i="1"/>
  <c r="AH453" i="1"/>
  <c r="AG453" i="1"/>
  <c r="AJ452" i="1"/>
  <c r="AI452" i="1"/>
  <c r="AH452" i="1"/>
  <c r="AG452" i="1"/>
  <c r="AJ451" i="1"/>
  <c r="AI451" i="1"/>
  <c r="AH451" i="1"/>
  <c r="AG451" i="1"/>
  <c r="AJ450" i="1"/>
  <c r="AI450" i="1"/>
  <c r="AH450" i="1"/>
  <c r="AG450" i="1"/>
  <c r="AJ449" i="1"/>
  <c r="AI449" i="1"/>
  <c r="AH449" i="1"/>
  <c r="AG449" i="1"/>
  <c r="AJ448" i="1"/>
  <c r="AI448" i="1"/>
  <c r="AH448" i="1"/>
  <c r="AG448" i="1"/>
  <c r="AJ447" i="1"/>
  <c r="AI447" i="1"/>
  <c r="AH447" i="1"/>
  <c r="AG447" i="1"/>
  <c r="AJ446" i="1"/>
  <c r="AI446" i="1"/>
  <c r="AH446" i="1"/>
  <c r="AG446" i="1"/>
  <c r="AJ445" i="1"/>
  <c r="AI445" i="1"/>
  <c r="AH445" i="1"/>
  <c r="AG445" i="1"/>
  <c r="AJ444" i="1"/>
  <c r="AI444" i="1"/>
  <c r="AH444" i="1"/>
  <c r="AG444" i="1"/>
  <c r="AJ443" i="1"/>
  <c r="AI443" i="1"/>
  <c r="AH443" i="1"/>
  <c r="AG443" i="1"/>
  <c r="AJ442" i="1"/>
  <c r="AI442" i="1"/>
  <c r="AH442" i="1"/>
  <c r="AG442" i="1"/>
  <c r="AJ441" i="1"/>
  <c r="AI441" i="1"/>
  <c r="AH441" i="1"/>
  <c r="AG441" i="1"/>
  <c r="AJ440" i="1"/>
  <c r="AI440" i="1"/>
  <c r="AH440" i="1"/>
  <c r="AG440" i="1"/>
  <c r="AJ439" i="1"/>
  <c r="AI439" i="1"/>
  <c r="AH439" i="1"/>
  <c r="AG439" i="1"/>
  <c r="AJ438" i="1"/>
  <c r="AI438" i="1"/>
  <c r="AH438" i="1"/>
  <c r="AG438" i="1"/>
  <c r="AJ437" i="1"/>
  <c r="AI437" i="1"/>
  <c r="AH437" i="1"/>
  <c r="AG437" i="1"/>
  <c r="AJ436" i="1"/>
  <c r="AI436" i="1"/>
  <c r="AH436" i="1"/>
  <c r="AG436" i="1"/>
  <c r="AJ435" i="1"/>
  <c r="AI435" i="1"/>
  <c r="AH435" i="1"/>
  <c r="AG435" i="1"/>
  <c r="AJ434" i="1"/>
  <c r="AI434" i="1"/>
  <c r="AH434" i="1"/>
  <c r="AG434" i="1"/>
  <c r="AJ433" i="1"/>
  <c r="AI433" i="1"/>
  <c r="AH433" i="1"/>
  <c r="AG433" i="1"/>
  <c r="AJ432" i="1"/>
  <c r="AI432" i="1"/>
  <c r="AH432" i="1"/>
  <c r="AG432" i="1"/>
  <c r="AJ431" i="1"/>
  <c r="AI431" i="1"/>
  <c r="AH431" i="1"/>
  <c r="AG431" i="1"/>
  <c r="AJ430" i="1"/>
  <c r="AI430" i="1"/>
  <c r="AH430" i="1"/>
  <c r="AG430" i="1"/>
  <c r="AJ429" i="1"/>
  <c r="AI429" i="1"/>
  <c r="AH429" i="1"/>
  <c r="AG429" i="1"/>
  <c r="AJ428" i="1"/>
  <c r="AI428" i="1"/>
  <c r="AH428" i="1"/>
  <c r="AG428" i="1"/>
  <c r="AJ427" i="1"/>
  <c r="AI427" i="1"/>
  <c r="AH427" i="1"/>
  <c r="AG427" i="1"/>
  <c r="AJ426" i="1"/>
  <c r="AI426" i="1"/>
  <c r="AH426" i="1"/>
  <c r="AG426" i="1"/>
  <c r="AJ425" i="1"/>
  <c r="AI425" i="1"/>
  <c r="AH425" i="1"/>
  <c r="AG425" i="1"/>
  <c r="AJ424" i="1"/>
  <c r="AI424" i="1"/>
  <c r="AH424" i="1"/>
  <c r="AG424" i="1"/>
  <c r="AJ423" i="1"/>
  <c r="AI423" i="1"/>
  <c r="AH423" i="1"/>
  <c r="AG423" i="1"/>
  <c r="AJ422" i="1"/>
  <c r="AI422" i="1"/>
  <c r="AH422" i="1"/>
  <c r="AG422" i="1"/>
  <c r="AJ421" i="1"/>
  <c r="AI421" i="1"/>
  <c r="AH421" i="1"/>
  <c r="AG421" i="1"/>
  <c r="AJ420" i="1"/>
  <c r="AI420" i="1"/>
  <c r="AH420" i="1"/>
  <c r="AG420" i="1"/>
  <c r="AJ419" i="1"/>
  <c r="AI419" i="1"/>
  <c r="AH419" i="1"/>
  <c r="AG419" i="1"/>
  <c r="AJ418" i="1"/>
  <c r="AI418" i="1"/>
  <c r="AH418" i="1"/>
  <c r="AG418" i="1"/>
  <c r="AJ417" i="1"/>
  <c r="AI417" i="1"/>
  <c r="AH417" i="1"/>
  <c r="AG417" i="1"/>
  <c r="AJ416" i="1"/>
  <c r="AI416" i="1"/>
  <c r="AH416" i="1"/>
  <c r="AG416" i="1"/>
  <c r="AJ415" i="1"/>
  <c r="AI415" i="1"/>
  <c r="AH415" i="1"/>
  <c r="AG415" i="1"/>
  <c r="AJ414" i="1"/>
  <c r="AI414" i="1"/>
  <c r="AH414" i="1"/>
  <c r="AG414" i="1"/>
  <c r="AJ413" i="1"/>
  <c r="AI413" i="1"/>
  <c r="AH413" i="1"/>
  <c r="AG413" i="1"/>
  <c r="AJ412" i="1"/>
  <c r="AI412" i="1"/>
  <c r="AH412" i="1"/>
  <c r="AG412" i="1"/>
  <c r="AJ411" i="1"/>
  <c r="AI411" i="1"/>
  <c r="AH411" i="1"/>
  <c r="AG411" i="1"/>
  <c r="AJ410" i="1"/>
  <c r="AI410" i="1"/>
  <c r="AH410" i="1"/>
  <c r="AG410" i="1"/>
  <c r="AJ409" i="1"/>
  <c r="AI409" i="1"/>
  <c r="AH409" i="1"/>
  <c r="AG409" i="1"/>
  <c r="AJ408" i="1"/>
  <c r="AI408" i="1"/>
  <c r="AH408" i="1"/>
  <c r="AG408" i="1"/>
  <c r="AJ407" i="1"/>
  <c r="AI407" i="1"/>
  <c r="AH407" i="1"/>
  <c r="AG407" i="1"/>
  <c r="AJ406" i="1"/>
  <c r="AI406" i="1"/>
  <c r="AH406" i="1"/>
  <c r="AG406" i="1"/>
  <c r="AJ405" i="1"/>
  <c r="AI405" i="1"/>
  <c r="AH405" i="1"/>
  <c r="AG405" i="1"/>
  <c r="AJ404" i="1"/>
  <c r="AI404" i="1"/>
  <c r="AH404" i="1"/>
  <c r="AG404" i="1"/>
  <c r="AJ403" i="1"/>
  <c r="AI403" i="1"/>
  <c r="AH403" i="1"/>
  <c r="AG403" i="1"/>
  <c r="AJ402" i="1"/>
  <c r="AI402" i="1"/>
  <c r="AH402" i="1"/>
  <c r="AG402" i="1"/>
  <c r="AJ401" i="1"/>
  <c r="AI401" i="1"/>
  <c r="AH401" i="1"/>
  <c r="AG401" i="1"/>
  <c r="AJ400" i="1"/>
  <c r="AI400" i="1"/>
  <c r="AH400" i="1"/>
  <c r="AG400" i="1"/>
  <c r="AJ399" i="1"/>
  <c r="AI399" i="1"/>
  <c r="AH399" i="1"/>
  <c r="AG399" i="1"/>
  <c r="AJ398" i="1"/>
  <c r="AI398" i="1"/>
  <c r="AH398" i="1"/>
  <c r="AG398" i="1"/>
  <c r="AJ397" i="1"/>
  <c r="AI397" i="1"/>
  <c r="AH397" i="1"/>
  <c r="AG397" i="1"/>
  <c r="AJ396" i="1"/>
  <c r="AI396" i="1"/>
  <c r="AH396" i="1"/>
  <c r="AG396" i="1"/>
  <c r="AJ395" i="1"/>
  <c r="AI395" i="1"/>
  <c r="AH395" i="1"/>
  <c r="AG395" i="1"/>
  <c r="AJ394" i="1"/>
  <c r="AI394" i="1"/>
  <c r="AH394" i="1"/>
  <c r="AG394" i="1"/>
  <c r="AJ393" i="1"/>
  <c r="AI393" i="1"/>
  <c r="AH393" i="1"/>
  <c r="AG393" i="1"/>
  <c r="AJ392" i="1"/>
  <c r="AI392" i="1"/>
  <c r="AH392" i="1"/>
  <c r="AG392" i="1"/>
  <c r="AJ391" i="1"/>
  <c r="AI391" i="1"/>
  <c r="AH391" i="1"/>
  <c r="AG391" i="1"/>
  <c r="AJ390" i="1"/>
  <c r="AI390" i="1"/>
  <c r="AH390" i="1"/>
  <c r="AG390" i="1"/>
  <c r="AJ389" i="1"/>
  <c r="AI389" i="1"/>
  <c r="AH389" i="1"/>
  <c r="AG389" i="1"/>
  <c r="AJ388" i="1"/>
  <c r="AI388" i="1"/>
  <c r="AH388" i="1"/>
  <c r="AG388" i="1"/>
  <c r="AJ387" i="1"/>
  <c r="AI387" i="1"/>
  <c r="AH387" i="1"/>
  <c r="AG387" i="1"/>
  <c r="AJ386" i="1"/>
  <c r="AI386" i="1"/>
  <c r="AH386" i="1"/>
  <c r="AG386" i="1"/>
  <c r="AJ385" i="1"/>
  <c r="AI385" i="1"/>
  <c r="AH385" i="1"/>
  <c r="AG385" i="1"/>
  <c r="AJ384" i="1"/>
  <c r="AI384" i="1"/>
  <c r="AH384" i="1"/>
  <c r="AG384" i="1"/>
  <c r="AJ383" i="1"/>
  <c r="AI383" i="1"/>
  <c r="AH383" i="1"/>
  <c r="AG383" i="1"/>
  <c r="AJ382" i="1"/>
  <c r="AI382" i="1"/>
  <c r="AH382" i="1"/>
  <c r="AG382" i="1"/>
  <c r="AJ381" i="1"/>
  <c r="AI381" i="1"/>
  <c r="AH381" i="1"/>
  <c r="AG381" i="1"/>
  <c r="AJ380" i="1"/>
  <c r="AI380" i="1"/>
  <c r="AH380" i="1"/>
  <c r="AG380" i="1"/>
  <c r="AJ379" i="1"/>
  <c r="AI379" i="1"/>
  <c r="AH379" i="1"/>
  <c r="AG379" i="1"/>
  <c r="AJ378" i="1"/>
  <c r="AI378" i="1"/>
  <c r="AH378" i="1"/>
  <c r="AG378" i="1"/>
  <c r="AJ377" i="1"/>
  <c r="AI377" i="1"/>
  <c r="AH377" i="1"/>
  <c r="AG377" i="1"/>
  <c r="AJ376" i="1"/>
  <c r="AI376" i="1"/>
  <c r="AH376" i="1"/>
  <c r="AG376" i="1"/>
  <c r="AJ375" i="1"/>
  <c r="AI375" i="1"/>
  <c r="AH375" i="1"/>
  <c r="AG375" i="1"/>
  <c r="AJ374" i="1"/>
  <c r="AI374" i="1"/>
  <c r="AH374" i="1"/>
  <c r="AG374" i="1"/>
  <c r="AJ373" i="1"/>
  <c r="AI373" i="1"/>
  <c r="AH373" i="1"/>
  <c r="AG373" i="1"/>
  <c r="AJ372" i="1"/>
  <c r="AI372" i="1"/>
  <c r="AH372" i="1"/>
  <c r="AG372" i="1"/>
  <c r="AJ371" i="1"/>
  <c r="AI371" i="1"/>
  <c r="AH371" i="1"/>
  <c r="AG371" i="1"/>
  <c r="AJ370" i="1"/>
  <c r="AI370" i="1"/>
  <c r="AH370" i="1"/>
  <c r="AG370" i="1"/>
  <c r="AJ369" i="1"/>
  <c r="AI369" i="1"/>
  <c r="AH369" i="1"/>
  <c r="AG369" i="1"/>
  <c r="AJ368" i="1"/>
  <c r="AI368" i="1"/>
  <c r="AH368" i="1"/>
  <c r="AG368" i="1"/>
  <c r="AJ367" i="1"/>
  <c r="AI367" i="1"/>
  <c r="AH367" i="1"/>
  <c r="AG367" i="1"/>
  <c r="AJ366" i="1"/>
  <c r="AI366" i="1"/>
  <c r="AH366" i="1"/>
  <c r="AG366" i="1"/>
  <c r="AJ365" i="1"/>
  <c r="AI365" i="1"/>
  <c r="AH365" i="1"/>
  <c r="AG365" i="1"/>
  <c r="AJ364" i="1"/>
  <c r="AI364" i="1"/>
  <c r="AH364" i="1"/>
  <c r="AG364" i="1"/>
  <c r="AJ363" i="1"/>
  <c r="AI363" i="1"/>
  <c r="AH363" i="1"/>
  <c r="AG363" i="1"/>
  <c r="AJ362" i="1"/>
  <c r="AI362" i="1"/>
  <c r="AH362" i="1"/>
  <c r="AG362" i="1"/>
  <c r="AJ361" i="1"/>
  <c r="AI361" i="1"/>
  <c r="AH361" i="1"/>
  <c r="AG361" i="1"/>
  <c r="AJ360" i="1"/>
  <c r="AI360" i="1"/>
  <c r="AH360" i="1"/>
  <c r="AG360" i="1"/>
  <c r="AJ359" i="1"/>
  <c r="AI359" i="1"/>
  <c r="AH359" i="1"/>
  <c r="AG359" i="1"/>
  <c r="AJ358" i="1"/>
  <c r="AI358" i="1"/>
  <c r="AH358" i="1"/>
  <c r="AG358" i="1"/>
  <c r="AJ357" i="1"/>
  <c r="AI357" i="1"/>
  <c r="AH357" i="1"/>
  <c r="AG357" i="1"/>
  <c r="AJ356" i="1"/>
  <c r="AI356" i="1"/>
  <c r="AH356" i="1"/>
  <c r="AG356" i="1"/>
  <c r="AJ355" i="1"/>
  <c r="AI355" i="1"/>
  <c r="AH355" i="1"/>
  <c r="AG355" i="1"/>
  <c r="AJ354" i="1"/>
  <c r="AI354" i="1"/>
  <c r="AH354" i="1"/>
  <c r="AG354" i="1"/>
  <c r="AJ353" i="1"/>
  <c r="AI353" i="1"/>
  <c r="AH353" i="1"/>
  <c r="AG353" i="1"/>
  <c r="AJ352" i="1"/>
  <c r="AI352" i="1"/>
  <c r="AH352" i="1"/>
  <c r="AG352" i="1"/>
  <c r="AJ351" i="1"/>
  <c r="AI351" i="1"/>
  <c r="AH351" i="1"/>
  <c r="AG351" i="1"/>
  <c r="AJ350" i="1"/>
  <c r="AI350" i="1"/>
  <c r="AH350" i="1"/>
  <c r="AG350" i="1"/>
  <c r="AJ349" i="1"/>
  <c r="AI349" i="1"/>
  <c r="AH349" i="1"/>
  <c r="AG349" i="1"/>
  <c r="AJ348" i="1"/>
  <c r="AI348" i="1"/>
  <c r="AH348" i="1"/>
  <c r="AG348" i="1"/>
  <c r="AJ347" i="1"/>
  <c r="AI347" i="1"/>
  <c r="AH347" i="1"/>
  <c r="AG347" i="1"/>
  <c r="AJ346" i="1"/>
  <c r="AI346" i="1"/>
  <c r="AH346" i="1"/>
  <c r="AG346" i="1"/>
  <c r="AJ345" i="1"/>
  <c r="AI345" i="1"/>
  <c r="AH345" i="1"/>
  <c r="AG345" i="1"/>
  <c r="AJ344" i="1"/>
  <c r="AI344" i="1"/>
  <c r="AH344" i="1"/>
  <c r="AG344" i="1"/>
  <c r="AJ343" i="1"/>
  <c r="AI343" i="1"/>
  <c r="AH343" i="1"/>
  <c r="AG343" i="1"/>
  <c r="AJ342" i="1"/>
  <c r="AI342" i="1"/>
  <c r="AH342" i="1"/>
  <c r="AG342" i="1"/>
  <c r="AJ341" i="1"/>
  <c r="AI341" i="1"/>
  <c r="AH341" i="1"/>
  <c r="AG341" i="1"/>
  <c r="AJ340" i="1"/>
  <c r="AI340" i="1"/>
  <c r="AH340" i="1"/>
  <c r="AG340" i="1"/>
  <c r="AJ339" i="1"/>
  <c r="AI339" i="1"/>
  <c r="AH339" i="1"/>
  <c r="AG339" i="1"/>
  <c r="AJ338" i="1"/>
  <c r="AI338" i="1"/>
  <c r="AH338" i="1"/>
  <c r="AG338" i="1"/>
  <c r="AJ337" i="1"/>
  <c r="AI337" i="1"/>
  <c r="AH337" i="1"/>
  <c r="AG337" i="1"/>
  <c r="AJ336" i="1"/>
  <c r="AI336" i="1"/>
  <c r="AH336" i="1"/>
  <c r="AG336" i="1"/>
  <c r="AJ335" i="1"/>
  <c r="AI335" i="1"/>
  <c r="AH335" i="1"/>
  <c r="AG335" i="1"/>
  <c r="AJ334" i="1"/>
  <c r="AI334" i="1"/>
  <c r="AH334" i="1"/>
  <c r="AG334" i="1"/>
  <c r="AJ333" i="1"/>
  <c r="AI333" i="1"/>
  <c r="AH333" i="1"/>
  <c r="AG333" i="1"/>
  <c r="AJ332" i="1"/>
  <c r="AI332" i="1"/>
  <c r="AH332" i="1"/>
  <c r="AG332" i="1"/>
  <c r="AJ331" i="1"/>
  <c r="AI331" i="1"/>
  <c r="AH331" i="1"/>
  <c r="AG331" i="1"/>
  <c r="AJ330" i="1"/>
  <c r="AI330" i="1"/>
  <c r="AH330" i="1"/>
  <c r="AG330" i="1"/>
  <c r="AJ329" i="1"/>
  <c r="AI329" i="1"/>
  <c r="AH329" i="1"/>
  <c r="AG329" i="1"/>
  <c r="AJ328" i="1"/>
  <c r="AI328" i="1"/>
  <c r="AH328" i="1"/>
  <c r="AG328" i="1"/>
  <c r="AJ327" i="1"/>
  <c r="AI327" i="1"/>
  <c r="AH327" i="1"/>
  <c r="AG327" i="1"/>
  <c r="AJ326" i="1"/>
  <c r="AI326" i="1"/>
  <c r="AH326" i="1"/>
  <c r="AG326" i="1"/>
  <c r="AJ325" i="1"/>
  <c r="AI325" i="1"/>
  <c r="AH325" i="1"/>
  <c r="AG325" i="1"/>
  <c r="AJ324" i="1"/>
  <c r="AI324" i="1"/>
  <c r="AH324" i="1"/>
  <c r="AG324" i="1"/>
  <c r="AJ323" i="1"/>
  <c r="AI323" i="1"/>
  <c r="AH323" i="1"/>
  <c r="AG323" i="1"/>
  <c r="AJ322" i="1"/>
  <c r="AI322" i="1"/>
  <c r="AH322" i="1"/>
  <c r="AG322" i="1"/>
  <c r="AJ321" i="1"/>
  <c r="AI321" i="1"/>
  <c r="AH321" i="1"/>
  <c r="AG321" i="1"/>
  <c r="AJ320" i="1"/>
  <c r="AI320" i="1"/>
  <c r="AH320" i="1"/>
  <c r="AG320" i="1"/>
  <c r="AJ319" i="1"/>
  <c r="AI319" i="1"/>
  <c r="AH319" i="1"/>
  <c r="AG319" i="1"/>
  <c r="AJ318" i="1"/>
  <c r="AI318" i="1"/>
  <c r="AH318" i="1"/>
  <c r="AG318" i="1"/>
  <c r="AJ317" i="1"/>
  <c r="AI317" i="1"/>
  <c r="AH317" i="1"/>
  <c r="AG317" i="1"/>
  <c r="AJ316" i="1"/>
  <c r="AI316" i="1"/>
  <c r="AH316" i="1"/>
  <c r="AG316" i="1"/>
  <c r="AJ315" i="1"/>
  <c r="AI315" i="1"/>
  <c r="AH315" i="1"/>
  <c r="AG315" i="1"/>
  <c r="AJ314" i="1"/>
  <c r="AI314" i="1"/>
  <c r="AH314" i="1"/>
  <c r="AG314" i="1"/>
  <c r="AJ313" i="1"/>
  <c r="AI313" i="1"/>
  <c r="AH313" i="1"/>
  <c r="AG313" i="1"/>
  <c r="AJ312" i="1"/>
  <c r="AI312" i="1"/>
  <c r="AH312" i="1"/>
  <c r="AG312" i="1"/>
  <c r="AJ311" i="1"/>
  <c r="AI311" i="1"/>
  <c r="AH311" i="1"/>
  <c r="AG311" i="1"/>
  <c r="AJ310" i="1"/>
  <c r="AI310" i="1"/>
  <c r="AH310" i="1"/>
  <c r="AG310" i="1"/>
  <c r="AJ309" i="1"/>
  <c r="AI309" i="1"/>
  <c r="AH309" i="1"/>
  <c r="AG309" i="1"/>
  <c r="AJ308" i="1"/>
  <c r="AI308" i="1"/>
  <c r="AH308" i="1"/>
  <c r="AG308" i="1"/>
  <c r="AJ307" i="1"/>
  <c r="AI307" i="1"/>
  <c r="AH307" i="1"/>
  <c r="AG307" i="1"/>
  <c r="AJ306" i="1"/>
  <c r="AI306" i="1"/>
  <c r="AH306" i="1"/>
  <c r="AG306" i="1"/>
  <c r="AJ305" i="1"/>
  <c r="AI305" i="1"/>
  <c r="AH305" i="1"/>
  <c r="AG305" i="1"/>
  <c r="AJ304" i="1"/>
  <c r="AI304" i="1"/>
  <c r="AH304" i="1"/>
  <c r="AG304" i="1"/>
  <c r="AJ303" i="1"/>
  <c r="AI303" i="1"/>
  <c r="AH303" i="1"/>
  <c r="AG303" i="1"/>
  <c r="AJ302" i="1"/>
  <c r="AI302" i="1"/>
  <c r="AH302" i="1"/>
  <c r="AG302" i="1"/>
  <c r="AJ301" i="1"/>
  <c r="AI301" i="1"/>
  <c r="AH301" i="1"/>
  <c r="AG301" i="1"/>
  <c r="AJ300" i="1"/>
  <c r="AI300" i="1"/>
  <c r="AH300" i="1"/>
  <c r="AG300" i="1"/>
  <c r="AJ299" i="1"/>
  <c r="AI299" i="1"/>
  <c r="AH299" i="1"/>
  <c r="AG299" i="1"/>
  <c r="AJ298" i="1"/>
  <c r="AI298" i="1"/>
  <c r="AH298" i="1"/>
  <c r="AG298" i="1"/>
  <c r="AJ297" i="1"/>
  <c r="AI297" i="1"/>
  <c r="AH297" i="1"/>
  <c r="AG297" i="1"/>
  <c r="AJ296" i="1"/>
  <c r="AI296" i="1"/>
  <c r="AH296" i="1"/>
  <c r="AG296" i="1"/>
  <c r="AJ295" i="1"/>
  <c r="AI295" i="1"/>
  <c r="AH295" i="1"/>
  <c r="AG295" i="1"/>
  <c r="AJ294" i="1"/>
  <c r="AI294" i="1"/>
  <c r="AH294" i="1"/>
  <c r="AG294" i="1"/>
  <c r="AJ293" i="1"/>
  <c r="AI293" i="1"/>
  <c r="AH293" i="1"/>
  <c r="AG293" i="1"/>
  <c r="AJ292" i="1"/>
  <c r="AI292" i="1"/>
  <c r="AH292" i="1"/>
  <c r="AG292" i="1"/>
  <c r="AJ291" i="1"/>
  <c r="AI291" i="1"/>
  <c r="AH291" i="1"/>
  <c r="AG291" i="1"/>
  <c r="AJ290" i="1"/>
  <c r="AI290" i="1"/>
  <c r="AH290" i="1"/>
  <c r="AG290" i="1"/>
  <c r="AJ289" i="1"/>
  <c r="AI289" i="1"/>
  <c r="AH289" i="1"/>
  <c r="AG289" i="1"/>
  <c r="AJ288" i="1"/>
  <c r="AI288" i="1"/>
  <c r="AH288" i="1"/>
  <c r="AG288" i="1"/>
  <c r="AJ287" i="1"/>
  <c r="AI287" i="1"/>
  <c r="AH287" i="1"/>
  <c r="AG287" i="1"/>
  <c r="AJ286" i="1"/>
  <c r="AI286" i="1"/>
  <c r="AH286" i="1"/>
  <c r="AG286" i="1"/>
  <c r="AJ285" i="1"/>
  <c r="AI285" i="1"/>
  <c r="AH285" i="1"/>
  <c r="AG285" i="1"/>
  <c r="AJ284" i="1"/>
  <c r="AI284" i="1"/>
  <c r="AH284" i="1"/>
  <c r="AG284" i="1"/>
  <c r="AJ283" i="1"/>
  <c r="AI283" i="1"/>
  <c r="AH283" i="1"/>
  <c r="AG283" i="1"/>
  <c r="AJ282" i="1"/>
  <c r="AI282" i="1"/>
  <c r="AH282" i="1"/>
  <c r="AG282" i="1"/>
  <c r="AJ281" i="1"/>
  <c r="AI281" i="1"/>
  <c r="AH281" i="1"/>
  <c r="AG281" i="1"/>
  <c r="AJ280" i="1"/>
  <c r="AI280" i="1"/>
  <c r="AH280" i="1"/>
  <c r="AG280" i="1"/>
  <c r="AJ279" i="1"/>
  <c r="AI279" i="1"/>
  <c r="AH279" i="1"/>
  <c r="AG279" i="1"/>
  <c r="AJ278" i="1"/>
  <c r="AI278" i="1"/>
  <c r="AH278" i="1"/>
  <c r="AG278" i="1"/>
  <c r="AJ277" i="1"/>
  <c r="AI277" i="1"/>
  <c r="AH277" i="1"/>
  <c r="AG277" i="1"/>
  <c r="AJ276" i="1"/>
  <c r="AI276" i="1"/>
  <c r="AH276" i="1"/>
  <c r="AG276" i="1"/>
  <c r="AJ275" i="1"/>
  <c r="AI275" i="1"/>
  <c r="AH275" i="1"/>
  <c r="AG275" i="1"/>
  <c r="AJ274" i="1"/>
  <c r="AI274" i="1"/>
  <c r="AH274" i="1"/>
  <c r="AG274" i="1"/>
  <c r="AJ273" i="1"/>
  <c r="AI273" i="1"/>
  <c r="AH273" i="1"/>
  <c r="AG273" i="1"/>
  <c r="AJ272" i="1"/>
  <c r="AI272" i="1"/>
  <c r="AH272" i="1"/>
  <c r="AG272" i="1"/>
  <c r="AJ271" i="1"/>
  <c r="AI271" i="1"/>
  <c r="AH271" i="1"/>
  <c r="AG271" i="1"/>
  <c r="AJ270" i="1"/>
  <c r="AI270" i="1"/>
  <c r="AH270" i="1"/>
  <c r="AG270" i="1"/>
  <c r="AJ269" i="1"/>
  <c r="AI269" i="1"/>
  <c r="AH269" i="1"/>
  <c r="AG269" i="1"/>
  <c r="AJ268" i="1"/>
  <c r="AI268" i="1"/>
  <c r="AH268" i="1"/>
  <c r="AG268" i="1"/>
  <c r="AJ267" i="1"/>
  <c r="AI267" i="1"/>
  <c r="AH267" i="1"/>
  <c r="AG267" i="1"/>
  <c r="AJ266" i="1"/>
  <c r="AI266" i="1"/>
  <c r="AH266" i="1"/>
  <c r="AG266" i="1"/>
  <c r="AJ265" i="1"/>
  <c r="AI265" i="1"/>
  <c r="AH265" i="1"/>
  <c r="AG265" i="1"/>
  <c r="AJ264" i="1"/>
  <c r="AI264" i="1"/>
  <c r="AH264" i="1"/>
  <c r="AG264" i="1"/>
  <c r="AJ263" i="1"/>
  <c r="AI263" i="1"/>
  <c r="AH263" i="1"/>
  <c r="AG263" i="1"/>
  <c r="AJ262" i="1"/>
  <c r="AI262" i="1"/>
  <c r="AH262" i="1"/>
  <c r="AG262" i="1"/>
  <c r="AJ261" i="1"/>
  <c r="AI261" i="1"/>
  <c r="AH261" i="1"/>
  <c r="AG261" i="1"/>
  <c r="AJ260" i="1"/>
  <c r="AI260" i="1"/>
  <c r="AH260" i="1"/>
  <c r="AG260" i="1"/>
  <c r="AJ259" i="1"/>
  <c r="AI259" i="1"/>
  <c r="AH259" i="1"/>
  <c r="AG259" i="1"/>
  <c r="AJ258" i="1"/>
  <c r="AI258" i="1"/>
  <c r="AH258" i="1"/>
  <c r="AG258" i="1"/>
  <c r="AJ257" i="1"/>
  <c r="AI257" i="1"/>
  <c r="AH257" i="1"/>
  <c r="AG257" i="1"/>
  <c r="AJ256" i="1"/>
  <c r="AI256" i="1"/>
  <c r="AH256" i="1"/>
  <c r="AG256" i="1"/>
  <c r="AJ255" i="1"/>
  <c r="AI255" i="1"/>
  <c r="AH255" i="1"/>
  <c r="AG255" i="1"/>
  <c r="AJ254" i="1"/>
  <c r="AI254" i="1"/>
  <c r="AH254" i="1"/>
  <c r="AG254" i="1"/>
  <c r="AJ253" i="1"/>
  <c r="AI253" i="1"/>
  <c r="AH253" i="1"/>
  <c r="AG253" i="1"/>
  <c r="AJ252" i="1"/>
  <c r="AI252" i="1"/>
  <c r="AH252" i="1"/>
  <c r="AG252" i="1"/>
  <c r="AJ251" i="1"/>
  <c r="AI251" i="1"/>
  <c r="AH251" i="1"/>
  <c r="AG251" i="1"/>
  <c r="AJ250" i="1"/>
  <c r="AI250" i="1"/>
  <c r="AH250" i="1"/>
  <c r="AG250" i="1"/>
  <c r="AJ249" i="1"/>
  <c r="AI249" i="1"/>
  <c r="AH249" i="1"/>
  <c r="AG249" i="1"/>
  <c r="AJ248" i="1"/>
  <c r="AI248" i="1"/>
  <c r="AH248" i="1"/>
  <c r="AG248" i="1"/>
  <c r="AJ247" i="1"/>
  <c r="AI247" i="1"/>
  <c r="AH247" i="1"/>
  <c r="AG247" i="1"/>
  <c r="AJ246" i="1"/>
  <c r="AI246" i="1"/>
  <c r="AH246" i="1"/>
  <c r="AG246" i="1"/>
  <c r="AJ245" i="1"/>
  <c r="AI245" i="1"/>
  <c r="AH245" i="1"/>
  <c r="AG245" i="1"/>
  <c r="AJ244" i="1"/>
  <c r="AI244" i="1"/>
  <c r="AH244" i="1"/>
  <c r="AG244" i="1"/>
  <c r="AJ243" i="1"/>
  <c r="AI243" i="1"/>
  <c r="AH243" i="1"/>
  <c r="AG243" i="1"/>
  <c r="AJ242" i="1"/>
  <c r="AI242" i="1"/>
  <c r="AH242" i="1"/>
  <c r="AG242" i="1"/>
  <c r="AJ241" i="1"/>
  <c r="AI241" i="1"/>
  <c r="AH241" i="1"/>
  <c r="AG241" i="1"/>
  <c r="AJ240" i="1"/>
  <c r="AI240" i="1"/>
  <c r="AH240" i="1"/>
  <c r="AG240" i="1"/>
  <c r="AJ239" i="1"/>
  <c r="AI239" i="1"/>
  <c r="AH239" i="1"/>
  <c r="AG239" i="1"/>
  <c r="AJ238" i="1"/>
  <c r="AI238" i="1"/>
  <c r="AH238" i="1"/>
  <c r="AG238" i="1"/>
  <c r="AJ237" i="1"/>
  <c r="AI237" i="1"/>
  <c r="AH237" i="1"/>
  <c r="AG237" i="1"/>
  <c r="AJ236" i="1"/>
  <c r="AI236" i="1"/>
  <c r="AH236" i="1"/>
  <c r="AG236" i="1"/>
  <c r="AJ235" i="1"/>
  <c r="AI235" i="1"/>
  <c r="AH235" i="1"/>
  <c r="AG235" i="1"/>
  <c r="AJ234" i="1"/>
  <c r="AI234" i="1"/>
  <c r="AH234" i="1"/>
  <c r="AG234" i="1"/>
  <c r="AJ233" i="1"/>
  <c r="AI233" i="1"/>
  <c r="AH233" i="1"/>
  <c r="AG233" i="1"/>
  <c r="AJ232" i="1"/>
  <c r="AI232" i="1"/>
  <c r="AH232" i="1"/>
  <c r="AG232" i="1"/>
  <c r="AJ231" i="1"/>
  <c r="AI231" i="1"/>
  <c r="AH231" i="1"/>
  <c r="AG231" i="1"/>
  <c r="AJ230" i="1"/>
  <c r="AI230" i="1"/>
  <c r="AH230" i="1"/>
  <c r="AG230" i="1"/>
  <c r="AJ229" i="1"/>
  <c r="AI229" i="1"/>
  <c r="AH229" i="1"/>
  <c r="AG229" i="1"/>
  <c r="AJ228" i="1"/>
  <c r="AI228" i="1"/>
  <c r="AH228" i="1"/>
  <c r="AG228" i="1"/>
  <c r="AJ227" i="1"/>
  <c r="AI227" i="1"/>
  <c r="AH227" i="1"/>
  <c r="AG227" i="1"/>
  <c r="AJ226" i="1"/>
  <c r="AI226" i="1"/>
  <c r="AH226" i="1"/>
  <c r="AG226" i="1"/>
  <c r="AJ225" i="1"/>
  <c r="AI225" i="1"/>
  <c r="AH225" i="1"/>
  <c r="AG225" i="1"/>
  <c r="AJ224" i="1"/>
  <c r="AI224" i="1"/>
  <c r="AH224" i="1"/>
  <c r="AG224" i="1"/>
  <c r="AJ223" i="1"/>
  <c r="AI223" i="1"/>
  <c r="AH223" i="1"/>
  <c r="AG223" i="1"/>
  <c r="AJ222" i="1"/>
  <c r="AI222" i="1"/>
  <c r="AH222" i="1"/>
  <c r="AG222" i="1"/>
  <c r="AJ221" i="1"/>
  <c r="AI221" i="1"/>
  <c r="AH221" i="1"/>
  <c r="AG221" i="1"/>
  <c r="AJ220" i="1"/>
  <c r="AI220" i="1"/>
  <c r="AH220" i="1"/>
  <c r="AG220" i="1"/>
  <c r="AJ219" i="1"/>
  <c r="AI219" i="1"/>
  <c r="AH219" i="1"/>
  <c r="AG219" i="1"/>
  <c r="AJ218" i="1"/>
  <c r="AI218" i="1"/>
  <c r="AH218" i="1"/>
  <c r="AG218" i="1"/>
  <c r="AJ217" i="1"/>
  <c r="AI217" i="1"/>
  <c r="AH217" i="1"/>
  <c r="AG217" i="1"/>
  <c r="AJ216" i="1"/>
  <c r="AI216" i="1"/>
  <c r="AH216" i="1"/>
  <c r="AG216" i="1"/>
  <c r="AJ215" i="1"/>
  <c r="AI215" i="1"/>
  <c r="AH215" i="1"/>
  <c r="AG215" i="1"/>
  <c r="AJ214" i="1"/>
  <c r="AI214" i="1"/>
  <c r="AH214" i="1"/>
  <c r="AG214" i="1"/>
  <c r="AJ213" i="1"/>
  <c r="AI213" i="1"/>
  <c r="AH213" i="1"/>
  <c r="AG213" i="1"/>
  <c r="AJ212" i="1"/>
  <c r="AI212" i="1"/>
  <c r="AH212" i="1"/>
  <c r="AG212" i="1"/>
  <c r="AJ211" i="1"/>
  <c r="AI211" i="1"/>
  <c r="AH211" i="1"/>
  <c r="AG211" i="1"/>
  <c r="AJ210" i="1"/>
  <c r="AI210" i="1"/>
  <c r="AH210" i="1"/>
  <c r="AG210" i="1"/>
  <c r="AJ209" i="1"/>
  <c r="AI209" i="1"/>
  <c r="AH209" i="1"/>
  <c r="AG209" i="1"/>
  <c r="AJ208" i="1"/>
  <c r="AI208" i="1"/>
  <c r="AH208" i="1"/>
  <c r="AG208" i="1"/>
  <c r="AJ207" i="1"/>
  <c r="AI207" i="1"/>
  <c r="AH207" i="1"/>
  <c r="AG207" i="1"/>
  <c r="AJ206" i="1"/>
  <c r="AI206" i="1"/>
  <c r="AH206" i="1"/>
  <c r="AG206" i="1"/>
  <c r="AJ205" i="1"/>
  <c r="AI205" i="1"/>
  <c r="AH205" i="1"/>
  <c r="AG205" i="1"/>
  <c r="AJ204" i="1"/>
  <c r="AI204" i="1"/>
  <c r="AH204" i="1"/>
  <c r="AG204" i="1"/>
  <c r="AJ203" i="1"/>
  <c r="AI203" i="1"/>
  <c r="AH203" i="1"/>
  <c r="AG203" i="1"/>
  <c r="AJ202" i="1"/>
  <c r="AI202" i="1"/>
  <c r="AH202" i="1"/>
  <c r="AG202" i="1"/>
  <c r="AJ201" i="1"/>
  <c r="AI201" i="1"/>
  <c r="AH201" i="1"/>
  <c r="AG201" i="1"/>
  <c r="AJ200" i="1"/>
  <c r="AI200" i="1"/>
  <c r="AH200" i="1"/>
  <c r="AG200" i="1"/>
  <c r="AJ199" i="1"/>
  <c r="AI199" i="1"/>
  <c r="AH199" i="1"/>
  <c r="AG199" i="1"/>
  <c r="AJ198" i="1"/>
  <c r="AI198" i="1"/>
  <c r="AH198" i="1"/>
  <c r="AG198" i="1"/>
  <c r="AJ197" i="1"/>
  <c r="AI197" i="1"/>
  <c r="AH197" i="1"/>
  <c r="AG197" i="1"/>
  <c r="AJ196" i="1"/>
  <c r="AI196" i="1"/>
  <c r="AH196" i="1"/>
  <c r="AG196" i="1"/>
  <c r="AJ195" i="1"/>
  <c r="AI195" i="1"/>
  <c r="AH195" i="1"/>
  <c r="AG195" i="1"/>
  <c r="AJ194" i="1"/>
  <c r="AI194" i="1"/>
  <c r="AH194" i="1"/>
  <c r="AG194" i="1"/>
  <c r="AJ193" i="1"/>
  <c r="AI193" i="1"/>
  <c r="AH193" i="1"/>
  <c r="AG193" i="1"/>
  <c r="AJ192" i="1"/>
  <c r="AI192" i="1"/>
  <c r="AH192" i="1"/>
  <c r="AG192" i="1"/>
  <c r="AJ191" i="1"/>
  <c r="AI191" i="1"/>
  <c r="AH191" i="1"/>
  <c r="AG191" i="1"/>
  <c r="AJ190" i="1"/>
  <c r="AI190" i="1"/>
  <c r="AH190" i="1"/>
  <c r="AG190" i="1"/>
  <c r="AJ189" i="1"/>
  <c r="AI189" i="1"/>
  <c r="AH189" i="1"/>
  <c r="AG189" i="1"/>
  <c r="AJ188" i="1"/>
  <c r="AI188" i="1"/>
  <c r="AH188" i="1"/>
  <c r="AG188" i="1"/>
  <c r="AJ187" i="1"/>
  <c r="AI187" i="1"/>
  <c r="AH187" i="1"/>
  <c r="AG187" i="1"/>
  <c r="AJ186" i="1"/>
  <c r="AI186" i="1"/>
  <c r="AH186" i="1"/>
  <c r="AG186" i="1"/>
  <c r="AJ185" i="1"/>
  <c r="AI185" i="1"/>
  <c r="AH185" i="1"/>
  <c r="AG185" i="1"/>
  <c r="AJ184" i="1"/>
  <c r="AI184" i="1"/>
  <c r="AH184" i="1"/>
  <c r="AG184" i="1"/>
  <c r="AJ183" i="1"/>
  <c r="AI183" i="1"/>
  <c r="AH183" i="1"/>
  <c r="AG183" i="1"/>
  <c r="AJ182" i="1"/>
  <c r="AI182" i="1"/>
  <c r="AH182" i="1"/>
  <c r="AG182" i="1"/>
  <c r="AJ181" i="1"/>
  <c r="AI181" i="1"/>
  <c r="AH181" i="1"/>
  <c r="AG181" i="1"/>
  <c r="AJ180" i="1"/>
  <c r="AI180" i="1"/>
  <c r="AH180" i="1"/>
  <c r="AG180" i="1"/>
  <c r="AJ179" i="1"/>
  <c r="AI179" i="1"/>
  <c r="AH179" i="1"/>
  <c r="AG179" i="1"/>
  <c r="AJ178" i="1"/>
  <c r="AI178" i="1"/>
  <c r="AH178" i="1"/>
  <c r="AG178" i="1"/>
  <c r="AJ177" i="1"/>
  <c r="AI177" i="1"/>
  <c r="AH177" i="1"/>
  <c r="AG177" i="1"/>
  <c r="AJ176" i="1"/>
  <c r="AI176" i="1"/>
  <c r="AH176" i="1"/>
  <c r="AG176" i="1"/>
  <c r="AJ175" i="1"/>
  <c r="AI175" i="1"/>
  <c r="AH175" i="1"/>
  <c r="AG175" i="1"/>
  <c r="AJ174" i="1"/>
  <c r="AI174" i="1"/>
  <c r="AH174" i="1"/>
  <c r="AG174" i="1"/>
  <c r="AJ173" i="1"/>
  <c r="AI173" i="1"/>
  <c r="AH173" i="1"/>
  <c r="AG173" i="1"/>
  <c r="AJ172" i="1"/>
  <c r="AI172" i="1"/>
  <c r="AH172" i="1"/>
  <c r="AG172" i="1"/>
  <c r="AJ171" i="1"/>
  <c r="AI171" i="1"/>
  <c r="AH171" i="1"/>
  <c r="AG171" i="1"/>
  <c r="AJ170" i="1"/>
  <c r="AI170" i="1"/>
  <c r="AH170" i="1"/>
  <c r="AG170" i="1"/>
  <c r="AJ169" i="1"/>
  <c r="AI169" i="1"/>
  <c r="AH169" i="1"/>
  <c r="AG169" i="1"/>
  <c r="AJ168" i="1"/>
  <c r="AI168" i="1"/>
  <c r="AH168" i="1"/>
  <c r="AG168" i="1"/>
  <c r="AJ167" i="1"/>
  <c r="AI167" i="1"/>
  <c r="AH167" i="1"/>
  <c r="AG167" i="1"/>
  <c r="AJ166" i="1"/>
  <c r="AI166" i="1"/>
  <c r="AH166" i="1"/>
  <c r="AG166" i="1"/>
  <c r="AJ165" i="1"/>
  <c r="AI165" i="1"/>
  <c r="AH165" i="1"/>
  <c r="AG165" i="1"/>
  <c r="AJ164" i="1"/>
  <c r="AI164" i="1"/>
  <c r="AH164" i="1"/>
  <c r="AG164" i="1"/>
  <c r="AJ163" i="1"/>
  <c r="AI163" i="1"/>
  <c r="AH163" i="1"/>
  <c r="AG163" i="1"/>
  <c r="AJ162" i="1"/>
  <c r="AI162" i="1"/>
  <c r="AH162" i="1"/>
  <c r="AG162" i="1"/>
  <c r="AJ161" i="1"/>
  <c r="AI161" i="1"/>
  <c r="AH161" i="1"/>
  <c r="AG161" i="1"/>
  <c r="AJ160" i="1"/>
  <c r="AI160" i="1"/>
  <c r="AH160" i="1"/>
  <c r="AG160" i="1"/>
  <c r="AJ159" i="1"/>
  <c r="AI159" i="1"/>
  <c r="AH159" i="1"/>
  <c r="AG159" i="1"/>
  <c r="AJ158" i="1"/>
  <c r="AI158" i="1"/>
  <c r="AH158" i="1"/>
  <c r="AG158" i="1"/>
  <c r="AJ157" i="1"/>
  <c r="AI157" i="1"/>
  <c r="AH157" i="1"/>
  <c r="AG157" i="1"/>
  <c r="AJ156" i="1"/>
  <c r="AI156" i="1"/>
  <c r="AH156" i="1"/>
  <c r="AG156" i="1"/>
  <c r="AJ155" i="1"/>
  <c r="AI155" i="1"/>
  <c r="AH155" i="1"/>
  <c r="AG155" i="1"/>
  <c r="AJ154" i="1"/>
  <c r="AI154" i="1"/>
  <c r="AH154" i="1"/>
  <c r="AG154" i="1"/>
  <c r="AJ153" i="1"/>
  <c r="AI153" i="1"/>
  <c r="AH153" i="1"/>
  <c r="AG153" i="1"/>
  <c r="AJ152" i="1"/>
  <c r="AI152" i="1"/>
  <c r="AH152" i="1"/>
  <c r="AG152" i="1"/>
  <c r="AJ151" i="1"/>
  <c r="AI151" i="1"/>
  <c r="AH151" i="1"/>
  <c r="AG151" i="1"/>
  <c r="AJ150" i="1"/>
  <c r="AI150" i="1"/>
  <c r="AH150" i="1"/>
  <c r="AG150" i="1"/>
  <c r="AJ149" i="1"/>
  <c r="AI149" i="1"/>
  <c r="AH149" i="1"/>
  <c r="AG149" i="1"/>
  <c r="AJ148" i="1"/>
  <c r="AI148" i="1"/>
  <c r="AH148" i="1"/>
  <c r="AG148" i="1"/>
  <c r="AJ147" i="1"/>
  <c r="AI147" i="1"/>
  <c r="AH147" i="1"/>
  <c r="AG147" i="1"/>
  <c r="AJ146" i="1"/>
  <c r="AI146" i="1"/>
  <c r="AH146" i="1"/>
  <c r="AG146" i="1"/>
  <c r="AJ145" i="1"/>
  <c r="AI145" i="1"/>
  <c r="AH145" i="1"/>
  <c r="AG145" i="1"/>
  <c r="AJ144" i="1"/>
  <c r="AI144" i="1"/>
  <c r="AH144" i="1"/>
  <c r="AG144" i="1"/>
  <c r="AJ143" i="1"/>
  <c r="AI143" i="1"/>
  <c r="AH143" i="1"/>
  <c r="AG143" i="1"/>
  <c r="AJ142" i="1"/>
  <c r="AI142" i="1"/>
  <c r="AH142" i="1"/>
  <c r="AG142" i="1"/>
  <c r="AJ141" i="1"/>
  <c r="AI141" i="1"/>
  <c r="AH141" i="1"/>
  <c r="AG141" i="1"/>
  <c r="AJ140" i="1"/>
  <c r="AI140" i="1"/>
  <c r="AH140" i="1"/>
  <c r="AG140" i="1"/>
  <c r="AJ139" i="1"/>
  <c r="AI139" i="1"/>
  <c r="AH139" i="1"/>
  <c r="AG139" i="1"/>
  <c r="AJ138" i="1"/>
  <c r="AI138" i="1"/>
  <c r="AH138" i="1"/>
  <c r="AG138" i="1"/>
  <c r="AJ137" i="1"/>
  <c r="AI137" i="1"/>
  <c r="AH137" i="1"/>
  <c r="AG137" i="1"/>
  <c r="AJ136" i="1"/>
  <c r="AI136" i="1"/>
  <c r="AH136" i="1"/>
  <c r="AG136" i="1"/>
  <c r="AJ135" i="1"/>
  <c r="AI135" i="1"/>
  <c r="AH135" i="1"/>
  <c r="AG135" i="1"/>
  <c r="AJ134" i="1"/>
  <c r="AI134" i="1"/>
  <c r="AH134" i="1"/>
  <c r="AG134" i="1"/>
  <c r="AJ133" i="1"/>
  <c r="AI133" i="1"/>
  <c r="AH133" i="1"/>
  <c r="AG133" i="1"/>
  <c r="AJ132" i="1"/>
  <c r="AI132" i="1"/>
  <c r="AH132" i="1"/>
  <c r="AG132" i="1"/>
  <c r="AJ131" i="1"/>
  <c r="AI131" i="1"/>
  <c r="AH131" i="1"/>
  <c r="AG131" i="1"/>
  <c r="AJ130" i="1"/>
  <c r="AI130" i="1"/>
  <c r="AH130" i="1"/>
  <c r="AG130" i="1"/>
  <c r="AJ129" i="1"/>
  <c r="AI129" i="1"/>
  <c r="AH129" i="1"/>
  <c r="AG129" i="1"/>
  <c r="AJ128" i="1"/>
  <c r="AI128" i="1"/>
  <c r="AH128" i="1"/>
  <c r="AG128" i="1"/>
  <c r="AJ127" i="1"/>
  <c r="AI127" i="1"/>
  <c r="AH127" i="1"/>
  <c r="AG127" i="1"/>
  <c r="AJ126" i="1"/>
  <c r="AI126" i="1"/>
  <c r="AH126" i="1"/>
  <c r="AG126" i="1"/>
  <c r="AJ125" i="1"/>
  <c r="AI125" i="1"/>
  <c r="AH125" i="1"/>
  <c r="AG125" i="1"/>
  <c r="AJ124" i="1"/>
  <c r="AI124" i="1"/>
  <c r="AH124" i="1"/>
  <c r="AG124" i="1"/>
  <c r="AJ123" i="1"/>
  <c r="AI123" i="1"/>
  <c r="AH123" i="1"/>
  <c r="AG123" i="1"/>
  <c r="AJ122" i="1"/>
  <c r="AI122" i="1"/>
  <c r="AH122" i="1"/>
  <c r="AG122" i="1"/>
  <c r="AJ121" i="1"/>
  <c r="AI121" i="1"/>
  <c r="AH121" i="1"/>
  <c r="AG121" i="1"/>
  <c r="AJ120" i="1"/>
  <c r="AI120" i="1"/>
  <c r="AH120" i="1"/>
  <c r="AG120" i="1"/>
  <c r="AJ119" i="1"/>
  <c r="AI119" i="1"/>
  <c r="AH119" i="1"/>
  <c r="AG119" i="1"/>
  <c r="AJ118" i="1"/>
  <c r="AI118" i="1"/>
  <c r="AH118" i="1"/>
  <c r="AG118" i="1"/>
  <c r="AJ117" i="1"/>
  <c r="AI117" i="1"/>
  <c r="AH117" i="1"/>
  <c r="AG117" i="1"/>
  <c r="AJ116" i="1"/>
  <c r="AI116" i="1"/>
  <c r="AH116" i="1"/>
  <c r="AG116" i="1"/>
  <c r="AJ115" i="1"/>
  <c r="AI115" i="1"/>
  <c r="AH115" i="1"/>
  <c r="AG115" i="1"/>
  <c r="AJ114" i="1"/>
  <c r="AI114" i="1"/>
  <c r="AH114" i="1"/>
  <c r="AG114" i="1"/>
  <c r="AJ113" i="1"/>
  <c r="AI113" i="1"/>
  <c r="AH113" i="1"/>
  <c r="AG113" i="1"/>
  <c r="AJ112" i="1"/>
  <c r="AI112" i="1"/>
  <c r="AH112" i="1"/>
  <c r="AG112" i="1"/>
  <c r="AJ111" i="1"/>
  <c r="AI111" i="1"/>
  <c r="AH111" i="1"/>
  <c r="AG111" i="1"/>
  <c r="AJ110" i="1"/>
  <c r="AI110" i="1"/>
  <c r="AH110" i="1"/>
  <c r="AG110" i="1"/>
  <c r="AJ109" i="1"/>
  <c r="AI109" i="1"/>
  <c r="AH109" i="1"/>
  <c r="AG109" i="1"/>
  <c r="AJ108" i="1"/>
  <c r="AI108" i="1"/>
  <c r="AH108" i="1"/>
  <c r="AG108" i="1"/>
  <c r="AJ107" i="1"/>
  <c r="AI107" i="1"/>
  <c r="AH107" i="1"/>
  <c r="AG107" i="1"/>
  <c r="AJ106" i="1"/>
  <c r="AI106" i="1"/>
  <c r="AH106" i="1"/>
  <c r="AG106" i="1"/>
  <c r="AJ105" i="1"/>
  <c r="AI105" i="1"/>
  <c r="AH105" i="1"/>
  <c r="AG105" i="1"/>
  <c r="AJ104" i="1"/>
  <c r="AI104" i="1"/>
  <c r="AH104" i="1"/>
  <c r="AG104" i="1"/>
  <c r="AJ103" i="1"/>
  <c r="AI103" i="1"/>
  <c r="AH103" i="1"/>
  <c r="AG103" i="1"/>
  <c r="AJ102" i="1"/>
  <c r="AI102" i="1"/>
  <c r="AH102" i="1"/>
  <c r="AG102" i="1"/>
  <c r="AJ101" i="1"/>
  <c r="AI101" i="1"/>
  <c r="AH101" i="1"/>
  <c r="AG101" i="1"/>
  <c r="AJ100" i="1"/>
  <c r="AI100" i="1"/>
  <c r="AH100" i="1"/>
  <c r="AG100" i="1"/>
  <c r="AJ99" i="1"/>
  <c r="AI99" i="1"/>
  <c r="AH99" i="1"/>
  <c r="AG99" i="1"/>
  <c r="AJ98" i="1"/>
  <c r="AI98" i="1"/>
  <c r="AH98" i="1"/>
  <c r="AG98" i="1"/>
  <c r="AJ97" i="1"/>
  <c r="AI97" i="1"/>
  <c r="AH97" i="1"/>
  <c r="AG97" i="1"/>
  <c r="AJ96" i="1"/>
  <c r="AI96" i="1"/>
  <c r="AH96" i="1"/>
  <c r="AG96" i="1"/>
  <c r="AJ95" i="1"/>
  <c r="AI95" i="1"/>
  <c r="AH95" i="1"/>
  <c r="AG95" i="1"/>
  <c r="AJ94" i="1"/>
  <c r="AI94" i="1"/>
  <c r="AH94" i="1"/>
  <c r="AG94" i="1"/>
  <c r="AJ93" i="1"/>
  <c r="AI93" i="1"/>
  <c r="AH93" i="1"/>
  <c r="AG93" i="1"/>
  <c r="AJ92" i="1"/>
  <c r="AI92" i="1"/>
  <c r="AH92" i="1"/>
  <c r="AG92" i="1"/>
  <c r="AJ91" i="1"/>
  <c r="AI91" i="1"/>
  <c r="AH91" i="1"/>
  <c r="AG91" i="1"/>
  <c r="AJ90" i="1"/>
  <c r="AI90" i="1"/>
  <c r="AH90" i="1"/>
  <c r="AG90" i="1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H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</calcChain>
</file>

<file path=xl/sharedStrings.xml><?xml version="1.0" encoding="utf-8"?>
<sst xmlns="http://schemas.openxmlformats.org/spreadsheetml/2006/main" count="12264" uniqueCount="2185">
  <si>
    <t>Rating</t>
  </si>
  <si>
    <t>Name</t>
  </si>
  <si>
    <t>Symbol</t>
  </si>
  <si>
    <t>Rating Agency Name</t>
  </si>
  <si>
    <t>Date</t>
  </si>
  <si>
    <t>Sector</t>
  </si>
  <si>
    <t>currentRatio</t>
  </si>
  <si>
    <t>quickRatio</t>
  </si>
  <si>
    <t>cashRatio</t>
  </si>
  <si>
    <t>daysOfSalesOutstanding</t>
  </si>
  <si>
    <t>netProfitMargin</t>
  </si>
  <si>
    <t>pretaxProfitMargin</t>
  </si>
  <si>
    <t>grossProfitMargin</t>
  </si>
  <si>
    <t>operatingProfitMargin</t>
  </si>
  <si>
    <t>returnOnAssets</t>
  </si>
  <si>
    <t>returnOnCapitalEmployed</t>
  </si>
  <si>
    <t>returnOnEquity</t>
  </si>
  <si>
    <t>assetTurnover</t>
  </si>
  <si>
    <t>fixedAssetTurnover</t>
  </si>
  <si>
    <t>debtEquityRatio</t>
  </si>
  <si>
    <t>debtRatio</t>
  </si>
  <si>
    <t>effectiveTaxRate</t>
  </si>
  <si>
    <t>freeCashFlowOperatingCashFlowRatio</t>
  </si>
  <si>
    <t>freeCashFlowPerShare</t>
  </si>
  <si>
    <t>cashPerShare</t>
  </si>
  <si>
    <t>companyEquityMultiplier</t>
  </si>
  <si>
    <t>ebitPerRevenue</t>
  </si>
  <si>
    <t>enterpriseValueMultiple</t>
  </si>
  <si>
    <t>operatingCashFlowPerShare</t>
  </si>
  <si>
    <t>operatingCashFlowSalesRatio</t>
  </si>
  <si>
    <t>payablesTurnover</t>
  </si>
  <si>
    <t>Date Parsed</t>
  </si>
  <si>
    <t>Year</t>
  </si>
  <si>
    <t>Quarter</t>
  </si>
  <si>
    <t>Rating Score</t>
  </si>
  <si>
    <t>Rating Category</t>
  </si>
  <si>
    <t>A</t>
  </si>
  <si>
    <t>Whirlpool Corporation</t>
  </si>
  <si>
    <t>WHR</t>
  </si>
  <si>
    <t>Egan-Jones Ratings Company</t>
  </si>
  <si>
    <t>11/27/2015</t>
  </si>
  <si>
    <t>Consumer Durables</t>
  </si>
  <si>
    <t>BBB</t>
  </si>
  <si>
    <t>2/13/2014</t>
  </si>
  <si>
    <t>Fitch Ratings</t>
  </si>
  <si>
    <t>3/6/2015</t>
  </si>
  <si>
    <t>6/15/2012</t>
  </si>
  <si>
    <t>Standard &amp; Poor's Ratings Services</t>
  </si>
  <si>
    <t>10/24/2016</t>
  </si>
  <si>
    <t>AA</t>
  </si>
  <si>
    <t>Schlumberger N.V.</t>
  </si>
  <si>
    <t>SLB</t>
  </si>
  <si>
    <t>7/18/2014</t>
  </si>
  <si>
    <t>Energy</t>
  </si>
  <si>
    <t>5/13/2014</t>
  </si>
  <si>
    <t>7/23/2015</t>
  </si>
  <si>
    <t>Honeywell International Inc.</t>
  </si>
  <si>
    <t>HON</t>
  </si>
  <si>
    <t>4/29/2014</t>
  </si>
  <si>
    <t>Capital Goods</t>
  </si>
  <si>
    <t>Moody's Investors Service</t>
  </si>
  <si>
    <t>2/16/2016</t>
  </si>
  <si>
    <t>4/21/2015</t>
  </si>
  <si>
    <t>Sysco Corporation</t>
  </si>
  <si>
    <t>SYY</t>
  </si>
  <si>
    <t>6/1/2015</t>
  </si>
  <si>
    <t>Consumer Non-Durables</t>
  </si>
  <si>
    <t>6/5/2014</t>
  </si>
  <si>
    <t>11/3/2015</t>
  </si>
  <si>
    <t>5/7/2013</t>
  </si>
  <si>
    <t>Philip Morris International Inc</t>
  </si>
  <si>
    <t>PM</t>
  </si>
  <si>
    <t>3/21/2016</t>
  </si>
  <si>
    <t>7/4/2013</t>
  </si>
  <si>
    <t>2/12/2013</t>
  </si>
  <si>
    <t>10/17/2014</t>
  </si>
  <si>
    <t>AT&amp;T Inc.</t>
  </si>
  <si>
    <t>T</t>
  </si>
  <si>
    <t>10/28/2014</t>
  </si>
  <si>
    <t>Public Utilities</t>
  </si>
  <si>
    <t>11/28/2012</t>
  </si>
  <si>
    <t>Duke Energy Corporation</t>
  </si>
  <si>
    <t>DUK</t>
  </si>
  <si>
    <t>9/27/2013</t>
  </si>
  <si>
    <t>5/26/2015</t>
  </si>
  <si>
    <t>9/22/2015</t>
  </si>
  <si>
    <t>6/10/2013</t>
  </si>
  <si>
    <t>8/10/2016</t>
  </si>
  <si>
    <t>Danaher Corporation</t>
  </si>
  <si>
    <t>DHR</t>
  </si>
  <si>
    <t>4/28/2014</t>
  </si>
  <si>
    <t>10/27/2015</t>
  </si>
  <si>
    <t>BB</t>
  </si>
  <si>
    <t>CACI International, Inc.</t>
  </si>
  <si>
    <t>CACI</t>
  </si>
  <si>
    <t>4/19/2016</t>
  </si>
  <si>
    <t>Technology</t>
  </si>
  <si>
    <t>11/26/2014</t>
  </si>
  <si>
    <t>10/25/2013</t>
  </si>
  <si>
    <t>9/29/2016</t>
  </si>
  <si>
    <t>Southwest Gas Holdings, Inc.</t>
  </si>
  <si>
    <t>SWX</t>
  </si>
  <si>
    <t>9/4/2014</t>
  </si>
  <si>
    <t>4/2/2014</t>
  </si>
  <si>
    <t>4/27/2011</t>
  </si>
  <si>
    <t>5/28/2013</t>
  </si>
  <si>
    <t>1/21/2016</t>
  </si>
  <si>
    <t>America Movil, S.A.B. de C.V.</t>
  </si>
  <si>
    <t>AMOV</t>
  </si>
  <si>
    <t>B</t>
  </si>
  <si>
    <t>Nektar Therapeutics</t>
  </si>
  <si>
    <t>NKTR</t>
  </si>
  <si>
    <t>11/20/2015</t>
  </si>
  <si>
    <t>Health Care</t>
  </si>
  <si>
    <t>4/1/2015</t>
  </si>
  <si>
    <t>4/14/2014</t>
  </si>
  <si>
    <t>CCC</t>
  </si>
  <si>
    <t>6/17/2013</t>
  </si>
  <si>
    <t>WEC Energy Group, Inc.</t>
  </si>
  <si>
    <t>WEC</t>
  </si>
  <si>
    <t>5/15/2015</t>
  </si>
  <si>
    <t>12/5/2013</t>
  </si>
  <si>
    <t>9/14/2015</t>
  </si>
  <si>
    <t>FirstEnergy Corp.</t>
  </si>
  <si>
    <t>FE</t>
  </si>
  <si>
    <t>8/14/2015</t>
  </si>
  <si>
    <t>6/13/2014</t>
  </si>
  <si>
    <t>8/29/2014</t>
  </si>
  <si>
    <t>3/1/2013</t>
  </si>
  <si>
    <t>Vector Group Ltd.</t>
  </si>
  <si>
    <t>VGR</t>
  </si>
  <si>
    <t>12/11/2013</t>
  </si>
  <si>
    <t>8/28/2015</t>
  </si>
  <si>
    <t>11/13/2011</t>
  </si>
  <si>
    <t>11/29/2016</t>
  </si>
  <si>
    <t>1/30/2013</t>
  </si>
  <si>
    <t>CMS Energy Corporation</t>
  </si>
  <si>
    <t>CMS</t>
  </si>
  <si>
    <t>11/4/2013</t>
  </si>
  <si>
    <t>11/12/2015</t>
  </si>
  <si>
    <t>2/9/2015</t>
  </si>
  <si>
    <t>3/15/2013</t>
  </si>
  <si>
    <t>10/31/2016</t>
  </si>
  <si>
    <t>General Electric Company</t>
  </si>
  <si>
    <t>GE</t>
  </si>
  <si>
    <t>10/5/2015</t>
  </si>
  <si>
    <t>5/14/2014</t>
  </si>
  <si>
    <t>10/5/2016</t>
  </si>
  <si>
    <t>Lockheed Martin Corporation</t>
  </si>
  <si>
    <t>LMT</t>
  </si>
  <si>
    <t>5/7/2014</t>
  </si>
  <si>
    <t>4/29/2015</t>
  </si>
  <si>
    <t>7/27/2015</t>
  </si>
  <si>
    <t>12/14/2012</t>
  </si>
  <si>
    <t>Occidental Petroleum Corporation</t>
  </si>
  <si>
    <t>OXY</t>
  </si>
  <si>
    <t>9/23/2013</t>
  </si>
  <si>
    <t>12/2/2014</t>
  </si>
  <si>
    <t>6/19/2012</t>
  </si>
  <si>
    <t>11/4/2016</t>
  </si>
  <si>
    <t>Pinnacle West Capital Corporation</t>
  </si>
  <si>
    <t>PNW</t>
  </si>
  <si>
    <t>12/4/2015</t>
  </si>
  <si>
    <t>6/6/2014</t>
  </si>
  <si>
    <t>CVS Health Corporation</t>
  </si>
  <si>
    <t>CVS</t>
  </si>
  <si>
    <t>11/16/2015</t>
  </si>
  <si>
    <t>8/29/2013</t>
  </si>
  <si>
    <t>5/18/2015</t>
  </si>
  <si>
    <t>11/27/2012</t>
  </si>
  <si>
    <t>7/21/2016</t>
  </si>
  <si>
    <t>Weyerhaeuser Company</t>
  </si>
  <si>
    <t>WY</t>
  </si>
  <si>
    <t>2/21/2014</t>
  </si>
  <si>
    <t>Consumer Services</t>
  </si>
  <si>
    <t>8/19/2014</t>
  </si>
  <si>
    <t>4/22/2013</t>
  </si>
  <si>
    <t>11/9/2015</t>
  </si>
  <si>
    <t>Bottomline Technologies, Inc.</t>
  </si>
  <si>
    <t>EPAY</t>
  </si>
  <si>
    <t>12/3/2014</t>
  </si>
  <si>
    <t>12/22/2015</t>
  </si>
  <si>
    <t>Universal Corporation</t>
  </si>
  <si>
    <t>UVV</t>
  </si>
  <si>
    <t>6/27/2014</t>
  </si>
  <si>
    <t>12/12/2014</t>
  </si>
  <si>
    <t>9/9/2015</t>
  </si>
  <si>
    <t>5/30/2013</t>
  </si>
  <si>
    <t>Emerson Electric Company</t>
  </si>
  <si>
    <t>EMR</t>
  </si>
  <si>
    <t>2/14/2013</t>
  </si>
  <si>
    <t>Marathon Oil Corporation</t>
  </si>
  <si>
    <t>MRO</t>
  </si>
  <si>
    <t>7/31/2013</t>
  </si>
  <si>
    <t>10/24/2012</t>
  </si>
  <si>
    <t>12/10/2014</t>
  </si>
  <si>
    <t>11/13/2015</t>
  </si>
  <si>
    <t>California Resources Corporation</t>
  </si>
  <si>
    <t>CRC</t>
  </si>
  <si>
    <t>D</t>
  </si>
  <si>
    <t>8/24/2016</t>
  </si>
  <si>
    <t>GATX Corporation</t>
  </si>
  <si>
    <t>GATX</t>
  </si>
  <si>
    <t>10/29/2014</t>
  </si>
  <si>
    <t>10/28/2015</t>
  </si>
  <si>
    <t>4/16/2013</t>
  </si>
  <si>
    <t>10/20/2016</t>
  </si>
  <si>
    <t>Enterprise Products Partners L.P.</t>
  </si>
  <si>
    <t>EPD</t>
  </si>
  <si>
    <t>11/26/2013</t>
  </si>
  <si>
    <t>11/14/2014</t>
  </si>
  <si>
    <t>3/22/2013</t>
  </si>
  <si>
    <t>Ritchie Bros. Auctioneers Incorporated</t>
  </si>
  <si>
    <t>RBA</t>
  </si>
  <si>
    <t>12/2/2016</t>
  </si>
  <si>
    <t>Miscellaneous</t>
  </si>
  <si>
    <t>Cabot Corporation</t>
  </si>
  <si>
    <t>CBT</t>
  </si>
  <si>
    <t>7/6/2012</t>
  </si>
  <si>
    <t>Basic Industries</t>
  </si>
  <si>
    <t>6/21/2012</t>
  </si>
  <si>
    <t>5/13/2015</t>
  </si>
  <si>
    <t>12/2/2015</t>
  </si>
  <si>
    <t>2/24/2014</t>
  </si>
  <si>
    <t>9/6/2016</t>
  </si>
  <si>
    <t>Phillips 66</t>
  </si>
  <si>
    <t>PSX</t>
  </si>
  <si>
    <t>11/12/2014</t>
  </si>
  <si>
    <t>8/31/2015</t>
  </si>
  <si>
    <t>3/29/2013</t>
  </si>
  <si>
    <t>Equifax, Inc.</t>
  </si>
  <si>
    <t>EFX</t>
  </si>
  <si>
    <t>Finance</t>
  </si>
  <si>
    <t>8/9/2013</t>
  </si>
  <si>
    <t>7/28/2014</t>
  </si>
  <si>
    <t>12/10/2012</t>
  </si>
  <si>
    <t>Exxon Mobil Corporation</t>
  </si>
  <si>
    <t>XOM</t>
  </si>
  <si>
    <t>9/24/2013</t>
  </si>
  <si>
    <t>4/26/2016</t>
  </si>
  <si>
    <t>QUALCOMM Incorporated</t>
  </si>
  <si>
    <t>QCOM</t>
  </si>
  <si>
    <t>11/14/2016</t>
  </si>
  <si>
    <t>CSX Corporation</t>
  </si>
  <si>
    <t>CSX</t>
  </si>
  <si>
    <t>9/9/2014</t>
  </si>
  <si>
    <t>Transportation</t>
  </si>
  <si>
    <t>10/14/2015</t>
  </si>
  <si>
    <t>10/17/2012</t>
  </si>
  <si>
    <t>7/17/2013</t>
  </si>
  <si>
    <t>10/14/2016</t>
  </si>
  <si>
    <t>4/28/2011</t>
  </si>
  <si>
    <t>Halliburton Company</t>
  </si>
  <si>
    <t>HAL</t>
  </si>
  <si>
    <t>8/26/2013</t>
  </si>
  <si>
    <t>1/16/2015</t>
  </si>
  <si>
    <t>11/5/2015</t>
  </si>
  <si>
    <t>L Brands, Inc.</t>
  </si>
  <si>
    <t>LB</t>
  </si>
  <si>
    <t>7/1/2013</t>
  </si>
  <si>
    <t>12/10/2015</t>
  </si>
  <si>
    <t>Domtar Corporation</t>
  </si>
  <si>
    <t>UFS</t>
  </si>
  <si>
    <t>12/1/2015</t>
  </si>
  <si>
    <t>5/12/2014</t>
  </si>
  <si>
    <t>3/19/2015</t>
  </si>
  <si>
    <t>8/20/2012</t>
  </si>
  <si>
    <t>Hess Corporation</t>
  </si>
  <si>
    <t>HES</t>
  </si>
  <si>
    <t>5/7/2015</t>
  </si>
  <si>
    <t>9/11/2013</t>
  </si>
  <si>
    <t>9/19/2016</t>
  </si>
  <si>
    <t>Churchill Downs, Incorporated</t>
  </si>
  <si>
    <t>CHDN</t>
  </si>
  <si>
    <t>12/9/2013</t>
  </si>
  <si>
    <t>UnitedHealth Group Incorporated</t>
  </si>
  <si>
    <t>UNH</t>
  </si>
  <si>
    <t>7/20/2015</t>
  </si>
  <si>
    <t>Marsh &amp; McLennan Companies, Inc.</t>
  </si>
  <si>
    <t>MMC</t>
  </si>
  <si>
    <t>11/27/2013</t>
  </si>
  <si>
    <t>10/30/2015</t>
  </si>
  <si>
    <t>6/4/2015</t>
  </si>
  <si>
    <t>3/4/2013</t>
  </si>
  <si>
    <t>Total S.A.</t>
  </si>
  <si>
    <t>TOT</t>
  </si>
  <si>
    <t>DBRS</t>
  </si>
  <si>
    <t>8/16/2005</t>
  </si>
  <si>
    <t>Baxter International Inc.</t>
  </si>
  <si>
    <t>BAX</t>
  </si>
  <si>
    <t>2/10/2015</t>
  </si>
  <si>
    <t>8/5/2015</t>
  </si>
  <si>
    <t>8/20/2013</t>
  </si>
  <si>
    <t>CC</t>
  </si>
  <si>
    <t>Navistar International Corporation</t>
  </si>
  <si>
    <t>NAV</t>
  </si>
  <si>
    <t>8/6/2012</t>
  </si>
  <si>
    <t>12/16/2013</t>
  </si>
  <si>
    <t>9/17/2015</t>
  </si>
  <si>
    <t>7/9/2014</t>
  </si>
  <si>
    <t>Sealed Air Corporation</t>
  </si>
  <si>
    <t>SEE</t>
  </si>
  <si>
    <t>12/10/2013</t>
  </si>
  <si>
    <t>8/12/2011</t>
  </si>
  <si>
    <t>6/8/2015</t>
  </si>
  <si>
    <t>6/8/2016</t>
  </si>
  <si>
    <t>6/1/2011</t>
  </si>
  <si>
    <t>Perrigo Company</t>
  </si>
  <si>
    <t>PRGO</t>
  </si>
  <si>
    <t>11/5/2013</t>
  </si>
  <si>
    <t>5/9/2013</t>
  </si>
  <si>
    <t>4/9/2015</t>
  </si>
  <si>
    <t>Ameren Corporation</t>
  </si>
  <si>
    <t>AEE</t>
  </si>
  <si>
    <t>6/3/2015</t>
  </si>
  <si>
    <t>11/30/2015</t>
  </si>
  <si>
    <t>ConocoPhillips</t>
  </si>
  <si>
    <t>COP</t>
  </si>
  <si>
    <t>6/3/2014</t>
  </si>
  <si>
    <t>11/17/2014</t>
  </si>
  <si>
    <t>5/1/2013</t>
  </si>
  <si>
    <t>Denbury Resources Inc.</t>
  </si>
  <si>
    <t>DNR</t>
  </si>
  <si>
    <t>8/23/2013</t>
  </si>
  <si>
    <t>2/9/2016</t>
  </si>
  <si>
    <t>8/27/2014</t>
  </si>
  <si>
    <t>1/22/2013</t>
  </si>
  <si>
    <t>Eversource Energy</t>
  </si>
  <si>
    <t>ES</t>
  </si>
  <si>
    <t>11/10/2015</t>
  </si>
  <si>
    <t>Xcel Energy Inc.</t>
  </si>
  <si>
    <t>XEL</t>
  </si>
  <si>
    <t>6/4/2014</t>
  </si>
  <si>
    <t>9/24/2015</t>
  </si>
  <si>
    <t>1/20/2015</t>
  </si>
  <si>
    <t>5/6/2013</t>
  </si>
  <si>
    <t>Alcoa Corporation</t>
  </si>
  <si>
    <t>Pfizer, Inc.</t>
  </si>
  <si>
    <t>PFE</t>
  </si>
  <si>
    <t>12/19/2013</t>
  </si>
  <si>
    <t>10/29/2015</t>
  </si>
  <si>
    <t>9/16/2014</t>
  </si>
  <si>
    <t>Pitney Bowes Inc.</t>
  </si>
  <si>
    <t>PBI</t>
  </si>
  <si>
    <t>5/28/2014</t>
  </si>
  <si>
    <t>11/18/2014</t>
  </si>
  <si>
    <t>9/30/2010</t>
  </si>
  <si>
    <t>Rio Tinto Plc</t>
  </si>
  <si>
    <t>RIO</t>
  </si>
  <si>
    <t>3/4/2015</t>
  </si>
  <si>
    <t>2/1/2016</t>
  </si>
  <si>
    <t>4/7/2014</t>
  </si>
  <si>
    <t>NiSource, Inc</t>
  </si>
  <si>
    <t>NI</t>
  </si>
  <si>
    <t>8/6/2015</t>
  </si>
  <si>
    <t>AAA</t>
  </si>
  <si>
    <t>Microsoft Corporation</t>
  </si>
  <si>
    <t>MSFT</t>
  </si>
  <si>
    <t>12/4/2013</t>
  </si>
  <si>
    <t>8/18/2015</t>
  </si>
  <si>
    <t>8/20/2014</t>
  </si>
  <si>
    <t>8/15/2016</t>
  </si>
  <si>
    <t>General Motors Company</t>
  </si>
  <si>
    <t>GM</t>
  </si>
  <si>
    <t>11/4/2014</t>
  </si>
  <si>
    <t>9/28/2015</t>
  </si>
  <si>
    <t>6/11/2014</t>
  </si>
  <si>
    <t>Sanmina Corporation</t>
  </si>
  <si>
    <t>SANM</t>
  </si>
  <si>
    <t>7/19/2012</t>
  </si>
  <si>
    <t>10/7/2016</t>
  </si>
  <si>
    <t>10/30/2014</t>
  </si>
  <si>
    <t>5/20/2014</t>
  </si>
  <si>
    <t>6/9/2016</t>
  </si>
  <si>
    <t>Carnival Corporation</t>
  </si>
  <si>
    <t>CCL</t>
  </si>
  <si>
    <t>10/13/2016</t>
  </si>
  <si>
    <t>LyondellBasell Industries NV</t>
  </si>
  <si>
    <t>LYB</t>
  </si>
  <si>
    <t>5/29/2013</t>
  </si>
  <si>
    <t>10/14/2014</t>
  </si>
  <si>
    <t>8/8/2013</t>
  </si>
  <si>
    <t>Ingredion Incorporated</t>
  </si>
  <si>
    <t>INGR</t>
  </si>
  <si>
    <t>5/27/2015</t>
  </si>
  <si>
    <t>9/18/2012</t>
  </si>
  <si>
    <t>Global Partners LP</t>
  </si>
  <si>
    <t>GLP</t>
  </si>
  <si>
    <t>6/16/2016</t>
  </si>
  <si>
    <t>6/16/2014</t>
  </si>
  <si>
    <t>Visteon Corporation</t>
  </si>
  <si>
    <t>VC</t>
  </si>
  <si>
    <t>3/15/2016</t>
  </si>
  <si>
    <t>3/23/2015</t>
  </si>
  <si>
    <t>3/25/2014</t>
  </si>
  <si>
    <t>NorthWestern Corporation</t>
  </si>
  <si>
    <t>NWE</t>
  </si>
  <si>
    <t>8/22/2013</t>
  </si>
  <si>
    <t>3/31/2015</t>
  </si>
  <si>
    <t>3/24/2011</t>
  </si>
  <si>
    <t>7/30/2015</t>
  </si>
  <si>
    <t>2/22/2013</t>
  </si>
  <si>
    <t>Nabors Industries Ltd.</t>
  </si>
  <si>
    <t>NBR</t>
  </si>
  <si>
    <t>4/22/2016</t>
  </si>
  <si>
    <t>3/20/2014</t>
  </si>
  <si>
    <t>3/3/2011</t>
  </si>
  <si>
    <t>Consolidated Communications Holdings, Inc.</t>
  </si>
  <si>
    <t>CNSL</t>
  </si>
  <si>
    <t>5/14/2012</t>
  </si>
  <si>
    <t>5/23/2013</t>
  </si>
  <si>
    <t>Eaton Corporation, PLC</t>
  </si>
  <si>
    <t>ETN</t>
  </si>
  <si>
    <t>11/14/2012</t>
  </si>
  <si>
    <t>8/11/2015</t>
  </si>
  <si>
    <t>1/25/2011</t>
  </si>
  <si>
    <t>AbbVie Inc.</t>
  </si>
  <si>
    <t>ABBV</t>
  </si>
  <si>
    <t>Avery Dennison Corporation</t>
  </si>
  <si>
    <t>AVY</t>
  </si>
  <si>
    <t>4/3/2013</t>
  </si>
  <si>
    <t>Aon plc</t>
  </si>
  <si>
    <t>AON</t>
  </si>
  <si>
    <t>2/14/2014</t>
  </si>
  <si>
    <t>Deere &amp; Company</t>
  </si>
  <si>
    <t>DE</t>
  </si>
  <si>
    <t>8/14/2013</t>
  </si>
  <si>
    <t>2/27/2015</t>
  </si>
  <si>
    <t>WPP plc</t>
  </si>
  <si>
    <t>WPP</t>
  </si>
  <si>
    <t>9/18/2014</t>
  </si>
  <si>
    <t>7/7/2015</t>
  </si>
  <si>
    <t>8/13/2013</t>
  </si>
  <si>
    <t>Transocean Ltd.</t>
  </si>
  <si>
    <t>RIG</t>
  </si>
  <si>
    <t>7/5/2016</t>
  </si>
  <si>
    <t>10/19/2015</t>
  </si>
  <si>
    <t>3/31/2014</t>
  </si>
  <si>
    <t>Verizon Communications Inc.</t>
  </si>
  <si>
    <t>VZ</t>
  </si>
  <si>
    <t>7/23/2014</t>
  </si>
  <si>
    <t>5/16/2014</t>
  </si>
  <si>
    <t>10/22/2015</t>
  </si>
  <si>
    <t>10/26/2016</t>
  </si>
  <si>
    <t>3/5/2013</t>
  </si>
  <si>
    <t>Entergy Corporation</t>
  </si>
  <si>
    <t>ETR</t>
  </si>
  <si>
    <t>12/18/2013</t>
  </si>
  <si>
    <t>9/10/2015</t>
  </si>
  <si>
    <t>8/17/2016</t>
  </si>
  <si>
    <t>Air Products and Chemicals, Inc.</t>
  </si>
  <si>
    <t>APD</t>
  </si>
  <si>
    <t>9/26/2013</t>
  </si>
  <si>
    <t>Kansas City Southern</t>
  </si>
  <si>
    <t>KSU</t>
  </si>
  <si>
    <t>Edison International</t>
  </si>
  <si>
    <t>EIX</t>
  </si>
  <si>
    <t>11/6/2014</t>
  </si>
  <si>
    <t>3/28/2014</t>
  </si>
  <si>
    <t>3/6/2012</t>
  </si>
  <si>
    <t>6/21/2011</t>
  </si>
  <si>
    <t>DTE Energy Company</t>
  </si>
  <si>
    <t>DTE</t>
  </si>
  <si>
    <t>8/1/2014</t>
  </si>
  <si>
    <t>3/18/2014</t>
  </si>
  <si>
    <t>10/25/2016</t>
  </si>
  <si>
    <t>2/8/2013</t>
  </si>
  <si>
    <t>Noble Corporation</t>
  </si>
  <si>
    <t>NE</t>
  </si>
  <si>
    <t>2/29/2016</t>
  </si>
  <si>
    <t>3/13/2013</t>
  </si>
  <si>
    <t>12/13/2016</t>
  </si>
  <si>
    <t>Micron Technology, Inc.</t>
  </si>
  <si>
    <t>MU</t>
  </si>
  <si>
    <t>6/25/2015</t>
  </si>
  <si>
    <t>4/11/2016</t>
  </si>
  <si>
    <t>1/31/2014</t>
  </si>
  <si>
    <t>Vodafone Group Plc</t>
  </si>
  <si>
    <t>VOD</t>
  </si>
  <si>
    <t>6/10/2016</t>
  </si>
  <si>
    <t>Martin Marietta Materials, Inc.</t>
  </si>
  <si>
    <t>MLM</t>
  </si>
  <si>
    <t>1/28/2014</t>
  </si>
  <si>
    <t>2/20/2015</t>
  </si>
  <si>
    <t>12/21/2015</t>
  </si>
  <si>
    <t>Masco Corporation</t>
  </si>
  <si>
    <t>MAS</t>
  </si>
  <si>
    <t>3/10/2016</t>
  </si>
  <si>
    <t>2/18/2015</t>
  </si>
  <si>
    <t>Energizer Holdings, Inc.</t>
  </si>
  <si>
    <t>ENR</t>
  </si>
  <si>
    <t>8/12/2014</t>
  </si>
  <si>
    <t>5/31/2016</t>
  </si>
  <si>
    <t>Altria Group</t>
  </si>
  <si>
    <t>MO</t>
  </si>
  <si>
    <t>3/9/2016</t>
  </si>
  <si>
    <t>10/28/2013</t>
  </si>
  <si>
    <t>9/13/2016</t>
  </si>
  <si>
    <t>4/30/2013</t>
  </si>
  <si>
    <t>11/10/2014</t>
  </si>
  <si>
    <t>Amgen Inc.</t>
  </si>
  <si>
    <t>AMGN</t>
  </si>
  <si>
    <t>9/13/2013</t>
  </si>
  <si>
    <t>4/23/2015</t>
  </si>
  <si>
    <t>2/18/2016</t>
  </si>
  <si>
    <t>9/10/2012</t>
  </si>
  <si>
    <t>EQT Corporation</t>
  </si>
  <si>
    <t>EQT</t>
  </si>
  <si>
    <t>3/9/2015</t>
  </si>
  <si>
    <t>11/1/2013</t>
  </si>
  <si>
    <t>3/21/2013</t>
  </si>
  <si>
    <t>4/11/2011</t>
  </si>
  <si>
    <t>Target Corporation</t>
  </si>
  <si>
    <t>TGT</t>
  </si>
  <si>
    <t>1/5/2015</t>
  </si>
  <si>
    <t>9/25/2015</t>
  </si>
  <si>
    <t>4/29/2013</t>
  </si>
  <si>
    <t>Medtronic plc</t>
  </si>
  <si>
    <t>MDT</t>
  </si>
  <si>
    <t>3/17/2015</t>
  </si>
  <si>
    <t>6/21/2013</t>
  </si>
  <si>
    <t>9/29/2015</t>
  </si>
  <si>
    <t>Chesapeake Energy Corporation</t>
  </si>
  <si>
    <t>CHK</t>
  </si>
  <si>
    <t>11/17/2015</t>
  </si>
  <si>
    <t>3/21/2014</t>
  </si>
  <si>
    <t>3/12/2013</t>
  </si>
  <si>
    <t>4/8/2011</t>
  </si>
  <si>
    <t>Colgate-Palmolive Company</t>
  </si>
  <si>
    <t>CL</t>
  </si>
  <si>
    <t>8/12/2013</t>
  </si>
  <si>
    <t>2/11/2015</t>
  </si>
  <si>
    <t>Jabil Inc.</t>
  </si>
  <si>
    <t>JBL</t>
  </si>
  <si>
    <t>4/5/2012</t>
  </si>
  <si>
    <t>10/8/2014</t>
  </si>
  <si>
    <t>1/13/2014</t>
  </si>
  <si>
    <t>9/27/2016</t>
  </si>
  <si>
    <t>11/3/2010</t>
  </si>
  <si>
    <t>Waste Connections, Inc.</t>
  </si>
  <si>
    <t>WCN</t>
  </si>
  <si>
    <t>9/28/2016</t>
  </si>
  <si>
    <t>6/1/2016</t>
  </si>
  <si>
    <t>6/12/2015</t>
  </si>
  <si>
    <t>Acadia Healthcare Company, Inc.</t>
  </si>
  <si>
    <t>ACHC</t>
  </si>
  <si>
    <t>1/28/2015</t>
  </si>
  <si>
    <t>ABB Ltd</t>
  </si>
  <si>
    <t>ABB</t>
  </si>
  <si>
    <t>8/5/2013</t>
  </si>
  <si>
    <t>5/8/2015</t>
  </si>
  <si>
    <t>8/12/2015</t>
  </si>
  <si>
    <t>BCE, Inc.</t>
  </si>
  <si>
    <t>BCE</t>
  </si>
  <si>
    <t>11/20/2013</t>
  </si>
  <si>
    <t>5/31/2013</t>
  </si>
  <si>
    <t>4/4/2011</t>
  </si>
  <si>
    <t>8/8/2016</t>
  </si>
  <si>
    <t>Tupperware Brands Corporation</t>
  </si>
  <si>
    <t>TUP</t>
  </si>
  <si>
    <t>5/1/2015</t>
  </si>
  <si>
    <t>11/12/2013</t>
  </si>
  <si>
    <t>3/6/2013</t>
  </si>
  <si>
    <t>7/25/2016</t>
  </si>
  <si>
    <t>5/25/2012</t>
  </si>
  <si>
    <t>Kellogg Company</t>
  </si>
  <si>
    <t>K</t>
  </si>
  <si>
    <t>1/6/2014</t>
  </si>
  <si>
    <t>Mylan N.V.</t>
  </si>
  <si>
    <t>MYL</t>
  </si>
  <si>
    <t>11/15/2016</t>
  </si>
  <si>
    <t>Pentair plc.</t>
  </si>
  <si>
    <t>PNR</t>
  </si>
  <si>
    <t>5/19/2014</t>
  </si>
  <si>
    <t>Parker-Hannifin Corporation</t>
  </si>
  <si>
    <t>PH</t>
  </si>
  <si>
    <t>5/24/2012</t>
  </si>
  <si>
    <t>7/3/2014</t>
  </si>
  <si>
    <t>6/28/2016</t>
  </si>
  <si>
    <t>5/24/2013</t>
  </si>
  <si>
    <t>5/31/2011</t>
  </si>
  <si>
    <t>12/1/2016</t>
  </si>
  <si>
    <t>Global Payments Inc.</t>
  </si>
  <si>
    <t>GPN</t>
  </si>
  <si>
    <t>Tiffany &amp; Co.</t>
  </si>
  <si>
    <t>TIF</t>
  </si>
  <si>
    <t>9/22/2014</t>
  </si>
  <si>
    <t>8/23/2016</t>
  </si>
  <si>
    <t>IDEX Corporation</t>
  </si>
  <si>
    <t>IEX</t>
  </si>
  <si>
    <t>10/21/2015</t>
  </si>
  <si>
    <t>Exelon Corporation</t>
  </si>
  <si>
    <t>EXC</t>
  </si>
  <si>
    <t>11/13/2014</t>
  </si>
  <si>
    <t>3/25/2016</t>
  </si>
  <si>
    <t>11/18/2011</t>
  </si>
  <si>
    <t>8/24/2012</t>
  </si>
  <si>
    <t>Rayonier Inc.</t>
  </si>
  <si>
    <t>RYN</t>
  </si>
  <si>
    <t>8/5/2014</t>
  </si>
  <si>
    <t>11/11/2013</t>
  </si>
  <si>
    <t>9/18/2015</t>
  </si>
  <si>
    <t>Norfolk Southern Corporation</t>
  </si>
  <si>
    <t>NSC</t>
  </si>
  <si>
    <t>9/16/2015</t>
  </si>
  <si>
    <t>1/24/2014</t>
  </si>
  <si>
    <t>8/3/2012</t>
  </si>
  <si>
    <t>9/16/2016</t>
  </si>
  <si>
    <t>Open Text Corporation</t>
  </si>
  <si>
    <t>OTEX</t>
  </si>
  <si>
    <t>12/14/2016</t>
  </si>
  <si>
    <t>5/25/2016</t>
  </si>
  <si>
    <t>7/31/2012</t>
  </si>
  <si>
    <t>11/10/2011</t>
  </si>
  <si>
    <t>ENI S.p.A.</t>
  </si>
  <si>
    <t>E</t>
  </si>
  <si>
    <t>1/17/2012</t>
  </si>
  <si>
    <t>7/16/2013</t>
  </si>
  <si>
    <t>11/25/2014</t>
  </si>
  <si>
    <t>7/4/2012</t>
  </si>
  <si>
    <t>9/14/2016</t>
  </si>
  <si>
    <t>Lennar Corporation</t>
  </si>
  <si>
    <t>LEN</t>
  </si>
  <si>
    <t>6/26/2015</t>
  </si>
  <si>
    <t>2/26/2016</t>
  </si>
  <si>
    <t>10/18/2012</t>
  </si>
  <si>
    <t>Rite Aid Corporation</t>
  </si>
  <si>
    <t>RAD</t>
  </si>
  <si>
    <t>4/13/2015</t>
  </si>
  <si>
    <t>1/3/2014</t>
  </si>
  <si>
    <t>2/27/2013</t>
  </si>
  <si>
    <t>Dominion Energy, Inc.</t>
  </si>
  <si>
    <t>12/8/2014</t>
  </si>
  <si>
    <t>9/21/2015</t>
  </si>
  <si>
    <t>Xerox Holdings Corporation</t>
  </si>
  <si>
    <t>XRX</t>
  </si>
  <si>
    <t>9/6/2013</t>
  </si>
  <si>
    <t>2/12/2015</t>
  </si>
  <si>
    <t>8/24/2015</t>
  </si>
  <si>
    <t>10/11/2016</t>
  </si>
  <si>
    <t>Tenet Healthcare Corporation</t>
  </si>
  <si>
    <t>THC</t>
  </si>
  <si>
    <t>12/26/2013</t>
  </si>
  <si>
    <t>5/20/2016</t>
  </si>
  <si>
    <t>11/16/2016</t>
  </si>
  <si>
    <t>6/26/2013</t>
  </si>
  <si>
    <t>11/4/2011</t>
  </si>
  <si>
    <t>8/3/2010</t>
  </si>
  <si>
    <t>9/24/2014</t>
  </si>
  <si>
    <t>DaVita Inc.</t>
  </si>
  <si>
    <t>DVA</t>
  </si>
  <si>
    <t>9/25/2013</t>
  </si>
  <si>
    <t>8/14/2012</t>
  </si>
  <si>
    <t>UGI Corporation</t>
  </si>
  <si>
    <t>UGI</t>
  </si>
  <si>
    <t>12/22/2014</t>
  </si>
  <si>
    <t>9/1/2015</t>
  </si>
  <si>
    <t>Endo International plc</t>
  </si>
  <si>
    <t>ENDP</t>
  </si>
  <si>
    <t>6/29/2015</t>
  </si>
  <si>
    <t>11/6/2013</t>
  </si>
  <si>
    <t>5/26/2011</t>
  </si>
  <si>
    <t>Cummins Inc.</t>
  </si>
  <si>
    <t>CMI</t>
  </si>
  <si>
    <t>10/12/2012</t>
  </si>
  <si>
    <t>9/21/2011</t>
  </si>
  <si>
    <t>5/27/2014</t>
  </si>
  <si>
    <t>11/4/2015</t>
  </si>
  <si>
    <t>MSCI Inc</t>
  </si>
  <si>
    <t>MSCI</t>
  </si>
  <si>
    <t>8/10/2015</t>
  </si>
  <si>
    <t>8/1/2016</t>
  </si>
  <si>
    <t>12/12/2013</t>
  </si>
  <si>
    <t>FedEx Corporation</t>
  </si>
  <si>
    <t>FDX</t>
  </si>
  <si>
    <t>9/30/2015</t>
  </si>
  <si>
    <t>1/17/2014</t>
  </si>
  <si>
    <t>6/18/2015</t>
  </si>
  <si>
    <t>6/19/2013</t>
  </si>
  <si>
    <t>Valero Energy Corporation</t>
  </si>
  <si>
    <t>VLO</t>
  </si>
  <si>
    <t>6/15/2015</t>
  </si>
  <si>
    <t>9/7/2016</t>
  </si>
  <si>
    <t>Carpenter Technology Corporation</t>
  </si>
  <si>
    <t>CRS</t>
  </si>
  <si>
    <t>8/6/2014</t>
  </si>
  <si>
    <t>10/26/2015</t>
  </si>
  <si>
    <t>2/21/2013</t>
  </si>
  <si>
    <t>11/28/2016</t>
  </si>
  <si>
    <t>12/20/2010</t>
  </si>
  <si>
    <t>Johnson &amp; Johnson</t>
  </si>
  <si>
    <t>JNJ</t>
  </si>
  <si>
    <t>7/15/2014</t>
  </si>
  <si>
    <t>12/2/2013</t>
  </si>
  <si>
    <t>International Paper Company</t>
  </si>
  <si>
    <t>IP</t>
  </si>
  <si>
    <t>8/2/2016</t>
  </si>
  <si>
    <t>Dover Corporation</t>
  </si>
  <si>
    <t>DOV</t>
  </si>
  <si>
    <t>6/12/2014</t>
  </si>
  <si>
    <t>11/2/2016</t>
  </si>
  <si>
    <t>Caterpillar, Inc.</t>
  </si>
  <si>
    <t>CAT</t>
  </si>
  <si>
    <t>1/27/2014</t>
  </si>
  <si>
    <t>2/13/2015</t>
  </si>
  <si>
    <t>10/23/2015</t>
  </si>
  <si>
    <t>10/21/2016</t>
  </si>
  <si>
    <t>Union Pacific Corporation</t>
  </si>
  <si>
    <t>UNP</t>
  </si>
  <si>
    <t>2/11/2014</t>
  </si>
  <si>
    <t>11/3/2014</t>
  </si>
  <si>
    <t>Choice Hotels International, Inc.</t>
  </si>
  <si>
    <t>CHH</t>
  </si>
  <si>
    <t>10/31/2014</t>
  </si>
  <si>
    <t>American Axle &amp; Manufacturing Holdings, Inc.</t>
  </si>
  <si>
    <t>AXL</t>
  </si>
  <si>
    <t>12/5/2014</t>
  </si>
  <si>
    <t>1/7/2014</t>
  </si>
  <si>
    <t>Kimberly-Clark Corporation</t>
  </si>
  <si>
    <t>KMB</t>
  </si>
  <si>
    <t>7/23/2013</t>
  </si>
  <si>
    <t>10/22/2014</t>
  </si>
  <si>
    <t>United States Steel Corporation</t>
  </si>
  <si>
    <t>X</t>
  </si>
  <si>
    <t>5/6/2015</t>
  </si>
  <si>
    <t>1/30/2014</t>
  </si>
  <si>
    <t>5/2/2016</t>
  </si>
  <si>
    <t>3/20/2013</t>
  </si>
  <si>
    <t>4/28/2009</t>
  </si>
  <si>
    <t>9/15/2016</t>
  </si>
  <si>
    <t>Oracle Corporation</t>
  </si>
  <si>
    <t>ORCL</t>
  </si>
  <si>
    <t>1/14/2014</t>
  </si>
  <si>
    <t>9/23/2014</t>
  </si>
  <si>
    <t>4/24/2012</t>
  </si>
  <si>
    <t>Stryker Corporation</t>
  </si>
  <si>
    <t>SYK</t>
  </si>
  <si>
    <t>3/3/2016</t>
  </si>
  <si>
    <t>Sempra Energy</t>
  </si>
  <si>
    <t>SRE</t>
  </si>
  <si>
    <t>11/6/2015</t>
  </si>
  <si>
    <t>4/14/2015</t>
  </si>
  <si>
    <t>10/6/2016</t>
  </si>
  <si>
    <t>9/19/2012</t>
  </si>
  <si>
    <t>R.R. Donnelley &amp; Sons Company</t>
  </si>
  <si>
    <t>RRD</t>
  </si>
  <si>
    <t>9/24/2012</t>
  </si>
  <si>
    <t>TransAlta Corporation</t>
  </si>
  <si>
    <t>TAC</t>
  </si>
  <si>
    <t>9/30/2016</t>
  </si>
  <si>
    <t>Murphy Oil Corporation</t>
  </si>
  <si>
    <t>MUR</t>
  </si>
  <si>
    <t>8/12/2016</t>
  </si>
  <si>
    <t>Covanta Holding Corporation</t>
  </si>
  <si>
    <t>CVA</t>
  </si>
  <si>
    <t>5/5/2014</t>
  </si>
  <si>
    <t>3/24/2015</t>
  </si>
  <si>
    <t>7/31/2015</t>
  </si>
  <si>
    <t>11/1/2012</t>
  </si>
  <si>
    <t>Enbridge Inc</t>
  </si>
  <si>
    <t>ENB</t>
  </si>
  <si>
    <t>3/10/2014</t>
  </si>
  <si>
    <t>6/22/2015</t>
  </si>
  <si>
    <t>6/28/2013</t>
  </si>
  <si>
    <t>Laboratory Corporation of America Holdings</t>
  </si>
  <si>
    <t>LH</t>
  </si>
  <si>
    <t>1/21/2015</t>
  </si>
  <si>
    <t>10/29/2013</t>
  </si>
  <si>
    <t>MGM Resorts International</t>
  </si>
  <si>
    <t>MGM</t>
  </si>
  <si>
    <t>8/28/2014</t>
  </si>
  <si>
    <t>6/11/2013</t>
  </si>
  <si>
    <t>8/4/2016</t>
  </si>
  <si>
    <t>Cimarex Energy Co</t>
  </si>
  <si>
    <t>XEC</t>
  </si>
  <si>
    <t>McKesson Corporation</t>
  </si>
  <si>
    <t>MCK</t>
  </si>
  <si>
    <t>3/5/2014</t>
  </si>
  <si>
    <t>11/11/2015</t>
  </si>
  <si>
    <t>Southwestern Energy Company</t>
  </si>
  <si>
    <t>SWN</t>
  </si>
  <si>
    <t>Apache Corporation</t>
  </si>
  <si>
    <t>APA</t>
  </si>
  <si>
    <t>4/10/2015</t>
  </si>
  <si>
    <t>Cleveland-Cliffs Inc.</t>
  </si>
  <si>
    <t>CLF</t>
  </si>
  <si>
    <t>C</t>
  </si>
  <si>
    <t>2/3/2016</t>
  </si>
  <si>
    <t>9/8/2016</t>
  </si>
  <si>
    <t>12/6/2012</t>
  </si>
  <si>
    <t>Carlisle Companies Incorporated</t>
  </si>
  <si>
    <t>CSL</t>
  </si>
  <si>
    <t>11/15/2012</t>
  </si>
  <si>
    <t>Owens &amp; Minor, Inc.</t>
  </si>
  <si>
    <t>OMI</t>
  </si>
  <si>
    <t>7/19/2016</t>
  </si>
  <si>
    <t>9/11/2014</t>
  </si>
  <si>
    <t>OGE Energy Corp</t>
  </si>
  <si>
    <t>OGE</t>
  </si>
  <si>
    <t>9/2/2014</t>
  </si>
  <si>
    <t>8/27/2015</t>
  </si>
  <si>
    <t>Whiting Petroleum Corporation</t>
  </si>
  <si>
    <t>WLL</t>
  </si>
  <si>
    <t>2/11/2016</t>
  </si>
  <si>
    <t>5/5/2015</t>
  </si>
  <si>
    <t>7/28/2016</t>
  </si>
  <si>
    <t>9/9/2013</t>
  </si>
  <si>
    <t>Tronox Holdings plc</t>
  </si>
  <si>
    <t>TROX</t>
  </si>
  <si>
    <t>3/5/2015</t>
  </si>
  <si>
    <t>Allegion plc</t>
  </si>
  <si>
    <t>ALLE</t>
  </si>
  <si>
    <t>2/8/2016</t>
  </si>
  <si>
    <t>Western Union Company (The)</t>
  </si>
  <si>
    <t>WU</t>
  </si>
  <si>
    <t>11/18/2013</t>
  </si>
  <si>
    <t>Eastman Chemical Company</t>
  </si>
  <si>
    <t>EMN</t>
  </si>
  <si>
    <t>10/31/2013</t>
  </si>
  <si>
    <t>Lamar Advertising Company</t>
  </si>
  <si>
    <t>LAMR</t>
  </si>
  <si>
    <t>Western Digital Corporation</t>
  </si>
  <si>
    <t>WDC</t>
  </si>
  <si>
    <t>3/14/2016</t>
  </si>
  <si>
    <t>FMC Corporation</t>
  </si>
  <si>
    <t>FMC</t>
  </si>
  <si>
    <t>6/10/2014</t>
  </si>
  <si>
    <t>Chevron Corporation</t>
  </si>
  <si>
    <t>CVX</t>
  </si>
  <si>
    <t>4/8/2016</t>
  </si>
  <si>
    <t>8/14/2014</t>
  </si>
  <si>
    <t>9/17/2013</t>
  </si>
  <si>
    <t>11/26/2012</t>
  </si>
  <si>
    <t>ON Semiconductor Corporation</t>
  </si>
  <si>
    <t>ON</t>
  </si>
  <si>
    <t>1/27/2016</t>
  </si>
  <si>
    <t>PVH Corp.</t>
  </si>
  <si>
    <t>PVH</t>
  </si>
  <si>
    <t>12/14/2015</t>
  </si>
  <si>
    <t>6/5/2015</t>
  </si>
  <si>
    <t>10/4/2013</t>
  </si>
  <si>
    <t>Amkor Technology, Inc.</t>
  </si>
  <si>
    <t>AMKR</t>
  </si>
  <si>
    <t>5/28/2015</t>
  </si>
  <si>
    <t>5/15/2013</t>
  </si>
  <si>
    <t>12/16/2016</t>
  </si>
  <si>
    <t>5/18/2016</t>
  </si>
  <si>
    <t>5/8/2014</t>
  </si>
  <si>
    <t>5/21/2012</t>
  </si>
  <si>
    <t>Spirit Aerosystems Holdings, Inc.</t>
  </si>
  <si>
    <t>SPR</t>
  </si>
  <si>
    <t>4/22/2015</t>
  </si>
  <si>
    <t>3/17/2016</t>
  </si>
  <si>
    <t>3/4/2014</t>
  </si>
  <si>
    <t>Williams Companies, Inc. (The)</t>
  </si>
  <si>
    <t>WMB</t>
  </si>
  <si>
    <t>6/24/2011</t>
  </si>
  <si>
    <t>12/30/2015</t>
  </si>
  <si>
    <t>7/1/2016</t>
  </si>
  <si>
    <t>2/16/2012</t>
  </si>
  <si>
    <t>Atkore International Group Inc.</t>
  </si>
  <si>
    <t>ATKR</t>
  </si>
  <si>
    <t>12/7/2016</t>
  </si>
  <si>
    <t>Rent-A-Center Inc.</t>
  </si>
  <si>
    <t>RCII</t>
  </si>
  <si>
    <t>10/26/2011</t>
  </si>
  <si>
    <t>11/23/2016</t>
  </si>
  <si>
    <t>6/17/2016</t>
  </si>
  <si>
    <t>JetBlue Airways Corporation</t>
  </si>
  <si>
    <t>JBLU</t>
  </si>
  <si>
    <t>7/15/2015</t>
  </si>
  <si>
    <t>1/8/2015</t>
  </si>
  <si>
    <t>12/24/2013</t>
  </si>
  <si>
    <t>Archer-Daniels-Midland Company</t>
  </si>
  <si>
    <t>ADM</t>
  </si>
  <si>
    <t>Mosaic Company (The)</t>
  </si>
  <si>
    <t>MOS</t>
  </si>
  <si>
    <t>11/1/2016</t>
  </si>
  <si>
    <t>PPL Corporation</t>
  </si>
  <si>
    <t>PPL</t>
  </si>
  <si>
    <t>3/19/2014</t>
  </si>
  <si>
    <t>12/4/2014</t>
  </si>
  <si>
    <t>6/12/2013</t>
  </si>
  <si>
    <t>10/6/2015</t>
  </si>
  <si>
    <t>Kirby Corporation</t>
  </si>
  <si>
    <t>KEX</t>
  </si>
  <si>
    <t>11/29/2012</t>
  </si>
  <si>
    <t>Boston Scientific Corporation</t>
  </si>
  <si>
    <t>BSX</t>
  </si>
  <si>
    <t>8/16/2013</t>
  </si>
  <si>
    <t>SunPower Corporation</t>
  </si>
  <si>
    <t>SPWR</t>
  </si>
  <si>
    <t>9/20/2013</t>
  </si>
  <si>
    <t>General Dynamics Corporation</t>
  </si>
  <si>
    <t>GD</t>
  </si>
  <si>
    <t>8/4/2015</t>
  </si>
  <si>
    <t>8/9/2016</t>
  </si>
  <si>
    <t>HD Supply Holdings, Inc.</t>
  </si>
  <si>
    <t>HDS</t>
  </si>
  <si>
    <t>4/15/2016</t>
  </si>
  <si>
    <t>12/21/2016</t>
  </si>
  <si>
    <t>Tenneco Inc.</t>
  </si>
  <si>
    <t>TEN</t>
  </si>
  <si>
    <t>2/4/2015</t>
  </si>
  <si>
    <t>Brookfield Asset Management Inc</t>
  </si>
  <si>
    <t>BAM</t>
  </si>
  <si>
    <t>9/20/2016</t>
  </si>
  <si>
    <t>Cintas Corporation</t>
  </si>
  <si>
    <t>CTAS</t>
  </si>
  <si>
    <t>10/1/2015</t>
  </si>
  <si>
    <t>10/1/2014</t>
  </si>
  <si>
    <t>10/9/2013</t>
  </si>
  <si>
    <t>El Paso Electric Company</t>
  </si>
  <si>
    <t>EE</t>
  </si>
  <si>
    <t>12/18/2014</t>
  </si>
  <si>
    <t>Northrop Grumman Corporation</t>
  </si>
  <si>
    <t>NOC</t>
  </si>
  <si>
    <t>5/11/2015</t>
  </si>
  <si>
    <t>Timken Company (The)</t>
  </si>
  <si>
    <t>TKR</t>
  </si>
  <si>
    <t>8/13/2014</t>
  </si>
  <si>
    <t>Anthem, Inc.</t>
  </si>
  <si>
    <t>ANTM</t>
  </si>
  <si>
    <t>Ecopetrol S.A.</t>
  </si>
  <si>
    <t>EC</t>
  </si>
  <si>
    <t>3/18/2011</t>
  </si>
  <si>
    <t>6/30/2015</t>
  </si>
  <si>
    <t>1/29/2016</t>
  </si>
  <si>
    <t>8/16/2012</t>
  </si>
  <si>
    <t>9/10/2013</t>
  </si>
  <si>
    <t>Comcast Corporation</t>
  </si>
  <si>
    <t>CCZ</t>
  </si>
  <si>
    <t>2/17/2016</t>
  </si>
  <si>
    <t>2/13/2013</t>
  </si>
  <si>
    <t>7/12/2016</t>
  </si>
  <si>
    <t>HP Inc.</t>
  </si>
  <si>
    <t>HPQ</t>
  </si>
  <si>
    <t>1/15/2014</t>
  </si>
  <si>
    <t>4/7/2015</t>
  </si>
  <si>
    <t>Kennametal Inc.</t>
  </si>
  <si>
    <t>KMT</t>
  </si>
  <si>
    <t>1/20/2016</t>
  </si>
  <si>
    <t>Bunge Limited</t>
  </si>
  <si>
    <t>BG</t>
  </si>
  <si>
    <t>8/15/2014</t>
  </si>
  <si>
    <t>11/8/2013</t>
  </si>
  <si>
    <t>4/23/2012</t>
  </si>
  <si>
    <t>4/9/2013</t>
  </si>
  <si>
    <t>Orange</t>
  </si>
  <si>
    <t>ORAN</t>
  </si>
  <si>
    <t>6/9/2015</t>
  </si>
  <si>
    <t>Hub Group, Inc.</t>
  </si>
  <si>
    <t>HUBG</t>
  </si>
  <si>
    <t>Fidelity National Information Services, Inc.</t>
  </si>
  <si>
    <t>FIS</t>
  </si>
  <si>
    <t>1/11/2016</t>
  </si>
  <si>
    <t>1/17/2013</t>
  </si>
  <si>
    <t>3/5/2012</t>
  </si>
  <si>
    <t>Kratos Defense &amp; Security Solutions, Inc.</t>
  </si>
  <si>
    <t>KTOS</t>
  </si>
  <si>
    <t>5/6/2014</t>
  </si>
  <si>
    <t>4/17/2015</t>
  </si>
  <si>
    <t>3/30/2016</t>
  </si>
  <si>
    <t>Westlake Chemical Corporation</t>
  </si>
  <si>
    <t>WLK</t>
  </si>
  <si>
    <t>7/10/2012</t>
  </si>
  <si>
    <t>Southern Copper Corporation</t>
  </si>
  <si>
    <t>SCCO</t>
  </si>
  <si>
    <t>10/17/2016</t>
  </si>
  <si>
    <t>8/27/2012</t>
  </si>
  <si>
    <t>Textron Inc.</t>
  </si>
  <si>
    <t>TXT</t>
  </si>
  <si>
    <t>12/27/2013</t>
  </si>
  <si>
    <t>Biogen Inc.</t>
  </si>
  <si>
    <t>BIIB</t>
  </si>
  <si>
    <t>10/23/2014</t>
  </si>
  <si>
    <t>4/17/2013</t>
  </si>
  <si>
    <t>12/22/2010</t>
  </si>
  <si>
    <t>Starbucks Corporation</t>
  </si>
  <si>
    <t>SBUX</t>
  </si>
  <si>
    <t>11/25/2013</t>
  </si>
  <si>
    <t>11/19/2014</t>
  </si>
  <si>
    <t>9/15/2015</t>
  </si>
  <si>
    <t>Clearwater Paper Corporation</t>
  </si>
  <si>
    <t>CLW</t>
  </si>
  <si>
    <t>7/24/2014</t>
  </si>
  <si>
    <t>W&amp;T Offshore, Inc.</t>
  </si>
  <si>
    <t>WTI</t>
  </si>
  <si>
    <t>4/21/2016</t>
  </si>
  <si>
    <t>4/30/2014</t>
  </si>
  <si>
    <t>4/26/2012</t>
  </si>
  <si>
    <t>IRSA Propiedades Comerciales S.A.</t>
  </si>
  <si>
    <t>IRCP</t>
  </si>
  <si>
    <t>11/30/2012</t>
  </si>
  <si>
    <t>National Fuel Gas Company</t>
  </si>
  <si>
    <t>NFG</t>
  </si>
  <si>
    <t>5/21/2014</t>
  </si>
  <si>
    <t>12/15/2014</t>
  </si>
  <si>
    <t>Avista Corporation</t>
  </si>
  <si>
    <t>AVA</t>
  </si>
  <si>
    <t>12/7/2015</t>
  </si>
  <si>
    <t>3/26/2014</t>
  </si>
  <si>
    <t>Compass Minerals International, Inc.</t>
  </si>
  <si>
    <t>CMP</t>
  </si>
  <si>
    <t>Newell Brands Inc.</t>
  </si>
  <si>
    <t>NWL</t>
  </si>
  <si>
    <t>7/29/2013</t>
  </si>
  <si>
    <t>7/7/2014</t>
  </si>
  <si>
    <t>10/27/2016</t>
  </si>
  <si>
    <t>Estee Lauder Companies, Inc. (The)</t>
  </si>
  <si>
    <t>EL</t>
  </si>
  <si>
    <t>8/1/2012</t>
  </si>
  <si>
    <t>5/5/2016</t>
  </si>
  <si>
    <t>Canadian National Railway Company</t>
  </si>
  <si>
    <t>CNI</t>
  </si>
  <si>
    <t>11/8/2012</t>
  </si>
  <si>
    <t>Barrick Gold Corporation</t>
  </si>
  <si>
    <t>GOLD</t>
  </si>
  <si>
    <t>5/26/2014</t>
  </si>
  <si>
    <t>7/30/2012</t>
  </si>
  <si>
    <t>3/2/2015</t>
  </si>
  <si>
    <t>Yamana Gold Inc.</t>
  </si>
  <si>
    <t>AUY</t>
  </si>
  <si>
    <t>6/25/2014</t>
  </si>
  <si>
    <t>8/31/2016</t>
  </si>
  <si>
    <t>Reliance Steel &amp; Aluminum Co.</t>
  </si>
  <si>
    <t>RS</t>
  </si>
  <si>
    <t>4/30/2015</t>
  </si>
  <si>
    <t>4/17/2012</t>
  </si>
  <si>
    <t>Nucor Corporation</t>
  </si>
  <si>
    <t>NUE</t>
  </si>
  <si>
    <t>2/3/2014</t>
  </si>
  <si>
    <t>7/29/2014</t>
  </si>
  <si>
    <t>10/22/2012</t>
  </si>
  <si>
    <t>Verisk Analytics, Inc.</t>
  </si>
  <si>
    <t>VRSK</t>
  </si>
  <si>
    <t>3/10/2015</t>
  </si>
  <si>
    <t>Broadcom Inc.</t>
  </si>
  <si>
    <t>AVGO</t>
  </si>
  <si>
    <t>8/13/2012</t>
  </si>
  <si>
    <t>YRC Worldwide, Inc.</t>
  </si>
  <si>
    <t>YRCW</t>
  </si>
  <si>
    <t>12/19/2014</t>
  </si>
  <si>
    <t>Coca-Cola European Partners plc</t>
  </si>
  <si>
    <t>CCEP</t>
  </si>
  <si>
    <t>Plains All American Pipeline, L.P.</t>
  </si>
  <si>
    <t>PAA</t>
  </si>
  <si>
    <t>2/26/2014</t>
  </si>
  <si>
    <t>5/16/2011</t>
  </si>
  <si>
    <t>Darling Ingredients Inc.</t>
  </si>
  <si>
    <t>DAR</t>
  </si>
  <si>
    <t>TEGNA Inc.</t>
  </si>
  <si>
    <t>TGNA</t>
  </si>
  <si>
    <t>9/3/2014</t>
  </si>
  <si>
    <t>5/9/2014</t>
  </si>
  <si>
    <t>4/25/2016</t>
  </si>
  <si>
    <t>6/13/2013</t>
  </si>
  <si>
    <t>Walt Disney Company (The)</t>
  </si>
  <si>
    <t>DIS</t>
  </si>
  <si>
    <t>1/9/2015</t>
  </si>
  <si>
    <t>12/12/2012</t>
  </si>
  <si>
    <t>12/22/2011</t>
  </si>
  <si>
    <t>1/8/2016</t>
  </si>
  <si>
    <t>12/23/2010</t>
  </si>
  <si>
    <t>12/17/2013</t>
  </si>
  <si>
    <t>Republic Services, Inc.</t>
  </si>
  <si>
    <t>RSG</t>
  </si>
  <si>
    <t>Genpact Limited</t>
  </si>
  <si>
    <t>G</t>
  </si>
  <si>
    <t>7/1/2015</t>
  </si>
  <si>
    <t>1/10/2014</t>
  </si>
  <si>
    <t>AGCO Corporation</t>
  </si>
  <si>
    <t>AGCO</t>
  </si>
  <si>
    <t>8/2/2013</t>
  </si>
  <si>
    <t>8/18/2016</t>
  </si>
  <si>
    <t>9/17/2012</t>
  </si>
  <si>
    <t>HCA Healthcare, Inc.</t>
  </si>
  <si>
    <t>HCA</t>
  </si>
  <si>
    <t>12/13/2013</t>
  </si>
  <si>
    <t>5/29/2015</t>
  </si>
  <si>
    <t>6/7/2013</t>
  </si>
  <si>
    <t>Freeport-McMoran, Inc.</t>
  </si>
  <si>
    <t>FCX</t>
  </si>
  <si>
    <t>Ferro Corporation</t>
  </si>
  <si>
    <t>FOE</t>
  </si>
  <si>
    <t>4/15/2014</t>
  </si>
  <si>
    <t>Vishay Intertechnology, Inc.</t>
  </si>
  <si>
    <t>VSH</t>
  </si>
  <si>
    <t>6/1/2012</t>
  </si>
  <si>
    <t>6/28/2011</t>
  </si>
  <si>
    <t>NVIDIA Corporation</t>
  </si>
  <si>
    <t>NVDA</t>
  </si>
  <si>
    <t>9/21/2016</t>
  </si>
  <si>
    <t>12/20/2013</t>
  </si>
  <si>
    <t>11/21/2014</t>
  </si>
  <si>
    <t>V.F. Corporation</t>
  </si>
  <si>
    <t>VFC</t>
  </si>
  <si>
    <t>6/7/2016</t>
  </si>
  <si>
    <t>7/22/2013</t>
  </si>
  <si>
    <t>8/29/2016</t>
  </si>
  <si>
    <t>FTI Consulting, Inc.</t>
  </si>
  <si>
    <t>FCN</t>
  </si>
  <si>
    <t>11/9/2012</t>
  </si>
  <si>
    <t>3/12/2014</t>
  </si>
  <si>
    <t>Acco Brands Corporation</t>
  </si>
  <si>
    <t>ACCO</t>
  </si>
  <si>
    <t>2/18/2014</t>
  </si>
  <si>
    <t>12/8/2016</t>
  </si>
  <si>
    <t>International Business Machines Corporation</t>
  </si>
  <si>
    <t>IBM</t>
  </si>
  <si>
    <t>12/18/2015</t>
  </si>
  <si>
    <t>6/30/2011</t>
  </si>
  <si>
    <t>6/30/2014</t>
  </si>
  <si>
    <t>5/20/2013</t>
  </si>
  <si>
    <t>5/30/2012</t>
  </si>
  <si>
    <t>ArcelorMittal</t>
  </si>
  <si>
    <t>MT</t>
  </si>
  <si>
    <t>11/6/2012</t>
  </si>
  <si>
    <t>Braskem S.A.</t>
  </si>
  <si>
    <t>BAK</t>
  </si>
  <si>
    <t>8/8/2014</t>
  </si>
  <si>
    <t>Apple Inc.</t>
  </si>
  <si>
    <t>AAPL</t>
  </si>
  <si>
    <t>American Airlines Group, Inc.</t>
  </si>
  <si>
    <t>AAL</t>
  </si>
  <si>
    <t>SM Energy Company</t>
  </si>
  <si>
    <t>SM</t>
  </si>
  <si>
    <t>6/18/2013</t>
  </si>
  <si>
    <t>4/10/2014</t>
  </si>
  <si>
    <t>5/7/2012</t>
  </si>
  <si>
    <t>Concho Resources Inc.</t>
  </si>
  <si>
    <t>CXO</t>
  </si>
  <si>
    <t>8/19/2016</t>
  </si>
  <si>
    <t>Quest Diagnostics Incorporated</t>
  </si>
  <si>
    <t>DGX</t>
  </si>
  <si>
    <t>2/12/2014</t>
  </si>
  <si>
    <t>5/23/2016</t>
  </si>
  <si>
    <t>Central Garden &amp; Pet Company</t>
  </si>
  <si>
    <t>CENT</t>
  </si>
  <si>
    <t>6/18/2014</t>
  </si>
  <si>
    <t>12/16/2015</t>
  </si>
  <si>
    <t>Equity Residential</t>
  </si>
  <si>
    <t>EQR</t>
  </si>
  <si>
    <t>5/12/2015</t>
  </si>
  <si>
    <t>Kennedy-Wilson Holdings Inc.</t>
  </si>
  <si>
    <t>KW</t>
  </si>
  <si>
    <t>7/29/2015</t>
  </si>
  <si>
    <t>3/28/2013</t>
  </si>
  <si>
    <t>7/15/2016</t>
  </si>
  <si>
    <t>Clorox Company (The)</t>
  </si>
  <si>
    <t>CLX</t>
  </si>
  <si>
    <t>9/12/2012</t>
  </si>
  <si>
    <t>PBF Logistics LP</t>
  </si>
  <si>
    <t>PBFX</t>
  </si>
  <si>
    <t>5/4/2015</t>
  </si>
  <si>
    <t>Alliant Energy Corporation</t>
  </si>
  <si>
    <t>LNT</t>
  </si>
  <si>
    <t>9/2/2015</t>
  </si>
  <si>
    <t>1/8/2014</t>
  </si>
  <si>
    <t>Entravision Communications Corporation</t>
  </si>
  <si>
    <t>EVC</t>
  </si>
  <si>
    <t>7/10/2014</t>
  </si>
  <si>
    <t>7/18/2016</t>
  </si>
  <si>
    <t>5/15/2014</t>
  </si>
  <si>
    <t>Pepsico, Inc.</t>
  </si>
  <si>
    <t>PEP</t>
  </si>
  <si>
    <t>3/27/2013</t>
  </si>
  <si>
    <t>3/30/2011</t>
  </si>
  <si>
    <t>3/27/2012</t>
  </si>
  <si>
    <t>Dollar General Corporation</t>
  </si>
  <si>
    <t>DG</t>
  </si>
  <si>
    <t>4/8/2013</t>
  </si>
  <si>
    <t>6/27/2012</t>
  </si>
  <si>
    <t>Campbell Soup Company</t>
  </si>
  <si>
    <t>CPB</t>
  </si>
  <si>
    <t>9/10/2014</t>
  </si>
  <si>
    <t>AMC Entertainment Holdings, Inc.</t>
  </si>
  <si>
    <t>AMC</t>
  </si>
  <si>
    <t>8/3/2016</t>
  </si>
  <si>
    <t>Omnicom Group Inc.</t>
  </si>
  <si>
    <t>OMC</t>
  </si>
  <si>
    <t>10/27/2014</t>
  </si>
  <si>
    <t>Calumet Specialty Products Partners, L.P.</t>
  </si>
  <si>
    <t>CLMT</t>
  </si>
  <si>
    <t>10/18/2016</t>
  </si>
  <si>
    <t>8/21/2012</t>
  </si>
  <si>
    <t>Continental Resources, Inc.</t>
  </si>
  <si>
    <t>CLR</t>
  </si>
  <si>
    <t>4/14/2016</t>
  </si>
  <si>
    <t>4/2/2013</t>
  </si>
  <si>
    <t>S&amp;P Global Inc.</t>
  </si>
  <si>
    <t>SPGI</t>
  </si>
  <si>
    <t>5/21/2015</t>
  </si>
  <si>
    <t>Host Hotels &amp; Resorts, Inc.</t>
  </si>
  <si>
    <t>HST</t>
  </si>
  <si>
    <t>1/30/2015</t>
  </si>
  <si>
    <t>11/14/2011</t>
  </si>
  <si>
    <t>1/23/2014</t>
  </si>
  <si>
    <t>Allegheny Technologies Incorporated</t>
  </si>
  <si>
    <t>ATI</t>
  </si>
  <si>
    <t>11/5/2014</t>
  </si>
  <si>
    <t>7/9/2013</t>
  </si>
  <si>
    <t>Olin Corporation</t>
  </si>
  <si>
    <t>OLN</t>
  </si>
  <si>
    <t>8/9/2012</t>
  </si>
  <si>
    <t>Ball Corporation</t>
  </si>
  <si>
    <t>BLL</t>
  </si>
  <si>
    <t>7/26/2013</t>
  </si>
  <si>
    <t>Owens Corning Inc</t>
  </si>
  <si>
    <t>OC</t>
  </si>
  <si>
    <t>10/26/2012</t>
  </si>
  <si>
    <t>IAC/InterActiveCorp</t>
  </si>
  <si>
    <t>IAC</t>
  </si>
  <si>
    <t>2/25/2014</t>
  </si>
  <si>
    <t>Devon Energy Corporation</t>
  </si>
  <si>
    <t>DVN</t>
  </si>
  <si>
    <t>12/6/2013</t>
  </si>
  <si>
    <t>3/18/2016</t>
  </si>
  <si>
    <t>3/29/2011</t>
  </si>
  <si>
    <t>8/26/2014</t>
  </si>
  <si>
    <t>Century Aluminum Company</t>
  </si>
  <si>
    <t>CENX</t>
  </si>
  <si>
    <t>9/5/2013</t>
  </si>
  <si>
    <t>Thermo Fisher Scientific Inc</t>
  </si>
  <si>
    <t>TMO</t>
  </si>
  <si>
    <t>7/16/2012</t>
  </si>
  <si>
    <t>Snap-On Incorporated</t>
  </si>
  <si>
    <t>SNA</t>
  </si>
  <si>
    <t>BorgWarner Inc.</t>
  </si>
  <si>
    <t>BWA</t>
  </si>
  <si>
    <t>Eli Lilly and Company</t>
  </si>
  <si>
    <t>LLY</t>
  </si>
  <si>
    <t>Helix Energy Solutions Group, Inc.</t>
  </si>
  <si>
    <t>HLX</t>
  </si>
  <si>
    <t>7/22/2015</t>
  </si>
  <si>
    <t>Penske Automotive Group, Inc.</t>
  </si>
  <si>
    <t>PAG</t>
  </si>
  <si>
    <t>5/11/2016</t>
  </si>
  <si>
    <t>6/27/2013</t>
  </si>
  <si>
    <t>Gibraltar Industries, Inc.</t>
  </si>
  <si>
    <t>ROCK</t>
  </si>
  <si>
    <t>1/26/2016</t>
  </si>
  <si>
    <t>1/16/2013</t>
  </si>
  <si>
    <t>PLDT Inc.</t>
  </si>
  <si>
    <t>PHI</t>
  </si>
  <si>
    <t>12/16/2011</t>
  </si>
  <si>
    <t>3/15/2011</t>
  </si>
  <si>
    <t>12/19/2016</t>
  </si>
  <si>
    <t>Genesis Energy, L.P.</t>
  </si>
  <si>
    <t>GEL</t>
  </si>
  <si>
    <t>2/5/2013</t>
  </si>
  <si>
    <t>5/14/2015</t>
  </si>
  <si>
    <t>7/16/2015</t>
  </si>
  <si>
    <t>PACCAR Inc.</t>
  </si>
  <si>
    <t>PCAR</t>
  </si>
  <si>
    <t>8/7/2013</t>
  </si>
  <si>
    <t>5/20/2015</t>
  </si>
  <si>
    <t>5/14/2013</t>
  </si>
  <si>
    <t>BRF S.A.</t>
  </si>
  <si>
    <t>BRFS</t>
  </si>
  <si>
    <t>5/19/2015</t>
  </si>
  <si>
    <t>6/3/2013</t>
  </si>
  <si>
    <t>5/31/2012</t>
  </si>
  <si>
    <t>Vulcan Materials Company</t>
  </si>
  <si>
    <t>VMC</t>
  </si>
  <si>
    <t>7/12/2012</t>
  </si>
  <si>
    <t>TE Connectivity Ltd.</t>
  </si>
  <si>
    <t>TEL</t>
  </si>
  <si>
    <t>11/2/2015</t>
  </si>
  <si>
    <t>5/1/2014</t>
  </si>
  <si>
    <t>Baidu, Inc.</t>
  </si>
  <si>
    <t>BIDU</t>
  </si>
  <si>
    <t>7/30/2013</t>
  </si>
  <si>
    <t>11/5/2012</t>
  </si>
  <si>
    <t>VeriSign, Inc.</t>
  </si>
  <si>
    <t>VRSN</t>
  </si>
  <si>
    <t>4/16/2014</t>
  </si>
  <si>
    <t>Beazer Homes USA, Inc.</t>
  </si>
  <si>
    <t>BZH</t>
  </si>
  <si>
    <t>3/11/2016</t>
  </si>
  <si>
    <t>5/24/2011</t>
  </si>
  <si>
    <t>7/31/2014</t>
  </si>
  <si>
    <t>1/29/2013</t>
  </si>
  <si>
    <t>9/16/2013</t>
  </si>
  <si>
    <t>Bristol-Myers Squibb Company</t>
  </si>
  <si>
    <t>BMY</t>
  </si>
  <si>
    <t>8/4/2014</t>
  </si>
  <si>
    <t>7/3/2012</t>
  </si>
  <si>
    <t>Horizon Global Corporation</t>
  </si>
  <si>
    <t>HZN</t>
  </si>
  <si>
    <t>7/10/2015</t>
  </si>
  <si>
    <t>Atmos Energy Corporation</t>
  </si>
  <si>
    <t>ATO</t>
  </si>
  <si>
    <t>1/8/2013</t>
  </si>
  <si>
    <t>General Mills, Inc.</t>
  </si>
  <si>
    <t>GIS</t>
  </si>
  <si>
    <t>9/2/2011</t>
  </si>
  <si>
    <t>9/25/2012</t>
  </si>
  <si>
    <t>8/21/2013</t>
  </si>
  <si>
    <t>Cincinnati Bell Inc</t>
  </si>
  <si>
    <t>CBB</t>
  </si>
  <si>
    <t>Harsco Corporation</t>
  </si>
  <si>
    <t>HSC</t>
  </si>
  <si>
    <t>3/14/2013</t>
  </si>
  <si>
    <t>11/23/2015</t>
  </si>
  <si>
    <t>Johnson Controls International plc</t>
  </si>
  <si>
    <t>JCI</t>
  </si>
  <si>
    <t>2/28/2014</t>
  </si>
  <si>
    <t>7/30/2014</t>
  </si>
  <si>
    <t>Live Nation Entertainment, Inc.</t>
  </si>
  <si>
    <t>LYV</t>
  </si>
  <si>
    <t>4/7/2016</t>
  </si>
  <si>
    <t>3/27/2015</t>
  </si>
  <si>
    <t>Arcos Dorados Holdings Inc.</t>
  </si>
  <si>
    <t>ARCO</t>
  </si>
  <si>
    <t>3/8/2016</t>
  </si>
  <si>
    <t>Corning Incorporated</t>
  </si>
  <si>
    <t>GLW</t>
  </si>
  <si>
    <t>11/13/2013</t>
  </si>
  <si>
    <t>Black Hills Corporation</t>
  </si>
  <si>
    <t>BKH</t>
  </si>
  <si>
    <t>8/11/2016</t>
  </si>
  <si>
    <t>Otter Tail Corporation</t>
  </si>
  <si>
    <t>OTTR</t>
  </si>
  <si>
    <t>11/25/2015</t>
  </si>
  <si>
    <t>4/1/2014</t>
  </si>
  <si>
    <t>PolyOne Corporation</t>
  </si>
  <si>
    <t>POL</t>
  </si>
  <si>
    <t>Commercial Metals Company</t>
  </si>
  <si>
    <t>CMC</t>
  </si>
  <si>
    <t>Sonoco Products Company</t>
  </si>
  <si>
    <t>SON</t>
  </si>
  <si>
    <t>7/22/2014</t>
  </si>
  <si>
    <t>8/25/2015</t>
  </si>
  <si>
    <t>Southern Company (The)</t>
  </si>
  <si>
    <t>SO</t>
  </si>
  <si>
    <t>Sherwin-Williams Company (The)</t>
  </si>
  <si>
    <t>SHW</t>
  </si>
  <si>
    <t>12/4/2012</t>
  </si>
  <si>
    <t>7/28/2015</t>
  </si>
  <si>
    <t>Navios Maritime Holdings Inc.</t>
  </si>
  <si>
    <t>NM</t>
  </si>
  <si>
    <t>10/31/2012</t>
  </si>
  <si>
    <t>10/24/2011</t>
  </si>
  <si>
    <t>11/14/2013</t>
  </si>
  <si>
    <t>1/13/2011</t>
  </si>
  <si>
    <t>NGL ENERGY PARTNERS LP</t>
  </si>
  <si>
    <t>NGL</t>
  </si>
  <si>
    <t>1/15/2016</t>
  </si>
  <si>
    <t>Targa Resources, Inc.</t>
  </si>
  <si>
    <t>TRGP</t>
  </si>
  <si>
    <t>2/4/2016</t>
  </si>
  <si>
    <t>CSI Compressco LP</t>
  </si>
  <si>
    <t>CCLP</t>
  </si>
  <si>
    <t>CDK Global, Inc.</t>
  </si>
  <si>
    <t>CDK</t>
  </si>
  <si>
    <t>12/15/2015</t>
  </si>
  <si>
    <t>Illinois Tool Works Inc.</t>
  </si>
  <si>
    <t>ITW</t>
  </si>
  <si>
    <t>3/26/2015</t>
  </si>
  <si>
    <t>Markel Corporation</t>
  </si>
  <si>
    <t>MKL</t>
  </si>
  <si>
    <t>3/29/2016</t>
  </si>
  <si>
    <t>Nustar Energy L.P.</t>
  </si>
  <si>
    <t>NS</t>
  </si>
  <si>
    <t>11/17/2016</t>
  </si>
  <si>
    <t>LKQ Corporation</t>
  </si>
  <si>
    <t>LKQ</t>
  </si>
  <si>
    <t>3/1/2016</t>
  </si>
  <si>
    <t>Baytex Energy Corp</t>
  </si>
  <si>
    <t>BTE</t>
  </si>
  <si>
    <t>2/10/2014</t>
  </si>
  <si>
    <t>Crane Co.</t>
  </si>
  <si>
    <t>CR</t>
  </si>
  <si>
    <t>SS&amp;C Technologies Holdings, Inc.</t>
  </si>
  <si>
    <t>SSNC</t>
  </si>
  <si>
    <t>6/19/2015</t>
  </si>
  <si>
    <t>Dana Incorporated</t>
  </si>
  <si>
    <t>DAN</t>
  </si>
  <si>
    <t>8/13/2015</t>
  </si>
  <si>
    <t>Magellan Midstream Partners L.P.</t>
  </si>
  <si>
    <t>MMP</t>
  </si>
  <si>
    <t>12/30/2013</t>
  </si>
  <si>
    <t>8/31/2010</t>
  </si>
  <si>
    <t>7/29/2011</t>
  </si>
  <si>
    <t>7/24/2012</t>
  </si>
  <si>
    <t>Cenovus Energy Inc</t>
  </si>
  <si>
    <t>CVE</t>
  </si>
  <si>
    <t>6/7/2012</t>
  </si>
  <si>
    <t>1/28/2011</t>
  </si>
  <si>
    <t>Kinder Morgan, Inc.</t>
  </si>
  <si>
    <t>KMI</t>
  </si>
  <si>
    <t>8/11/2014</t>
  </si>
  <si>
    <t>Masonite International Corporation</t>
  </si>
  <si>
    <t>DOOR</t>
  </si>
  <si>
    <t>Wolverine World Wide, Inc.</t>
  </si>
  <si>
    <t>WWW</t>
  </si>
  <si>
    <t>Beacon Roofing Supply, Inc.</t>
  </si>
  <si>
    <t>BECN</t>
  </si>
  <si>
    <t>Range Resources Corporation</t>
  </si>
  <si>
    <t>RRC</t>
  </si>
  <si>
    <t>9/22/2016</t>
  </si>
  <si>
    <t>5/29/2014</t>
  </si>
  <si>
    <t>W.R. Berkley Corporation</t>
  </si>
  <si>
    <t>WRB</t>
  </si>
  <si>
    <t>4/25/2013</t>
  </si>
  <si>
    <t>Nordstrom, Inc.</t>
  </si>
  <si>
    <t>JWN</t>
  </si>
  <si>
    <t>1/7/2016</t>
  </si>
  <si>
    <t>Service Corporation International</t>
  </si>
  <si>
    <t>SCI</t>
  </si>
  <si>
    <t>9/11/2015</t>
  </si>
  <si>
    <t>Matador Resources Company</t>
  </si>
  <si>
    <t>MTDR</t>
  </si>
  <si>
    <t>Lsb Industries Inc.</t>
  </si>
  <si>
    <t>LXU</t>
  </si>
  <si>
    <t>8/27/2013</t>
  </si>
  <si>
    <t>Flowserve Corporation</t>
  </si>
  <si>
    <t>FLS</t>
  </si>
  <si>
    <t>9/3/2015</t>
  </si>
  <si>
    <t>10/4/2016</t>
  </si>
  <si>
    <t>9/6/2012</t>
  </si>
  <si>
    <t>Fluor Corporation</t>
  </si>
  <si>
    <t>FLR</t>
  </si>
  <si>
    <t>11/24/2014</t>
  </si>
  <si>
    <t>Brunswick Corporation</t>
  </si>
  <si>
    <t>BC</t>
  </si>
  <si>
    <t>6/23/2014</t>
  </si>
  <si>
    <t>6/22/2016</t>
  </si>
  <si>
    <t>9/2/2016</t>
  </si>
  <si>
    <t>Hershey Company (The)</t>
  </si>
  <si>
    <t>HSY</t>
  </si>
  <si>
    <t>Belden Inc</t>
  </si>
  <si>
    <t>BDC</t>
  </si>
  <si>
    <t>3/27/2014</t>
  </si>
  <si>
    <t>3/25/2015</t>
  </si>
  <si>
    <t>3/11/2013</t>
  </si>
  <si>
    <t>7/20/2016</t>
  </si>
  <si>
    <t>3/20/2016</t>
  </si>
  <si>
    <t>U.S. Silica Holdings, Inc.</t>
  </si>
  <si>
    <t>SLCA</t>
  </si>
  <si>
    <t>7/12/2013</t>
  </si>
  <si>
    <t>9/8/2014</t>
  </si>
  <si>
    <t>9/23/2016</t>
  </si>
  <si>
    <t>Titan International, Inc.</t>
  </si>
  <si>
    <t>TWI</t>
  </si>
  <si>
    <t>Applied Materials, Inc.</t>
  </si>
  <si>
    <t>AMAT</t>
  </si>
  <si>
    <t>Ciena Corporation</t>
  </si>
  <si>
    <t>CIEN</t>
  </si>
  <si>
    <t>Ecolab Inc.</t>
  </si>
  <si>
    <t>ECL</t>
  </si>
  <si>
    <t>Fortis Inc.</t>
  </si>
  <si>
    <t>FTS</t>
  </si>
  <si>
    <t>Pioneer Natural Resources Company</t>
  </si>
  <si>
    <t>PXD</t>
  </si>
  <si>
    <t>Lear Corporation</t>
  </si>
  <si>
    <t>LEA</t>
  </si>
  <si>
    <t>3/11/2014</t>
  </si>
  <si>
    <t>1/14/2013</t>
  </si>
  <si>
    <t>Teva Pharmaceutical Industries Limited</t>
  </si>
  <si>
    <t>TEVA</t>
  </si>
  <si>
    <t>7/13/2016</t>
  </si>
  <si>
    <t>3/23/2016</t>
  </si>
  <si>
    <t>1/23/2013</t>
  </si>
  <si>
    <t>Ion Geophysical Corporation</t>
  </si>
  <si>
    <t>IO</t>
  </si>
  <si>
    <t>Kronos Worldwide Inc</t>
  </si>
  <si>
    <t>KRO</t>
  </si>
  <si>
    <t>2/24/2015</t>
  </si>
  <si>
    <t>Expedia Group, Inc.</t>
  </si>
  <si>
    <t>EXPE</t>
  </si>
  <si>
    <t>4/7/2011</t>
  </si>
  <si>
    <t>Berry Global Group, Inc.</t>
  </si>
  <si>
    <t>BERY</t>
  </si>
  <si>
    <t>ADT Inc.</t>
  </si>
  <si>
    <t>ADT</t>
  </si>
  <si>
    <t>BioMarin Pharmaceutical Inc.</t>
  </si>
  <si>
    <t>BMRN</t>
  </si>
  <si>
    <t>1/6/2015</t>
  </si>
  <si>
    <t>Texas Instruments Incorporated</t>
  </si>
  <si>
    <t>TXN</t>
  </si>
  <si>
    <t>7/24/2013</t>
  </si>
  <si>
    <t>Cooper Tire &amp; Rubber Company</t>
  </si>
  <si>
    <t>CTB</t>
  </si>
  <si>
    <t>7/2/2014</t>
  </si>
  <si>
    <t>Sunoco LP</t>
  </si>
  <si>
    <t>SUN</t>
  </si>
  <si>
    <t>Spire Inc.</t>
  </si>
  <si>
    <t>SR</t>
  </si>
  <si>
    <t>SPX Corporation</t>
  </si>
  <si>
    <t>SPXC</t>
  </si>
  <si>
    <t>Teradyne, Inc.</t>
  </si>
  <si>
    <t>TER</t>
  </si>
  <si>
    <t>American States Water Company</t>
  </si>
  <si>
    <t>AWR</t>
  </si>
  <si>
    <t>PRA Health Sciences, Inc.</t>
  </si>
  <si>
    <t>PRAH</t>
  </si>
  <si>
    <t>9/19/2014</t>
  </si>
  <si>
    <t>Caesars Entertainment Corporation</t>
  </si>
  <si>
    <t>CZR</t>
  </si>
  <si>
    <t>4/5/2013</t>
  </si>
  <si>
    <t>Yum! Brands, Inc.</t>
  </si>
  <si>
    <t>YUM</t>
  </si>
  <si>
    <t>10/20/2015</t>
  </si>
  <si>
    <t>J.B. Hunt Transport Services, Inc.</t>
  </si>
  <si>
    <t>JBHT</t>
  </si>
  <si>
    <t>4/17/2014</t>
  </si>
  <si>
    <t>4/16/2015</t>
  </si>
  <si>
    <t>10/16/2015</t>
  </si>
  <si>
    <t>Holly Energy Partners, L.P.</t>
  </si>
  <si>
    <t>HEP</t>
  </si>
  <si>
    <t>Crown Castle International Corporation</t>
  </si>
  <si>
    <t>CCI</t>
  </si>
  <si>
    <t>10/3/2012</t>
  </si>
  <si>
    <t>8/28/2013</t>
  </si>
  <si>
    <t>Albemarle Corporation</t>
  </si>
  <si>
    <t>ALB</t>
  </si>
  <si>
    <t>1/29/2015</t>
  </si>
  <si>
    <t>Walgreens Boots Alliance, Inc.</t>
  </si>
  <si>
    <t>WBA</t>
  </si>
  <si>
    <t>8/15/2013</t>
  </si>
  <si>
    <t>Valmont Industries, Inc.</t>
  </si>
  <si>
    <t>VMI</t>
  </si>
  <si>
    <t>5/2/2013</t>
  </si>
  <si>
    <t>9/17/2014</t>
  </si>
  <si>
    <t>Fiat Chrysler Automobiles N.V.</t>
  </si>
  <si>
    <t>FCAU</t>
  </si>
  <si>
    <t>5/10/2016</t>
  </si>
  <si>
    <t>Uniti Group Inc.</t>
  </si>
  <si>
    <t>UNIT</t>
  </si>
  <si>
    <t>12/12/2016</t>
  </si>
  <si>
    <t>3M Company</t>
  </si>
  <si>
    <t>MMM</t>
  </si>
  <si>
    <t>Kinross Gold Corporation</t>
  </si>
  <si>
    <t>KGC</t>
  </si>
  <si>
    <t>3/16/2015</t>
  </si>
  <si>
    <t>3/3/2014</t>
  </si>
  <si>
    <t>Louisiana-Pacific Corporation</t>
  </si>
  <si>
    <t>LPX</t>
  </si>
  <si>
    <t>Hormel Foods Corporation</t>
  </si>
  <si>
    <t>HRL</t>
  </si>
  <si>
    <t>HollyFrontier Corporation</t>
  </si>
  <si>
    <t>HFC</t>
  </si>
  <si>
    <t>Norbord Inc.</t>
  </si>
  <si>
    <t>OSB</t>
  </si>
  <si>
    <t>11/18/2015</t>
  </si>
  <si>
    <t>eBay Inc.</t>
  </si>
  <si>
    <t>EBAY</t>
  </si>
  <si>
    <t>7/21/2015</t>
  </si>
  <si>
    <t>10/17/2013</t>
  </si>
  <si>
    <t>4/27/2015</t>
  </si>
  <si>
    <t>Booz Allen Hamilton Holding Corporation</t>
  </si>
  <si>
    <t>BAH</t>
  </si>
  <si>
    <t>6/20/2016</t>
  </si>
  <si>
    <t>MPLX LP</t>
  </si>
  <si>
    <t>MPLX</t>
  </si>
  <si>
    <t>12/28/2015</t>
  </si>
  <si>
    <t>EPR Properties</t>
  </si>
  <si>
    <t>EPR</t>
  </si>
  <si>
    <t>8/19/2015</t>
  </si>
  <si>
    <t>6/4/2013</t>
  </si>
  <si>
    <t>10/7/2013</t>
  </si>
  <si>
    <t>7/8/2014</t>
  </si>
  <si>
    <t>8/15/2011</t>
  </si>
  <si>
    <t>Oceaneering International, Inc.</t>
  </si>
  <si>
    <t>OII</t>
  </si>
  <si>
    <t>10/8/2015</t>
  </si>
  <si>
    <t>QEP Resources, Inc.</t>
  </si>
  <si>
    <t>QEP</t>
  </si>
  <si>
    <t>9/1/2011</t>
  </si>
  <si>
    <t>10/20/2014</t>
  </si>
  <si>
    <t>CSG Systems International, Inc.</t>
  </si>
  <si>
    <t>CSGS</t>
  </si>
  <si>
    <t>12/20/2016</t>
  </si>
  <si>
    <t>Foot Locker, Inc.</t>
  </si>
  <si>
    <t>FL</t>
  </si>
  <si>
    <t>10/11/2011</t>
  </si>
  <si>
    <t>Oasis Petroleum Inc.</t>
  </si>
  <si>
    <t>OAS</t>
  </si>
  <si>
    <t>2/27/2014</t>
  </si>
  <si>
    <t>SCIENCE APPLICATIONS INTERNATIONAL CORPORATION</t>
  </si>
  <si>
    <t>SAIC</t>
  </si>
  <si>
    <t>4/8/2015</t>
  </si>
  <si>
    <t>Albany International Corporation</t>
  </si>
  <si>
    <t>AIN</t>
  </si>
  <si>
    <t>6/2/2015</t>
  </si>
  <si>
    <t>CoreLogic, Inc.</t>
  </si>
  <si>
    <t>CLGX</t>
  </si>
  <si>
    <t>5/6/2011</t>
  </si>
  <si>
    <t>8/31/2011</t>
  </si>
  <si>
    <t>5/21/2013</t>
  </si>
  <si>
    <t>Mohawk Industries, Inc.</t>
  </si>
  <si>
    <t>MHK</t>
  </si>
  <si>
    <t>Brookdale Senior Living Inc.</t>
  </si>
  <si>
    <t>BKD</t>
  </si>
  <si>
    <t>5/22/2015</t>
  </si>
  <si>
    <t>Zebra Technologies Corporation</t>
  </si>
  <si>
    <t>ZBRA</t>
  </si>
  <si>
    <t>9/26/2016</t>
  </si>
  <si>
    <t>Canadian Pacific Railway Limited</t>
  </si>
  <si>
    <t>CP</t>
  </si>
  <si>
    <t>Commercial Vehicle Group, Inc.</t>
  </si>
  <si>
    <t>CVGI</t>
  </si>
  <si>
    <t>2/26/2015</t>
  </si>
  <si>
    <t>1/31/2013</t>
  </si>
  <si>
    <t>2/12/2016</t>
  </si>
  <si>
    <t>Edgewell Personal Care</t>
  </si>
  <si>
    <t>EPC</t>
  </si>
  <si>
    <t>6/20/2014</t>
  </si>
  <si>
    <t>2/23/2016</t>
  </si>
  <si>
    <t>8/18/2014</t>
  </si>
  <si>
    <t>CF Industries Holdings, Inc.</t>
  </si>
  <si>
    <t>CF</t>
  </si>
  <si>
    <t>11/8/2016</t>
  </si>
  <si>
    <t>Delta Air Lines, Inc.</t>
  </si>
  <si>
    <t>DAL</t>
  </si>
  <si>
    <t>New Gold Inc.</t>
  </si>
  <si>
    <t>NGD</t>
  </si>
  <si>
    <t>9/4/2015</t>
  </si>
  <si>
    <t>11/10/2016</t>
  </si>
  <si>
    <t>Intuit Inc.</t>
  </si>
  <si>
    <t>INTU</t>
  </si>
  <si>
    <t>Trinity Industries, Inc.</t>
  </si>
  <si>
    <t>TRN</t>
  </si>
  <si>
    <t>4/27/2016</t>
  </si>
  <si>
    <t>Babcock</t>
  </si>
  <si>
    <t>BW</t>
  </si>
  <si>
    <t>9/23/2015</t>
  </si>
  <si>
    <t>Chemed Corp.</t>
  </si>
  <si>
    <t>CHE</t>
  </si>
  <si>
    <t>NCR Corporation</t>
  </si>
  <si>
    <t>NCR</t>
  </si>
  <si>
    <t>4/3/2015</t>
  </si>
  <si>
    <t>9/7/2012</t>
  </si>
  <si>
    <t>International Game Technology</t>
  </si>
  <si>
    <t>IGT</t>
  </si>
  <si>
    <t>Nuance Communications, Inc.</t>
  </si>
  <si>
    <t>NUAN</t>
  </si>
  <si>
    <t>2/19/2013</t>
  </si>
  <si>
    <t>NRG Energy, Inc.</t>
  </si>
  <si>
    <t>NRG</t>
  </si>
  <si>
    <t>9/11/2012</t>
  </si>
  <si>
    <t>Teleflex Incorporated</t>
  </si>
  <si>
    <t>TFX</t>
  </si>
  <si>
    <t>4/1/2016</t>
  </si>
  <si>
    <t>The AES Corporation</t>
  </si>
  <si>
    <t>AES</t>
  </si>
  <si>
    <t>Terex Corporation</t>
  </si>
  <si>
    <t>TEX</t>
  </si>
  <si>
    <t>AMC Networks Inc.</t>
  </si>
  <si>
    <t>AMCX</t>
  </si>
  <si>
    <t>11/15/2013</t>
  </si>
  <si>
    <t>Natural Resource Partners LP</t>
  </si>
  <si>
    <t>NRP</t>
  </si>
  <si>
    <t>Boeing Company (The)</t>
  </si>
  <si>
    <t>BA</t>
  </si>
  <si>
    <t>ManpowerGroup</t>
  </si>
  <si>
    <t>MAN</t>
  </si>
  <si>
    <t>Great Lakes Dredge &amp; Dock Corporation</t>
  </si>
  <si>
    <t>GLDD</t>
  </si>
  <si>
    <t>8/7/2012</t>
  </si>
  <si>
    <t>8/11/2011</t>
  </si>
  <si>
    <t>Keysight Technologies Inc.</t>
  </si>
  <si>
    <t>KEYS</t>
  </si>
  <si>
    <t>9/12/2014</t>
  </si>
  <si>
    <t>Netflix, Inc.</t>
  </si>
  <si>
    <t>NFLX</t>
  </si>
  <si>
    <t>2/25/2015</t>
  </si>
  <si>
    <t>6/9/2014</t>
  </si>
  <si>
    <t>2/25/2016</t>
  </si>
  <si>
    <t>Triumph Group, Inc.</t>
  </si>
  <si>
    <t>TGI</t>
  </si>
  <si>
    <t>Ryder System, Inc.</t>
  </si>
  <si>
    <t>R</t>
  </si>
  <si>
    <t>8/10/2012</t>
  </si>
  <si>
    <t>6/26/2012</t>
  </si>
  <si>
    <t>Wabash National Corporation</t>
  </si>
  <si>
    <t>WNC</t>
  </si>
  <si>
    <t>CEVA, Inc.</t>
  </si>
  <si>
    <t>CEVA</t>
  </si>
  <si>
    <t>4/4/2014</t>
  </si>
  <si>
    <t>12/7/2012</t>
  </si>
  <si>
    <t>Oshkosh Corporation</t>
  </si>
  <si>
    <t>OSK</t>
  </si>
  <si>
    <t>2/6/2014</t>
  </si>
  <si>
    <t>Hyatt Hotels Corporation</t>
  </si>
  <si>
    <t>H</t>
  </si>
  <si>
    <t>9/26/2014</t>
  </si>
  <si>
    <t>Westrock Company</t>
  </si>
  <si>
    <t>WRK</t>
  </si>
  <si>
    <t>7/6/2015</t>
  </si>
  <si>
    <t>Ryerson Holding Corporation</t>
  </si>
  <si>
    <t>RYI</t>
  </si>
  <si>
    <t>Intel Corporation</t>
  </si>
  <si>
    <t>INTC</t>
  </si>
  <si>
    <t>Enel Americas S.A.</t>
  </si>
  <si>
    <t>ENIA</t>
  </si>
  <si>
    <t>12/23/2015</t>
  </si>
  <si>
    <t>Sonic Automotive, Inc.</t>
  </si>
  <si>
    <t>SAH</t>
  </si>
  <si>
    <t>6/24/2016</t>
  </si>
  <si>
    <t>6/25/2012</t>
  </si>
  <si>
    <t>Brookfield Renewable Partners L.P.</t>
  </si>
  <si>
    <t>BEP</t>
  </si>
  <si>
    <t>5/19/2016</t>
  </si>
  <si>
    <t>Advanced Disposal Services, Inc.</t>
  </si>
  <si>
    <t>ADSW</t>
  </si>
  <si>
    <t>Zoetis Inc.</t>
  </si>
  <si>
    <t>ZTS</t>
  </si>
  <si>
    <t>12/23/2016</t>
  </si>
  <si>
    <t>1/22/2016</t>
  </si>
  <si>
    <t>Phillips 66 Partners LP</t>
  </si>
  <si>
    <t>PSXP</t>
  </si>
  <si>
    <t>Lam Research Corporation</t>
  </si>
  <si>
    <t>LRCX</t>
  </si>
  <si>
    <t>12/15/2011</t>
  </si>
  <si>
    <t>STMicroelectronics N.V.</t>
  </si>
  <si>
    <t>STM</t>
  </si>
  <si>
    <t>7/8/2013</t>
  </si>
  <si>
    <t>2/24/2016</t>
  </si>
  <si>
    <t>Columbus McKinnon Corporation</t>
  </si>
  <si>
    <t>CMCO</t>
  </si>
  <si>
    <t>Cardinal Health, Inc.</t>
  </si>
  <si>
    <t>CAH</t>
  </si>
  <si>
    <t>6/16/2015</t>
  </si>
  <si>
    <t>E.W. Scripps Company (The)</t>
  </si>
  <si>
    <t>SSP</t>
  </si>
  <si>
    <t>Progressive Corporation (The)</t>
  </si>
  <si>
    <t>PGR</t>
  </si>
  <si>
    <t>8/22/2016</t>
  </si>
  <si>
    <t>4/22/2014</t>
  </si>
  <si>
    <t>United Parcel Service, Inc.</t>
  </si>
  <si>
    <t>UPS</t>
  </si>
  <si>
    <t>8/28/2012</t>
  </si>
  <si>
    <t>2/17/2012</t>
  </si>
  <si>
    <t>Gamestop Corporation</t>
  </si>
  <si>
    <t>GME</t>
  </si>
  <si>
    <t>3/2/2016</t>
  </si>
  <si>
    <t>Builders FirstSource, Inc.</t>
  </si>
  <si>
    <t>BLDR</t>
  </si>
  <si>
    <t>7/22/2016</t>
  </si>
  <si>
    <t>7/13/2015</t>
  </si>
  <si>
    <t>SEACOR Holdings, Inc.</t>
  </si>
  <si>
    <t>CKH</t>
  </si>
  <si>
    <t>4/9/2014</t>
  </si>
  <si>
    <t>AECOM</t>
  </si>
  <si>
    <t>ACM</t>
  </si>
  <si>
    <t>Graham Holdings Company</t>
  </si>
  <si>
    <t>GHC</t>
  </si>
  <si>
    <t>6/26/2014</t>
  </si>
  <si>
    <t>6/24/2015</t>
  </si>
  <si>
    <t>Flex Ltd.</t>
  </si>
  <si>
    <t>FLEX</t>
  </si>
  <si>
    <t>Hanesbrands Inc.</t>
  </si>
  <si>
    <t>HBI</t>
  </si>
  <si>
    <t>5/17/2016</t>
  </si>
  <si>
    <t>United States Cellular Corporation</t>
  </si>
  <si>
    <t>USM</t>
  </si>
  <si>
    <t>7/15/2013</t>
  </si>
  <si>
    <t>1/23/2015</t>
  </si>
  <si>
    <t>11/19/2015</t>
  </si>
  <si>
    <t>ACI Worldwide, Inc.</t>
  </si>
  <si>
    <t>ACIW</t>
  </si>
  <si>
    <t>RPM International Inc.</t>
  </si>
  <si>
    <t>RPM</t>
  </si>
  <si>
    <t>10/19/2012</t>
  </si>
  <si>
    <t>8/20/2015</t>
  </si>
  <si>
    <t>AMAG Pharmaceuticals, Inc.</t>
  </si>
  <si>
    <t>AMAG</t>
  </si>
  <si>
    <t>10/12/2015</t>
  </si>
  <si>
    <t>10/10/2016</t>
  </si>
  <si>
    <t>Tutor Perini Corporation</t>
  </si>
  <si>
    <t>TPC</t>
  </si>
  <si>
    <t>9/14/2012</t>
  </si>
  <si>
    <t>11/20/2014</t>
  </si>
  <si>
    <t>11/3/2016</t>
  </si>
  <si>
    <t>11/19/2010</t>
  </si>
  <si>
    <t>11/11/2011</t>
  </si>
  <si>
    <t>Accenture plc</t>
  </si>
  <si>
    <t>ACN</t>
  </si>
  <si>
    <t>9/30/2014</t>
  </si>
  <si>
    <t>Hill-Rom Holdings Inc</t>
  </si>
  <si>
    <t>HRC</t>
  </si>
  <si>
    <t>6/17/2015</t>
  </si>
  <si>
    <t>Embraer S.A.</t>
  </si>
  <si>
    <t>ERJ</t>
  </si>
  <si>
    <t>DCP Midstream LP</t>
  </si>
  <si>
    <t>DCP</t>
  </si>
  <si>
    <t>Tempur Sealy International, Inc.</t>
  </si>
  <si>
    <t>TPX</t>
  </si>
  <si>
    <t>Comstock Resources, Inc.</t>
  </si>
  <si>
    <t>CRK</t>
  </si>
  <si>
    <t>Post Holdings, Inc.</t>
  </si>
  <si>
    <t>POST</t>
  </si>
  <si>
    <t>Ascena Retail Group, Inc.</t>
  </si>
  <si>
    <t>ASNA</t>
  </si>
  <si>
    <t>6/3/2016</t>
  </si>
  <si>
    <t>Cogent Communications Holdings, Inc.</t>
  </si>
  <si>
    <t>CCOI</t>
  </si>
  <si>
    <t>1/28/2016</t>
  </si>
  <si>
    <t>2/29/2012</t>
  </si>
  <si>
    <t>2/16/2011</t>
  </si>
  <si>
    <t>2/20/2013</t>
  </si>
  <si>
    <t>Alleghany Corporation</t>
  </si>
  <si>
    <t>Y</t>
  </si>
  <si>
    <t>TechnipFMC plc</t>
  </si>
  <si>
    <t>FTI</t>
  </si>
  <si>
    <t>Eldorado Gold Corporation</t>
  </si>
  <si>
    <t>EGO</t>
  </si>
  <si>
    <t>3/31/2016</t>
  </si>
  <si>
    <t>Iron Mountain Incorporated</t>
  </si>
  <si>
    <t>IRM</t>
  </si>
  <si>
    <t>Hilton Worldwide Holdings Inc.</t>
  </si>
  <si>
    <t>HLT</t>
  </si>
  <si>
    <t>Axalta Coating Systems Ltd.</t>
  </si>
  <si>
    <t>AXTA</t>
  </si>
  <si>
    <t>Bed Bath &amp; Beyond Inc.</t>
  </si>
  <si>
    <t>BBBY</t>
  </si>
  <si>
    <t>1/12/2016</t>
  </si>
  <si>
    <t>7/14/2014</t>
  </si>
  <si>
    <t>Unisys Corporation</t>
  </si>
  <si>
    <t>UIS</t>
  </si>
  <si>
    <t>Centrus Energy Corp.</t>
  </si>
  <si>
    <t>LEU</t>
  </si>
  <si>
    <t>Minerals Technologies Inc.</t>
  </si>
  <si>
    <t>MTX</t>
  </si>
  <si>
    <t>Laredo Petroleum, Inc.</t>
  </si>
  <si>
    <t>LPI</t>
  </si>
  <si>
    <t>1/27/2015</t>
  </si>
  <si>
    <t>1/28/2013</t>
  </si>
  <si>
    <t>11/7/2016</t>
  </si>
  <si>
    <t>Antero Resources Corporation</t>
  </si>
  <si>
    <t>AR</t>
  </si>
  <si>
    <t>Marathon Petroleum Corporation</t>
  </si>
  <si>
    <t>MPC</t>
  </si>
  <si>
    <t>7/1/2011</t>
  </si>
  <si>
    <t>Griffon Corporation</t>
  </si>
  <si>
    <t>GFF</t>
  </si>
  <si>
    <t>3/7/2014</t>
  </si>
  <si>
    <t>Packaging Corporation of America</t>
  </si>
  <si>
    <t>PKG</t>
  </si>
  <si>
    <t>10/15/2013</t>
  </si>
  <si>
    <t>Loews Corporation</t>
  </si>
  <si>
    <t>L</t>
  </si>
  <si>
    <t>Silgan Holdings Inc.</t>
  </si>
  <si>
    <t>SLGN</t>
  </si>
  <si>
    <t>Humana Inc.</t>
  </si>
  <si>
    <t>HUM</t>
  </si>
  <si>
    <t>12/5/2012</t>
  </si>
  <si>
    <t>Deluxe Corporation</t>
  </si>
  <si>
    <t>DLX</t>
  </si>
  <si>
    <t>4/28/2015</t>
  </si>
  <si>
    <t>10/15/2015</t>
  </si>
  <si>
    <t>Lennox International, Inc.</t>
  </si>
  <si>
    <t>LII</t>
  </si>
  <si>
    <t>Nokia Corporation</t>
  </si>
  <si>
    <t>NOK</t>
  </si>
  <si>
    <t>8/2/2011</t>
  </si>
  <si>
    <t>6/9/2011</t>
  </si>
  <si>
    <t>7/20/2012</t>
  </si>
  <si>
    <t>ITT Inc.</t>
  </si>
  <si>
    <t>ITT</t>
  </si>
  <si>
    <t>5/16/2016</t>
  </si>
  <si>
    <t>Mercer International Inc.</t>
  </si>
  <si>
    <t>MERC</t>
  </si>
  <si>
    <t>11/26/2015</t>
  </si>
  <si>
    <t>Costco Wholesale Corporation</t>
  </si>
  <si>
    <t>COST</t>
  </si>
  <si>
    <t>10/9/2014</t>
  </si>
  <si>
    <t>Waste Management, Inc.</t>
  </si>
  <si>
    <t>WM</t>
  </si>
  <si>
    <t>Radian Group Inc.</t>
  </si>
  <si>
    <t>RDN</t>
  </si>
  <si>
    <t>ConAgra Brands, Inc.</t>
  </si>
  <si>
    <t>CAG</t>
  </si>
  <si>
    <t>Colfax Corporation</t>
  </si>
  <si>
    <t>CFX</t>
  </si>
  <si>
    <t>10/21/2013</t>
  </si>
  <si>
    <t>Telefonica Brasil S.A.</t>
  </si>
  <si>
    <t>VIV</t>
  </si>
  <si>
    <t>Enersys</t>
  </si>
  <si>
    <t>ENS</t>
  </si>
  <si>
    <t>7/14/2016</t>
  </si>
  <si>
    <t>4/6/2015</t>
  </si>
  <si>
    <t>PDC Energy, Inc.</t>
  </si>
  <si>
    <t>PDCE</t>
  </si>
  <si>
    <t>9/9/2016</t>
  </si>
  <si>
    <t>Boyd Gaming Corporation</t>
  </si>
  <si>
    <t>BYD</t>
  </si>
  <si>
    <t>8/5/2016</t>
  </si>
  <si>
    <t>Cementos Pacasmayo S.A.A.</t>
  </si>
  <si>
    <t>CPAC</t>
  </si>
  <si>
    <t>MBIA, Inc.</t>
  </si>
  <si>
    <t>MBI</t>
  </si>
  <si>
    <t>11/19/2012</t>
  </si>
  <si>
    <t>BP p.l.c.</t>
  </si>
  <si>
    <t>BP</t>
  </si>
  <si>
    <t>Viavi Solutions Inc.</t>
  </si>
  <si>
    <t>VIAV</t>
  </si>
  <si>
    <t>10/3/2013</t>
  </si>
  <si>
    <t>GCP Applied Technologies Inc.</t>
  </si>
  <si>
    <t>GCP</t>
  </si>
  <si>
    <t>Semtech Corporation</t>
  </si>
  <si>
    <t>SMTC</t>
  </si>
  <si>
    <t>IHS Markit Ltd.</t>
  </si>
  <si>
    <t>INFO</t>
  </si>
  <si>
    <t>7/26/2016</t>
  </si>
  <si>
    <t>MDC Partners Inc.</t>
  </si>
  <si>
    <t>MDCA</t>
  </si>
  <si>
    <t>Clean Harbors, Inc.</t>
  </si>
  <si>
    <t>CLH</t>
  </si>
  <si>
    <t>Star Group, L.P.</t>
  </si>
  <si>
    <t>SGU</t>
  </si>
  <si>
    <t>9/4/2013</t>
  </si>
  <si>
    <t>Public Service Enterprise Group Incorporated</t>
  </si>
  <si>
    <t>PEG</t>
  </si>
  <si>
    <t>HC2 Holdings, Inc.</t>
  </si>
  <si>
    <t>HCHC</t>
  </si>
  <si>
    <t>Celanese Corporation</t>
  </si>
  <si>
    <t>CE</t>
  </si>
  <si>
    <t>DISH Network Corporation</t>
  </si>
  <si>
    <t>DISH</t>
  </si>
  <si>
    <t>Amphenol Corporation</t>
  </si>
  <si>
    <t>APH</t>
  </si>
  <si>
    <t>Brinker International, Inc.</t>
  </si>
  <si>
    <t>EAT</t>
  </si>
  <si>
    <t>NewMarket Corporation</t>
  </si>
  <si>
    <t>NEU</t>
  </si>
  <si>
    <t>12/13/2012</t>
  </si>
  <si>
    <t>Group 1 Automotive, Inc.</t>
  </si>
  <si>
    <t>GPI</t>
  </si>
  <si>
    <t>12/3/2015</t>
  </si>
  <si>
    <t>Scientific Games Corp</t>
  </si>
  <si>
    <t>SGMS</t>
  </si>
  <si>
    <t>Salem Media Group, Inc.</t>
  </si>
  <si>
    <t>SALM</t>
  </si>
  <si>
    <t>Xinyuan Real Estate Co Ltd</t>
  </si>
  <si>
    <t>XIN</t>
  </si>
  <si>
    <t>Advanced Micro Devices, Inc.</t>
  </si>
  <si>
    <t>AMD</t>
  </si>
  <si>
    <t>MGIC Investment Corporation</t>
  </si>
  <si>
    <t>MTG</t>
  </si>
  <si>
    <t>Charles River Laboratories International, Inc.</t>
  </si>
  <si>
    <t>CRL</t>
  </si>
  <si>
    <t>4/24/2015</t>
  </si>
  <si>
    <t>Las Vegas Sands Corp.</t>
  </si>
  <si>
    <t>LVS</t>
  </si>
  <si>
    <t>Select Medical Holdings Corporation</t>
  </si>
  <si>
    <t>SEM</t>
  </si>
  <si>
    <t>10/16/2013</t>
  </si>
  <si>
    <t>Lattice Semiconductor Corporation</t>
  </si>
  <si>
    <t>LSCC</t>
  </si>
  <si>
    <t>Equinix, Inc.</t>
  </si>
  <si>
    <t>EQIX</t>
  </si>
  <si>
    <t>Centene Corporation</t>
  </si>
  <si>
    <t>CNC</t>
  </si>
  <si>
    <t>4/24/2014</t>
  </si>
  <si>
    <t>11/2/2012</t>
  </si>
  <si>
    <t>Allegiant Travel Company</t>
  </si>
  <si>
    <t>ALGT</t>
  </si>
  <si>
    <t>Toro Company (The)</t>
  </si>
  <si>
    <t>TTC</t>
  </si>
  <si>
    <t>Tech Data Corporation</t>
  </si>
  <si>
    <t>TECD</t>
  </si>
  <si>
    <t>Steel Dynamics, Inc.</t>
  </si>
  <si>
    <t>STLD</t>
  </si>
  <si>
    <t>Alphabet Inc.</t>
  </si>
  <si>
    <t>GOOG</t>
  </si>
  <si>
    <t>Visa Inc.</t>
  </si>
  <si>
    <t>V</t>
  </si>
  <si>
    <t>12/9/2015</t>
  </si>
  <si>
    <t>Coty Inc.</t>
  </si>
  <si>
    <t>COTY</t>
  </si>
  <si>
    <t>10/3/2016</t>
  </si>
  <si>
    <t>Gulfport Energy Corporation</t>
  </si>
  <si>
    <t>GPOR</t>
  </si>
  <si>
    <t>Universal Health Services, Inc.</t>
  </si>
  <si>
    <t>UHS</t>
  </si>
  <si>
    <t>Fortive Corporation</t>
  </si>
  <si>
    <t>FTV</t>
  </si>
  <si>
    <t>Gogo Inc.</t>
  </si>
  <si>
    <t>GOGO</t>
  </si>
  <si>
    <t>Westinghouse Air Brake Technologies Corporation</t>
  </si>
  <si>
    <t>WAB</t>
  </si>
  <si>
    <t>6/5/2013</t>
  </si>
  <si>
    <t>Xylem Inc.</t>
  </si>
  <si>
    <t>XYL</t>
  </si>
  <si>
    <t>J.M. Smucker Company (The)</t>
  </si>
  <si>
    <t>SJM</t>
  </si>
  <si>
    <t>Resolute Forest Products Inc.</t>
  </si>
  <si>
    <t>RFP</t>
  </si>
  <si>
    <t>5/26/2016</t>
  </si>
  <si>
    <t>4/24/2013</t>
  </si>
  <si>
    <t>Autoliv, Inc.</t>
  </si>
  <si>
    <t>ALV</t>
  </si>
  <si>
    <t>Cardtronics plc</t>
  </si>
  <si>
    <t>CATM</t>
  </si>
  <si>
    <t>MTS Systems Corporation</t>
  </si>
  <si>
    <t>MTSC</t>
  </si>
  <si>
    <t>6/14/2016</t>
  </si>
  <si>
    <t>Orion Engineered Carbons S.A</t>
  </si>
  <si>
    <t>OEC</t>
  </si>
  <si>
    <t>Huntington Ingalls Industries, Inc.</t>
  </si>
  <si>
    <t>HII</t>
  </si>
  <si>
    <t>TriMas Corporation</t>
  </si>
  <si>
    <t>TRS</t>
  </si>
  <si>
    <t>Edwards Lifesciences Corporation</t>
  </si>
  <si>
    <t>EW</t>
  </si>
  <si>
    <t>Briggs &amp; Stratton Corporation</t>
  </si>
  <si>
    <t>BGG</t>
  </si>
  <si>
    <t>Eagle Materials Inc</t>
  </si>
  <si>
    <t>EXP</t>
  </si>
  <si>
    <t>DENTSPLY SIRONA Inc.</t>
  </si>
  <si>
    <t>XRAY</t>
  </si>
  <si>
    <t>British American Tobacco p.l.c.</t>
  </si>
  <si>
    <t>BTI</t>
  </si>
  <si>
    <t>Alkermes plc</t>
  </si>
  <si>
    <t>ALKS</t>
  </si>
  <si>
    <t>Scotts Miracle-Gro Company (The)</t>
  </si>
  <si>
    <t>SMG</t>
  </si>
  <si>
    <t>Ultrapar Participacoes S.A.</t>
  </si>
  <si>
    <t>UGP</t>
  </si>
  <si>
    <t>Trimble Inc.</t>
  </si>
  <si>
    <t>TRMB</t>
  </si>
  <si>
    <t>Atlantic Power Corporation</t>
  </si>
  <si>
    <t>AT</t>
  </si>
  <si>
    <t>RLI Corp.</t>
  </si>
  <si>
    <t>RLI</t>
  </si>
  <si>
    <t>Hanger, Inc.</t>
  </si>
  <si>
    <t>HNGR</t>
  </si>
  <si>
    <t>Martin Midstream Partners L.P.</t>
  </si>
  <si>
    <t>MMLP</t>
  </si>
  <si>
    <t>Electronic Arts Inc.</t>
  </si>
  <si>
    <t>EA</t>
  </si>
  <si>
    <t>Magna International, Inc.</t>
  </si>
  <si>
    <t>MGA</t>
  </si>
  <si>
    <t>Armstrong World Industries Inc</t>
  </si>
  <si>
    <t>AWI</t>
  </si>
  <si>
    <t>Asbury Automotive Group Inc</t>
  </si>
  <si>
    <t>ABG</t>
  </si>
  <si>
    <t>Quanex Building Products Corporation</t>
  </si>
  <si>
    <t>NX</t>
  </si>
  <si>
    <t>Canadian Solar Inc.</t>
  </si>
  <si>
    <t>CSIQ</t>
  </si>
  <si>
    <t>Sabre Corporation</t>
  </si>
  <si>
    <t>SABR</t>
  </si>
  <si>
    <t>4/13/2016</t>
  </si>
  <si>
    <t>Mastercard Incorporated</t>
  </si>
  <si>
    <t>MA</t>
  </si>
  <si>
    <t>Hexcel Corporation</t>
  </si>
  <si>
    <t>HXL</t>
  </si>
  <si>
    <t>Royal Caribbean Cruises Ltd.</t>
  </si>
  <si>
    <t>RCL</t>
  </si>
  <si>
    <t>New York Times Company (The)</t>
  </si>
  <si>
    <t>NYT</t>
  </si>
  <si>
    <t>Hewlett Packard Enterprise Company</t>
  </si>
  <si>
    <t>HPE</t>
  </si>
  <si>
    <t>ICON plc</t>
  </si>
  <si>
    <t>ICLR</t>
  </si>
  <si>
    <t>1/5/2016</t>
  </si>
  <si>
    <t>NXP Semiconductors N.V.</t>
  </si>
  <si>
    <t>NXPI</t>
  </si>
  <si>
    <t>10/28/2016</t>
  </si>
  <si>
    <t>Green Plains, Inc.</t>
  </si>
  <si>
    <t>GPRE</t>
  </si>
  <si>
    <t>MagnaChip Semiconductor Corporation</t>
  </si>
  <si>
    <t>MX</t>
  </si>
  <si>
    <t>2/17/2015</t>
  </si>
  <si>
    <t>6/24/2013</t>
  </si>
  <si>
    <t>Hecla Mining Company</t>
  </si>
  <si>
    <t>HL</t>
  </si>
  <si>
    <t>Pedevco Corp.</t>
  </si>
  <si>
    <t>PED</t>
  </si>
  <si>
    <t>Signet Jewelers Limited</t>
  </si>
  <si>
    <t>SIG</t>
  </si>
  <si>
    <t>8/25/2016</t>
  </si>
  <si>
    <t>Vista Outdoor Inc.</t>
  </si>
  <si>
    <t>VSTO</t>
  </si>
  <si>
    <t>Kraton Corporation</t>
  </si>
  <si>
    <t>KRA</t>
  </si>
  <si>
    <t>Verint Systems Inc.</t>
  </si>
  <si>
    <t>VRNT</t>
  </si>
  <si>
    <t>2/15/2013</t>
  </si>
  <si>
    <t>Gray Television, Inc.</t>
  </si>
  <si>
    <t>GTN</t>
  </si>
  <si>
    <t>PayPal Holdings, Inc.</t>
  </si>
  <si>
    <t>PYPL</t>
  </si>
  <si>
    <t>Broadridge Financial Solutions, Inc.</t>
  </si>
  <si>
    <t>BR</t>
  </si>
  <si>
    <t>6/21/2016</t>
  </si>
  <si>
    <t>Entercom Communications Corp.</t>
  </si>
  <si>
    <t>ETM</t>
  </si>
  <si>
    <t>ProAssurance Corporation</t>
  </si>
  <si>
    <t>PRA</t>
  </si>
  <si>
    <t>Eastman Kodak Company</t>
  </si>
  <si>
    <t>KODK</t>
  </si>
  <si>
    <t>11/9/2016</t>
  </si>
  <si>
    <t>Steelcase Inc.</t>
  </si>
  <si>
    <t>SCS</t>
  </si>
  <si>
    <t>Entegris, Inc.</t>
  </si>
  <si>
    <t>ENTG</t>
  </si>
  <si>
    <t>Fiserv, Inc.</t>
  </si>
  <si>
    <t>FISV</t>
  </si>
  <si>
    <t>Diamondback Energy, Inc.</t>
  </si>
  <si>
    <t>FANG</t>
  </si>
  <si>
    <t>12/15/2016</t>
  </si>
  <si>
    <t>Noble Energy Inc.</t>
  </si>
  <si>
    <t>NBL</t>
  </si>
  <si>
    <t>3/24/2016</t>
  </si>
  <si>
    <t>Bio-Rad Laboratories, Inc.</t>
  </si>
  <si>
    <t>BIO</t>
  </si>
  <si>
    <t>PRA Group, Inc.</t>
  </si>
  <si>
    <t>PRAA</t>
  </si>
  <si>
    <t>Cadence Design Systems, Inc.</t>
  </si>
  <si>
    <t>CDNS</t>
  </si>
  <si>
    <t>PTC Inc.</t>
  </si>
  <si>
    <t>PTC</t>
  </si>
  <si>
    <t>Stericycle, Inc.</t>
  </si>
  <si>
    <t>SRCL</t>
  </si>
  <si>
    <t>Valvoline Inc.</t>
  </si>
  <si>
    <t>VVV</t>
  </si>
  <si>
    <t>Kosmos Energy Ltd.</t>
  </si>
  <si>
    <t>KOS</t>
  </si>
  <si>
    <t>Koppers Holdings Inc.</t>
  </si>
  <si>
    <t>KOP</t>
  </si>
  <si>
    <t>Seagate Technology PLC</t>
  </si>
  <si>
    <t>STX</t>
  </si>
  <si>
    <t>ManTech International Corporation</t>
  </si>
  <si>
    <t>MANT</t>
  </si>
  <si>
    <t>Northern Oil and Gas, Inc.</t>
  </si>
  <si>
    <t>NOG</t>
  </si>
  <si>
    <t>IRSA Inversiones Y Representaciones S.A.</t>
  </si>
  <si>
    <t>IRS</t>
  </si>
  <si>
    <t>12/17/2010</t>
  </si>
  <si>
    <t>Gartner, Inc.</t>
  </si>
  <si>
    <t>IT</t>
  </si>
  <si>
    <t>SBA Communications Corporation</t>
  </si>
  <si>
    <t>SBAC</t>
  </si>
  <si>
    <t>Xperi Holding Corporation</t>
  </si>
  <si>
    <t>XPER</t>
  </si>
  <si>
    <t>Imperial Oil Limited</t>
  </si>
  <si>
    <t>IMO</t>
  </si>
  <si>
    <t>NVR, Inc.</t>
  </si>
  <si>
    <t>NVR</t>
  </si>
  <si>
    <t>9/5/2012</t>
  </si>
  <si>
    <t>Kaiser Aluminum Corporation</t>
  </si>
  <si>
    <t>KALU</t>
  </si>
  <si>
    <t>4/28/2016</t>
  </si>
  <si>
    <t>Cresud S.A.C.I.F. y A.</t>
  </si>
  <si>
    <t>CRESY</t>
  </si>
  <si>
    <t>Investment Grade</t>
  </si>
  <si>
    <t>Speculative Grade</t>
  </si>
  <si>
    <t>Default</t>
  </si>
  <si>
    <t>Measure Name</t>
  </si>
  <si>
    <t>DAX Formula (paste into Power BI &gt; New Measure)</t>
  </si>
  <si>
    <t>Total Companies</t>
  </si>
  <si>
    <t>Total Companies = DISTINCTCOUNT(Data[Name])</t>
  </si>
  <si>
    <t>Total Ratings</t>
  </si>
  <si>
    <t>Total Ratings = COUNTROWS(Data)</t>
  </si>
  <si>
    <t>Avg Rating Score</t>
  </si>
  <si>
    <t>Avg Rating Score = AVERAGE(Data[Rating Score])</t>
  </si>
  <si>
    <t>% Investment Grade</t>
  </si>
  <si>
    <t>% Investment Grade = DIVIDE(CALCULATE(COUNTROWS(Data), Data[Rating Category]="Investment Grade"), COUNTROWS(Data))</t>
  </si>
  <si>
    <t>% Speculative Grade</t>
  </si>
  <si>
    <t>% Speculative Grade = DIVIDE(CALCULATE(COUNTROWS(Data), Data[Rating Category]="Speculative Grade"), COUNTROWS(Data))</t>
  </si>
  <si>
    <t>% Default</t>
  </si>
  <si>
    <t>% Default = DIVIDE(CALCULATE(COUNTROWS(Data), Data[Rating Category]="Default"), COUNTROWS(Data))</t>
  </si>
  <si>
    <t>Avg ROE</t>
  </si>
  <si>
    <t>Avg ROE = AVERAGE(Data[returnOnEquity])</t>
  </si>
  <si>
    <t>Avg ROA</t>
  </si>
  <si>
    <t>Avg ROA = AVERAGE(Data[returnOnAssets])</t>
  </si>
  <si>
    <t>Avg Debt to Equity</t>
  </si>
  <si>
    <t>Avg Debt to Equity = AVERAGE(Data[debtEquityRatio])</t>
  </si>
  <si>
    <t>Avg Net Profit Margin</t>
  </si>
  <si>
    <t>Avg Net Profit Margin = AVERAGE(Data[netProfitMargin])</t>
  </si>
  <si>
    <t>YoY Avg Rating Score</t>
  </si>
  <si>
    <t>YoY Avg Rating Score = VAR CurYear = [Avg Rating Score] VAR PrevYear = CALCULATE([Avg Rating Score], SAMEPERIODLASTYEAR(Data[Date Parsed])) RETURN CurYear - PrevYear</t>
  </si>
  <si>
    <t>Companies per Agency</t>
  </si>
  <si>
    <t>Companies per Agency = DISTINCTCOUNT(Data[Name])</t>
  </si>
  <si>
    <t>Notes:</t>
  </si>
  <si>
    <t>1. Import the "Data" sheet into Power BI. Set "Date Parsed" column type to Date.</t>
  </si>
  <si>
    <t>2. Do NOT import "RatingLookup" as a separate model table -- it was only used to build Rating Score/Category via Excel formulas. You may optionally load it and relate for a proper star schema.</t>
  </si>
  <si>
    <t>3. Rating Score: AAA=10 (best) down to D=1 (default) -- use for trend lines, avg score by sector/agency.</t>
  </si>
  <si>
    <t>4. Rating Category groups ratings into Investment Grade / Speculative Grade / Default -- use for high-level KPI cards.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</si>
</sst>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30"/>
  <sheetViews>
    <sheetView tabSelected="1" topLeftCell="L1" zoomScaleNormal="100" workbookViewId="0">
      <pane ySplit="1" topLeftCell="A2" activePane="bottomLeft" state="frozen"/>
      <selection pane="bottomLeft" activeCell="Q1" sqref="Q1"/>
    </sheetView>
  </sheetViews>
  <sheetFormatPr defaultColWidth="8.6640625" defaultRowHeight="14.4" x14ac:dyDescent="0.3"/>
  <cols>
    <col min="1" max="1" width="7.21875" bestFit="1" customWidth="1"/>
    <col min="2" max="2" width="57.44140625" bestFit="1" customWidth="1"/>
    <col min="3" max="3" width="8.44140625" bestFit="1" customWidth="1"/>
    <col min="4" max="4" width="33.21875" bestFit="1" customWidth="1"/>
    <col min="5" max="5" width="11" bestFit="1" customWidth="1"/>
    <col min="6" max="6" width="23.33203125" bestFit="1" customWidth="1"/>
    <col min="7" max="7" width="14" bestFit="1" customWidth="1"/>
    <col min="8" max="8" width="14" customWidth="1"/>
    <col min="9" max="9" width="14" bestFit="1" customWidth="1"/>
    <col min="10" max="10" width="21" bestFit="1" customWidth="1"/>
    <col min="11" max="11" width="16" bestFit="1" customWidth="1"/>
    <col min="12" max="12" width="19.21875" bestFit="1" customWidth="1"/>
    <col min="13" max="13" width="18.44140625" bestFit="1" customWidth="1"/>
    <col min="14" max="14" width="21" bestFit="1" customWidth="1"/>
    <col min="15" max="15" width="16.44140625" bestFit="1" customWidth="1"/>
    <col min="16" max="16" width="21.6640625" bestFit="1" customWidth="1"/>
    <col min="17" max="17" width="16" bestFit="1" customWidth="1"/>
    <col min="18" max="18" width="15.21875" bestFit="1" customWidth="1"/>
    <col min="19" max="19" width="20.5546875" bestFit="1" customWidth="1"/>
    <col min="20" max="20" width="16.6640625" bestFit="1" customWidth="1"/>
    <col min="21" max="21" width="13.33203125" bestFit="1" customWidth="1"/>
    <col min="22" max="22" width="17.77734375" bestFit="1" customWidth="1"/>
    <col min="23" max="23" width="21.88671875" bestFit="1" customWidth="1"/>
    <col min="24" max="24" width="21.77734375" bestFit="1" customWidth="1"/>
    <col min="25" max="25" width="14.6640625" bestFit="1" customWidth="1"/>
    <col min="26" max="26" width="21.109375" bestFit="1" customWidth="1"/>
    <col min="27" max="27" width="16.88671875" bestFit="1" customWidth="1"/>
    <col min="28" max="28" width="21.5546875" bestFit="1" customWidth="1"/>
    <col min="29" max="30" width="21.44140625" bestFit="1" customWidth="1"/>
    <col min="31" max="31" width="18.88671875" bestFit="1" customWidth="1"/>
    <col min="32" max="32" width="12.77734375" bestFit="1" customWidth="1"/>
    <col min="33" max="33" width="5.5546875" bestFit="1" customWidth="1"/>
    <col min="34" max="34" width="8.33203125" bestFit="1" customWidth="1"/>
    <col min="35" max="35" width="13.5546875" bestFit="1" customWidth="1"/>
    <col min="36" max="36" width="17.6640625" bestFit="1" customWidth="1"/>
  </cols>
  <sheetData>
    <row r="1" spans="1:3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>
        <v>0.94589359500000003</v>
      </c>
      <c r="H2" s="3">
        <v>0.426394628</v>
      </c>
      <c r="I2" s="3">
        <v>9.9690082999999999E-2</v>
      </c>
      <c r="J2" s="3">
        <v>44.203245420000002</v>
      </c>
      <c r="K2" s="3">
        <v>3.7480254999999997E-2</v>
      </c>
      <c r="L2" s="3">
        <v>4.9351394999999999E-2</v>
      </c>
      <c r="M2" s="3">
        <v>0.17663108499999999</v>
      </c>
      <c r="N2" s="3">
        <v>6.1509741E-2</v>
      </c>
      <c r="O2" s="3">
        <v>4.1188848E-2</v>
      </c>
      <c r="P2" s="3">
        <v>9.1514290999999998E-2</v>
      </c>
      <c r="Q2" s="3">
        <v>0.165085389</v>
      </c>
      <c r="R2" s="3">
        <v>1.098947922</v>
      </c>
      <c r="S2" s="3">
        <v>5.5355060939999996</v>
      </c>
      <c r="T2" s="3">
        <v>3.0080118069999999</v>
      </c>
      <c r="U2" s="3">
        <v>0.75049973699999994</v>
      </c>
      <c r="V2" s="3">
        <v>0.20271581</v>
      </c>
      <c r="W2" s="3">
        <v>0.43755102000000001</v>
      </c>
      <c r="X2" s="3">
        <v>6.8106734429999998</v>
      </c>
      <c r="Y2" s="3">
        <v>9.8094027950000005</v>
      </c>
      <c r="Z2" s="3">
        <v>4.0080118069999999</v>
      </c>
      <c r="AA2" s="3">
        <v>4.9351394999999999E-2</v>
      </c>
      <c r="AB2" s="3">
        <v>7.0570880699999998</v>
      </c>
      <c r="AC2" s="3">
        <v>15.565438370000001</v>
      </c>
      <c r="AD2" s="3">
        <v>5.8637690999999999E-2</v>
      </c>
      <c r="AE2" s="3">
        <v>3.9066545540000002</v>
      </c>
      <c r="AF2" s="4">
        <v>42335</v>
      </c>
      <c r="AG2" s="5">
        <f>YEAR(AF2)</f>
        <v>2015</v>
      </c>
      <c r="AH2" s="5" t="str">
        <f>"Q"&amp;ROUNDUP(MONTH(AF2)/3,0)</f>
        <v>Q4</v>
      </c>
      <c r="AI2" s="5">
        <f>INDEX(RatingLookup!$B$2:$B$11,MATCH(A2,RatingLookup!$A$2:$A$11,0))</f>
        <v>8</v>
      </c>
      <c r="AJ2" s="5" t="str">
        <f>INDEX(RatingLookup!$C$2:$C$11,MATCH(A2,RatingLookup!$A$2:$A$11,0))</f>
        <v>Investment Grade</v>
      </c>
    </row>
    <row r="3" spans="1:36" x14ac:dyDescent="0.3">
      <c r="A3" s="3" t="s">
        <v>42</v>
      </c>
      <c r="B3" s="3" t="s">
        <v>37</v>
      </c>
      <c r="C3" s="3" t="s">
        <v>38</v>
      </c>
      <c r="D3" s="3" t="s">
        <v>39</v>
      </c>
      <c r="E3" s="3" t="s">
        <v>43</v>
      </c>
      <c r="F3" s="3" t="s">
        <v>41</v>
      </c>
      <c r="G3" s="3">
        <v>1.033559023</v>
      </c>
      <c r="H3" s="3">
        <v>0.49823373599999998</v>
      </c>
      <c r="I3" s="3">
        <v>0.20312040000000001</v>
      </c>
      <c r="J3" s="3">
        <v>38.991155630000002</v>
      </c>
      <c r="K3" s="3">
        <v>4.4062017000000002E-2</v>
      </c>
      <c r="L3" s="3">
        <v>4.8857157999999998E-2</v>
      </c>
      <c r="M3" s="3">
        <v>0.175715275</v>
      </c>
      <c r="N3" s="3">
        <v>6.6545900000000005E-2</v>
      </c>
      <c r="O3" s="3">
        <v>5.3203808999999998E-2</v>
      </c>
      <c r="P3" s="3">
        <v>0.1048</v>
      </c>
      <c r="Q3" s="3">
        <v>0.167952884</v>
      </c>
      <c r="R3" s="3">
        <v>1.2074755530000001</v>
      </c>
      <c r="S3" s="3">
        <v>6.1719828999999997</v>
      </c>
      <c r="T3" s="3">
        <v>2.156783103</v>
      </c>
      <c r="U3" s="3">
        <v>0.68322182200000003</v>
      </c>
      <c r="V3" s="3">
        <v>7.4154853000000007E-2</v>
      </c>
      <c r="W3" s="3">
        <v>0.54199682999999999</v>
      </c>
      <c r="X3" s="3">
        <v>8.6254728879999991</v>
      </c>
      <c r="Y3" s="3">
        <v>17.402269860000001</v>
      </c>
      <c r="Z3" s="3">
        <v>3.156783103</v>
      </c>
      <c r="AA3" s="3">
        <v>4.8857157999999998E-2</v>
      </c>
      <c r="AB3" s="3">
        <v>6.4606182219999999</v>
      </c>
      <c r="AC3" s="3">
        <v>15.914249679999999</v>
      </c>
      <c r="AD3" s="3">
        <v>6.7238532000000004E-2</v>
      </c>
      <c r="AE3" s="3">
        <v>4.0028460539999999</v>
      </c>
      <c r="AF3" s="4">
        <v>41683</v>
      </c>
      <c r="AG3" s="5">
        <f>YEAR(AF3)</f>
        <v>2014</v>
      </c>
      <c r="AH3" s="5" t="str">
        <f>"Q"&amp;ROUNDUP(MONTH(AF3)/3,0)</f>
        <v>Q1</v>
      </c>
      <c r="AI3" s="5">
        <f>INDEX(RatingLookup!$B$2:$B$11,MATCH(A3,RatingLookup!$A$2:$A$11,0))</f>
        <v>7</v>
      </c>
      <c r="AJ3" s="5" t="str">
        <f>INDEX(RatingLookup!$C$2:$C$11,MATCH(A3,RatingLookup!$A$2:$A$11,0))</f>
        <v>Investment Grade</v>
      </c>
    </row>
    <row r="4" spans="1:36" x14ac:dyDescent="0.3">
      <c r="A4" s="3" t="s">
        <v>42</v>
      </c>
      <c r="B4" s="3" t="s">
        <v>37</v>
      </c>
      <c r="C4" s="3" t="s">
        <v>38</v>
      </c>
      <c r="D4" s="3" t="s">
        <v>44</v>
      </c>
      <c r="E4" s="3" t="s">
        <v>45</v>
      </c>
      <c r="F4" s="3" t="s">
        <v>41</v>
      </c>
      <c r="G4" s="3">
        <v>0.963703439</v>
      </c>
      <c r="H4" s="3">
        <v>0.45150541500000002</v>
      </c>
      <c r="I4" s="3">
        <v>0.12209925000000001</v>
      </c>
      <c r="J4" s="3">
        <v>50.841384859999998</v>
      </c>
      <c r="K4" s="3">
        <v>3.2709340000000003E-2</v>
      </c>
      <c r="L4" s="3">
        <v>4.4333735999999999E-2</v>
      </c>
      <c r="M4" s="3">
        <v>0.17084339800000001</v>
      </c>
      <c r="N4" s="3">
        <v>5.9782609E-2</v>
      </c>
      <c r="O4" s="3">
        <v>3.2496749999999998E-2</v>
      </c>
      <c r="P4" s="3">
        <v>7.5954824000000004E-2</v>
      </c>
      <c r="Q4" s="3">
        <v>0.133060389</v>
      </c>
      <c r="R4" s="3">
        <v>0.99350064999999999</v>
      </c>
      <c r="S4" s="3">
        <v>4.9917106249999996</v>
      </c>
      <c r="T4" s="3">
        <v>3.0945752299999998</v>
      </c>
      <c r="U4" s="3">
        <v>0.75577442299999997</v>
      </c>
      <c r="V4" s="3">
        <v>0.214528944</v>
      </c>
      <c r="W4" s="3">
        <v>0.513184584</v>
      </c>
      <c r="X4" s="3">
        <v>9.6934865899999991</v>
      </c>
      <c r="Y4" s="3">
        <v>13.10344828</v>
      </c>
      <c r="Z4" s="3">
        <v>4.0945752300000002</v>
      </c>
      <c r="AA4" s="3">
        <v>4.4333735999999999E-2</v>
      </c>
      <c r="AB4" s="3">
        <v>10.49197025</v>
      </c>
      <c r="AC4" s="3">
        <v>18.88888889</v>
      </c>
      <c r="AD4" s="3">
        <v>7.4426328999999999E-2</v>
      </c>
      <c r="AE4" s="3">
        <v>3.4835095140000001</v>
      </c>
      <c r="AF4" s="4">
        <v>42069</v>
      </c>
      <c r="AG4" s="5">
        <f>YEAR(AF4)</f>
        <v>2015</v>
      </c>
      <c r="AH4" s="5" t="str">
        <f>"Q"&amp;ROUNDUP(MONTH(AF4)/3,0)</f>
        <v>Q1</v>
      </c>
      <c r="AI4" s="5">
        <f>INDEX(RatingLookup!$B$2:$B$11,MATCH(A4,RatingLookup!$A$2:$A$11,0))</f>
        <v>7</v>
      </c>
      <c r="AJ4" s="5" t="str">
        <f>INDEX(RatingLookup!$C$2:$C$11,MATCH(A4,RatingLookup!$A$2:$A$11,0))</f>
        <v>Investment Grade</v>
      </c>
    </row>
    <row r="5" spans="1:36" x14ac:dyDescent="0.3">
      <c r="A5" s="3" t="s">
        <v>42</v>
      </c>
      <c r="B5" s="3" t="s">
        <v>37</v>
      </c>
      <c r="C5" s="3" t="s">
        <v>38</v>
      </c>
      <c r="D5" s="3" t="s">
        <v>44</v>
      </c>
      <c r="E5" s="3" t="s">
        <v>46</v>
      </c>
      <c r="F5" s="3" t="s">
        <v>41</v>
      </c>
      <c r="G5" s="3">
        <v>1.019850723</v>
      </c>
      <c r="H5" s="3">
        <v>0.51040177900000006</v>
      </c>
      <c r="I5" s="3">
        <v>0.17611561100000001</v>
      </c>
      <c r="J5" s="3">
        <v>41.16173792</v>
      </c>
      <c r="K5" s="3">
        <v>2.0893603E-2</v>
      </c>
      <c r="L5" s="3">
        <v>-1.2857601999999999E-2</v>
      </c>
      <c r="M5" s="3">
        <v>0.138058502</v>
      </c>
      <c r="N5" s="3">
        <v>4.2430086999999998E-2</v>
      </c>
      <c r="O5" s="3">
        <v>2.5690007000000001E-2</v>
      </c>
      <c r="P5" s="3">
        <v>-2.7014857999999999E-2</v>
      </c>
      <c r="Q5" s="3">
        <v>9.3279119999999993E-2</v>
      </c>
      <c r="R5" s="3">
        <v>1.2295632700000001</v>
      </c>
      <c r="S5" s="3">
        <v>6.0174081240000001</v>
      </c>
      <c r="T5" s="3">
        <v>2.630949534</v>
      </c>
      <c r="U5" s="3">
        <v>0.72458994799999998</v>
      </c>
      <c r="V5" s="3">
        <v>1.816666667</v>
      </c>
      <c r="W5" s="3">
        <v>-0.14716981100000001</v>
      </c>
      <c r="X5" s="3">
        <v>-1.015625</v>
      </c>
      <c r="Y5" s="3">
        <v>14.44010417</v>
      </c>
      <c r="Z5" s="3">
        <v>3.630949534</v>
      </c>
      <c r="AA5" s="3">
        <v>-1.2857601999999999E-2</v>
      </c>
      <c r="AB5" s="3">
        <v>4.0807407409999996</v>
      </c>
      <c r="AC5" s="3">
        <v>6.9010416670000003</v>
      </c>
      <c r="AD5" s="3">
        <v>2.8393871000000001E-2</v>
      </c>
      <c r="AE5" s="3">
        <v>4.5811503419999999</v>
      </c>
      <c r="AF5" s="4">
        <v>41075</v>
      </c>
      <c r="AG5" s="5">
        <f>YEAR(AF5)</f>
        <v>2012</v>
      </c>
      <c r="AH5" s="5" t="str">
        <f>"Q"&amp;ROUNDUP(MONTH(AF5)/3,0)</f>
        <v>Q2</v>
      </c>
      <c r="AI5" s="5">
        <f>INDEX(RatingLookup!$B$2:$B$11,MATCH(A5,RatingLookup!$A$2:$A$11,0))</f>
        <v>7</v>
      </c>
      <c r="AJ5" s="5" t="str">
        <f>INDEX(RatingLookup!$C$2:$C$11,MATCH(A5,RatingLookup!$A$2:$A$11,0))</f>
        <v>Investment Grade</v>
      </c>
    </row>
    <row r="6" spans="1:36" x14ac:dyDescent="0.3">
      <c r="A6" s="3" t="s">
        <v>42</v>
      </c>
      <c r="B6" s="3" t="s">
        <v>37</v>
      </c>
      <c r="C6" s="3" t="s">
        <v>38</v>
      </c>
      <c r="D6" s="3" t="s">
        <v>47</v>
      </c>
      <c r="E6" s="3" t="s">
        <v>48</v>
      </c>
      <c r="F6" s="3" t="s">
        <v>41</v>
      </c>
      <c r="G6" s="3">
        <v>0.95784390500000005</v>
      </c>
      <c r="H6" s="3">
        <v>0.49543200199999998</v>
      </c>
      <c r="I6" s="3">
        <v>0.14160793499999999</v>
      </c>
      <c r="J6" s="3">
        <v>47.761125589999999</v>
      </c>
      <c r="K6" s="3">
        <v>4.2861280000000002E-2</v>
      </c>
      <c r="L6" s="3">
        <v>5.3769668999999999E-2</v>
      </c>
      <c r="M6" s="3">
        <v>0.17771985700000001</v>
      </c>
      <c r="N6" s="3">
        <v>6.5353799000000004E-2</v>
      </c>
      <c r="O6" s="3">
        <v>4.6363493999999998E-2</v>
      </c>
      <c r="P6" s="3">
        <v>9.6945435999999996E-2</v>
      </c>
      <c r="Q6" s="3">
        <v>0.186046512</v>
      </c>
      <c r="R6" s="3">
        <v>1.0817104369999999</v>
      </c>
      <c r="S6" s="3">
        <v>5.4377952760000001</v>
      </c>
      <c r="T6" s="3">
        <v>3.012780222</v>
      </c>
      <c r="U6" s="3">
        <v>0.75079622000000001</v>
      </c>
      <c r="V6" s="3">
        <v>0.16696588900000001</v>
      </c>
      <c r="W6" s="3">
        <v>0.45137157100000003</v>
      </c>
      <c r="X6" s="3">
        <v>7.1353482259999996</v>
      </c>
      <c r="Y6" s="3">
        <v>14.257555849999999</v>
      </c>
      <c r="Z6" s="3">
        <v>4.012780222</v>
      </c>
      <c r="AA6" s="3">
        <v>5.3769668999999999E-2</v>
      </c>
      <c r="AB6" s="3">
        <v>8.2935047290000004</v>
      </c>
      <c r="AC6" s="3">
        <v>15.80814717</v>
      </c>
      <c r="AD6" s="3">
        <v>5.8065449999999998E-2</v>
      </c>
      <c r="AE6" s="3">
        <v>3.857789855</v>
      </c>
      <c r="AF6" s="4">
        <v>42667</v>
      </c>
      <c r="AG6" s="5">
        <f>YEAR(AF6)</f>
        <v>2016</v>
      </c>
      <c r="AH6" s="5" t="str">
        <f>"Q"&amp;ROUNDUP(MONTH(AF6)/3,0)</f>
        <v>Q4</v>
      </c>
      <c r="AI6" s="5">
        <f>INDEX(RatingLookup!$B$2:$B$11,MATCH(A6,RatingLookup!$A$2:$A$11,0))</f>
        <v>7</v>
      </c>
      <c r="AJ6" s="5" t="str">
        <f>INDEX(RatingLookup!$C$2:$C$11,MATCH(A6,RatingLookup!$A$2:$A$11,0))</f>
        <v>Investment Grade</v>
      </c>
    </row>
    <row r="7" spans="1:36" x14ac:dyDescent="0.3">
      <c r="A7" s="3" t="s">
        <v>49</v>
      </c>
      <c r="B7" s="3" t="s">
        <v>50</v>
      </c>
      <c r="C7" s="3" t="s">
        <v>51</v>
      </c>
      <c r="D7" s="3" t="s">
        <v>39</v>
      </c>
      <c r="E7" s="3" t="s">
        <v>52</v>
      </c>
      <c r="F7" s="3" t="s">
        <v>53</v>
      </c>
      <c r="G7" s="3">
        <v>1.7419582389999999</v>
      </c>
      <c r="H7" s="3">
        <v>1.317155756</v>
      </c>
      <c r="I7" s="3">
        <v>0.22079571100000001</v>
      </c>
      <c r="J7" s="3">
        <v>83.931967889999996</v>
      </c>
      <c r="K7" s="3">
        <v>0.11193907</v>
      </c>
      <c r="L7" s="3">
        <v>0.15724578</v>
      </c>
      <c r="M7" s="3">
        <v>0.23017702800000001</v>
      </c>
      <c r="N7" s="3">
        <v>0.15724578</v>
      </c>
      <c r="O7" s="3">
        <v>8.1280641000000001E-2</v>
      </c>
      <c r="P7" s="3">
        <v>0.144875588</v>
      </c>
      <c r="Q7" s="3">
        <v>0.14367239100000001</v>
      </c>
      <c r="R7" s="3">
        <v>0.72611502999999999</v>
      </c>
      <c r="S7" s="3">
        <v>3.15536503</v>
      </c>
      <c r="T7" s="3">
        <v>0.76760898300000002</v>
      </c>
      <c r="U7" s="3">
        <v>0.43426401999999997</v>
      </c>
      <c r="V7" s="3">
        <v>0.252389056</v>
      </c>
      <c r="W7" s="3">
        <v>0.64484144700000001</v>
      </c>
      <c r="X7" s="3">
        <v>5.5745173750000001</v>
      </c>
      <c r="Y7" s="3">
        <v>5.7922779919999998</v>
      </c>
      <c r="Z7" s="3">
        <v>1.7676089829999999</v>
      </c>
      <c r="AA7" s="3">
        <v>0.15724578</v>
      </c>
      <c r="AB7" s="3">
        <v>9.8332949799999998</v>
      </c>
      <c r="AC7" s="3">
        <v>8.6447876449999992</v>
      </c>
      <c r="AD7" s="3">
        <v>0.23044462700000001</v>
      </c>
      <c r="AE7" s="3">
        <v>4.0447761189999998</v>
      </c>
      <c r="AF7" s="4">
        <v>41838</v>
      </c>
      <c r="AG7" s="5">
        <f>YEAR(AF7)</f>
        <v>2014</v>
      </c>
      <c r="AH7" s="5" t="str">
        <f>"Q"&amp;ROUNDUP(MONTH(AF7)/3,0)</f>
        <v>Q3</v>
      </c>
      <c r="AI7" s="5">
        <f>INDEX(RatingLookup!$B$2:$B$11,MATCH(A7,RatingLookup!$A$2:$A$11,0))</f>
        <v>9</v>
      </c>
      <c r="AJ7" s="5" t="str">
        <f>INDEX(RatingLookup!$C$2:$C$11,MATCH(A7,RatingLookup!$A$2:$A$11,0))</f>
        <v>Investment Grade</v>
      </c>
    </row>
    <row r="8" spans="1:36" x14ac:dyDescent="0.3">
      <c r="A8" s="3" t="s">
        <v>49</v>
      </c>
      <c r="B8" s="3" t="s">
        <v>50</v>
      </c>
      <c r="C8" s="3" t="s">
        <v>51</v>
      </c>
      <c r="D8" s="3" t="s">
        <v>39</v>
      </c>
      <c r="E8" s="3" t="s">
        <v>54</v>
      </c>
      <c r="F8" s="3" t="s">
        <v>53</v>
      </c>
      <c r="G8" s="3">
        <v>1.939001848</v>
      </c>
      <c r="H8" s="3">
        <v>1.468909427</v>
      </c>
      <c r="I8" s="3">
        <v>0.25670979700000002</v>
      </c>
      <c r="J8" s="3">
        <v>92.705452219999998</v>
      </c>
      <c r="K8" s="3">
        <v>0.14872089399999999</v>
      </c>
      <c r="L8" s="3">
        <v>0.15117306599999999</v>
      </c>
      <c r="M8" s="3">
        <v>0.21948040499999999</v>
      </c>
      <c r="N8" s="3">
        <v>0.14872089399999999</v>
      </c>
      <c r="O8" s="3">
        <v>0.100327869</v>
      </c>
      <c r="P8" s="3">
        <v>0.127727485</v>
      </c>
      <c r="Q8" s="3">
        <v>0.17056424000000001</v>
      </c>
      <c r="R8" s="3">
        <v>0.674605067</v>
      </c>
      <c r="S8" s="3">
        <v>2.99854266</v>
      </c>
      <c r="T8" s="3">
        <v>0.70006840800000003</v>
      </c>
      <c r="U8" s="3">
        <v>0.41178837600000001</v>
      </c>
      <c r="V8" s="3">
        <v>0.27005699300000002</v>
      </c>
      <c r="W8" s="3">
        <v>0.59715978700000005</v>
      </c>
      <c r="X8" s="3">
        <v>4.4179894180000003</v>
      </c>
      <c r="Y8" s="3">
        <v>6.326530612</v>
      </c>
      <c r="Z8" s="3">
        <v>1.7000684079999999</v>
      </c>
      <c r="AA8" s="3">
        <v>0.15117306599999999</v>
      </c>
      <c r="AB8" s="3">
        <v>12.140376030000001</v>
      </c>
      <c r="AC8" s="3">
        <v>7.3983371130000002</v>
      </c>
      <c r="AD8" s="3">
        <v>0.21623293399999999</v>
      </c>
      <c r="AE8" s="3">
        <v>3.9980762699999999</v>
      </c>
      <c r="AF8" s="4">
        <v>41772</v>
      </c>
      <c r="AG8" s="5">
        <f>YEAR(AF8)</f>
        <v>2014</v>
      </c>
      <c r="AH8" s="5" t="str">
        <f>"Q"&amp;ROUNDUP(MONTH(AF8)/3,0)</f>
        <v>Q2</v>
      </c>
      <c r="AI8" s="5">
        <f>INDEX(RatingLookup!$B$2:$B$11,MATCH(A8,RatingLookup!$A$2:$A$11,0))</f>
        <v>9</v>
      </c>
      <c r="AJ8" s="5" t="str">
        <f>INDEX(RatingLookup!$C$2:$C$11,MATCH(A8,RatingLookup!$A$2:$A$11,0))</f>
        <v>Investment Grade</v>
      </c>
    </row>
    <row r="9" spans="1:36" x14ac:dyDescent="0.3">
      <c r="A9" s="3" t="s">
        <v>36</v>
      </c>
      <c r="B9" s="3" t="s">
        <v>50</v>
      </c>
      <c r="C9" s="3" t="s">
        <v>51</v>
      </c>
      <c r="D9" s="3" t="s">
        <v>39</v>
      </c>
      <c r="E9" s="3" t="s">
        <v>55</v>
      </c>
      <c r="F9" s="3" t="s">
        <v>53</v>
      </c>
      <c r="G9" s="3">
        <v>1.905814036</v>
      </c>
      <c r="H9" s="3">
        <v>1.544791445</v>
      </c>
      <c r="I9" s="3">
        <v>0.19779052499999999</v>
      </c>
      <c r="J9" s="3">
        <v>90.336856940000004</v>
      </c>
      <c r="K9" s="3">
        <v>5.8407329000000001E-2</v>
      </c>
      <c r="L9" s="3">
        <v>8.1212120999999998E-2</v>
      </c>
      <c r="M9" s="3">
        <v>0.20166314299999999</v>
      </c>
      <c r="N9" s="3">
        <v>8.1212120999999998E-2</v>
      </c>
      <c r="O9" s="3">
        <v>3.0468347999999999E-2</v>
      </c>
      <c r="P9" s="3">
        <v>5.3466706000000003E-2</v>
      </c>
      <c r="Q9" s="3">
        <v>5.8148345999999997E-2</v>
      </c>
      <c r="R9" s="3">
        <v>0.52165282000000002</v>
      </c>
      <c r="S9" s="3">
        <v>2.6444278790000002</v>
      </c>
      <c r="T9" s="3">
        <v>0.90848370899999997</v>
      </c>
      <c r="U9" s="3">
        <v>0.47602382199999999</v>
      </c>
      <c r="V9" s="3">
        <v>0.25893786899999999</v>
      </c>
      <c r="W9" s="3">
        <v>0.72629188</v>
      </c>
      <c r="X9" s="3">
        <v>5.0473559589999999</v>
      </c>
      <c r="Y9" s="3">
        <v>10.287292819999999</v>
      </c>
      <c r="Z9" s="3">
        <v>1.908483709</v>
      </c>
      <c r="AA9" s="3">
        <v>8.1212120999999998E-2</v>
      </c>
      <c r="AB9" s="3">
        <v>15.264562440000001</v>
      </c>
      <c r="AC9" s="3">
        <v>6.9494869770000003</v>
      </c>
      <c r="AD9" s="3">
        <v>0.24820296</v>
      </c>
      <c r="AE9" s="3">
        <v>3.6651999480000002</v>
      </c>
      <c r="AF9" s="4">
        <v>42208</v>
      </c>
      <c r="AG9" s="5">
        <f>YEAR(AF9)</f>
        <v>2015</v>
      </c>
      <c r="AH9" s="5" t="str">
        <f>"Q"&amp;ROUNDUP(MONTH(AF9)/3,0)</f>
        <v>Q3</v>
      </c>
      <c r="AI9" s="5">
        <f>INDEX(RatingLookup!$B$2:$B$11,MATCH(A9,RatingLookup!$A$2:$A$11,0))</f>
        <v>8</v>
      </c>
      <c r="AJ9" s="5" t="str">
        <f>INDEX(RatingLookup!$C$2:$C$11,MATCH(A9,RatingLookup!$A$2:$A$11,0))</f>
        <v>Investment Grade</v>
      </c>
    </row>
    <row r="10" spans="1:36" x14ac:dyDescent="0.3">
      <c r="A10" s="3" t="s">
        <v>49</v>
      </c>
      <c r="B10" s="3" t="s">
        <v>56</v>
      </c>
      <c r="C10" s="3" t="s">
        <v>57</v>
      </c>
      <c r="D10" s="3" t="s">
        <v>39</v>
      </c>
      <c r="E10" s="3" t="s">
        <v>58</v>
      </c>
      <c r="F10" s="3" t="s">
        <v>59</v>
      </c>
      <c r="G10" s="3">
        <v>1.4924194340000001</v>
      </c>
      <c r="H10" s="3">
        <v>1.1298215920000001</v>
      </c>
      <c r="I10" s="3">
        <v>0.45285945999999999</v>
      </c>
      <c r="J10" s="3">
        <v>74.102803739999999</v>
      </c>
      <c r="K10" s="3">
        <v>0.100473691</v>
      </c>
      <c r="L10" s="3">
        <v>0.13857380599999999</v>
      </c>
      <c r="M10" s="3">
        <v>0.27374215800000001</v>
      </c>
      <c r="N10" s="3">
        <v>0.13857380599999999</v>
      </c>
      <c r="O10" s="3">
        <v>8.6365136999999995E-2</v>
      </c>
      <c r="P10" s="3">
        <v>0.17316183499999999</v>
      </c>
      <c r="Q10" s="3">
        <v>0.224652201</v>
      </c>
      <c r="R10" s="3">
        <v>0.85957961900000002</v>
      </c>
      <c r="S10" s="3">
        <v>7.3995831750000001</v>
      </c>
      <c r="T10" s="3">
        <v>1.601190817</v>
      </c>
      <c r="U10" s="3">
        <v>0.61556069099999999</v>
      </c>
      <c r="V10" s="3">
        <v>0.26792313400000001</v>
      </c>
      <c r="W10" s="3">
        <v>0.781545559</v>
      </c>
      <c r="X10" s="3">
        <v>4.3082400810000001</v>
      </c>
      <c r="Y10" s="3">
        <v>10.29120041</v>
      </c>
      <c r="Z10" s="3">
        <v>2.601190817</v>
      </c>
      <c r="AA10" s="3">
        <v>0.13857380599999999</v>
      </c>
      <c r="AB10" s="3">
        <v>10.89799844</v>
      </c>
      <c r="AC10" s="3">
        <v>5.5124618510000003</v>
      </c>
      <c r="AD10" s="3">
        <v>0.110997311</v>
      </c>
      <c r="AE10" s="3">
        <v>5.4820255119999999</v>
      </c>
      <c r="AF10" s="4">
        <v>41758</v>
      </c>
      <c r="AG10" s="5">
        <f>YEAR(AF10)</f>
        <v>2014</v>
      </c>
      <c r="AH10" s="5" t="str">
        <f>"Q"&amp;ROUNDUP(MONTH(AF10)/3,0)</f>
        <v>Q2</v>
      </c>
      <c r="AI10" s="5">
        <f>INDEX(RatingLookup!$B$2:$B$11,MATCH(A10,RatingLookup!$A$2:$A$11,0))</f>
        <v>9</v>
      </c>
      <c r="AJ10" s="5" t="str">
        <f>INDEX(RatingLookup!$C$2:$C$11,MATCH(A10,RatingLookup!$A$2:$A$11,0))</f>
        <v>Investment Grade</v>
      </c>
    </row>
    <row r="11" spans="1:36" x14ac:dyDescent="0.3">
      <c r="A11" s="3" t="s">
        <v>36</v>
      </c>
      <c r="B11" s="3" t="s">
        <v>56</v>
      </c>
      <c r="C11" s="3" t="s">
        <v>57</v>
      </c>
      <c r="D11" s="3" t="s">
        <v>60</v>
      </c>
      <c r="E11" s="3" t="s">
        <v>61</v>
      </c>
      <c r="F11" s="3" t="s">
        <v>59</v>
      </c>
      <c r="G11" s="3">
        <v>1.0915573460000001</v>
      </c>
      <c r="H11" s="3">
        <v>0.85096075299999996</v>
      </c>
      <c r="I11" s="3">
        <v>0.296935387</v>
      </c>
      <c r="J11" s="3">
        <v>76.394468779999997</v>
      </c>
      <c r="K11" s="3">
        <v>0.123584148</v>
      </c>
      <c r="L11" s="3">
        <v>0.170705788</v>
      </c>
      <c r="M11" s="3">
        <v>0.30673129300000002</v>
      </c>
      <c r="N11" s="3">
        <v>0.170705788</v>
      </c>
      <c r="O11" s="3">
        <v>9.6682617999999998E-2</v>
      </c>
      <c r="P11" s="3">
        <v>0.21282921299999999</v>
      </c>
      <c r="Q11" s="3">
        <v>0.26078871100000001</v>
      </c>
      <c r="R11" s="3">
        <v>0.78232216700000001</v>
      </c>
      <c r="S11" s="3">
        <v>6.6645361889999997</v>
      </c>
      <c r="T11" s="3">
        <v>1.697369141</v>
      </c>
      <c r="U11" s="3">
        <v>0.62926839199999995</v>
      </c>
      <c r="V11" s="3">
        <v>0.264044944</v>
      </c>
      <c r="W11" s="3">
        <v>0.80326366000000005</v>
      </c>
      <c r="X11" s="3">
        <v>5.6181072070000004</v>
      </c>
      <c r="Y11" s="3">
        <v>9.6922287770000004</v>
      </c>
      <c r="Z11" s="3">
        <v>2.6973691409999998</v>
      </c>
      <c r="AA11" s="3">
        <v>0.170705788</v>
      </c>
      <c r="AB11" s="3">
        <v>10.362902930000001</v>
      </c>
      <c r="AC11" s="3">
        <v>6.9941010520000004</v>
      </c>
      <c r="AD11" s="3">
        <v>0.141364921</v>
      </c>
      <c r="AE11" s="3">
        <v>4.7933691759999997</v>
      </c>
      <c r="AF11" s="4">
        <v>42416</v>
      </c>
      <c r="AG11" s="5">
        <f>YEAR(AF11)</f>
        <v>2016</v>
      </c>
      <c r="AH11" s="5" t="str">
        <f>"Q"&amp;ROUNDUP(MONTH(AF11)/3,0)</f>
        <v>Q1</v>
      </c>
      <c r="AI11" s="5">
        <f>INDEX(RatingLookup!$B$2:$B$11,MATCH(A11,RatingLookup!$A$2:$A$11,0))</f>
        <v>8</v>
      </c>
      <c r="AJ11" s="5" t="str">
        <f>INDEX(RatingLookup!$C$2:$C$11,MATCH(A11,RatingLookup!$A$2:$A$11,0))</f>
        <v>Investment Grade</v>
      </c>
    </row>
    <row r="12" spans="1:36" x14ac:dyDescent="0.3">
      <c r="A12" s="3" t="s">
        <v>49</v>
      </c>
      <c r="B12" s="3" t="s">
        <v>56</v>
      </c>
      <c r="C12" s="3" t="s">
        <v>57</v>
      </c>
      <c r="D12" s="3" t="s">
        <v>39</v>
      </c>
      <c r="E12" s="3" t="s">
        <v>62</v>
      </c>
      <c r="F12" s="3" t="s">
        <v>59</v>
      </c>
      <c r="G12" s="3">
        <v>1.502132268</v>
      </c>
      <c r="H12" s="3">
        <v>1.155080214</v>
      </c>
      <c r="I12" s="3">
        <v>0.47106207300000003</v>
      </c>
      <c r="J12" s="3">
        <v>72.083560759999997</v>
      </c>
      <c r="K12" s="3">
        <v>0.105170446</v>
      </c>
      <c r="L12" s="3">
        <v>0.14434575499999999</v>
      </c>
      <c r="M12" s="3">
        <v>0.28157098200000003</v>
      </c>
      <c r="N12" s="3">
        <v>0.14434575499999999</v>
      </c>
      <c r="O12" s="3">
        <v>9.3265274999999995E-2</v>
      </c>
      <c r="P12" s="3">
        <v>0.18964730399999999</v>
      </c>
      <c r="Q12" s="3">
        <v>0.240074758</v>
      </c>
      <c r="R12" s="3">
        <v>0.88680117000000003</v>
      </c>
      <c r="S12" s="3">
        <v>7.4876462940000001</v>
      </c>
      <c r="T12" s="3">
        <v>1.5741065869999999</v>
      </c>
      <c r="U12" s="3">
        <v>0.61151569800000005</v>
      </c>
      <c r="V12" s="3">
        <v>0.25592987299999997</v>
      </c>
      <c r="W12" s="3">
        <v>0.78224522299999999</v>
      </c>
      <c r="X12" s="3">
        <v>5.0101988779999997</v>
      </c>
      <c r="Y12" s="3">
        <v>11.6063233</v>
      </c>
      <c r="Z12" s="3">
        <v>2.5741065870000002</v>
      </c>
      <c r="AA12" s="3">
        <v>0.14434575499999999</v>
      </c>
      <c r="AB12" s="3">
        <v>10.84723821</v>
      </c>
      <c r="AC12" s="3">
        <v>6.4048954609999997</v>
      </c>
      <c r="AD12" s="3">
        <v>0.124646455</v>
      </c>
      <c r="AE12" s="3">
        <v>5.3973904939999997</v>
      </c>
      <c r="AF12" s="4">
        <v>42115</v>
      </c>
      <c r="AG12" s="5">
        <f>YEAR(AF12)</f>
        <v>2015</v>
      </c>
      <c r="AH12" s="5" t="str">
        <f>"Q"&amp;ROUNDUP(MONTH(AF12)/3,0)</f>
        <v>Q2</v>
      </c>
      <c r="AI12" s="5">
        <f>INDEX(RatingLookup!$B$2:$B$11,MATCH(A12,RatingLookup!$A$2:$A$11,0))</f>
        <v>9</v>
      </c>
      <c r="AJ12" s="5" t="str">
        <f>INDEX(RatingLookup!$C$2:$C$11,MATCH(A12,RatingLookup!$A$2:$A$11,0))</f>
        <v>Investment Grade</v>
      </c>
    </row>
    <row r="13" spans="1:36" x14ac:dyDescent="0.3">
      <c r="A13" s="3" t="s">
        <v>36</v>
      </c>
      <c r="B13" s="3" t="s">
        <v>63</v>
      </c>
      <c r="C13" s="3" t="s">
        <v>64</v>
      </c>
      <c r="D13" s="3" t="s">
        <v>39</v>
      </c>
      <c r="E13" s="3" t="s">
        <v>65</v>
      </c>
      <c r="F13" s="3" t="s">
        <v>66</v>
      </c>
      <c r="G13" s="3">
        <v>1.5298850859999999</v>
      </c>
      <c r="H13" s="3">
        <v>0.87272937500000003</v>
      </c>
      <c r="I13" s="3">
        <v>9.4569823999999997E-2</v>
      </c>
      <c r="J13" s="3">
        <v>26.668485189999998</v>
      </c>
      <c r="K13" s="3">
        <v>2.0025771000000001E-2</v>
      </c>
      <c r="L13" s="3">
        <v>3.1722448E-2</v>
      </c>
      <c r="M13" s="3">
        <v>0.17587302799999999</v>
      </c>
      <c r="N13" s="3">
        <v>3.4119392999999998E-2</v>
      </c>
      <c r="O13" s="3">
        <v>7.0742447E-2</v>
      </c>
      <c r="P13" s="3">
        <v>0.16767844800000001</v>
      </c>
      <c r="Q13" s="3">
        <v>0.17687240300000001</v>
      </c>
      <c r="R13" s="3">
        <v>3.5325705219999999</v>
      </c>
      <c r="S13" s="3">
        <v>11.67114159</v>
      </c>
      <c r="T13" s="3">
        <v>1.5002302199999999</v>
      </c>
      <c r="U13" s="3">
        <v>0.60003683200000002</v>
      </c>
      <c r="V13" s="3">
        <v>0.36871926700000002</v>
      </c>
      <c r="W13" s="3">
        <v>0.64951718700000005</v>
      </c>
      <c r="X13" s="3">
        <v>1.6546565129999999</v>
      </c>
      <c r="Y13" s="3">
        <v>0.70487098800000003</v>
      </c>
      <c r="Z13" s="3">
        <v>2.5002302200000002</v>
      </c>
      <c r="AA13" s="3">
        <v>3.1722448E-2</v>
      </c>
      <c r="AB13" s="3">
        <v>11.074542190000001</v>
      </c>
      <c r="AC13" s="3">
        <v>2.5475176730000002</v>
      </c>
      <c r="AD13" s="3">
        <v>3.2092015000000002E-2</v>
      </c>
      <c r="AE13" s="3">
        <v>13.54125674</v>
      </c>
      <c r="AF13" s="4">
        <v>42156</v>
      </c>
      <c r="AG13" s="5">
        <f>YEAR(AF13)</f>
        <v>2015</v>
      </c>
      <c r="AH13" s="5" t="str">
        <f>"Q"&amp;ROUNDUP(MONTH(AF13)/3,0)</f>
        <v>Q2</v>
      </c>
      <c r="AI13" s="5">
        <f>INDEX(RatingLookup!$B$2:$B$11,MATCH(A13,RatingLookup!$A$2:$A$11,0))</f>
        <v>8</v>
      </c>
      <c r="AJ13" s="5" t="str">
        <f>INDEX(RatingLookup!$C$2:$C$11,MATCH(A13,RatingLookup!$A$2:$A$11,0))</f>
        <v>Investment Grade</v>
      </c>
    </row>
    <row r="14" spans="1:36" x14ac:dyDescent="0.3">
      <c r="A14" s="3" t="s">
        <v>36</v>
      </c>
      <c r="B14" s="3" t="s">
        <v>63</v>
      </c>
      <c r="C14" s="3" t="s">
        <v>64</v>
      </c>
      <c r="D14" s="3" t="s">
        <v>39</v>
      </c>
      <c r="E14" s="3" t="s">
        <v>67</v>
      </c>
      <c r="F14" s="3" t="s">
        <v>66</v>
      </c>
      <c r="G14" s="3">
        <v>1.655630865</v>
      </c>
      <c r="H14" s="3">
        <v>0.95895667500000004</v>
      </c>
      <c r="I14" s="3">
        <v>0.109963721</v>
      </c>
      <c r="J14" s="3">
        <v>26.16087263</v>
      </c>
      <c r="K14" s="3">
        <v>2.2346306E-2</v>
      </c>
      <c r="L14" s="3">
        <v>3.4843775E-2</v>
      </c>
      <c r="M14" s="3">
        <v>0.177153177</v>
      </c>
      <c r="N14" s="3">
        <v>3.7343660000000001E-2</v>
      </c>
      <c r="O14" s="3">
        <v>7.8366326E-2</v>
      </c>
      <c r="P14" s="3">
        <v>0.17358532300000001</v>
      </c>
      <c r="Q14" s="3">
        <v>0.19115241099999999</v>
      </c>
      <c r="R14" s="3">
        <v>3.5069029430000001</v>
      </c>
      <c r="S14" s="3">
        <v>11.16401216</v>
      </c>
      <c r="T14" s="3">
        <v>1.4392161889999999</v>
      </c>
      <c r="U14" s="3">
        <v>0.59003223900000001</v>
      </c>
      <c r="V14" s="3">
        <v>0.35867149599999998</v>
      </c>
      <c r="W14" s="3">
        <v>0.66137600399999996</v>
      </c>
      <c r="X14" s="3">
        <v>1.6961922629999999</v>
      </c>
      <c r="Y14" s="3">
        <v>0.69950209399999996</v>
      </c>
      <c r="Z14" s="3">
        <v>2.4392161890000001</v>
      </c>
      <c r="AA14" s="3">
        <v>3.4843775E-2</v>
      </c>
      <c r="AB14" s="3">
        <v>10.61808439</v>
      </c>
      <c r="AC14" s="3">
        <v>2.564641371</v>
      </c>
      <c r="AD14" s="3">
        <v>3.4036298999999999E-2</v>
      </c>
      <c r="AE14" s="3">
        <v>14.83406982</v>
      </c>
      <c r="AF14" s="4">
        <v>41795</v>
      </c>
      <c r="AG14" s="5">
        <f>YEAR(AF14)</f>
        <v>2014</v>
      </c>
      <c r="AH14" s="5" t="str">
        <f>"Q"&amp;ROUNDUP(MONTH(AF14)/3,0)</f>
        <v>Q2</v>
      </c>
      <c r="AI14" s="5">
        <f>INDEX(RatingLookup!$B$2:$B$11,MATCH(A14,RatingLookup!$A$2:$A$11,0))</f>
        <v>8</v>
      </c>
      <c r="AJ14" s="5" t="str">
        <f>INDEX(RatingLookup!$C$2:$C$11,MATCH(A14,RatingLookup!$A$2:$A$11,0))</f>
        <v>Investment Grade</v>
      </c>
    </row>
    <row r="15" spans="1:36" x14ac:dyDescent="0.3">
      <c r="A15" s="3" t="s">
        <v>42</v>
      </c>
      <c r="B15" s="3" t="s">
        <v>63</v>
      </c>
      <c r="C15" s="3" t="s">
        <v>64</v>
      </c>
      <c r="D15" s="3" t="s">
        <v>39</v>
      </c>
      <c r="E15" s="3" t="s">
        <v>68</v>
      </c>
      <c r="F15" s="3" t="s">
        <v>66</v>
      </c>
      <c r="G15" s="3">
        <v>1.2228483830000001</v>
      </c>
      <c r="H15" s="3">
        <v>0.90252898699999995</v>
      </c>
      <c r="I15" s="3">
        <v>0.54577171499999999</v>
      </c>
      <c r="J15" s="3">
        <v>25.143080470000001</v>
      </c>
      <c r="K15" s="3">
        <v>1.4107691E-2</v>
      </c>
      <c r="L15" s="3">
        <v>2.0709356000000002E-2</v>
      </c>
      <c r="M15" s="3">
        <v>0.17566524</v>
      </c>
      <c r="N15" s="3">
        <v>2.5253554000000001E-2</v>
      </c>
      <c r="O15" s="3">
        <v>3.8176790000000002E-2</v>
      </c>
      <c r="P15" s="3">
        <v>0.117367427</v>
      </c>
      <c r="Q15" s="3">
        <v>0.130559649</v>
      </c>
      <c r="R15" s="3">
        <v>2.7060977030000002</v>
      </c>
      <c r="S15" s="3">
        <v>12.224762399999999</v>
      </c>
      <c r="T15" s="3">
        <v>2.4198697619999998</v>
      </c>
      <c r="U15" s="3">
        <v>0.70759120399999997</v>
      </c>
      <c r="V15" s="3">
        <v>0.31877692400000002</v>
      </c>
      <c r="W15" s="3">
        <v>0.65102180399999998</v>
      </c>
      <c r="X15" s="3">
        <v>1.7103552829999999</v>
      </c>
      <c r="Y15" s="3">
        <v>8.6645565599999994</v>
      </c>
      <c r="Z15" s="3">
        <v>3.4198697619999998</v>
      </c>
      <c r="AA15" s="3">
        <v>2.0709356000000002E-2</v>
      </c>
      <c r="AB15" s="3">
        <v>12.873609050000001</v>
      </c>
      <c r="AC15" s="3">
        <v>2.6271858670000001</v>
      </c>
      <c r="AD15" s="3">
        <v>3.1952752000000001E-2</v>
      </c>
      <c r="AE15" s="3">
        <v>13.92432007</v>
      </c>
      <c r="AF15" s="4">
        <v>42311</v>
      </c>
      <c r="AG15" s="5">
        <f>YEAR(AF15)</f>
        <v>2015</v>
      </c>
      <c r="AH15" s="5" t="str">
        <f>"Q"&amp;ROUNDUP(MONTH(AF15)/3,0)</f>
        <v>Q4</v>
      </c>
      <c r="AI15" s="5">
        <f>INDEX(RatingLookup!$B$2:$B$11,MATCH(A15,RatingLookup!$A$2:$A$11,0))</f>
        <v>7</v>
      </c>
      <c r="AJ15" s="5" t="str">
        <f>INDEX(RatingLookup!$C$2:$C$11,MATCH(A15,RatingLookup!$A$2:$A$11,0))</f>
        <v>Investment Grade</v>
      </c>
    </row>
    <row r="16" spans="1:36" x14ac:dyDescent="0.3">
      <c r="A16" s="3" t="s">
        <v>36</v>
      </c>
      <c r="B16" s="3" t="s">
        <v>63</v>
      </c>
      <c r="C16" s="3" t="s">
        <v>64</v>
      </c>
      <c r="D16" s="3" t="s">
        <v>39</v>
      </c>
      <c r="E16" s="3" t="s">
        <v>69</v>
      </c>
      <c r="F16" s="3" t="s">
        <v>66</v>
      </c>
      <c r="G16" s="3">
        <v>1.7773236720000001</v>
      </c>
      <c r="H16" s="3">
        <v>1.0677396370000001</v>
      </c>
      <c r="I16" s="3">
        <v>0.201212532</v>
      </c>
      <c r="J16" s="3">
        <v>25.549640610000001</v>
      </c>
      <c r="K16" s="3">
        <v>2.6464373999999999E-2</v>
      </c>
      <c r="L16" s="3">
        <v>4.2094443000000002E-2</v>
      </c>
      <c r="M16" s="3">
        <v>0.181132773</v>
      </c>
      <c r="N16" s="3">
        <v>4.4610431999999998E-2</v>
      </c>
      <c r="O16" s="3">
        <v>9.2731509000000004E-2</v>
      </c>
      <c r="P16" s="3">
        <v>0.20573418800000001</v>
      </c>
      <c r="Q16" s="3">
        <v>0.239397102</v>
      </c>
      <c r="R16" s="3">
        <v>3.5040129900000001</v>
      </c>
      <c r="S16" s="3">
        <v>10.912375669999999</v>
      </c>
      <c r="T16" s="3">
        <v>1.5816155249999999</v>
      </c>
      <c r="U16" s="3">
        <v>0.61264565100000001</v>
      </c>
      <c r="V16" s="3">
        <v>0.37130956100000001</v>
      </c>
      <c r="W16" s="3">
        <v>0.441310231</v>
      </c>
      <c r="X16" s="3">
        <v>1.054366556</v>
      </c>
      <c r="Y16" s="3">
        <v>1.17208801</v>
      </c>
      <c r="Z16" s="3">
        <v>2.5816155250000001</v>
      </c>
      <c r="AA16" s="3">
        <v>4.2094443000000002E-2</v>
      </c>
      <c r="AB16" s="3">
        <v>8.4847682809999991</v>
      </c>
      <c r="AC16" s="3">
        <v>2.3891731530000002</v>
      </c>
      <c r="AD16" s="3">
        <v>3.3132347999999999E-2</v>
      </c>
      <c r="AE16" s="3">
        <v>15.70710519</v>
      </c>
      <c r="AF16" s="4">
        <v>41401</v>
      </c>
      <c r="AG16" s="5">
        <f>YEAR(AF16)</f>
        <v>2013</v>
      </c>
      <c r="AH16" s="5" t="str">
        <f>"Q"&amp;ROUNDUP(MONTH(AF16)/3,0)</f>
        <v>Q2</v>
      </c>
      <c r="AI16" s="5">
        <f>INDEX(RatingLookup!$B$2:$B$11,MATCH(A16,RatingLookup!$A$2:$A$11,0))</f>
        <v>8</v>
      </c>
      <c r="AJ16" s="5" t="str">
        <f>INDEX(RatingLookup!$C$2:$C$11,MATCH(A16,RatingLookup!$A$2:$A$11,0))</f>
        <v>Investment Grade</v>
      </c>
    </row>
    <row r="17" spans="1:36" x14ac:dyDescent="0.3">
      <c r="A17" s="3" t="s">
        <v>36</v>
      </c>
      <c r="B17" s="3" t="s">
        <v>70</v>
      </c>
      <c r="C17" s="3" t="s">
        <v>71</v>
      </c>
      <c r="D17" s="3" t="s">
        <v>47</v>
      </c>
      <c r="E17" s="3" t="s">
        <v>72</v>
      </c>
      <c r="F17" s="3" t="s">
        <v>66</v>
      </c>
      <c r="G17" s="3">
        <v>1.0271675549999999</v>
      </c>
      <c r="H17" s="3">
        <v>0.43435590800000001</v>
      </c>
      <c r="I17" s="3">
        <v>0.222085012</v>
      </c>
      <c r="J17" s="3">
        <v>13.71935379</v>
      </c>
      <c r="K17" s="3">
        <v>9.2993992999999997E-2</v>
      </c>
      <c r="L17" s="3">
        <v>0.13009417100000001</v>
      </c>
      <c r="M17" s="3">
        <v>0.235820209</v>
      </c>
      <c r="N17" s="3">
        <v>0.14373274899999999</v>
      </c>
      <c r="O17" s="3">
        <v>0.20240900000000001</v>
      </c>
      <c r="P17" s="3">
        <v>0.51777059800000003</v>
      </c>
      <c r="Q17" s="3">
        <v>-0.51895197800000004</v>
      </c>
      <c r="R17" s="3">
        <v>2.1765814579999998</v>
      </c>
      <c r="S17" s="3">
        <v>12.918720499999999</v>
      </c>
      <c r="T17" s="3">
        <v>-3.5638779820000002</v>
      </c>
      <c r="U17" s="3">
        <v>1.3900341620000001</v>
      </c>
      <c r="V17" s="3">
        <v>0.27956318299999999</v>
      </c>
      <c r="W17" s="3">
        <v>0.87794024199999998</v>
      </c>
      <c r="X17" s="3">
        <v>4.4577146550000002</v>
      </c>
      <c r="Y17" s="3">
        <v>2.5209812779999998</v>
      </c>
      <c r="Z17" s="3">
        <v>-2.5638779820000002</v>
      </c>
      <c r="AA17" s="3">
        <v>0.13009417100000001</v>
      </c>
      <c r="AB17" s="3">
        <v>14.38546981</v>
      </c>
      <c r="AC17" s="3">
        <v>5.077469335</v>
      </c>
      <c r="AD17" s="3">
        <v>0.10641608499999999</v>
      </c>
      <c r="AE17" s="3">
        <v>7.2653219550000001</v>
      </c>
      <c r="AF17" s="4">
        <v>42450</v>
      </c>
      <c r="AG17" s="5">
        <f>YEAR(AF17)</f>
        <v>2016</v>
      </c>
      <c r="AH17" s="5" t="str">
        <f>"Q"&amp;ROUNDUP(MONTH(AF17)/3,0)</f>
        <v>Q1</v>
      </c>
      <c r="AI17" s="5">
        <f>INDEX(RatingLookup!$B$2:$B$11,MATCH(A17,RatingLookup!$A$2:$A$11,0))</f>
        <v>8</v>
      </c>
      <c r="AJ17" s="5" t="str">
        <f>INDEX(RatingLookup!$C$2:$C$11,MATCH(A17,RatingLookup!$A$2:$A$11,0))</f>
        <v>Investment Grade</v>
      </c>
    </row>
    <row r="18" spans="1:36" x14ac:dyDescent="0.3">
      <c r="A18" s="3" t="s">
        <v>36</v>
      </c>
      <c r="B18" s="3" t="s">
        <v>70</v>
      </c>
      <c r="C18" s="3" t="s">
        <v>71</v>
      </c>
      <c r="D18" s="3" t="s">
        <v>47</v>
      </c>
      <c r="E18" s="3" t="s">
        <v>73</v>
      </c>
      <c r="F18" s="3" t="s">
        <v>66</v>
      </c>
      <c r="G18" s="3">
        <v>0.98746044799999999</v>
      </c>
      <c r="H18" s="3">
        <v>0.38140161700000003</v>
      </c>
      <c r="I18" s="3">
        <v>0.12621586800000001</v>
      </c>
      <c r="J18" s="3">
        <v>17.572942309999998</v>
      </c>
      <c r="K18" s="3">
        <v>0.10716115399999999</v>
      </c>
      <c r="L18" s="3">
        <v>0.103150108</v>
      </c>
      <c r="M18" s="3">
        <v>0.25999325200000001</v>
      </c>
      <c r="N18" s="3">
        <v>0.16887628199999999</v>
      </c>
      <c r="O18" s="3">
        <v>0.22469084</v>
      </c>
      <c r="P18" s="3">
        <v>0.39119514700000002</v>
      </c>
      <c r="Q18" s="3">
        <v>-1.1043007979999999</v>
      </c>
      <c r="R18" s="3">
        <v>2.096756445</v>
      </c>
      <c r="S18" s="3">
        <v>11.84737232</v>
      </c>
      <c r="T18" s="3">
        <v>-5.9147566310000004</v>
      </c>
      <c r="U18" s="3">
        <v>1.2034688739999999</v>
      </c>
      <c r="V18" s="3">
        <v>0.44457904300000001</v>
      </c>
      <c r="W18" s="3">
        <v>0.88159842099999997</v>
      </c>
      <c r="X18" s="3">
        <v>5.508631319</v>
      </c>
      <c r="Y18" s="3">
        <v>1.6374845870000001</v>
      </c>
      <c r="Z18" s="3">
        <v>-4.9147566310000004</v>
      </c>
      <c r="AA18" s="3">
        <v>0.103150108</v>
      </c>
      <c r="AB18" s="3">
        <v>10.51663402</v>
      </c>
      <c r="AC18" s="3">
        <v>6.2484586929999999</v>
      </c>
      <c r="AD18" s="3">
        <v>0.126641592</v>
      </c>
      <c r="AE18" s="3">
        <v>8.1711145999999992</v>
      </c>
      <c r="AF18" s="4">
        <v>41459</v>
      </c>
      <c r="AG18" s="5">
        <f>YEAR(AF18)</f>
        <v>2013</v>
      </c>
      <c r="AH18" s="5" t="str">
        <f>"Q"&amp;ROUNDUP(MONTH(AF18)/3,0)</f>
        <v>Q3</v>
      </c>
      <c r="AI18" s="5">
        <f>INDEX(RatingLookup!$B$2:$B$11,MATCH(A18,RatingLookup!$A$2:$A$11,0))</f>
        <v>8</v>
      </c>
      <c r="AJ18" s="5" t="str">
        <f>INDEX(RatingLookup!$C$2:$C$11,MATCH(A18,RatingLookup!$A$2:$A$11,0))</f>
        <v>Investment Grade</v>
      </c>
    </row>
    <row r="19" spans="1:36" x14ac:dyDescent="0.3">
      <c r="A19" s="3" t="s">
        <v>36</v>
      </c>
      <c r="B19" s="3" t="s">
        <v>70</v>
      </c>
      <c r="C19" s="3" t="s">
        <v>71</v>
      </c>
      <c r="D19" s="3" t="s">
        <v>47</v>
      </c>
      <c r="E19" s="3" t="s">
        <v>74</v>
      </c>
      <c r="F19" s="3" t="s">
        <v>66</v>
      </c>
      <c r="G19" s="3">
        <v>0.97496473900000002</v>
      </c>
      <c r="H19" s="3">
        <v>0.41267042799999998</v>
      </c>
      <c r="I19" s="3">
        <v>0.17530559500000001</v>
      </c>
      <c r="J19" s="3">
        <v>16.926401609999999</v>
      </c>
      <c r="K19" s="3">
        <v>0.113705374</v>
      </c>
      <c r="L19" s="3">
        <v>0.16780587399999999</v>
      </c>
      <c r="M19" s="3">
        <v>0.271394054</v>
      </c>
      <c r="N19" s="3">
        <v>0.178905069</v>
      </c>
      <c r="O19" s="3">
        <v>0.233607645</v>
      </c>
      <c r="P19" s="3">
        <v>0.62878861200000002</v>
      </c>
      <c r="Q19" s="3">
        <v>-2.5316455699999998</v>
      </c>
      <c r="R19" s="3">
        <v>2.0544996019999999</v>
      </c>
      <c r="S19" s="3">
        <v>11.646802109999999</v>
      </c>
      <c r="T19" s="3">
        <v>-11.83716916</v>
      </c>
      <c r="U19" s="3">
        <v>1.09227502</v>
      </c>
      <c r="V19" s="3">
        <v>0.29514129500000003</v>
      </c>
      <c r="W19" s="3">
        <v>0.88790998799999998</v>
      </c>
      <c r="X19" s="3">
        <v>4.9438534279999997</v>
      </c>
      <c r="Y19" s="3">
        <v>2.028959811</v>
      </c>
      <c r="Z19" s="3">
        <v>-10.83716916</v>
      </c>
      <c r="AA19" s="3">
        <v>0.16780587399999999</v>
      </c>
      <c r="AB19" s="3">
        <v>11.24123711</v>
      </c>
      <c r="AC19" s="3">
        <v>5.5679669030000003</v>
      </c>
      <c r="AD19" s="3">
        <v>0.121729355</v>
      </c>
      <c r="AE19" s="3">
        <v>9.4043517679999997</v>
      </c>
      <c r="AF19" s="4">
        <v>41317</v>
      </c>
      <c r="AG19" s="5">
        <f>YEAR(AF19)</f>
        <v>2013</v>
      </c>
      <c r="AH19" s="5" t="str">
        <f>"Q"&amp;ROUNDUP(MONTH(AF19)/3,0)</f>
        <v>Q1</v>
      </c>
      <c r="AI19" s="5">
        <f>INDEX(RatingLookup!$B$2:$B$11,MATCH(A19,RatingLookup!$A$2:$A$11,0))</f>
        <v>8</v>
      </c>
      <c r="AJ19" s="5" t="str">
        <f>INDEX(RatingLookup!$C$2:$C$11,MATCH(A19,RatingLookup!$A$2:$A$11,0))</f>
        <v>Investment Grade</v>
      </c>
    </row>
    <row r="20" spans="1:36" x14ac:dyDescent="0.3">
      <c r="A20" s="3" t="s">
        <v>36</v>
      </c>
      <c r="B20" s="3" t="s">
        <v>70</v>
      </c>
      <c r="C20" s="3" t="s">
        <v>71</v>
      </c>
      <c r="D20" s="3" t="s">
        <v>39</v>
      </c>
      <c r="E20" s="3" t="s">
        <v>75</v>
      </c>
      <c r="F20" s="3" t="s">
        <v>66</v>
      </c>
      <c r="G20" s="3">
        <v>1.024616199</v>
      </c>
      <c r="H20" s="3">
        <v>0.41152726299999998</v>
      </c>
      <c r="I20" s="3">
        <v>0.11130227600000001</v>
      </c>
      <c r="J20" s="3">
        <v>18.2440766</v>
      </c>
      <c r="K20" s="3">
        <v>9.3538561000000006E-2</v>
      </c>
      <c r="L20" s="3">
        <v>0.13294884300000001</v>
      </c>
      <c r="M20" s="3">
        <v>0.241317754</v>
      </c>
      <c r="N20" s="3">
        <v>0.14608144200000001</v>
      </c>
      <c r="O20" s="3">
        <v>0.21294796399999999</v>
      </c>
      <c r="P20" s="3">
        <v>0.53051058500000003</v>
      </c>
      <c r="Q20" s="3">
        <v>-0.59331696899999997</v>
      </c>
      <c r="R20" s="3">
        <v>2.2765794189999999</v>
      </c>
      <c r="S20" s="3">
        <v>13.19486081</v>
      </c>
      <c r="T20" s="3">
        <v>-3.7862063500000001</v>
      </c>
      <c r="U20" s="3">
        <v>1.3589109610000001</v>
      </c>
      <c r="V20" s="3">
        <v>0.29079812199999999</v>
      </c>
      <c r="W20" s="3">
        <v>0.85101434300000001</v>
      </c>
      <c r="X20" s="3">
        <v>4.205619413</v>
      </c>
      <c r="Y20" s="3">
        <v>1.4144316729999999</v>
      </c>
      <c r="Z20" s="3">
        <v>-2.7862063500000001</v>
      </c>
      <c r="AA20" s="3">
        <v>0.13294884300000001</v>
      </c>
      <c r="AB20" s="3">
        <v>12.08965452</v>
      </c>
      <c r="AC20" s="3">
        <v>4.9418901660000003</v>
      </c>
      <c r="AD20" s="3">
        <v>9.6609492000000005E-2</v>
      </c>
      <c r="AE20" s="3">
        <v>8.4025764899999995</v>
      </c>
      <c r="AF20" s="4">
        <v>41929</v>
      </c>
      <c r="AG20" s="5">
        <f>YEAR(AF20)</f>
        <v>2014</v>
      </c>
      <c r="AH20" s="5" t="str">
        <f>"Q"&amp;ROUNDUP(MONTH(AF20)/3,0)</f>
        <v>Q4</v>
      </c>
      <c r="AI20" s="5">
        <f>INDEX(RatingLookup!$B$2:$B$11,MATCH(A20,RatingLookup!$A$2:$A$11,0))</f>
        <v>8</v>
      </c>
      <c r="AJ20" s="5" t="str">
        <f>INDEX(RatingLookup!$C$2:$C$11,MATCH(A20,RatingLookup!$A$2:$A$11,0))</f>
        <v>Investment Grade</v>
      </c>
    </row>
    <row r="21" spans="1:36" x14ac:dyDescent="0.3">
      <c r="A21" s="3" t="s">
        <v>36</v>
      </c>
      <c r="B21" s="3" t="s">
        <v>70</v>
      </c>
      <c r="C21" s="3" t="s">
        <v>71</v>
      </c>
      <c r="D21" s="3" t="s">
        <v>60</v>
      </c>
      <c r="E21" s="3" t="s">
        <v>46</v>
      </c>
      <c r="F21" s="3" t="s">
        <v>66</v>
      </c>
      <c r="G21" s="3">
        <v>1.004393673</v>
      </c>
      <c r="H21" s="3">
        <v>0.41557388099999998</v>
      </c>
      <c r="I21" s="3">
        <v>0.17236717600000001</v>
      </c>
      <c r="J21" s="3">
        <v>15.303552249999999</v>
      </c>
      <c r="K21" s="3">
        <v>0.112527179</v>
      </c>
      <c r="L21" s="3">
        <v>0.16414743400000001</v>
      </c>
      <c r="M21" s="3">
        <v>0.26745343599999999</v>
      </c>
      <c r="N21" s="3">
        <v>0.17462604500000001</v>
      </c>
      <c r="O21" s="3">
        <v>0.24208183</v>
      </c>
      <c r="P21" s="3">
        <v>0.60558615999999998</v>
      </c>
      <c r="Q21" s="3">
        <v>37.515283840000002</v>
      </c>
      <c r="R21" s="3">
        <v>2.1513187560000002</v>
      </c>
      <c r="S21" s="3">
        <v>12.21536</v>
      </c>
      <c r="T21" s="3">
        <v>153.96943229999999</v>
      </c>
      <c r="U21" s="3">
        <v>0.99354711500000004</v>
      </c>
      <c r="V21" s="3">
        <v>0.29149377599999998</v>
      </c>
      <c r="W21" s="3">
        <v>0.91480672399999996</v>
      </c>
      <c r="X21" s="3">
        <v>5.4696195339999996</v>
      </c>
      <c r="Y21" s="3">
        <v>1.6734809770000001</v>
      </c>
      <c r="Z21" s="3">
        <v>154.96943229999999</v>
      </c>
      <c r="AA21" s="3">
        <v>0.16414743400000001</v>
      </c>
      <c r="AB21" s="3">
        <v>10.21870157</v>
      </c>
      <c r="AC21" s="3">
        <v>5.978989211</v>
      </c>
      <c r="AD21" s="3">
        <v>0.13791161299999999</v>
      </c>
      <c r="AE21" s="3">
        <v>10.356935010000001</v>
      </c>
      <c r="AF21" s="4">
        <v>41075</v>
      </c>
      <c r="AG21" s="5">
        <f>YEAR(AF21)</f>
        <v>2012</v>
      </c>
      <c r="AH21" s="5" t="str">
        <f>"Q"&amp;ROUNDUP(MONTH(AF21)/3,0)</f>
        <v>Q2</v>
      </c>
      <c r="AI21" s="5">
        <f>INDEX(RatingLookup!$B$2:$B$11,MATCH(A21,RatingLookup!$A$2:$A$11,0))</f>
        <v>8</v>
      </c>
      <c r="AJ21" s="5" t="str">
        <f>INDEX(RatingLookup!$C$2:$C$11,MATCH(A21,RatingLookup!$A$2:$A$11,0))</f>
        <v>Investment Grade</v>
      </c>
    </row>
    <row r="22" spans="1:36" x14ac:dyDescent="0.3">
      <c r="A22" s="3" t="s">
        <v>36</v>
      </c>
      <c r="B22" s="3" t="s">
        <v>76</v>
      </c>
      <c r="C22" s="3" t="s">
        <v>77</v>
      </c>
      <c r="D22" s="3" t="s">
        <v>39</v>
      </c>
      <c r="E22" s="3" t="s">
        <v>78</v>
      </c>
      <c r="F22" s="3" t="s">
        <v>79</v>
      </c>
      <c r="G22" s="3">
        <v>0.85907408399999996</v>
      </c>
      <c r="H22" s="3">
        <v>0.62711227899999999</v>
      </c>
      <c r="I22" s="3">
        <v>0.23075478799999999</v>
      </c>
      <c r="J22" s="3">
        <v>40.033787099999998</v>
      </c>
      <c r="K22" s="3">
        <v>4.6992381999999999E-2</v>
      </c>
      <c r="L22" s="3">
        <v>7.5199891000000005E-2</v>
      </c>
      <c r="M22" s="3">
        <v>0.54237544100000001</v>
      </c>
      <c r="N22" s="3">
        <v>8.8684529999999998E-2</v>
      </c>
      <c r="O22" s="3">
        <v>2.1254724999999999E-2</v>
      </c>
      <c r="P22" s="3">
        <v>3.8975217999999999E-2</v>
      </c>
      <c r="Q22" s="3">
        <v>7.1602779000000005E-2</v>
      </c>
      <c r="R22" s="3">
        <v>0.45230151400000002</v>
      </c>
      <c r="S22" s="3">
        <v>1.1731563</v>
      </c>
      <c r="T22" s="3">
        <v>2.3687934290000001</v>
      </c>
      <c r="U22" s="3">
        <v>0.70315781600000005</v>
      </c>
      <c r="V22" s="3">
        <v>0.34558232900000002</v>
      </c>
      <c r="W22" s="3">
        <v>0.32353692000000001</v>
      </c>
      <c r="X22" s="3">
        <v>1.947934678</v>
      </c>
      <c r="Y22" s="3">
        <v>1.7008645529999999</v>
      </c>
      <c r="Z22" s="3">
        <v>3.3687934290000001</v>
      </c>
      <c r="AA22" s="3">
        <v>7.5199891000000005E-2</v>
      </c>
      <c r="AB22" s="3">
        <v>8.1552550050000008</v>
      </c>
      <c r="AC22" s="3">
        <v>6.0207492800000004</v>
      </c>
      <c r="AD22" s="3">
        <v>0.23660785100000001</v>
      </c>
      <c r="AE22" s="3">
        <v>2.5691336050000002</v>
      </c>
      <c r="AF22" s="4">
        <v>41940</v>
      </c>
      <c r="AG22" s="5">
        <f>YEAR(AF22)</f>
        <v>2014</v>
      </c>
      <c r="AH22" s="5" t="str">
        <f>"Q"&amp;ROUNDUP(MONTH(AF22)/3,0)</f>
        <v>Q4</v>
      </c>
      <c r="AI22" s="5">
        <f>INDEX(RatingLookup!$B$2:$B$11,MATCH(A22,RatingLookup!$A$2:$A$11,0))</f>
        <v>8</v>
      </c>
      <c r="AJ22" s="5" t="str">
        <f>INDEX(RatingLookup!$C$2:$C$11,MATCH(A22,RatingLookup!$A$2:$A$11,0))</f>
        <v>Investment Grade</v>
      </c>
    </row>
    <row r="23" spans="1:36" x14ac:dyDescent="0.3">
      <c r="A23" s="3" t="s">
        <v>36</v>
      </c>
      <c r="B23" s="3" t="s">
        <v>76</v>
      </c>
      <c r="C23" s="3" t="s">
        <v>77</v>
      </c>
      <c r="D23" s="3" t="s">
        <v>60</v>
      </c>
      <c r="E23" s="3" t="s">
        <v>46</v>
      </c>
      <c r="F23" s="3" t="s">
        <v>79</v>
      </c>
      <c r="G23" s="3">
        <v>0.74777554099999999</v>
      </c>
      <c r="H23" s="3">
        <v>0.66600636499999999</v>
      </c>
      <c r="I23" s="3">
        <v>0.10342923900000001</v>
      </c>
      <c r="J23" s="3">
        <v>39.189334219999999</v>
      </c>
      <c r="K23" s="3">
        <v>3.1123001000000001E-2</v>
      </c>
      <c r="L23" s="3">
        <v>5.2997482999999998E-2</v>
      </c>
      <c r="M23" s="3">
        <v>0.54724872400000002</v>
      </c>
      <c r="N23" s="3">
        <v>7.2741333000000005E-2</v>
      </c>
      <c r="O23" s="3">
        <v>1.4588820000000001E-2</v>
      </c>
      <c r="P23" s="3">
        <v>2.8035900999999998E-2</v>
      </c>
      <c r="Q23" s="3">
        <v>3.7278940000000003E-2</v>
      </c>
      <c r="R23" s="3">
        <v>0.46874722600000002</v>
      </c>
      <c r="S23" s="3">
        <v>1.183364928</v>
      </c>
      <c r="T23" s="3">
        <v>1.555308752</v>
      </c>
      <c r="U23" s="3">
        <v>0.60865785800000005</v>
      </c>
      <c r="V23" s="3">
        <v>0.37701012499999997</v>
      </c>
      <c r="W23" s="3">
        <v>0.41959131799999999</v>
      </c>
      <c r="X23" s="3">
        <v>2.4524291499999999</v>
      </c>
      <c r="Y23" s="3">
        <v>1.1644736840000001</v>
      </c>
      <c r="Z23" s="3">
        <v>2.5553087520000002</v>
      </c>
      <c r="AA23" s="3">
        <v>5.2997482999999998E-2</v>
      </c>
      <c r="AB23" s="3">
        <v>8.5339923899999999</v>
      </c>
      <c r="AC23" s="3">
        <v>5.8448043180000004</v>
      </c>
      <c r="AD23" s="3">
        <v>0.273415244</v>
      </c>
      <c r="AE23" s="3">
        <v>2.889213415</v>
      </c>
      <c r="AF23" s="4">
        <v>41075</v>
      </c>
      <c r="AG23" s="5">
        <f>YEAR(AF23)</f>
        <v>2012</v>
      </c>
      <c r="AH23" s="5" t="str">
        <f>"Q"&amp;ROUNDUP(MONTH(AF23)/3,0)</f>
        <v>Q2</v>
      </c>
      <c r="AI23" s="5">
        <f>INDEX(RatingLookup!$B$2:$B$11,MATCH(A23,RatingLookup!$A$2:$A$11,0))</f>
        <v>8</v>
      </c>
      <c r="AJ23" s="5" t="str">
        <f>INDEX(RatingLookup!$C$2:$C$11,MATCH(A23,RatingLookup!$A$2:$A$11,0))</f>
        <v>Investment Grade</v>
      </c>
    </row>
    <row r="24" spans="1:36" x14ac:dyDescent="0.3">
      <c r="A24" s="3" t="s">
        <v>42</v>
      </c>
      <c r="B24" s="3" t="s">
        <v>76</v>
      </c>
      <c r="C24" s="3" t="s">
        <v>77</v>
      </c>
      <c r="D24" s="3" t="s">
        <v>47</v>
      </c>
      <c r="E24" s="3" t="s">
        <v>48</v>
      </c>
      <c r="F24" s="3" t="s">
        <v>79</v>
      </c>
      <c r="G24" s="3">
        <v>0.75864046200000002</v>
      </c>
      <c r="H24" s="3">
        <v>0.47959506499999999</v>
      </c>
      <c r="I24" s="3">
        <v>0.114441632</v>
      </c>
      <c r="J24" s="3">
        <v>37.425726249999997</v>
      </c>
      <c r="K24" s="3">
        <v>7.6947969000000005E-2</v>
      </c>
      <c r="L24" s="3">
        <v>0.12096272</v>
      </c>
      <c r="M24" s="3">
        <v>0.885478612</v>
      </c>
      <c r="N24" s="3">
        <v>0.14865128899999999</v>
      </c>
      <c r="O24" s="3">
        <v>3.1209371999999999E-2</v>
      </c>
      <c r="P24" s="3">
        <v>5.6085719999999999E-2</v>
      </c>
      <c r="Q24" s="3">
        <v>0.101547015</v>
      </c>
      <c r="R24" s="3">
        <v>0.40559059600000003</v>
      </c>
      <c r="S24" s="3">
        <v>1.311347569</v>
      </c>
      <c r="T24" s="3">
        <v>2.2537345900000001</v>
      </c>
      <c r="U24" s="3">
        <v>0.69266085700000002</v>
      </c>
      <c r="V24" s="3">
        <v>0.32702402600000002</v>
      </c>
      <c r="W24" s="3">
        <v>0.45313135399999999</v>
      </c>
      <c r="X24" s="3">
        <v>2.8904020749999999</v>
      </c>
      <c r="Y24" s="3">
        <v>1.2097924769999999</v>
      </c>
      <c r="Z24" s="3">
        <v>3.2537345900000001</v>
      </c>
      <c r="AA24" s="3">
        <v>0.12096272</v>
      </c>
      <c r="AB24" s="3">
        <v>7.4843758219999996</v>
      </c>
      <c r="AC24" s="3">
        <v>6.3787289229999997</v>
      </c>
      <c r="AD24" s="3">
        <v>0.24021589099999999</v>
      </c>
      <c r="AE24" s="3">
        <v>0.60238294000000003</v>
      </c>
      <c r="AF24" s="4">
        <v>42667</v>
      </c>
      <c r="AG24" s="5">
        <f>YEAR(AF24)</f>
        <v>2016</v>
      </c>
      <c r="AH24" s="5" t="str">
        <f>"Q"&amp;ROUNDUP(MONTH(AF24)/3,0)</f>
        <v>Q4</v>
      </c>
      <c r="AI24" s="5">
        <f>INDEX(RatingLookup!$B$2:$B$11,MATCH(A24,RatingLookup!$A$2:$A$11,0))</f>
        <v>7</v>
      </c>
      <c r="AJ24" s="5" t="str">
        <f>INDEX(RatingLookup!$C$2:$C$11,MATCH(A24,RatingLookup!$A$2:$A$11,0))</f>
        <v>Investment Grade</v>
      </c>
    </row>
    <row r="25" spans="1:36" x14ac:dyDescent="0.3">
      <c r="A25" s="3" t="s">
        <v>36</v>
      </c>
      <c r="B25" s="3" t="s">
        <v>76</v>
      </c>
      <c r="C25" s="3" t="s">
        <v>77</v>
      </c>
      <c r="D25" s="3" t="s">
        <v>60</v>
      </c>
      <c r="E25" s="3" t="s">
        <v>80</v>
      </c>
      <c r="F25" s="3" t="s">
        <v>79</v>
      </c>
      <c r="G25" s="3">
        <v>0.71431717400000005</v>
      </c>
      <c r="H25" s="3">
        <v>0.695441533</v>
      </c>
      <c r="I25" s="3">
        <v>0.153144367</v>
      </c>
      <c r="J25" s="3">
        <v>36.252530720000003</v>
      </c>
      <c r="K25" s="3">
        <v>5.7002056000000002E-2</v>
      </c>
      <c r="L25" s="3">
        <v>8.1916913999999993E-2</v>
      </c>
      <c r="M25" s="3">
        <v>0.56671688899999995</v>
      </c>
      <c r="N25" s="3">
        <v>0.10199005</v>
      </c>
      <c r="O25" s="3">
        <v>2.6674989999999999E-2</v>
      </c>
      <c r="P25" s="3">
        <v>4.3400353000000003E-2</v>
      </c>
      <c r="Q25" s="3">
        <v>7.8364529000000002E-2</v>
      </c>
      <c r="R25" s="3">
        <v>0.46796540800000003</v>
      </c>
      <c r="S25" s="3">
        <v>1.160950012</v>
      </c>
      <c r="T25" s="3">
        <v>1.9377528449999999</v>
      </c>
      <c r="U25" s="3">
        <v>0.65960376799999998</v>
      </c>
      <c r="V25" s="3">
        <v>0.27780438699999999</v>
      </c>
      <c r="W25" s="3">
        <v>0.50313967699999995</v>
      </c>
      <c r="X25" s="3">
        <v>3.3978624380000002</v>
      </c>
      <c r="Y25" s="3">
        <v>1.628857094</v>
      </c>
      <c r="Z25" s="3">
        <v>2.9377528449999999</v>
      </c>
      <c r="AA25" s="3">
        <v>8.1916913999999993E-2</v>
      </c>
      <c r="AB25" s="3">
        <v>8.5097777780000001</v>
      </c>
      <c r="AC25" s="3">
        <v>6.7533183929999998</v>
      </c>
      <c r="AD25" s="3">
        <v>0.30742188100000001</v>
      </c>
      <c r="AE25" s="3">
        <v>2.6404763039999999</v>
      </c>
      <c r="AF25" s="4">
        <v>41241</v>
      </c>
      <c r="AG25" s="5">
        <f>YEAR(AF25)</f>
        <v>2012</v>
      </c>
      <c r="AH25" s="5" t="str">
        <f>"Q"&amp;ROUNDUP(MONTH(AF25)/3,0)</f>
        <v>Q4</v>
      </c>
      <c r="AI25" s="5">
        <f>INDEX(RatingLookup!$B$2:$B$11,MATCH(A25,RatingLookup!$A$2:$A$11,0))</f>
        <v>8</v>
      </c>
      <c r="AJ25" s="5" t="str">
        <f>INDEX(RatingLookup!$C$2:$C$11,MATCH(A25,RatingLookup!$A$2:$A$11,0))</f>
        <v>Investment Grade</v>
      </c>
    </row>
    <row r="26" spans="1:36" x14ac:dyDescent="0.3">
      <c r="A26" s="3" t="s">
        <v>36</v>
      </c>
      <c r="B26" s="3" t="s">
        <v>81</v>
      </c>
      <c r="C26" s="3" t="s">
        <v>82</v>
      </c>
      <c r="D26" s="3" t="s">
        <v>39</v>
      </c>
      <c r="E26" s="3" t="s">
        <v>83</v>
      </c>
      <c r="F26" s="3" t="s">
        <v>79</v>
      </c>
      <c r="G26" s="3">
        <v>1.2165664039999999</v>
      </c>
      <c r="H26" s="3">
        <v>0.389287367</v>
      </c>
      <c r="I26" s="3">
        <v>0.17364646</v>
      </c>
      <c r="J26" s="3">
        <v>1.6916009430000001</v>
      </c>
      <c r="K26" s="3">
        <v>0.108342142</v>
      </c>
      <c r="L26" s="3">
        <v>0.15936254999999999</v>
      </c>
      <c r="M26" s="3">
        <v>1</v>
      </c>
      <c r="N26" s="3">
        <v>0.20253679199999999</v>
      </c>
      <c r="O26" s="3">
        <v>2.3218533E-2</v>
      </c>
      <c r="P26" s="3">
        <v>3.6934093000000001E-2</v>
      </c>
      <c r="Q26" s="3">
        <v>6.4481007000000007E-2</v>
      </c>
      <c r="R26" s="3">
        <v>0.21430749499999999</v>
      </c>
      <c r="S26" s="3">
        <v>0.35397898999999999</v>
      </c>
      <c r="T26" s="3">
        <v>1.777135253</v>
      </c>
      <c r="U26" s="3">
        <v>0.63991671000000006</v>
      </c>
      <c r="V26" s="3">
        <v>0.321683673</v>
      </c>
      <c r="W26" s="3">
        <v>0.13412723300000001</v>
      </c>
      <c r="X26" s="3">
        <v>1.2124645890000001</v>
      </c>
      <c r="Y26" s="3">
        <v>4.6048158639999999</v>
      </c>
      <c r="Z26" s="3">
        <v>2.777135253</v>
      </c>
      <c r="AA26" s="3">
        <v>0.15936254999999999</v>
      </c>
      <c r="AB26" s="3">
        <v>10.72918524</v>
      </c>
      <c r="AC26" s="3">
        <v>9.0396600570000007</v>
      </c>
      <c r="AD26" s="3">
        <v>0.25945198800000002</v>
      </c>
      <c r="AE26" s="3">
        <v>0</v>
      </c>
      <c r="AF26" s="4">
        <v>41544</v>
      </c>
      <c r="AG26" s="5">
        <f>YEAR(AF26)</f>
        <v>2013</v>
      </c>
      <c r="AH26" s="5" t="str">
        <f>"Q"&amp;ROUNDUP(MONTH(AF26)/3,0)</f>
        <v>Q3</v>
      </c>
      <c r="AI26" s="5">
        <f>INDEX(RatingLookup!$B$2:$B$11,MATCH(A26,RatingLookup!$A$2:$A$11,0))</f>
        <v>8</v>
      </c>
      <c r="AJ26" s="5" t="str">
        <f>INDEX(RatingLookup!$C$2:$C$11,MATCH(A26,RatingLookup!$A$2:$A$11,0))</f>
        <v>Investment Grade</v>
      </c>
    </row>
    <row r="27" spans="1:36" x14ac:dyDescent="0.3">
      <c r="A27" s="3" t="s">
        <v>49</v>
      </c>
      <c r="B27" s="3" t="s">
        <v>81</v>
      </c>
      <c r="C27" s="3" t="s">
        <v>82</v>
      </c>
      <c r="D27" s="3" t="s">
        <v>39</v>
      </c>
      <c r="E27" s="3" t="s">
        <v>84</v>
      </c>
      <c r="F27" s="3" t="s">
        <v>79</v>
      </c>
      <c r="G27" s="3">
        <v>1.0304460070000001</v>
      </c>
      <c r="H27" s="3">
        <v>0.36775572000000001</v>
      </c>
      <c r="I27" s="3">
        <v>0.181251669</v>
      </c>
      <c r="J27" s="3">
        <v>1.3882967610000001</v>
      </c>
      <c r="K27" s="3">
        <v>7.8704283999999999E-2</v>
      </c>
      <c r="L27" s="3">
        <v>0.17278996899999999</v>
      </c>
      <c r="M27" s="3">
        <v>1</v>
      </c>
      <c r="N27" s="3">
        <v>0.21977011499999999</v>
      </c>
      <c r="O27" s="3">
        <v>1.5599500000000001E-2</v>
      </c>
      <c r="P27" s="3">
        <v>3.7761701000000002E-2</v>
      </c>
      <c r="Q27" s="3">
        <v>4.6067278000000003E-2</v>
      </c>
      <c r="R27" s="3">
        <v>0.19820394499999999</v>
      </c>
      <c r="S27" s="3">
        <v>0.34156125999999998</v>
      </c>
      <c r="T27" s="3">
        <v>1.9531253820000001</v>
      </c>
      <c r="U27" s="3">
        <v>0.66137570499999998</v>
      </c>
      <c r="V27" s="3">
        <v>0.403725206</v>
      </c>
      <c r="W27" s="3">
        <v>0.18250835100000001</v>
      </c>
      <c r="X27" s="3">
        <v>1.7001414429999999</v>
      </c>
      <c r="Y27" s="3">
        <v>5.7142857139999998</v>
      </c>
      <c r="Z27" s="3">
        <v>2.9531253820000001</v>
      </c>
      <c r="AA27" s="3">
        <v>0.17278996899999999</v>
      </c>
      <c r="AB27" s="3">
        <v>11.362462069999999</v>
      </c>
      <c r="AC27" s="3">
        <v>9.3154172559999999</v>
      </c>
      <c r="AD27" s="3">
        <v>0.27527690700000002</v>
      </c>
      <c r="AE27" s="3">
        <v>3.6191105239999999</v>
      </c>
      <c r="AF27" s="4">
        <v>42150</v>
      </c>
      <c r="AG27" s="5">
        <f>YEAR(AF27)</f>
        <v>2015</v>
      </c>
      <c r="AH27" s="5" t="str">
        <f>"Q"&amp;ROUNDUP(MONTH(AF27)/3,0)</f>
        <v>Q2</v>
      </c>
      <c r="AI27" s="5">
        <f>INDEX(RatingLookup!$B$2:$B$11,MATCH(A27,RatingLookup!$A$2:$A$11,0))</f>
        <v>9</v>
      </c>
      <c r="AJ27" s="5" t="str">
        <f>INDEX(RatingLookup!$C$2:$C$11,MATCH(A27,RatingLookup!$A$2:$A$11,0))</f>
        <v>Investment Grade</v>
      </c>
    </row>
    <row r="28" spans="1:36" x14ac:dyDescent="0.3">
      <c r="A28" s="3" t="s">
        <v>49</v>
      </c>
      <c r="B28" s="3" t="s">
        <v>81</v>
      </c>
      <c r="C28" s="3" t="s">
        <v>82</v>
      </c>
      <c r="D28" s="3" t="s">
        <v>39</v>
      </c>
      <c r="E28" s="3" t="s">
        <v>85</v>
      </c>
      <c r="F28" s="3" t="s">
        <v>79</v>
      </c>
      <c r="G28" s="3">
        <v>0.73</v>
      </c>
      <c r="H28" s="3">
        <v>0.28289473700000001</v>
      </c>
      <c r="I28" s="3">
        <v>7.5175438999999997E-2</v>
      </c>
      <c r="J28" s="3">
        <v>0.73127584300000004</v>
      </c>
      <c r="K28" s="3">
        <v>0.120039217</v>
      </c>
      <c r="L28" s="3">
        <v>0.176350228</v>
      </c>
      <c r="M28" s="3">
        <v>1</v>
      </c>
      <c r="N28" s="3">
        <v>0.228782131</v>
      </c>
      <c r="O28" s="3">
        <v>2.3242761000000001E-2</v>
      </c>
      <c r="P28" s="3">
        <v>3.7692700000000003E-2</v>
      </c>
      <c r="Q28" s="3">
        <v>7.0883782000000006E-2</v>
      </c>
      <c r="R28" s="3">
        <v>0.193626399</v>
      </c>
      <c r="S28" s="3">
        <v>0.30985748099999999</v>
      </c>
      <c r="T28" s="3">
        <v>2.0497143000000002</v>
      </c>
      <c r="U28" s="3">
        <v>0.672100433</v>
      </c>
      <c r="V28" s="3">
        <v>0.320522117</v>
      </c>
      <c r="W28" s="3">
        <v>-1.3481126E-2</v>
      </c>
      <c r="X28" s="3">
        <v>-0.12968299699999999</v>
      </c>
      <c r="Y28" s="3">
        <v>4.5792507200000001</v>
      </c>
      <c r="Z28" s="3">
        <v>3.0497143000000002</v>
      </c>
      <c r="AA28" s="3">
        <v>0.176350228</v>
      </c>
      <c r="AB28" s="3">
        <v>10.130311799999999</v>
      </c>
      <c r="AC28" s="3">
        <v>9.619596542</v>
      </c>
      <c r="AD28" s="3">
        <v>0.28458160999999998</v>
      </c>
      <c r="AE28" s="3">
        <v>3.1924999999999999</v>
      </c>
      <c r="AF28" s="4">
        <v>42269</v>
      </c>
      <c r="AG28" s="5">
        <f>YEAR(AF28)</f>
        <v>2015</v>
      </c>
      <c r="AH28" s="5" t="str">
        <f>"Q"&amp;ROUNDUP(MONTH(AF28)/3,0)</f>
        <v>Q3</v>
      </c>
      <c r="AI28" s="5">
        <f>INDEX(RatingLookup!$B$2:$B$11,MATCH(A28,RatingLookup!$A$2:$A$11,0))</f>
        <v>9</v>
      </c>
      <c r="AJ28" s="5" t="str">
        <f>INDEX(RatingLookup!$C$2:$C$11,MATCH(A28,RatingLookup!$A$2:$A$11,0))</f>
        <v>Investment Grade</v>
      </c>
    </row>
    <row r="29" spans="1:36" x14ac:dyDescent="0.3">
      <c r="A29" s="3" t="s">
        <v>36</v>
      </c>
      <c r="B29" s="3" t="s">
        <v>81</v>
      </c>
      <c r="C29" s="3" t="s">
        <v>82</v>
      </c>
      <c r="D29" s="3" t="s">
        <v>39</v>
      </c>
      <c r="E29" s="3" t="s">
        <v>86</v>
      </c>
      <c r="F29" s="3" t="s">
        <v>79</v>
      </c>
      <c r="G29" s="3">
        <v>1.0092731079999999</v>
      </c>
      <c r="H29" s="3">
        <v>0.184863895</v>
      </c>
      <c r="I29" s="3">
        <v>0.14198823399999999</v>
      </c>
      <c r="J29" s="3">
        <v>1.804168365</v>
      </c>
      <c r="K29" s="3">
        <v>9.0093762999999993E-2</v>
      </c>
      <c r="L29" s="3">
        <v>0.12489808400000001</v>
      </c>
      <c r="M29" s="3">
        <v>1</v>
      </c>
      <c r="N29" s="3">
        <v>0.15929474099999999</v>
      </c>
      <c r="O29" s="3">
        <v>1.5528386999999999E-2</v>
      </c>
      <c r="P29" s="3">
        <v>2.3606576000000001E-2</v>
      </c>
      <c r="Q29" s="3">
        <v>4.3266525E-2</v>
      </c>
      <c r="R29" s="3">
        <v>0.172358066</v>
      </c>
      <c r="S29" s="3">
        <v>0.28623938900000001</v>
      </c>
      <c r="T29" s="3">
        <v>1.786285882</v>
      </c>
      <c r="U29" s="3">
        <v>0.64109928299999996</v>
      </c>
      <c r="V29" s="3">
        <v>0.28763769900000002</v>
      </c>
      <c r="W29" s="3">
        <v>-4.9008390999999998E-2</v>
      </c>
      <c r="X29" s="3">
        <v>-0.447735192</v>
      </c>
      <c r="Y29" s="3">
        <v>3.0609756099999998</v>
      </c>
      <c r="Z29" s="3">
        <v>2.786285882</v>
      </c>
      <c r="AA29" s="3">
        <v>0.12489808400000001</v>
      </c>
      <c r="AB29" s="3">
        <v>13.234607130000001</v>
      </c>
      <c r="AC29" s="3">
        <v>9.1358885020000002</v>
      </c>
      <c r="AD29" s="3">
        <v>0.26722380800000001</v>
      </c>
      <c r="AE29" s="3">
        <v>0</v>
      </c>
      <c r="AF29" s="4">
        <v>41435</v>
      </c>
      <c r="AG29" s="5">
        <f>YEAR(AF29)</f>
        <v>2013</v>
      </c>
      <c r="AH29" s="5" t="str">
        <f>"Q"&amp;ROUNDUP(MONTH(AF29)/3,0)</f>
        <v>Q2</v>
      </c>
      <c r="AI29" s="5">
        <f>INDEX(RatingLookup!$B$2:$B$11,MATCH(A29,RatingLookup!$A$2:$A$11,0))</f>
        <v>8</v>
      </c>
      <c r="AJ29" s="5" t="str">
        <f>INDEX(RatingLookup!$C$2:$C$11,MATCH(A29,RatingLookup!$A$2:$A$11,0))</f>
        <v>Investment Grade</v>
      </c>
    </row>
    <row r="30" spans="1:36" x14ac:dyDescent="0.3">
      <c r="A30" s="3" t="s">
        <v>42</v>
      </c>
      <c r="B30" s="3" t="s">
        <v>81</v>
      </c>
      <c r="C30" s="3" t="s">
        <v>82</v>
      </c>
      <c r="D30" s="3" t="s">
        <v>60</v>
      </c>
      <c r="E30" s="3" t="s">
        <v>46</v>
      </c>
      <c r="F30" s="3" t="s">
        <v>79</v>
      </c>
      <c r="G30" s="3">
        <v>1.2445730820000001</v>
      </c>
      <c r="H30" s="3">
        <v>0.43939942100000001</v>
      </c>
      <c r="I30" s="3">
        <v>0.38169319800000001</v>
      </c>
      <c r="J30" s="3">
        <v>3.2407598599999998</v>
      </c>
      <c r="K30" s="3">
        <v>0.117420332</v>
      </c>
      <c r="L30" s="3">
        <v>0.16966067900000001</v>
      </c>
      <c r="M30" s="3">
        <v>1</v>
      </c>
      <c r="N30" s="3">
        <v>0.19113497099999999</v>
      </c>
      <c r="O30" s="3">
        <v>2.7284650000000001E-2</v>
      </c>
      <c r="P30" s="3">
        <v>4.3247131000000001E-2</v>
      </c>
      <c r="Q30" s="3">
        <v>7.4916564000000005E-2</v>
      </c>
      <c r="R30" s="3">
        <v>0.23236733500000001</v>
      </c>
      <c r="S30" s="3">
        <v>0.34056866899999999</v>
      </c>
      <c r="T30" s="3">
        <v>1.745740383</v>
      </c>
      <c r="U30" s="3">
        <v>0.63579950699999999</v>
      </c>
      <c r="V30" s="3">
        <v>0.30507099399999998</v>
      </c>
      <c r="W30" s="3">
        <v>-0.18818082799999999</v>
      </c>
      <c r="X30" s="3">
        <v>-0.51876876900000002</v>
      </c>
      <c r="Y30" s="3">
        <v>1.726726727</v>
      </c>
      <c r="Z30" s="3">
        <v>2.7457403829999998</v>
      </c>
      <c r="AA30" s="3">
        <v>0.16966067900000001</v>
      </c>
      <c r="AB30" s="3">
        <v>21.226208620000001</v>
      </c>
      <c r="AC30" s="3">
        <v>2.7567567569999998</v>
      </c>
      <c r="AD30" s="3">
        <v>0.25273590699999998</v>
      </c>
      <c r="AE30" s="3">
        <v>0.242847174</v>
      </c>
      <c r="AF30" s="4">
        <v>41075</v>
      </c>
      <c r="AG30" s="5">
        <f>YEAR(AF30)</f>
        <v>2012</v>
      </c>
      <c r="AH30" s="5" t="str">
        <f>"Q"&amp;ROUNDUP(MONTH(AF30)/3,0)</f>
        <v>Q2</v>
      </c>
      <c r="AI30" s="5">
        <f>INDEX(RatingLookup!$B$2:$B$11,MATCH(A30,RatingLookup!$A$2:$A$11,0))</f>
        <v>7</v>
      </c>
      <c r="AJ30" s="5" t="str">
        <f>INDEX(RatingLookup!$C$2:$C$11,MATCH(A30,RatingLookup!$A$2:$A$11,0))</f>
        <v>Investment Grade</v>
      </c>
    </row>
    <row r="31" spans="1:36" x14ac:dyDescent="0.3">
      <c r="A31" s="3" t="s">
        <v>42</v>
      </c>
      <c r="B31" s="3" t="s">
        <v>81</v>
      </c>
      <c r="C31" s="3" t="s">
        <v>82</v>
      </c>
      <c r="D31" s="3" t="s">
        <v>60</v>
      </c>
      <c r="E31" s="3" t="s">
        <v>87</v>
      </c>
      <c r="F31" s="3" t="s">
        <v>79</v>
      </c>
      <c r="G31" s="3">
        <v>0.69595706000000002</v>
      </c>
      <c r="H31" s="3">
        <v>0.29010475299999999</v>
      </c>
      <c r="I31" s="3">
        <v>3.3936455999999997E-2</v>
      </c>
      <c r="J31" s="3">
        <v>12.05271952</v>
      </c>
      <c r="K31" s="3">
        <v>9.4622521000000001E-2</v>
      </c>
      <c r="L31" s="3">
        <v>0.16418238600000001</v>
      </c>
      <c r="M31" s="3">
        <v>1</v>
      </c>
      <c r="N31" s="3">
        <v>0.23484149000000001</v>
      </c>
      <c r="O31" s="3">
        <v>1.6209580000000001E-2</v>
      </c>
      <c r="P31" s="3">
        <v>3.0806039E-2</v>
      </c>
      <c r="Q31" s="3">
        <v>5.2445592999999999E-2</v>
      </c>
      <c r="R31" s="3">
        <v>0.17130783899999999</v>
      </c>
      <c r="S31" s="3">
        <v>0.27560591400000001</v>
      </c>
      <c r="T31" s="3">
        <v>2.2354690129999999</v>
      </c>
      <c r="U31" s="3">
        <v>0.69092579899999995</v>
      </c>
      <c r="V31" s="3">
        <v>0.30958757399999998</v>
      </c>
      <c r="W31" s="3">
        <v>-0.162253604</v>
      </c>
      <c r="X31" s="3">
        <v>-1.596237337</v>
      </c>
      <c r="Y31" s="3">
        <v>3.762662808</v>
      </c>
      <c r="Z31" s="3">
        <v>3.2354690129999999</v>
      </c>
      <c r="AA31" s="3">
        <v>0.16418238600000001</v>
      </c>
      <c r="AB31" s="3">
        <v>10.930801430000001</v>
      </c>
      <c r="AC31" s="3">
        <v>9.8379160639999998</v>
      </c>
      <c r="AD31" s="3">
        <v>0.298905158</v>
      </c>
      <c r="AE31" s="3">
        <v>2.2127588509999998</v>
      </c>
      <c r="AF31" s="4">
        <v>42592</v>
      </c>
      <c r="AG31" s="5">
        <f>YEAR(AF31)</f>
        <v>2016</v>
      </c>
      <c r="AH31" s="5" t="str">
        <f>"Q"&amp;ROUNDUP(MONTH(AF31)/3,0)</f>
        <v>Q3</v>
      </c>
      <c r="AI31" s="5">
        <f>INDEX(RatingLookup!$B$2:$B$11,MATCH(A31,RatingLookup!$A$2:$A$11,0))</f>
        <v>7</v>
      </c>
      <c r="AJ31" s="5" t="str">
        <f>INDEX(RatingLookup!$C$2:$C$11,MATCH(A31,RatingLookup!$A$2:$A$11,0))</f>
        <v>Investment Grade</v>
      </c>
    </row>
    <row r="32" spans="1:36" x14ac:dyDescent="0.3">
      <c r="A32" s="3" t="s">
        <v>49</v>
      </c>
      <c r="B32" s="3" t="s">
        <v>88</v>
      </c>
      <c r="C32" s="3" t="s">
        <v>89</v>
      </c>
      <c r="D32" s="3" t="s">
        <v>39</v>
      </c>
      <c r="E32" s="3" t="s">
        <v>90</v>
      </c>
      <c r="F32" s="3" t="s">
        <v>59</v>
      </c>
      <c r="G32" s="3">
        <v>2.0130096740000001</v>
      </c>
      <c r="H32" s="3">
        <v>1.450457216</v>
      </c>
      <c r="I32" s="3">
        <v>0.68807704199999997</v>
      </c>
      <c r="J32" s="3">
        <v>65.897792659999993</v>
      </c>
      <c r="K32" s="3">
        <v>0.14096662800000001</v>
      </c>
      <c r="L32" s="3">
        <v>0.186525787</v>
      </c>
      <c r="M32" s="3">
        <v>0.52084946099999996</v>
      </c>
      <c r="N32" s="3">
        <v>0.17129929899999999</v>
      </c>
      <c r="O32" s="3">
        <v>7.7727978000000003E-2</v>
      </c>
      <c r="P32" s="3">
        <v>0.11829569299999999</v>
      </c>
      <c r="Q32" s="3">
        <v>0.12039150699999999</v>
      </c>
      <c r="R32" s="3">
        <v>0.55139275799999998</v>
      </c>
      <c r="S32" s="3">
        <v>8.6455930900000002</v>
      </c>
      <c r="T32" s="3">
        <v>0.54888252599999998</v>
      </c>
      <c r="U32" s="3">
        <v>0.35437324399999998</v>
      </c>
      <c r="V32" s="3">
        <v>0.244251262</v>
      </c>
      <c r="W32" s="3">
        <v>0.84617744699999997</v>
      </c>
      <c r="X32" s="3">
        <v>4.3589080459999998</v>
      </c>
      <c r="Y32" s="3">
        <v>4.4758620689999997</v>
      </c>
      <c r="Z32" s="3">
        <v>1.5488825260000001</v>
      </c>
      <c r="AA32" s="3">
        <v>0.186525787</v>
      </c>
      <c r="AB32" s="3">
        <v>9.6209597349999996</v>
      </c>
      <c r="AC32" s="3">
        <v>5.1512931030000004</v>
      </c>
      <c r="AD32" s="3">
        <v>0.18753530700000001</v>
      </c>
      <c r="AE32" s="3">
        <v>5.1515015179999999</v>
      </c>
      <c r="AF32" s="4">
        <v>41757</v>
      </c>
      <c r="AG32" s="5">
        <f>YEAR(AF32)</f>
        <v>2014</v>
      </c>
      <c r="AH32" s="5" t="str">
        <f>"Q"&amp;ROUNDUP(MONTH(AF32)/3,0)</f>
        <v>Q2</v>
      </c>
      <c r="AI32" s="5">
        <f>INDEX(RatingLookup!$B$2:$B$11,MATCH(A32,RatingLookup!$A$2:$A$11,0))</f>
        <v>9</v>
      </c>
      <c r="AJ32" s="5" t="str">
        <f>INDEX(RatingLookup!$C$2:$C$11,MATCH(A32,RatingLookup!$A$2:$A$11,0))</f>
        <v>Investment Grade</v>
      </c>
    </row>
    <row r="33" spans="1:36" x14ac:dyDescent="0.3">
      <c r="A33" s="3" t="s">
        <v>49</v>
      </c>
      <c r="B33" s="3" t="s">
        <v>88</v>
      </c>
      <c r="C33" s="3" t="s">
        <v>89</v>
      </c>
      <c r="D33" s="3" t="s">
        <v>39</v>
      </c>
      <c r="E33" s="3" t="s">
        <v>52</v>
      </c>
      <c r="F33" s="3" t="s">
        <v>59</v>
      </c>
      <c r="G33" s="3">
        <v>1.7477021720000001</v>
      </c>
      <c r="H33" s="3">
        <v>1.230338744</v>
      </c>
      <c r="I33" s="3">
        <v>0.55696390200000001</v>
      </c>
      <c r="J33" s="3">
        <v>66.603912859999994</v>
      </c>
      <c r="K33" s="3">
        <v>0.13048237900000001</v>
      </c>
      <c r="L33" s="3">
        <v>0.174843576</v>
      </c>
      <c r="M33" s="3">
        <v>0.52438510000000005</v>
      </c>
      <c r="N33" s="3">
        <v>0.17230764600000001</v>
      </c>
      <c r="O33" s="3">
        <v>7.0242784000000003E-2</v>
      </c>
      <c r="P33" s="3">
        <v>0.110199935</v>
      </c>
      <c r="Q33" s="3">
        <v>0.111146757</v>
      </c>
      <c r="R33" s="3">
        <v>0.53833157200000004</v>
      </c>
      <c r="S33" s="3">
        <v>9.0394008170000006</v>
      </c>
      <c r="T33" s="3">
        <v>0.58232277200000004</v>
      </c>
      <c r="U33" s="3">
        <v>0.36801769000000001</v>
      </c>
      <c r="V33" s="3">
        <v>0.25371934099999999</v>
      </c>
      <c r="W33" s="3">
        <v>0.84102277599999997</v>
      </c>
      <c r="X33" s="3">
        <v>4.501424096</v>
      </c>
      <c r="Y33" s="3">
        <v>4.2802620339999997</v>
      </c>
      <c r="Z33" s="3">
        <v>1.5823227719999999</v>
      </c>
      <c r="AA33" s="3">
        <v>0.174843576</v>
      </c>
      <c r="AB33" s="3">
        <v>10.14399103</v>
      </c>
      <c r="AC33" s="3">
        <v>5.3523212759999996</v>
      </c>
      <c r="AD33" s="3">
        <v>0.188733441</v>
      </c>
      <c r="AE33" s="3">
        <v>5.0513599999999999</v>
      </c>
      <c r="AF33" s="4">
        <v>41838</v>
      </c>
      <c r="AG33" s="5">
        <f>YEAR(AF33)</f>
        <v>2014</v>
      </c>
      <c r="AH33" s="5" t="str">
        <f>"Q"&amp;ROUNDUP(MONTH(AF33)/3,0)</f>
        <v>Q3</v>
      </c>
      <c r="AI33" s="5">
        <f>INDEX(RatingLookup!$B$2:$B$11,MATCH(A33,RatingLookup!$A$2:$A$11,0))</f>
        <v>9</v>
      </c>
      <c r="AJ33" s="5" t="str">
        <f>INDEX(RatingLookup!$C$2:$C$11,MATCH(A33,RatingLookup!$A$2:$A$11,0))</f>
        <v>Investment Grade</v>
      </c>
    </row>
    <row r="34" spans="1:36" x14ac:dyDescent="0.3">
      <c r="A34" s="3" t="s">
        <v>36</v>
      </c>
      <c r="B34" s="3" t="s">
        <v>88</v>
      </c>
      <c r="C34" s="3" t="s">
        <v>89</v>
      </c>
      <c r="D34" s="3" t="s">
        <v>39</v>
      </c>
      <c r="E34" s="3" t="s">
        <v>91</v>
      </c>
      <c r="F34" s="3" t="s">
        <v>59</v>
      </c>
      <c r="G34" s="3">
        <v>1.270047323</v>
      </c>
      <c r="H34" s="3">
        <v>0.77059834000000005</v>
      </c>
      <c r="I34" s="3">
        <v>0.128160249</v>
      </c>
      <c r="J34" s="3">
        <v>70.363734070000007</v>
      </c>
      <c r="K34" s="3">
        <v>0.163273047</v>
      </c>
      <c r="L34" s="3">
        <v>0.16164877899999999</v>
      </c>
      <c r="M34" s="3">
        <v>0.52338898300000003</v>
      </c>
      <c r="N34" s="3">
        <v>0.16870510799999999</v>
      </c>
      <c r="O34" s="3">
        <v>6.9623534000000001E-2</v>
      </c>
      <c r="P34" s="3">
        <v>7.9045368000000005E-2</v>
      </c>
      <c r="Q34" s="3">
        <v>0.141720451</v>
      </c>
      <c r="R34" s="3">
        <v>0.42642392899999998</v>
      </c>
      <c r="S34" s="3">
        <v>7.2774278030000001</v>
      </c>
      <c r="T34" s="3">
        <v>1.035525088</v>
      </c>
      <c r="U34" s="3">
        <v>0.50872627100000001</v>
      </c>
      <c r="V34" s="3">
        <v>0.218200963</v>
      </c>
      <c r="W34" s="3">
        <v>0.83349992100000003</v>
      </c>
      <c r="X34" s="3">
        <v>4.5391777680000001</v>
      </c>
      <c r="Y34" s="3">
        <v>1.132788999</v>
      </c>
      <c r="Z34" s="3">
        <v>2.035525088</v>
      </c>
      <c r="AA34" s="3">
        <v>0.16164877899999999</v>
      </c>
      <c r="AB34" s="3">
        <v>12.81696067</v>
      </c>
      <c r="AC34" s="3">
        <v>5.4459246529999996</v>
      </c>
      <c r="AD34" s="3">
        <v>0.184884575</v>
      </c>
      <c r="AE34" s="3">
        <v>4.7831137139999997</v>
      </c>
      <c r="AF34" s="4">
        <v>42304</v>
      </c>
      <c r="AG34" s="5">
        <f>YEAR(AF34)</f>
        <v>2015</v>
      </c>
      <c r="AH34" s="5" t="str">
        <f>"Q"&amp;ROUNDUP(MONTH(AF34)/3,0)</f>
        <v>Q4</v>
      </c>
      <c r="AI34" s="5">
        <f>INDEX(RatingLookup!$B$2:$B$11,MATCH(A34,RatingLookup!$A$2:$A$11,0))</f>
        <v>8</v>
      </c>
      <c r="AJ34" s="5" t="str">
        <f>INDEX(RatingLookup!$C$2:$C$11,MATCH(A34,RatingLookup!$A$2:$A$11,0))</f>
        <v>Investment Grade</v>
      </c>
    </row>
    <row r="35" spans="1:36" x14ac:dyDescent="0.3">
      <c r="A35" s="3" t="s">
        <v>36</v>
      </c>
      <c r="B35" s="3" t="s">
        <v>88</v>
      </c>
      <c r="C35" s="3" t="s">
        <v>89</v>
      </c>
      <c r="D35" s="3" t="s">
        <v>60</v>
      </c>
      <c r="E35" s="3" t="s">
        <v>46</v>
      </c>
      <c r="F35" s="3" t="s">
        <v>59</v>
      </c>
      <c r="G35" s="3">
        <v>1.5034311849999999</v>
      </c>
      <c r="H35" s="3">
        <v>125.950472</v>
      </c>
      <c r="I35" s="3">
        <v>0.12871462</v>
      </c>
      <c r="J35" s="3">
        <v>69.184233410000004</v>
      </c>
      <c r="K35" s="3">
        <v>0.135002554</v>
      </c>
      <c r="L35" s="3">
        <v>0.15212969900000001</v>
      </c>
      <c r="M35" s="3">
        <v>0.50816591600000005</v>
      </c>
      <c r="N35" s="3">
        <v>0.162656194</v>
      </c>
      <c r="O35" s="3">
        <v>7.2531022000000001E-2</v>
      </c>
      <c r="P35" s="3">
        <v>9.4960981E-2</v>
      </c>
      <c r="Q35" s="3">
        <v>0.12849996399999999</v>
      </c>
      <c r="R35" s="3">
        <v>0.53725666500000002</v>
      </c>
      <c r="S35" s="3">
        <v>7.6585514449999996</v>
      </c>
      <c r="T35" s="3">
        <v>0.77165521699999995</v>
      </c>
      <c r="U35" s="3">
        <v>0.43555608899999998</v>
      </c>
      <c r="V35" s="3">
        <v>0.20939281800000001</v>
      </c>
      <c r="W35" s="3">
        <v>0.87264394700000003</v>
      </c>
      <c r="X35" s="3">
        <v>3.389383423</v>
      </c>
      <c r="Y35" s="3">
        <v>772.61601910000002</v>
      </c>
      <c r="Z35" s="3">
        <v>1.7716552169999999</v>
      </c>
      <c r="AA35" s="3">
        <v>0.15212969900000001</v>
      </c>
      <c r="AB35" s="3">
        <v>9.7307354959999994</v>
      </c>
      <c r="AC35" s="3">
        <v>3.8840393450000001</v>
      </c>
      <c r="AD35" s="3">
        <v>0.16321807699999999</v>
      </c>
      <c r="AE35" s="3">
        <v>5.5635999600000003</v>
      </c>
      <c r="AF35" s="4">
        <v>41075</v>
      </c>
      <c r="AG35" s="5">
        <f>YEAR(AF35)</f>
        <v>2012</v>
      </c>
      <c r="AH35" s="5" t="str">
        <f>"Q"&amp;ROUNDUP(MONTH(AF35)/3,0)</f>
        <v>Q2</v>
      </c>
      <c r="AI35" s="5">
        <f>INDEX(RatingLookup!$B$2:$B$11,MATCH(A35,RatingLookup!$A$2:$A$11,0))</f>
        <v>8</v>
      </c>
      <c r="AJ35" s="5" t="str">
        <f>INDEX(RatingLookup!$C$2:$C$11,MATCH(A35,RatingLookup!$A$2:$A$11,0))</f>
        <v>Investment Grade</v>
      </c>
    </row>
    <row r="36" spans="1:36" x14ac:dyDescent="0.3">
      <c r="A36" s="3" t="s">
        <v>92</v>
      </c>
      <c r="B36" s="3" t="s">
        <v>93</v>
      </c>
      <c r="C36" s="3" t="s">
        <v>94</v>
      </c>
      <c r="D36" s="3" t="s">
        <v>47</v>
      </c>
      <c r="E36" s="3" t="s">
        <v>95</v>
      </c>
      <c r="F36" s="3" t="s">
        <v>96</v>
      </c>
      <c r="G36" s="3">
        <v>1.6924997690000001</v>
      </c>
      <c r="H36" s="3">
        <v>1.5800575960000001</v>
      </c>
      <c r="I36" s="3">
        <v>8.8480562999999998E-2</v>
      </c>
      <c r="J36" s="3">
        <v>61.044407419999999</v>
      </c>
      <c r="K36" s="3">
        <v>3.7961465999999999E-2</v>
      </c>
      <c r="L36" s="3">
        <v>6.1506855999999999E-2</v>
      </c>
      <c r="M36" s="3">
        <v>7.2211677000000002E-2</v>
      </c>
      <c r="N36" s="3">
        <v>7.2211677000000002E-2</v>
      </c>
      <c r="O36" s="3">
        <v>4.1544729000000002E-2</v>
      </c>
      <c r="P36" s="3">
        <v>7.6727904999999999E-2</v>
      </c>
      <c r="Q36" s="3">
        <v>9.1421267000000001E-2</v>
      </c>
      <c r="R36" s="3">
        <v>1.094392094</v>
      </c>
      <c r="S36" s="3">
        <v>55.968251969999997</v>
      </c>
      <c r="T36" s="3">
        <v>1.200550354</v>
      </c>
      <c r="U36" s="3">
        <v>0.54556822699999996</v>
      </c>
      <c r="V36" s="3">
        <v>0.38005883800000001</v>
      </c>
      <c r="W36" s="3">
        <v>0.92308311899999995</v>
      </c>
      <c r="X36" s="3">
        <v>7.8263690300000004</v>
      </c>
      <c r="Y36" s="3">
        <v>1.509411413</v>
      </c>
      <c r="Z36" s="3">
        <v>2.2005503540000002</v>
      </c>
      <c r="AA36" s="3">
        <v>6.1506855999999999E-2</v>
      </c>
      <c r="AB36" s="3">
        <v>9.0907840279999999</v>
      </c>
      <c r="AC36" s="3">
        <v>8.4785095389999992</v>
      </c>
      <c r="AD36" s="3">
        <v>5.5727183E-2</v>
      </c>
      <c r="AE36" s="3">
        <v>58.183655880000003</v>
      </c>
      <c r="AF36" s="4">
        <v>42479</v>
      </c>
      <c r="AG36" s="5">
        <f>YEAR(AF36)</f>
        <v>2016</v>
      </c>
      <c r="AH36" s="5" t="str">
        <f>"Q"&amp;ROUNDUP(MONTH(AF36)/3,0)</f>
        <v>Q2</v>
      </c>
      <c r="AI36" s="5">
        <f>INDEX(RatingLookup!$B$2:$B$11,MATCH(A36,RatingLookup!$A$2:$A$11,0))</f>
        <v>6</v>
      </c>
      <c r="AJ36" s="5" t="str">
        <f>INDEX(RatingLookup!$C$2:$C$11,MATCH(A36,RatingLookup!$A$2:$A$11,0))</f>
        <v>Speculative Grade</v>
      </c>
    </row>
    <row r="37" spans="1:36" x14ac:dyDescent="0.3">
      <c r="A37" s="3" t="s">
        <v>92</v>
      </c>
      <c r="B37" s="3" t="s">
        <v>93</v>
      </c>
      <c r="C37" s="3" t="s">
        <v>94</v>
      </c>
      <c r="D37" s="3" t="s">
        <v>47</v>
      </c>
      <c r="E37" s="3" t="s">
        <v>97</v>
      </c>
      <c r="F37" s="3" t="s">
        <v>96</v>
      </c>
      <c r="G37" s="3">
        <v>1.741295875</v>
      </c>
      <c r="H37" s="3">
        <v>1.6092331280000001</v>
      </c>
      <c r="I37" s="3">
        <v>0.15253900400000001</v>
      </c>
      <c r="J37" s="3">
        <v>61.023169539999998</v>
      </c>
      <c r="K37" s="3">
        <v>4.1197559000000002E-2</v>
      </c>
      <c r="L37" s="3">
        <v>6.6546351000000004E-2</v>
      </c>
      <c r="M37" s="3">
        <v>7.3558319999999996E-2</v>
      </c>
      <c r="N37" s="3">
        <v>7.3558319999999996E-2</v>
      </c>
      <c r="O37" s="3">
        <v>4.5157121000000001E-2</v>
      </c>
      <c r="P37" s="3">
        <v>8.3439041000000005E-2</v>
      </c>
      <c r="Q37" s="3">
        <v>0.111792247</v>
      </c>
      <c r="R37" s="3">
        <v>1.0961115619999999</v>
      </c>
      <c r="S37" s="3">
        <v>53.763451850000003</v>
      </c>
      <c r="T37" s="3">
        <v>1.475628333</v>
      </c>
      <c r="U37" s="3">
        <v>0.59606214499999999</v>
      </c>
      <c r="V37" s="3">
        <v>0.37689114899999998</v>
      </c>
      <c r="W37" s="3">
        <v>0.93807829799999998</v>
      </c>
      <c r="X37" s="3">
        <v>10.164797910000001</v>
      </c>
      <c r="Y37" s="3">
        <v>2.8014341589999998</v>
      </c>
      <c r="Z37" s="3">
        <v>2.475628333</v>
      </c>
      <c r="AA37" s="3">
        <v>6.6546351000000004E-2</v>
      </c>
      <c r="AB37" s="3">
        <v>8.6292566789999992</v>
      </c>
      <c r="AC37" s="3">
        <v>10.83576706</v>
      </c>
      <c r="AD37" s="3">
        <v>6.7716370999999997E-2</v>
      </c>
      <c r="AE37" s="3">
        <v>61.119653829999997</v>
      </c>
      <c r="AF37" s="4">
        <v>41969</v>
      </c>
      <c r="AG37" s="5">
        <f>YEAR(AF37)</f>
        <v>2014</v>
      </c>
      <c r="AH37" s="5" t="str">
        <f>"Q"&amp;ROUNDUP(MONTH(AF37)/3,0)</f>
        <v>Q4</v>
      </c>
      <c r="AI37" s="5">
        <f>INDEX(RatingLookup!$B$2:$B$11,MATCH(A37,RatingLookup!$A$2:$A$11,0))</f>
        <v>6</v>
      </c>
      <c r="AJ37" s="5" t="str">
        <f>INDEX(RatingLookup!$C$2:$C$11,MATCH(A37,RatingLookup!$A$2:$A$11,0))</f>
        <v>Speculative Grade</v>
      </c>
    </row>
    <row r="38" spans="1:36" x14ac:dyDescent="0.3">
      <c r="A38" s="3" t="s">
        <v>92</v>
      </c>
      <c r="B38" s="3" t="s">
        <v>93</v>
      </c>
      <c r="C38" s="3" t="s">
        <v>94</v>
      </c>
      <c r="D38" s="3" t="s">
        <v>47</v>
      </c>
      <c r="E38" s="3" t="s">
        <v>98</v>
      </c>
      <c r="F38" s="3" t="s">
        <v>96</v>
      </c>
      <c r="G38" s="3">
        <v>0.98044563299999998</v>
      </c>
      <c r="H38" s="3">
        <v>0.91442220399999996</v>
      </c>
      <c r="I38" s="3">
        <v>8.6649857999999996E-2</v>
      </c>
      <c r="J38" s="3">
        <v>60.927607080000001</v>
      </c>
      <c r="K38" s="3">
        <v>4.1197559000000002E-2</v>
      </c>
      <c r="L38" s="3">
        <v>6.6546351000000004E-2</v>
      </c>
      <c r="M38" s="3">
        <v>7.3558319999999996E-2</v>
      </c>
      <c r="N38" s="3">
        <v>7.3558319999999996E-2</v>
      </c>
      <c r="O38" s="3">
        <v>6.0644914000000001E-2</v>
      </c>
      <c r="P38" s="3">
        <v>0.13931489699999999</v>
      </c>
      <c r="Q38" s="3">
        <v>0.125893122</v>
      </c>
      <c r="R38" s="3">
        <v>1.472051142</v>
      </c>
      <c r="S38" s="3">
        <v>56.205006869999998</v>
      </c>
      <c r="T38" s="3">
        <v>1.0759056950000001</v>
      </c>
      <c r="U38" s="3">
        <v>0.51828254900000004</v>
      </c>
      <c r="V38" s="3">
        <v>0.37689114899999998</v>
      </c>
      <c r="W38" s="3">
        <v>0.93807829799999998</v>
      </c>
      <c r="X38" s="3">
        <v>10.164797910000001</v>
      </c>
      <c r="Y38" s="3">
        <v>2.7960451979999998</v>
      </c>
      <c r="Z38" s="3">
        <v>2.0759056949999999</v>
      </c>
      <c r="AA38" s="3">
        <v>6.6546351000000004E-2</v>
      </c>
      <c r="AB38" s="3">
        <v>6.3549319249999998</v>
      </c>
      <c r="AC38" s="3">
        <v>10.83576706</v>
      </c>
      <c r="AD38" s="3">
        <v>6.7716370999999997E-2</v>
      </c>
      <c r="AE38" s="3">
        <v>25.633667240000001</v>
      </c>
      <c r="AF38" s="4">
        <v>41572</v>
      </c>
      <c r="AG38" s="5">
        <f>YEAR(AF38)</f>
        <v>2013</v>
      </c>
      <c r="AH38" s="5" t="str">
        <f>"Q"&amp;ROUNDUP(MONTH(AF38)/3,0)</f>
        <v>Q4</v>
      </c>
      <c r="AI38" s="5">
        <f>INDEX(RatingLookup!$B$2:$B$11,MATCH(A38,RatingLookup!$A$2:$A$11,0))</f>
        <v>6</v>
      </c>
      <c r="AJ38" s="5" t="str">
        <f>INDEX(RatingLookup!$C$2:$C$11,MATCH(A38,RatingLookup!$A$2:$A$11,0))</f>
        <v>Speculative Grade</v>
      </c>
    </row>
    <row r="39" spans="1:36" x14ac:dyDescent="0.3">
      <c r="A39" s="3" t="s">
        <v>92</v>
      </c>
      <c r="B39" s="3" t="s">
        <v>93</v>
      </c>
      <c r="C39" s="3" t="s">
        <v>94</v>
      </c>
      <c r="D39" s="3" t="s">
        <v>47</v>
      </c>
      <c r="E39" s="3" t="s">
        <v>99</v>
      </c>
      <c r="F39" s="3" t="s">
        <v>96</v>
      </c>
      <c r="G39" s="3">
        <v>1.6310635979999999</v>
      </c>
      <c r="H39" s="3">
        <v>1.509085665</v>
      </c>
      <c r="I39" s="3">
        <v>8.6843744E-2</v>
      </c>
      <c r="J39" s="3">
        <v>88.546085770000005</v>
      </c>
      <c r="K39" s="3">
        <v>3.8085658000000001E-2</v>
      </c>
      <c r="L39" s="3">
        <v>6.0849832999999999E-2</v>
      </c>
      <c r="M39" s="3">
        <v>7.1339798999999995E-2</v>
      </c>
      <c r="N39" s="3">
        <v>7.1339798999999995E-2</v>
      </c>
      <c r="O39" s="3">
        <v>3.1648911000000002E-2</v>
      </c>
      <c r="P39" s="3">
        <v>5.8916797E-2</v>
      </c>
      <c r="Q39" s="3">
        <v>7.8519616E-2</v>
      </c>
      <c r="R39" s="3">
        <v>0.83099288500000001</v>
      </c>
      <c r="S39" s="3">
        <v>40.72481011</v>
      </c>
      <c r="T39" s="3">
        <v>1.480957927</v>
      </c>
      <c r="U39" s="3">
        <v>0.59692988400000002</v>
      </c>
      <c r="V39" s="3">
        <v>0.37360321000000002</v>
      </c>
      <c r="W39" s="3">
        <v>0.92310744</v>
      </c>
      <c r="X39" s="3">
        <v>8.7446968429999998</v>
      </c>
      <c r="Y39" s="3">
        <v>2.049523969</v>
      </c>
      <c r="Z39" s="3">
        <v>2.480957927</v>
      </c>
      <c r="AA39" s="3">
        <v>6.0849832999999999E-2</v>
      </c>
      <c r="AB39" s="3">
        <v>12.09403002</v>
      </c>
      <c r="AC39" s="3">
        <v>9.4731084019999994</v>
      </c>
      <c r="AD39" s="3">
        <v>6.8466964000000005E-2</v>
      </c>
      <c r="AE39" s="3">
        <v>32.298425530000003</v>
      </c>
      <c r="AF39" s="4">
        <v>42642</v>
      </c>
      <c r="AG39" s="5">
        <f>YEAR(AF39)</f>
        <v>2016</v>
      </c>
      <c r="AH39" s="5" t="str">
        <f>"Q"&amp;ROUNDUP(MONTH(AF39)/3,0)</f>
        <v>Q3</v>
      </c>
      <c r="AI39" s="5">
        <f>INDEX(RatingLookup!$B$2:$B$11,MATCH(A39,RatingLookup!$A$2:$A$11,0))</f>
        <v>6</v>
      </c>
      <c r="AJ39" s="5" t="str">
        <f>INDEX(RatingLookup!$C$2:$C$11,MATCH(A39,RatingLookup!$A$2:$A$11,0))</f>
        <v>Speculative Grade</v>
      </c>
    </row>
    <row r="40" spans="1:36" x14ac:dyDescent="0.3">
      <c r="A40" s="3" t="s">
        <v>36</v>
      </c>
      <c r="B40" s="3" t="s">
        <v>100</v>
      </c>
      <c r="C40" s="3" t="s">
        <v>101</v>
      </c>
      <c r="D40" s="3" t="s">
        <v>47</v>
      </c>
      <c r="E40" s="3" t="s">
        <v>102</v>
      </c>
      <c r="F40" s="3" t="s">
        <v>79</v>
      </c>
      <c r="G40" s="3">
        <v>1.29034049</v>
      </c>
      <c r="H40" s="3">
        <v>0.68538470200000001</v>
      </c>
      <c r="I40" s="3">
        <v>8.5908401999999995E-2</v>
      </c>
      <c r="J40" s="3">
        <v>48.482547310000001</v>
      </c>
      <c r="K40" s="3">
        <v>6.6515310999999994E-2</v>
      </c>
      <c r="L40" s="3">
        <v>0.103453964</v>
      </c>
      <c r="M40" s="3">
        <v>0.25333846799999998</v>
      </c>
      <c r="N40" s="3">
        <v>0.13408213299999999</v>
      </c>
      <c r="O40" s="3">
        <v>2.7096380999999999E-2</v>
      </c>
      <c r="P40" s="3">
        <v>6.1535864000000003E-2</v>
      </c>
      <c r="Q40" s="3">
        <v>9.4809418000000006E-2</v>
      </c>
      <c r="R40" s="3">
        <v>0.40737058599999998</v>
      </c>
      <c r="S40" s="3">
        <v>0.57995759300000005</v>
      </c>
      <c r="T40" s="3">
        <v>2.5004860519999998</v>
      </c>
      <c r="U40" s="3">
        <v>0.71463493700000003</v>
      </c>
      <c r="V40" s="3">
        <v>0.35705401799999997</v>
      </c>
      <c r="W40" s="3">
        <v>-0.145703374</v>
      </c>
      <c r="X40" s="3">
        <v>-1.085050901</v>
      </c>
      <c r="Y40" s="3">
        <v>0.868191198</v>
      </c>
      <c r="Z40" s="3">
        <v>3.4989697839999998</v>
      </c>
      <c r="AA40" s="3">
        <v>0.13742142500000001</v>
      </c>
      <c r="AB40" s="3">
        <v>7.9175527380000004</v>
      </c>
      <c r="AC40" s="3">
        <v>7.4469854020000001</v>
      </c>
      <c r="AD40" s="3">
        <v>0.16327560799999999</v>
      </c>
      <c r="AE40" s="3">
        <v>9.4304176490000007</v>
      </c>
      <c r="AF40" s="4">
        <v>41886</v>
      </c>
      <c r="AG40" s="5">
        <f>YEAR(AF40)</f>
        <v>2014</v>
      </c>
      <c r="AH40" s="5" t="str">
        <f>"Q"&amp;ROUNDUP(MONTH(AF40)/3,0)</f>
        <v>Q3</v>
      </c>
      <c r="AI40" s="5">
        <f>INDEX(RatingLookup!$B$2:$B$11,MATCH(A40,RatingLookup!$A$2:$A$11,0))</f>
        <v>8</v>
      </c>
      <c r="AJ40" s="5" t="str">
        <f>INDEX(RatingLookup!$C$2:$C$11,MATCH(A40,RatingLookup!$A$2:$A$11,0))</f>
        <v>Investment Grade</v>
      </c>
    </row>
    <row r="41" spans="1:36" x14ac:dyDescent="0.3">
      <c r="A41" s="3" t="s">
        <v>42</v>
      </c>
      <c r="B41" s="3" t="s">
        <v>100</v>
      </c>
      <c r="C41" s="3" t="s">
        <v>101</v>
      </c>
      <c r="D41" s="3" t="s">
        <v>60</v>
      </c>
      <c r="E41" s="3" t="s">
        <v>46</v>
      </c>
      <c r="F41" s="3" t="s">
        <v>79</v>
      </c>
      <c r="G41" s="3">
        <v>0.54465482399999998</v>
      </c>
      <c r="H41" s="3">
        <v>0.28784475100000001</v>
      </c>
      <c r="I41" s="3">
        <v>4.0966625E-2</v>
      </c>
      <c r="J41" s="3">
        <v>40.470154540000003</v>
      </c>
      <c r="K41" s="3">
        <v>5.9499636000000002E-2</v>
      </c>
      <c r="L41" s="3">
        <v>9.3043193999999996E-2</v>
      </c>
      <c r="M41" s="3">
        <v>0.23874092</v>
      </c>
      <c r="N41" s="3">
        <v>0.13251462</v>
      </c>
      <c r="O41" s="3">
        <v>2.6259779E-2</v>
      </c>
      <c r="P41" s="3">
        <v>7.1517096000000002E-2</v>
      </c>
      <c r="Q41" s="3">
        <v>9.1586597000000006E-2</v>
      </c>
      <c r="R41" s="3">
        <v>0.44134352399999999</v>
      </c>
      <c r="S41" s="3">
        <v>0.58627549899999998</v>
      </c>
      <c r="T41" s="3">
        <v>2.4885205789999998</v>
      </c>
      <c r="U41" s="3">
        <v>0.71351052500000001</v>
      </c>
      <c r="V41" s="3">
        <v>0.36051597499999999</v>
      </c>
      <c r="W41" s="3">
        <v>-0.51161711099999996</v>
      </c>
      <c r="X41" s="3">
        <v>-2.808650606</v>
      </c>
      <c r="Y41" s="3">
        <v>0.75628323099999994</v>
      </c>
      <c r="Z41" s="3">
        <v>3.487713904</v>
      </c>
      <c r="AA41" s="3">
        <v>0.12992452299999999</v>
      </c>
      <c r="AB41" s="3">
        <v>6.8729679580000003</v>
      </c>
      <c r="AC41" s="3">
        <v>5.4897511120000004</v>
      </c>
      <c r="AD41" s="3">
        <v>0.13355426200000001</v>
      </c>
      <c r="AE41" s="3">
        <v>7.6926400900000003</v>
      </c>
      <c r="AF41" s="4">
        <v>41075</v>
      </c>
      <c r="AG41" s="5">
        <f>YEAR(AF41)</f>
        <v>2012</v>
      </c>
      <c r="AH41" s="5" t="str">
        <f>"Q"&amp;ROUNDUP(MONTH(AF41)/3,0)</f>
        <v>Q2</v>
      </c>
      <c r="AI41" s="5">
        <f>INDEX(RatingLookup!$B$2:$B$11,MATCH(A41,RatingLookup!$A$2:$A$11,0))</f>
        <v>7</v>
      </c>
      <c r="AJ41" s="5" t="str">
        <f>INDEX(RatingLookup!$C$2:$C$11,MATCH(A41,RatingLookup!$A$2:$A$11,0))</f>
        <v>Investment Grade</v>
      </c>
    </row>
    <row r="42" spans="1:36" x14ac:dyDescent="0.3">
      <c r="A42" s="3" t="s">
        <v>49</v>
      </c>
      <c r="B42" s="3" t="s">
        <v>100</v>
      </c>
      <c r="C42" s="3" t="s">
        <v>101</v>
      </c>
      <c r="D42" s="3" t="s">
        <v>47</v>
      </c>
      <c r="E42" s="3" t="s">
        <v>103</v>
      </c>
      <c r="F42" s="3" t="s">
        <v>79</v>
      </c>
      <c r="G42" s="3">
        <v>1.139366691</v>
      </c>
      <c r="H42" s="3">
        <v>0.600109636</v>
      </c>
      <c r="I42" s="3">
        <v>9.4611714E-2</v>
      </c>
      <c r="J42" s="3">
        <v>41.0636273</v>
      </c>
      <c r="K42" s="3">
        <v>7.4493202999999994E-2</v>
      </c>
      <c r="L42" s="3">
        <v>0.114447437</v>
      </c>
      <c r="M42" s="3">
        <v>0.261962639</v>
      </c>
      <c r="N42" s="3">
        <v>0.14056670600000001</v>
      </c>
      <c r="O42" s="3">
        <v>3.1832302999999999E-2</v>
      </c>
      <c r="P42" s="3">
        <v>6.9465337000000002E-2</v>
      </c>
      <c r="Q42" s="3">
        <v>0.102734279</v>
      </c>
      <c r="R42" s="3">
        <v>0.42731821399999997</v>
      </c>
      <c r="S42" s="3">
        <v>0.55958736799999997</v>
      </c>
      <c r="T42" s="3">
        <v>2.2288637229999999</v>
      </c>
      <c r="U42" s="3">
        <v>0.69061529700000002</v>
      </c>
      <c r="V42" s="3">
        <v>0.34910553500000002</v>
      </c>
      <c r="W42" s="3">
        <v>-5.2185241E-2</v>
      </c>
      <c r="X42" s="3">
        <v>-0.38978777999999997</v>
      </c>
      <c r="Y42" s="3">
        <v>0.88621866699999996</v>
      </c>
      <c r="Z42" s="3">
        <v>3.227359329</v>
      </c>
      <c r="AA42" s="3">
        <v>0.147101009</v>
      </c>
      <c r="AB42" s="3">
        <v>7.2161669570000004</v>
      </c>
      <c r="AC42" s="3">
        <v>7.4693107660000004</v>
      </c>
      <c r="AD42" s="3">
        <v>0.17747190600000001</v>
      </c>
      <c r="AE42" s="3">
        <v>7.8455787389999996</v>
      </c>
      <c r="AF42" s="4">
        <v>41731</v>
      </c>
      <c r="AG42" s="5">
        <f>YEAR(AF42)</f>
        <v>2014</v>
      </c>
      <c r="AH42" s="5" t="str">
        <f>"Q"&amp;ROUNDUP(MONTH(AF42)/3,0)</f>
        <v>Q2</v>
      </c>
      <c r="AI42" s="5">
        <f>INDEX(RatingLookup!$B$2:$B$11,MATCH(A42,RatingLookup!$A$2:$A$11,0))</f>
        <v>9</v>
      </c>
      <c r="AJ42" s="5" t="str">
        <f>INDEX(RatingLookup!$C$2:$C$11,MATCH(A42,RatingLookup!$A$2:$A$11,0))</f>
        <v>Investment Grade</v>
      </c>
    </row>
    <row r="43" spans="1:36" x14ac:dyDescent="0.3">
      <c r="A43" s="3" t="s">
        <v>42</v>
      </c>
      <c r="B43" s="3" t="s">
        <v>100</v>
      </c>
      <c r="C43" s="3" t="s">
        <v>101</v>
      </c>
      <c r="D43" s="3" t="s">
        <v>47</v>
      </c>
      <c r="E43" s="3" t="s">
        <v>104</v>
      </c>
      <c r="F43" s="3" t="s">
        <v>79</v>
      </c>
      <c r="G43" s="3">
        <v>0.74693991699999995</v>
      </c>
      <c r="H43" s="3">
        <v>0.50502796699999997</v>
      </c>
      <c r="I43" s="3">
        <v>0.257767258</v>
      </c>
      <c r="J43" s="3">
        <v>29.43437423</v>
      </c>
      <c r="K43" s="3">
        <v>5.6751883000000003E-2</v>
      </c>
      <c r="L43" s="3">
        <v>8.6759459999999997E-2</v>
      </c>
      <c r="M43" s="3">
        <v>0.23087122800000001</v>
      </c>
      <c r="N43" s="3">
        <v>0.126814181</v>
      </c>
      <c r="O43" s="3">
        <v>2.6072280999999999E-2</v>
      </c>
      <c r="P43" s="3">
        <v>6.9788842000000004E-2</v>
      </c>
      <c r="Q43" s="3">
        <v>8.8976847999999997E-2</v>
      </c>
      <c r="R43" s="3">
        <v>0.45940821599999998</v>
      </c>
      <c r="S43" s="3">
        <v>0.59573934200000001</v>
      </c>
      <c r="T43" s="3">
        <v>2.413097311</v>
      </c>
      <c r="U43" s="3">
        <v>0.70709350699999995</v>
      </c>
      <c r="V43" s="3">
        <v>0.34587095899999998</v>
      </c>
      <c r="W43" s="3">
        <v>0.41929093000000001</v>
      </c>
      <c r="X43" s="3">
        <v>3.4151487230000002</v>
      </c>
      <c r="Y43" s="3">
        <v>3.3783306120000001</v>
      </c>
      <c r="Z43" s="3">
        <v>3.4126990109999999</v>
      </c>
      <c r="AA43" s="3">
        <v>0.12914922700000001</v>
      </c>
      <c r="AB43" s="3">
        <v>6.2415083969999996</v>
      </c>
      <c r="AC43" s="3">
        <v>8.1450574729999996</v>
      </c>
      <c r="AD43" s="3">
        <v>0.202687324</v>
      </c>
      <c r="AE43" s="3">
        <v>8.5044401220000001</v>
      </c>
      <c r="AF43" s="4">
        <v>40660</v>
      </c>
      <c r="AG43" s="5">
        <f>YEAR(AF43)</f>
        <v>2011</v>
      </c>
      <c r="AH43" s="5" t="str">
        <f>"Q"&amp;ROUNDUP(MONTH(AF43)/3,0)</f>
        <v>Q2</v>
      </c>
      <c r="AI43" s="5">
        <f>INDEX(RatingLookup!$B$2:$B$11,MATCH(A43,RatingLookup!$A$2:$A$11,0))</f>
        <v>7</v>
      </c>
      <c r="AJ43" s="5" t="str">
        <f>INDEX(RatingLookup!$C$2:$C$11,MATCH(A43,RatingLookup!$A$2:$A$11,0))</f>
        <v>Investment Grade</v>
      </c>
    </row>
    <row r="44" spans="1:36" x14ac:dyDescent="0.3">
      <c r="A44" s="3" t="s">
        <v>36</v>
      </c>
      <c r="B44" s="3" t="s">
        <v>100</v>
      </c>
      <c r="C44" s="3" t="s">
        <v>101</v>
      </c>
      <c r="D44" s="3" t="s">
        <v>44</v>
      </c>
      <c r="E44" s="3" t="s">
        <v>105</v>
      </c>
      <c r="F44" s="3" t="s">
        <v>79</v>
      </c>
      <c r="G44" s="3">
        <v>0.85664764900000001</v>
      </c>
      <c r="H44" s="3">
        <v>0.41568107900000001</v>
      </c>
      <c r="I44" s="3">
        <v>4.7708122999999998E-2</v>
      </c>
      <c r="J44" s="3">
        <v>37.282947</v>
      </c>
      <c r="K44" s="3">
        <v>6.9163047000000005E-2</v>
      </c>
      <c r="L44" s="3">
        <v>0.108211111</v>
      </c>
      <c r="M44" s="3">
        <v>0.25674429300000001</v>
      </c>
      <c r="N44" s="3">
        <v>0.140848168</v>
      </c>
      <c r="O44" s="3">
        <v>2.9707956000000001E-2</v>
      </c>
      <c r="P44" s="3">
        <v>6.9980278000000007E-2</v>
      </c>
      <c r="Q44" s="3">
        <v>0.101765484</v>
      </c>
      <c r="R44" s="3">
        <v>0.42953509699999998</v>
      </c>
      <c r="S44" s="3">
        <v>0.57652415199999996</v>
      </c>
      <c r="T44" s="3">
        <v>2.4268126720000001</v>
      </c>
      <c r="U44" s="3">
        <v>0.70844889</v>
      </c>
      <c r="V44" s="3">
        <v>0.36085078599999998</v>
      </c>
      <c r="W44" s="3">
        <v>-2.4300846000000001E-2</v>
      </c>
      <c r="X44" s="3">
        <v>-0.20346423199999999</v>
      </c>
      <c r="Y44" s="3">
        <v>0.55330654499999998</v>
      </c>
      <c r="Z44" s="3">
        <v>3.4255296409999998</v>
      </c>
      <c r="AA44" s="3">
        <v>0.14349525699999999</v>
      </c>
      <c r="AB44" s="3">
        <v>6.4648439</v>
      </c>
      <c r="AC44" s="3">
        <v>8.3727222000000001</v>
      </c>
      <c r="AD44" s="3">
        <v>0.20039859400000001</v>
      </c>
      <c r="AE44" s="3">
        <v>9.2044685130000001</v>
      </c>
      <c r="AF44" s="4">
        <v>41422</v>
      </c>
      <c r="AG44" s="5">
        <f>YEAR(AF44)</f>
        <v>2013</v>
      </c>
      <c r="AH44" s="5" t="str">
        <f>"Q"&amp;ROUNDUP(MONTH(AF44)/3,0)</f>
        <v>Q2</v>
      </c>
      <c r="AI44" s="5">
        <f>INDEX(RatingLookup!$B$2:$B$11,MATCH(A44,RatingLookup!$A$2:$A$11,0))</f>
        <v>8</v>
      </c>
      <c r="AJ44" s="5" t="str">
        <f>INDEX(RatingLookup!$C$2:$C$11,MATCH(A44,RatingLookup!$A$2:$A$11,0))</f>
        <v>Investment Grade</v>
      </c>
    </row>
    <row r="45" spans="1:36" x14ac:dyDescent="0.3">
      <c r="A45" s="3" t="s">
        <v>49</v>
      </c>
      <c r="B45" s="3" t="s">
        <v>100</v>
      </c>
      <c r="C45" s="3" t="s">
        <v>101</v>
      </c>
      <c r="D45" s="3" t="s">
        <v>47</v>
      </c>
      <c r="E45" s="3" t="s">
        <v>106</v>
      </c>
      <c r="F45" s="3" t="s">
        <v>79</v>
      </c>
      <c r="G45" s="3">
        <v>1.0432281400000001</v>
      </c>
      <c r="H45" s="3">
        <v>0.65510190700000004</v>
      </c>
      <c r="I45" s="3">
        <v>6.7278453000000002E-2</v>
      </c>
      <c r="J45" s="3">
        <v>46.596734490000003</v>
      </c>
      <c r="K45" s="3">
        <v>5.6143691000000003E-2</v>
      </c>
      <c r="L45" s="3">
        <v>8.8576385999999993E-2</v>
      </c>
      <c r="M45" s="3">
        <v>0.22667532600000001</v>
      </c>
      <c r="N45" s="3">
        <v>0.11703566899999999</v>
      </c>
      <c r="O45" s="3">
        <v>2.5811743000000002E-2</v>
      </c>
      <c r="P45" s="3">
        <v>6.0140889000000003E-2</v>
      </c>
      <c r="Q45" s="3">
        <v>8.6751321000000006E-2</v>
      </c>
      <c r="R45" s="3">
        <v>0.45974432199999998</v>
      </c>
      <c r="S45" s="3">
        <v>0.63314602499999995</v>
      </c>
      <c r="T45" s="3">
        <v>2.3622309970000002</v>
      </c>
      <c r="U45" s="3">
        <v>0.70285153899999997</v>
      </c>
      <c r="V45" s="3">
        <v>0.36615510099999998</v>
      </c>
      <c r="W45" s="3">
        <v>0.116038112</v>
      </c>
      <c r="X45" s="3">
        <v>1.3521786140000001</v>
      </c>
      <c r="Y45" s="3">
        <v>0.75982475100000002</v>
      </c>
      <c r="Z45" s="3">
        <v>3.3609245560000001</v>
      </c>
      <c r="AA45" s="3">
        <v>0.117752499</v>
      </c>
      <c r="AB45" s="3">
        <v>7.5090757129999997</v>
      </c>
      <c r="AC45" s="3">
        <v>11.65288363</v>
      </c>
      <c r="AD45" s="3">
        <v>0.224084428</v>
      </c>
      <c r="AE45" s="3">
        <v>11.556573269999999</v>
      </c>
      <c r="AF45" s="4">
        <v>42390</v>
      </c>
      <c r="AG45" s="5">
        <f>YEAR(AF45)</f>
        <v>2016</v>
      </c>
      <c r="AH45" s="5" t="str">
        <f>"Q"&amp;ROUNDUP(MONTH(AF45)/3,0)</f>
        <v>Q1</v>
      </c>
      <c r="AI45" s="5">
        <f>INDEX(RatingLookup!$B$2:$B$11,MATCH(A45,RatingLookup!$A$2:$A$11,0))</f>
        <v>9</v>
      </c>
      <c r="AJ45" s="5" t="str">
        <f>INDEX(RatingLookup!$C$2:$C$11,MATCH(A45,RatingLookup!$A$2:$A$11,0))</f>
        <v>Investment Grade</v>
      </c>
    </row>
    <row r="46" spans="1:36" x14ac:dyDescent="0.3">
      <c r="A46" s="3" t="s">
        <v>36</v>
      </c>
      <c r="B46" s="3" t="s">
        <v>107</v>
      </c>
      <c r="C46" s="3" t="s">
        <v>108</v>
      </c>
      <c r="D46" s="3" t="s">
        <v>44</v>
      </c>
      <c r="E46" s="3" t="s">
        <v>46</v>
      </c>
      <c r="F46" s="3" t="s">
        <v>79</v>
      </c>
      <c r="G46" s="3">
        <v>0.93771385699999998</v>
      </c>
      <c r="H46" s="3">
        <v>0.72569899500000001</v>
      </c>
      <c r="I46" s="3">
        <v>0.228819471</v>
      </c>
      <c r="J46" s="3">
        <v>67.918311610000003</v>
      </c>
      <c r="K46" s="3">
        <v>0.120361236</v>
      </c>
      <c r="L46" s="3">
        <v>0.177966754</v>
      </c>
      <c r="M46" s="3">
        <v>0.58027803700000002</v>
      </c>
      <c r="N46" s="3">
        <v>0.22842579499999999</v>
      </c>
      <c r="O46" s="3">
        <v>8.8383307999999994E-2</v>
      </c>
      <c r="P46" s="3">
        <v>0.21077418000000001</v>
      </c>
      <c r="Q46" s="3">
        <v>0.36111489200000002</v>
      </c>
      <c r="R46" s="3">
        <v>0.734317051</v>
      </c>
      <c r="S46" s="3">
        <v>1.480338752</v>
      </c>
      <c r="T46" s="3">
        <v>3.0575526059999998</v>
      </c>
      <c r="U46" s="3">
        <v>0.74833970900000002</v>
      </c>
      <c r="V46" s="3">
        <v>0.32368696400000002</v>
      </c>
      <c r="W46" s="3">
        <v>0.37821152899999999</v>
      </c>
      <c r="X46" s="3">
        <v>84.590142360000002</v>
      </c>
      <c r="Y46" s="3">
        <v>68.430550929999995</v>
      </c>
      <c r="Z46" s="3">
        <v>4.0857815909999999</v>
      </c>
      <c r="AA46" s="3">
        <v>0.20810098799999999</v>
      </c>
      <c r="AB46" s="3">
        <v>1.438815511</v>
      </c>
      <c r="AC46" s="3">
        <v>223.65828590000001</v>
      </c>
      <c r="AD46" s="3">
        <v>0.28007274500000001</v>
      </c>
      <c r="AE46" s="3">
        <v>2.0221107790000001</v>
      </c>
      <c r="AF46" s="4">
        <v>41075</v>
      </c>
      <c r="AG46" s="5">
        <f>YEAR(AF46)</f>
        <v>2012</v>
      </c>
      <c r="AH46" s="5" t="str">
        <f>"Q"&amp;ROUNDUP(MONTH(AF46)/3,0)</f>
        <v>Q2</v>
      </c>
      <c r="AI46" s="5">
        <f>INDEX(RatingLookup!$B$2:$B$11,MATCH(A46,RatingLookup!$A$2:$A$11,0))</f>
        <v>8</v>
      </c>
      <c r="AJ46" s="5" t="str">
        <f>INDEX(RatingLookup!$C$2:$C$11,MATCH(A46,RatingLookup!$A$2:$A$11,0))</f>
        <v>Investment Grade</v>
      </c>
    </row>
    <row r="47" spans="1:36" x14ac:dyDescent="0.3">
      <c r="A47" s="3" t="s">
        <v>109</v>
      </c>
      <c r="B47" s="3" t="s">
        <v>110</v>
      </c>
      <c r="C47" s="3" t="s">
        <v>111</v>
      </c>
      <c r="D47" s="3" t="s">
        <v>39</v>
      </c>
      <c r="E47" s="3" t="s">
        <v>112</v>
      </c>
      <c r="F47" s="3" t="s">
        <v>113</v>
      </c>
      <c r="G47" s="3">
        <v>5.7154916240000002</v>
      </c>
      <c r="H47" s="3">
        <v>5.3699996729999997</v>
      </c>
      <c r="I47" s="3">
        <v>0.90732455999999995</v>
      </c>
      <c r="J47" s="3">
        <v>31.547485959999999</v>
      </c>
      <c r="K47" s="3">
        <v>-0.35174448800000002</v>
      </c>
      <c r="L47" s="3">
        <v>-0.34955196199999999</v>
      </c>
      <c r="M47" s="3">
        <v>0.85223412399999998</v>
      </c>
      <c r="N47" s="3">
        <v>-0.127266188</v>
      </c>
      <c r="O47" s="3">
        <v>-0.161687524</v>
      </c>
      <c r="P47" s="3">
        <v>-0.183004208</v>
      </c>
      <c r="Q47" s="3">
        <v>-12.62669155</v>
      </c>
      <c r="R47" s="3">
        <v>0.45967322700000002</v>
      </c>
      <c r="S47" s="3">
        <v>3.2351687789999999</v>
      </c>
      <c r="T47" s="3">
        <v>77.093171569999996</v>
      </c>
      <c r="U47" s="3">
        <v>0.98719478299999996</v>
      </c>
      <c r="V47" s="3">
        <v>-6.2723900000000001E-3</v>
      </c>
      <c r="W47" s="3">
        <v>1.1531819990000001</v>
      </c>
      <c r="X47" s="3">
        <v>-636.2620604</v>
      </c>
      <c r="Y47" s="3">
        <v>2332.3921540000001</v>
      </c>
      <c r="Z47" s="3">
        <v>78.093171569999996</v>
      </c>
      <c r="AA47" s="3">
        <v>-0.34955196199999999</v>
      </c>
      <c r="AB47" s="3">
        <v>2.9022931019999998</v>
      </c>
      <c r="AC47" s="3">
        <v>-551.74470399999996</v>
      </c>
      <c r="AD47" s="3">
        <v>-0.31667273299999998</v>
      </c>
      <c r="AE47" s="3">
        <v>14.431654679999999</v>
      </c>
      <c r="AF47" s="4">
        <v>42328</v>
      </c>
      <c r="AG47" s="5">
        <f>YEAR(AF47)</f>
        <v>2015</v>
      </c>
      <c r="AH47" s="5" t="str">
        <f>"Q"&amp;ROUNDUP(MONTH(AF47)/3,0)</f>
        <v>Q4</v>
      </c>
      <c r="AI47" s="5">
        <f>INDEX(RatingLookup!$B$2:$B$11,MATCH(A47,RatingLookup!$A$2:$A$11,0))</f>
        <v>5</v>
      </c>
      <c r="AJ47" s="5" t="str">
        <f>INDEX(RatingLookup!$C$2:$C$11,MATCH(A47,RatingLookup!$A$2:$A$11,0))</f>
        <v>Speculative Grade</v>
      </c>
    </row>
    <row r="48" spans="1:36" x14ac:dyDescent="0.3">
      <c r="A48" s="3" t="s">
        <v>109</v>
      </c>
      <c r="B48" s="3" t="s">
        <v>110</v>
      </c>
      <c r="C48" s="3" t="s">
        <v>111</v>
      </c>
      <c r="D48" s="3" t="s">
        <v>39</v>
      </c>
      <c r="E48" s="3" t="s">
        <v>114</v>
      </c>
      <c r="F48" s="3" t="s">
        <v>113</v>
      </c>
      <c r="G48" s="3">
        <v>4.499820444</v>
      </c>
      <c r="H48" s="3">
        <v>3.7695910819999998</v>
      </c>
      <c r="I48" s="3">
        <v>0.19306134599999999</v>
      </c>
      <c r="J48" s="3">
        <v>6.5595868599999996</v>
      </c>
      <c r="K48" s="3">
        <v>-0.268630392</v>
      </c>
      <c r="L48" s="3">
        <v>-0.27118137399999998</v>
      </c>
      <c r="M48" s="3">
        <v>0.85783754400000001</v>
      </c>
      <c r="N48" s="3">
        <v>-8.2134654000000001E-2</v>
      </c>
      <c r="O48" s="3">
        <v>-0.122086586</v>
      </c>
      <c r="P48" s="3">
        <v>-0.14415187500000001</v>
      </c>
      <c r="Q48" s="3">
        <v>-1.483981064</v>
      </c>
      <c r="R48" s="3">
        <v>0.454477935</v>
      </c>
      <c r="S48" s="3">
        <v>2.8522481810000002</v>
      </c>
      <c r="T48" s="3">
        <v>11.15515248</v>
      </c>
      <c r="U48" s="3">
        <v>0.91773036200000002</v>
      </c>
      <c r="V48" s="3">
        <v>9.4069229999999993E-3</v>
      </c>
      <c r="W48" s="3">
        <v>1.0702505529999999</v>
      </c>
      <c r="X48" s="3">
        <v>-1197.9065680000001</v>
      </c>
      <c r="Y48" s="3">
        <v>1874.504426</v>
      </c>
      <c r="Z48" s="3">
        <v>12.15515248</v>
      </c>
      <c r="AA48" s="3">
        <v>-0.27118137399999998</v>
      </c>
      <c r="AB48" s="3">
        <v>0.52180418200000001</v>
      </c>
      <c r="AC48" s="3">
        <v>-1119.2767570000001</v>
      </c>
      <c r="AD48" s="3">
        <v>-0.707528885</v>
      </c>
      <c r="AE48" s="3">
        <v>10.55604883</v>
      </c>
      <c r="AF48" s="4">
        <v>42095</v>
      </c>
      <c r="AG48" s="5">
        <f>YEAR(AF48)</f>
        <v>2015</v>
      </c>
      <c r="AH48" s="5" t="str">
        <f>"Q"&amp;ROUNDUP(MONTH(AF48)/3,0)</f>
        <v>Q2</v>
      </c>
      <c r="AI48" s="5">
        <f>INDEX(RatingLookup!$B$2:$B$11,MATCH(A48,RatingLookup!$A$2:$A$11,0))</f>
        <v>5</v>
      </c>
      <c r="AJ48" s="5" t="str">
        <f>INDEX(RatingLookup!$C$2:$C$11,MATCH(A48,RatingLookup!$A$2:$A$11,0))</f>
        <v>Speculative Grade</v>
      </c>
    </row>
    <row r="49" spans="1:36" x14ac:dyDescent="0.3">
      <c r="A49" s="3" t="s">
        <v>109</v>
      </c>
      <c r="B49" s="3" t="s">
        <v>110</v>
      </c>
      <c r="C49" s="3" t="s">
        <v>111</v>
      </c>
      <c r="D49" s="3" t="s">
        <v>39</v>
      </c>
      <c r="E49" s="3" t="s">
        <v>115</v>
      </c>
      <c r="F49" s="3" t="s">
        <v>113</v>
      </c>
      <c r="G49" s="3">
        <v>2.6255281460000002</v>
      </c>
      <c r="H49" s="3">
        <v>2.4358843829999999</v>
      </c>
      <c r="I49" s="3">
        <v>0.39774589999999999</v>
      </c>
      <c r="J49" s="3">
        <v>5.463198609</v>
      </c>
      <c r="K49" s="3">
        <v>-1.0879123829999999</v>
      </c>
      <c r="L49" s="3">
        <v>-1.072837276</v>
      </c>
      <c r="M49" s="3">
        <v>0.74141323299999995</v>
      </c>
      <c r="N49" s="3">
        <v>-0.80666930800000003</v>
      </c>
      <c r="O49" s="3">
        <v>-0.37284909799999999</v>
      </c>
      <c r="P49" s="3">
        <v>-0.47506734900000003</v>
      </c>
      <c r="Q49" s="3">
        <v>1.8020866929999999</v>
      </c>
      <c r="R49" s="3">
        <v>0.342719785</v>
      </c>
      <c r="S49" s="3">
        <v>2.2235643679999999</v>
      </c>
      <c r="T49" s="3">
        <v>-5.8332869870000001</v>
      </c>
      <c r="U49" s="3">
        <v>1.206898536</v>
      </c>
      <c r="V49" s="3">
        <v>-1.4051625E-2</v>
      </c>
      <c r="W49" s="3">
        <v>1.1061852729999999</v>
      </c>
      <c r="X49" s="3">
        <v>-368.24732999999998</v>
      </c>
      <c r="Y49" s="3">
        <v>2048.0593090000002</v>
      </c>
      <c r="Z49" s="3">
        <v>-4.8332869870000001</v>
      </c>
      <c r="AA49" s="3">
        <v>-1.072837276</v>
      </c>
      <c r="AB49" s="3">
        <v>0.14430975700000001</v>
      </c>
      <c r="AC49" s="3">
        <v>-332.89842049999999</v>
      </c>
      <c r="AD49" s="3">
        <v>-0.25870763699999999</v>
      </c>
      <c r="AE49" s="3">
        <v>4.2247942949999997</v>
      </c>
      <c r="AF49" s="4">
        <v>41743</v>
      </c>
      <c r="AG49" s="5">
        <f>YEAR(AF49)</f>
        <v>2014</v>
      </c>
      <c r="AH49" s="5" t="str">
        <f>"Q"&amp;ROUNDUP(MONTH(AF49)/3,0)</f>
        <v>Q2</v>
      </c>
      <c r="AI49" s="5">
        <f>INDEX(RatingLookup!$B$2:$B$11,MATCH(A49,RatingLookup!$A$2:$A$11,0))</f>
        <v>5</v>
      </c>
      <c r="AJ49" s="5" t="str">
        <f>INDEX(RatingLookup!$C$2:$C$11,MATCH(A49,RatingLookup!$A$2:$A$11,0))</f>
        <v>Speculative Grade</v>
      </c>
    </row>
    <row r="50" spans="1:36" x14ac:dyDescent="0.3">
      <c r="A50" s="3" t="s">
        <v>116</v>
      </c>
      <c r="B50" s="3" t="s">
        <v>110</v>
      </c>
      <c r="C50" s="3" t="s">
        <v>111</v>
      </c>
      <c r="D50" s="3" t="s">
        <v>39</v>
      </c>
      <c r="E50" s="3" t="s">
        <v>117</v>
      </c>
      <c r="F50" s="3" t="s">
        <v>113</v>
      </c>
      <c r="G50" s="3">
        <v>4.0061499679999999</v>
      </c>
      <c r="H50" s="3">
        <v>3.6033843920000002</v>
      </c>
      <c r="I50" s="3">
        <v>0.32388555699999999</v>
      </c>
      <c r="J50" s="3">
        <v>26.096796439999999</v>
      </c>
      <c r="K50" s="3">
        <v>-2.1166754939999999</v>
      </c>
      <c r="L50" s="3">
        <v>-2.1116749389999998</v>
      </c>
      <c r="M50" s="3">
        <v>0.62522939700000002</v>
      </c>
      <c r="N50" s="3">
        <v>-1.739121331</v>
      </c>
      <c r="O50" s="3">
        <v>-0.34523594299999999</v>
      </c>
      <c r="P50" s="3">
        <v>-0.40893923199999999</v>
      </c>
      <c r="Q50" s="3">
        <v>-3.6550895400000001</v>
      </c>
      <c r="R50" s="3">
        <v>0.16310291499999999</v>
      </c>
      <c r="S50" s="3">
        <v>1.1242955059999999</v>
      </c>
      <c r="T50" s="3">
        <v>9.5872219150000006</v>
      </c>
      <c r="U50" s="3">
        <v>0.90554651600000002</v>
      </c>
      <c r="V50" s="3">
        <v>-2.3680509999999999E-3</v>
      </c>
      <c r="W50" s="3">
        <v>1.0815607759999999</v>
      </c>
      <c r="X50" s="3">
        <v>-1222.252221</v>
      </c>
      <c r="Y50" s="3">
        <v>2414.1612960000002</v>
      </c>
      <c r="Z50" s="3">
        <v>10.587221919999999</v>
      </c>
      <c r="AA50" s="3">
        <v>-2.1116749389999998</v>
      </c>
      <c r="AB50" s="3">
        <v>3.4731990000000002E-3</v>
      </c>
      <c r="AC50" s="3">
        <v>-1130.0818670000001</v>
      </c>
      <c r="AD50" s="3">
        <v>-1.598157431</v>
      </c>
      <c r="AE50" s="3">
        <v>10.628012569999999</v>
      </c>
      <c r="AF50" s="4">
        <v>41442</v>
      </c>
      <c r="AG50" s="5">
        <f>YEAR(AF50)</f>
        <v>2013</v>
      </c>
      <c r="AH50" s="5" t="str">
        <f>"Q"&amp;ROUNDUP(MONTH(AF50)/3,0)</f>
        <v>Q2</v>
      </c>
      <c r="AI50" s="5">
        <f>INDEX(RatingLookup!$B$2:$B$11,MATCH(A50,RatingLookup!$A$2:$A$11,0))</f>
        <v>4</v>
      </c>
      <c r="AJ50" s="5" t="str">
        <f>INDEX(RatingLookup!$C$2:$C$11,MATCH(A50,RatingLookup!$A$2:$A$11,0))</f>
        <v>Speculative Grade</v>
      </c>
    </row>
    <row r="51" spans="1:36" x14ac:dyDescent="0.3">
      <c r="A51" s="3" t="s">
        <v>36</v>
      </c>
      <c r="B51" s="3" t="s">
        <v>118</v>
      </c>
      <c r="C51" s="3" t="s">
        <v>119</v>
      </c>
      <c r="D51" s="3" t="s">
        <v>39</v>
      </c>
      <c r="E51" s="3" t="s">
        <v>120</v>
      </c>
      <c r="F51" s="3" t="s">
        <v>79</v>
      </c>
      <c r="G51" s="3">
        <v>0.92011745700000003</v>
      </c>
      <c r="H51" s="3">
        <v>0.65691855899999996</v>
      </c>
      <c r="I51" s="3">
        <v>3.7094743999999999E-2</v>
      </c>
      <c r="J51" s="3">
        <v>7386.0057470000002</v>
      </c>
      <c r="K51" s="3">
        <v>33.810344829999998</v>
      </c>
      <c r="L51" s="3">
        <v>54.597701149999999</v>
      </c>
      <c r="M51" s="3">
        <v>1</v>
      </c>
      <c r="N51" s="3">
        <v>63.913793099999999</v>
      </c>
      <c r="O51" s="3">
        <v>3.8797366999999999E-2</v>
      </c>
      <c r="P51" s="3">
        <v>7.0398007999999998E-2</v>
      </c>
      <c r="Q51" s="3">
        <v>5.2071623999999997E-2</v>
      </c>
      <c r="R51" s="3">
        <v>1.1475000000000001E-3</v>
      </c>
      <c r="S51" s="3">
        <v>1.5456090000000001E-3</v>
      </c>
      <c r="T51" s="3">
        <v>0.34214323000000002</v>
      </c>
      <c r="U51" s="3">
        <v>0.25492303799999999</v>
      </c>
      <c r="V51" s="3">
        <v>0.38073684200000002</v>
      </c>
      <c r="W51" s="3">
        <v>0.38540535999999997</v>
      </c>
      <c r="X51" s="3">
        <v>2.046099291</v>
      </c>
      <c r="Y51" s="3">
        <v>3.2983156029999998</v>
      </c>
      <c r="Z51" s="3">
        <v>1.34214323</v>
      </c>
      <c r="AA51" s="3">
        <v>54.597701149999999</v>
      </c>
      <c r="AB51" s="3">
        <v>11.18531636</v>
      </c>
      <c r="AC51" s="3">
        <v>5.3089539009999998</v>
      </c>
      <c r="AD51" s="3">
        <v>68.833333330000002</v>
      </c>
      <c r="AE51" s="3">
        <v>2.851637765</v>
      </c>
      <c r="AF51" s="4">
        <v>42139</v>
      </c>
      <c r="AG51" s="5">
        <f>YEAR(AF51)</f>
        <v>2015</v>
      </c>
      <c r="AH51" s="5" t="str">
        <f>"Q"&amp;ROUNDUP(MONTH(AF51)/3,0)</f>
        <v>Q2</v>
      </c>
      <c r="AI51" s="5">
        <f>INDEX(RatingLookup!$B$2:$B$11,MATCH(A51,RatingLookup!$A$2:$A$11,0))</f>
        <v>8</v>
      </c>
      <c r="AJ51" s="5" t="str">
        <f>INDEX(RatingLookup!$C$2:$C$11,MATCH(A51,RatingLookup!$A$2:$A$11,0))</f>
        <v>Investment Grade</v>
      </c>
    </row>
    <row r="52" spans="1:36" x14ac:dyDescent="0.3">
      <c r="A52" s="3" t="s">
        <v>42</v>
      </c>
      <c r="B52" s="3" t="s">
        <v>118</v>
      </c>
      <c r="C52" s="3" t="s">
        <v>119</v>
      </c>
      <c r="D52" s="3" t="s">
        <v>39</v>
      </c>
      <c r="E52" s="3" t="s">
        <v>121</v>
      </c>
      <c r="F52" s="3" t="s">
        <v>79</v>
      </c>
      <c r="G52" s="3">
        <v>1.036554397</v>
      </c>
      <c r="H52" s="3">
        <v>0.80780540000000001</v>
      </c>
      <c r="I52" s="3">
        <v>1.7375033000000002E-2</v>
      </c>
      <c r="J52" s="3">
        <v>3087.291667</v>
      </c>
      <c r="K52" s="3">
        <v>12.02916667</v>
      </c>
      <c r="L52" s="3">
        <v>19.068750000000001</v>
      </c>
      <c r="M52" s="3">
        <v>1</v>
      </c>
      <c r="N52" s="3">
        <v>22.502083330000001</v>
      </c>
      <c r="O52" s="3">
        <v>3.9094344000000003E-2</v>
      </c>
      <c r="P52" s="3">
        <v>6.8959541999999999E-2</v>
      </c>
      <c r="Q52" s="3">
        <v>5.4555590000000001E-2</v>
      </c>
      <c r="R52" s="3">
        <v>3.2499629999999998E-3</v>
      </c>
      <c r="S52" s="3">
        <v>4.4010050000000004E-3</v>
      </c>
      <c r="T52" s="3">
        <v>0.39548551100000001</v>
      </c>
      <c r="U52" s="3">
        <v>0.28340352400000002</v>
      </c>
      <c r="V52" s="3">
        <v>0.369168579</v>
      </c>
      <c r="W52" s="3">
        <v>0.44159220100000002</v>
      </c>
      <c r="X52" s="3">
        <v>2.3884007029999998</v>
      </c>
      <c r="Y52" s="3">
        <v>3.5272407729999999</v>
      </c>
      <c r="Z52" s="3">
        <v>1.395485511</v>
      </c>
      <c r="AA52" s="3">
        <v>19.068750000000001</v>
      </c>
      <c r="AB52" s="3">
        <v>9.6617766669999998</v>
      </c>
      <c r="AC52" s="3">
        <v>5.4086115990000003</v>
      </c>
      <c r="AD52" s="3">
        <v>25.645833329999999</v>
      </c>
      <c r="AE52" s="3">
        <v>1.967308815</v>
      </c>
      <c r="AF52" s="4">
        <v>41613</v>
      </c>
      <c r="AG52" s="5">
        <f>YEAR(AF52)</f>
        <v>2013</v>
      </c>
      <c r="AH52" s="5" t="str">
        <f>"Q"&amp;ROUNDUP(MONTH(AF52)/3,0)</f>
        <v>Q4</v>
      </c>
      <c r="AI52" s="5">
        <f>INDEX(RatingLookup!$B$2:$B$11,MATCH(A52,RatingLookup!$A$2:$A$11,0))</f>
        <v>7</v>
      </c>
      <c r="AJ52" s="5" t="str">
        <f>INDEX(RatingLookup!$C$2:$C$11,MATCH(A52,RatingLookup!$A$2:$A$11,0))</f>
        <v>Investment Grade</v>
      </c>
    </row>
    <row r="53" spans="1:36" x14ac:dyDescent="0.3">
      <c r="A53" s="3" t="s">
        <v>36</v>
      </c>
      <c r="B53" s="3" t="s">
        <v>118</v>
      </c>
      <c r="C53" s="3" t="s">
        <v>119</v>
      </c>
      <c r="D53" s="3" t="s">
        <v>39</v>
      </c>
      <c r="E53" s="3" t="s">
        <v>122</v>
      </c>
      <c r="F53" s="3" t="s">
        <v>79</v>
      </c>
      <c r="G53" s="3">
        <v>0.81461793999999998</v>
      </c>
      <c r="H53" s="3">
        <v>0.53931340000000005</v>
      </c>
      <c r="I53" s="3">
        <v>1.8383166999999999E-2</v>
      </c>
      <c r="J53" s="3">
        <v>63.35347024</v>
      </c>
      <c r="K53" s="3">
        <v>0.10774371000000001</v>
      </c>
      <c r="L53" s="3">
        <v>0.18124905099999999</v>
      </c>
      <c r="M53" s="3">
        <v>0.62199422900000001</v>
      </c>
      <c r="N53" s="3">
        <v>0.21101567600000001</v>
      </c>
      <c r="O53" s="3">
        <v>2.1750831000000002E-2</v>
      </c>
      <c r="P53" s="3">
        <v>4.0309688000000003E-2</v>
      </c>
      <c r="Q53" s="3">
        <v>5.6762115000000002E-2</v>
      </c>
      <c r="R53" s="3">
        <v>0.20187564699999999</v>
      </c>
      <c r="S53" s="3">
        <v>0.30881670900000002</v>
      </c>
      <c r="T53" s="3">
        <v>1.6096526710000001</v>
      </c>
      <c r="U53" s="3">
        <v>0.61680724399999998</v>
      </c>
      <c r="V53" s="3">
        <v>0.40387300999999998</v>
      </c>
      <c r="W53" s="3">
        <v>2.1181200000000001E-2</v>
      </c>
      <c r="X53" s="3">
        <v>0.101069716</v>
      </c>
      <c r="Y53" s="3">
        <v>1.5949834009999999</v>
      </c>
      <c r="Z53" s="3">
        <v>2.6096526710000001</v>
      </c>
      <c r="AA53" s="3">
        <v>0.18124905099999999</v>
      </c>
      <c r="AB53" s="3">
        <v>13.19784787</v>
      </c>
      <c r="AC53" s="3">
        <v>4.7716709699999997</v>
      </c>
      <c r="AD53" s="3">
        <v>0.21828858800000001</v>
      </c>
      <c r="AE53" s="3">
        <v>2.7472406180000002</v>
      </c>
      <c r="AF53" s="4">
        <v>42261</v>
      </c>
      <c r="AG53" s="5">
        <f>YEAR(AF53)</f>
        <v>2015</v>
      </c>
      <c r="AH53" s="5" t="str">
        <f>"Q"&amp;ROUNDUP(MONTH(AF53)/3,0)</f>
        <v>Q3</v>
      </c>
      <c r="AI53" s="5">
        <f>INDEX(RatingLookup!$B$2:$B$11,MATCH(A53,RatingLookup!$A$2:$A$11,0))</f>
        <v>8</v>
      </c>
      <c r="AJ53" s="5" t="str">
        <f>INDEX(RatingLookup!$C$2:$C$11,MATCH(A53,RatingLookup!$A$2:$A$11,0))</f>
        <v>Investment Grade</v>
      </c>
    </row>
    <row r="54" spans="1:36" x14ac:dyDescent="0.3">
      <c r="A54" s="3" t="s">
        <v>92</v>
      </c>
      <c r="B54" s="3" t="s">
        <v>123</v>
      </c>
      <c r="C54" s="3" t="s">
        <v>124</v>
      </c>
      <c r="D54" s="3" t="s">
        <v>39</v>
      </c>
      <c r="E54" s="3" t="s">
        <v>125</v>
      </c>
      <c r="F54" s="3" t="s">
        <v>79</v>
      </c>
      <c r="G54" s="3">
        <v>0.54266333499999997</v>
      </c>
      <c r="H54" s="3">
        <v>0.30399857200000002</v>
      </c>
      <c r="I54" s="3">
        <v>2.3384505999999999E-2</v>
      </c>
      <c r="J54" s="3">
        <v>34.372088380000001</v>
      </c>
      <c r="K54" s="3">
        <v>3.8466658000000001E-2</v>
      </c>
      <c r="L54" s="3">
        <v>5.9430321000000001E-2</v>
      </c>
      <c r="M54" s="3">
        <v>1</v>
      </c>
      <c r="N54" s="3">
        <v>0.15253560499999999</v>
      </c>
      <c r="O54" s="3">
        <v>1.1075555000000001E-2</v>
      </c>
      <c r="P54" s="3">
        <v>1.916926E-2</v>
      </c>
      <c r="Q54" s="3">
        <v>4.6534094999999998E-2</v>
      </c>
      <c r="R54" s="3">
        <v>0.28792611200000001</v>
      </c>
      <c r="S54" s="3">
        <v>0.403772774</v>
      </c>
      <c r="T54" s="3">
        <v>3.201513566</v>
      </c>
      <c r="U54" s="3">
        <v>0.76199053400000005</v>
      </c>
      <c r="V54" s="3">
        <v>0.35274356099999998</v>
      </c>
      <c r="W54" s="3">
        <v>0.21554975300000001</v>
      </c>
      <c r="X54" s="3">
        <v>1.7606635070000001</v>
      </c>
      <c r="Y54" s="3">
        <v>0.68246445499999997</v>
      </c>
      <c r="Z54" s="3">
        <v>4.201513566</v>
      </c>
      <c r="AA54" s="3">
        <v>5.9430321000000001E-2</v>
      </c>
      <c r="AB54" s="3">
        <v>8.1844636019999992</v>
      </c>
      <c r="AC54" s="3">
        <v>8.1682464449999994</v>
      </c>
      <c r="AD54" s="3">
        <v>0.22940236899999999</v>
      </c>
      <c r="AE54" s="3">
        <v>0.81023255800000005</v>
      </c>
      <c r="AF54" s="4">
        <v>42230</v>
      </c>
      <c r="AG54" s="5">
        <f>YEAR(AF54)</f>
        <v>2015</v>
      </c>
      <c r="AH54" s="5" t="str">
        <f>"Q"&amp;ROUNDUP(MONTH(AF54)/3,0)</f>
        <v>Q3</v>
      </c>
      <c r="AI54" s="5">
        <f>INDEX(RatingLookup!$B$2:$B$11,MATCH(A54,RatingLookup!$A$2:$A$11,0))</f>
        <v>6</v>
      </c>
      <c r="AJ54" s="5" t="str">
        <f>INDEX(RatingLookup!$C$2:$C$11,MATCH(A54,RatingLookup!$A$2:$A$11,0))</f>
        <v>Speculative Grade</v>
      </c>
    </row>
    <row r="55" spans="1:36" x14ac:dyDescent="0.3">
      <c r="A55" s="3" t="s">
        <v>92</v>
      </c>
      <c r="B55" s="3" t="s">
        <v>123</v>
      </c>
      <c r="C55" s="3" t="s">
        <v>124</v>
      </c>
      <c r="D55" s="3" t="s">
        <v>39</v>
      </c>
      <c r="E55" s="3" t="s">
        <v>126</v>
      </c>
      <c r="F55" s="3" t="s">
        <v>79</v>
      </c>
      <c r="G55" s="3">
        <v>0.508969491</v>
      </c>
      <c r="H55" s="3">
        <v>0.27550085099999999</v>
      </c>
      <c r="I55" s="3">
        <v>2.854524E-2</v>
      </c>
      <c r="J55" s="3">
        <v>42.086210360000003</v>
      </c>
      <c r="K55" s="3">
        <v>2.6278742000000001E-2</v>
      </c>
      <c r="L55" s="3">
        <v>3.8211437000000001E-2</v>
      </c>
      <c r="M55" s="3">
        <v>1</v>
      </c>
      <c r="N55" s="3">
        <v>0.107729436</v>
      </c>
      <c r="O55" s="3">
        <v>7.7740760000000004E-3</v>
      </c>
      <c r="P55" s="3">
        <v>1.3321803E-2</v>
      </c>
      <c r="Q55" s="3">
        <v>3.0885597000000001E-2</v>
      </c>
      <c r="R55" s="3">
        <v>0.29583134999999999</v>
      </c>
      <c r="S55" s="3">
        <v>0.44860459499999999</v>
      </c>
      <c r="T55" s="3">
        <v>2.9728963130000001</v>
      </c>
      <c r="U55" s="3">
        <v>0.74829446300000002</v>
      </c>
      <c r="V55" s="3">
        <v>0.34210526299999999</v>
      </c>
      <c r="W55" s="3">
        <v>9.0157780000000003E-3</v>
      </c>
      <c r="X55" s="3">
        <v>5.7416267999999999E-2</v>
      </c>
      <c r="Y55" s="3">
        <v>0.91866028700000002</v>
      </c>
      <c r="Z55" s="3">
        <v>3.9728963130000001</v>
      </c>
      <c r="AA55" s="3">
        <v>3.8211437000000001E-2</v>
      </c>
      <c r="AB55" s="3">
        <v>8.4489401179999994</v>
      </c>
      <c r="AC55" s="3">
        <v>6.3684210529999996</v>
      </c>
      <c r="AD55" s="3">
        <v>0.178454113</v>
      </c>
      <c r="AE55" s="3">
        <v>1.9967999999999999</v>
      </c>
      <c r="AF55" s="4">
        <v>41803</v>
      </c>
      <c r="AG55" s="5">
        <f>YEAR(AF55)</f>
        <v>2014</v>
      </c>
      <c r="AH55" s="5" t="str">
        <f>"Q"&amp;ROUNDUP(MONTH(AF55)/3,0)</f>
        <v>Q2</v>
      </c>
      <c r="AI55" s="5">
        <f>INDEX(RatingLookup!$B$2:$B$11,MATCH(A55,RatingLookup!$A$2:$A$11,0))</f>
        <v>6</v>
      </c>
      <c r="AJ55" s="5" t="str">
        <f>INDEX(RatingLookup!$C$2:$C$11,MATCH(A55,RatingLookup!$A$2:$A$11,0))</f>
        <v>Speculative Grade</v>
      </c>
    </row>
    <row r="56" spans="1:36" x14ac:dyDescent="0.3">
      <c r="A56" s="3" t="s">
        <v>92</v>
      </c>
      <c r="B56" s="3" t="s">
        <v>123</v>
      </c>
      <c r="C56" s="3" t="s">
        <v>124</v>
      </c>
      <c r="D56" s="3" t="s">
        <v>39</v>
      </c>
      <c r="E56" s="3" t="s">
        <v>127</v>
      </c>
      <c r="F56" s="3" t="s">
        <v>79</v>
      </c>
      <c r="G56" s="3">
        <v>0.69699694300000004</v>
      </c>
      <c r="H56" s="3">
        <v>0.32332314299999998</v>
      </c>
      <c r="I56" s="3">
        <v>1.5285020999999999E-2</v>
      </c>
      <c r="J56" s="3">
        <v>37.690876469999999</v>
      </c>
      <c r="K56" s="3">
        <v>1.9868429999999999E-2</v>
      </c>
      <c r="L56" s="3">
        <v>1.1362881E-2</v>
      </c>
      <c r="M56" s="3">
        <v>1</v>
      </c>
      <c r="N56" s="3">
        <v>7.0569472999999994E-2</v>
      </c>
      <c r="O56" s="3">
        <v>5.7317030000000003E-3</v>
      </c>
      <c r="P56" s="3">
        <v>3.6691340000000001E-3</v>
      </c>
      <c r="Q56" s="3">
        <v>2.4074074000000001E-2</v>
      </c>
      <c r="R56" s="3">
        <v>0.28848291999999998</v>
      </c>
      <c r="S56" s="3">
        <v>0.42056283700000002</v>
      </c>
      <c r="T56" s="3">
        <v>3.2001610309999999</v>
      </c>
      <c r="U56" s="3">
        <v>0.76191388999999998</v>
      </c>
      <c r="V56" s="3">
        <v>-0.24561403500000001</v>
      </c>
      <c r="W56" s="3">
        <v>-0.22078879500000001</v>
      </c>
      <c r="X56" s="3">
        <v>-1.4261904759999999</v>
      </c>
      <c r="Y56" s="3">
        <v>0.58095238100000002</v>
      </c>
      <c r="Z56" s="3">
        <v>4.2001610310000004</v>
      </c>
      <c r="AA56" s="3">
        <v>1.1362881E-2</v>
      </c>
      <c r="AB56" s="3">
        <v>14.04790236</v>
      </c>
      <c r="AC56" s="3">
        <v>6.4595238100000003</v>
      </c>
      <c r="AD56" s="3">
        <v>0.18027775900000001</v>
      </c>
      <c r="AE56" s="3">
        <v>0.97967161800000002</v>
      </c>
      <c r="AF56" s="4">
        <v>41880</v>
      </c>
      <c r="AG56" s="5">
        <f>YEAR(AF56)</f>
        <v>2014</v>
      </c>
      <c r="AH56" s="5" t="str">
        <f>"Q"&amp;ROUNDUP(MONTH(AF56)/3,0)</f>
        <v>Q3</v>
      </c>
      <c r="AI56" s="5">
        <f>INDEX(RatingLookup!$B$2:$B$11,MATCH(A56,RatingLookup!$A$2:$A$11,0))</f>
        <v>6</v>
      </c>
      <c r="AJ56" s="5" t="str">
        <f>INDEX(RatingLookup!$C$2:$C$11,MATCH(A56,RatingLookup!$A$2:$A$11,0))</f>
        <v>Speculative Grade</v>
      </c>
    </row>
    <row r="57" spans="1:36" x14ac:dyDescent="0.3">
      <c r="A57" s="3" t="s">
        <v>42</v>
      </c>
      <c r="B57" s="3" t="s">
        <v>123</v>
      </c>
      <c r="C57" s="3" t="s">
        <v>124</v>
      </c>
      <c r="D57" s="3" t="s">
        <v>60</v>
      </c>
      <c r="E57" s="3" t="s">
        <v>46</v>
      </c>
      <c r="F57" s="3" t="s">
        <v>79</v>
      </c>
      <c r="G57" s="3">
        <v>0.69104016499999998</v>
      </c>
      <c r="H57" s="3">
        <v>0.40411946399999998</v>
      </c>
      <c r="I57" s="3">
        <v>4.1606590999999998E-2</v>
      </c>
      <c r="J57" s="3">
        <v>34.236991019999998</v>
      </c>
      <c r="K57" s="3">
        <v>5.4434740000000002E-2</v>
      </c>
      <c r="L57" s="3">
        <v>8.8756304999999994E-2</v>
      </c>
      <c r="M57" s="3">
        <v>0.85748554600000004</v>
      </c>
      <c r="N57" s="3">
        <v>0.10444089099999999</v>
      </c>
      <c r="O57" s="3">
        <v>1.8700080000000001E-2</v>
      </c>
      <c r="P57" s="3">
        <v>3.3976125000000003E-2</v>
      </c>
      <c r="Q57" s="3">
        <v>6.6641565999999999E-2</v>
      </c>
      <c r="R57" s="3">
        <v>0.34353209699999998</v>
      </c>
      <c r="S57" s="3">
        <v>0.53591324100000004</v>
      </c>
      <c r="T57" s="3">
        <v>2.5637048189999998</v>
      </c>
      <c r="U57" s="3">
        <v>0.71939314499999996</v>
      </c>
      <c r="V57" s="3">
        <v>0.39778239799999998</v>
      </c>
      <c r="W57" s="3">
        <v>0.25530525599999998</v>
      </c>
      <c r="X57" s="3">
        <v>1.9598997490000001</v>
      </c>
      <c r="Y57" s="3">
        <v>1.095238095</v>
      </c>
      <c r="Z57" s="3">
        <v>3.5637048189999998</v>
      </c>
      <c r="AA57" s="3">
        <v>8.8756304999999994E-2</v>
      </c>
      <c r="AB57" s="3">
        <v>10.165523950000001</v>
      </c>
      <c r="AC57" s="3">
        <v>7.6766917289999999</v>
      </c>
      <c r="AD57" s="3">
        <v>0.188399557</v>
      </c>
      <c r="AE57" s="3">
        <v>1.973594549</v>
      </c>
      <c r="AF57" s="4">
        <v>41075</v>
      </c>
      <c r="AG57" s="5">
        <f>YEAR(AF57)</f>
        <v>2012</v>
      </c>
      <c r="AH57" s="5" t="str">
        <f>"Q"&amp;ROUNDUP(MONTH(AF57)/3,0)</f>
        <v>Q2</v>
      </c>
      <c r="AI57" s="5">
        <f>INDEX(RatingLookup!$B$2:$B$11,MATCH(A57,RatingLookup!$A$2:$A$11,0))</f>
        <v>7</v>
      </c>
      <c r="AJ57" s="5" t="str">
        <f>INDEX(RatingLookup!$C$2:$C$11,MATCH(A57,RatingLookup!$A$2:$A$11,0))</f>
        <v>Investment Grade</v>
      </c>
    </row>
    <row r="58" spans="1:36" x14ac:dyDescent="0.3">
      <c r="A58" s="3" t="s">
        <v>42</v>
      </c>
      <c r="B58" s="3" t="s">
        <v>123</v>
      </c>
      <c r="C58" s="3" t="s">
        <v>124</v>
      </c>
      <c r="D58" s="3" t="s">
        <v>60</v>
      </c>
      <c r="E58" s="3" t="s">
        <v>128</v>
      </c>
      <c r="F58" s="3" t="s">
        <v>79</v>
      </c>
      <c r="G58" s="3">
        <v>0.49546351100000002</v>
      </c>
      <c r="H58" s="3">
        <v>0.26009204499999999</v>
      </c>
      <c r="I58" s="3">
        <v>2.26167E-2</v>
      </c>
      <c r="J58" s="3">
        <v>38.496373259999999</v>
      </c>
      <c r="K58" s="3">
        <v>5.0316931000000002E-2</v>
      </c>
      <c r="L58" s="3">
        <v>8.6518982999999994E-2</v>
      </c>
      <c r="M58" s="3">
        <v>1</v>
      </c>
      <c r="N58" s="3">
        <v>0.142194341</v>
      </c>
      <c r="O58" s="3">
        <v>1.5275959E-2</v>
      </c>
      <c r="P58" s="3">
        <v>3.0933856999999999E-2</v>
      </c>
      <c r="Q58" s="3">
        <v>5.8850503999999998E-2</v>
      </c>
      <c r="R58" s="3">
        <v>0.30359480999999999</v>
      </c>
      <c r="S58" s="3">
        <v>0.46509436799999998</v>
      </c>
      <c r="T58" s="3">
        <v>2.8524915929999999</v>
      </c>
      <c r="U58" s="3">
        <v>0.74042772700000004</v>
      </c>
      <c r="V58" s="3">
        <v>0.41767371599999997</v>
      </c>
      <c r="W58" s="3">
        <v>-0.15517241400000001</v>
      </c>
      <c r="X58" s="3">
        <v>-0.86124401900000003</v>
      </c>
      <c r="Y58" s="3">
        <v>0.87081339700000004</v>
      </c>
      <c r="Z58" s="3">
        <v>3.8524915929999999</v>
      </c>
      <c r="AA58" s="3">
        <v>8.6518982999999994E-2</v>
      </c>
      <c r="AB58" s="3">
        <v>8.8807668070000005</v>
      </c>
      <c r="AC58" s="3">
        <v>5.5502392340000002</v>
      </c>
      <c r="AD58" s="3">
        <v>0.15160426099999999</v>
      </c>
      <c r="AE58" s="3">
        <v>1.545340838</v>
      </c>
      <c r="AF58" s="4">
        <v>41334</v>
      </c>
      <c r="AG58" s="5">
        <f>YEAR(AF58)</f>
        <v>2013</v>
      </c>
      <c r="AH58" s="5" t="str">
        <f>"Q"&amp;ROUNDUP(MONTH(AF58)/3,0)</f>
        <v>Q1</v>
      </c>
      <c r="AI58" s="5">
        <f>INDEX(RatingLookup!$B$2:$B$11,MATCH(A58,RatingLookup!$A$2:$A$11,0))</f>
        <v>7</v>
      </c>
      <c r="AJ58" s="5" t="str">
        <f>INDEX(RatingLookup!$C$2:$C$11,MATCH(A58,RatingLookup!$A$2:$A$11,0))</f>
        <v>Investment Grade</v>
      </c>
    </row>
    <row r="59" spans="1:36" x14ac:dyDescent="0.3">
      <c r="A59" s="3" t="s">
        <v>109</v>
      </c>
      <c r="B59" s="3" t="s">
        <v>129</v>
      </c>
      <c r="C59" s="3" t="s">
        <v>130</v>
      </c>
      <c r="D59" s="3" t="s">
        <v>39</v>
      </c>
      <c r="E59" s="3" t="s">
        <v>131</v>
      </c>
      <c r="F59" s="3" t="s">
        <v>66</v>
      </c>
      <c r="G59" s="3">
        <v>1.4526018199999999</v>
      </c>
      <c r="H59" s="3">
        <v>1.0349477170000001</v>
      </c>
      <c r="I59" s="3">
        <v>0.578921248</v>
      </c>
      <c r="J59" s="3">
        <v>4.2018888470000002</v>
      </c>
      <c r="K59" s="3">
        <v>3.6633212999999998E-2</v>
      </c>
      <c r="L59" s="3">
        <v>6.0108881000000003E-2</v>
      </c>
      <c r="M59" s="3">
        <v>0.29257148300000002</v>
      </c>
      <c r="N59" s="3">
        <v>0.106074607</v>
      </c>
      <c r="O59" s="3">
        <v>3.0704062000000001E-2</v>
      </c>
      <c r="P59" s="3">
        <v>7.4240428999999997E-2</v>
      </c>
      <c r="Q59" s="3">
        <v>-0.40712992999999997</v>
      </c>
      <c r="R59" s="3">
        <v>0.83814820199999995</v>
      </c>
      <c r="S59" s="3">
        <v>13.32609957</v>
      </c>
      <c r="T59" s="3">
        <v>-14.259806810000001</v>
      </c>
      <c r="U59" s="3">
        <v>1.07541588</v>
      </c>
      <c r="V59" s="3">
        <v>0.390552397</v>
      </c>
      <c r="W59" s="3">
        <v>0.74483911899999999</v>
      </c>
      <c r="X59" s="3">
        <v>0.42347729000000001</v>
      </c>
      <c r="Y59" s="3">
        <v>4.4477628180000002</v>
      </c>
      <c r="Z59" s="3">
        <v>-13.259806810000001</v>
      </c>
      <c r="AA59" s="3">
        <v>6.0108881000000003E-2</v>
      </c>
      <c r="AB59" s="3">
        <v>14.08104546</v>
      </c>
      <c r="AC59" s="3">
        <v>0.56854866900000001</v>
      </c>
      <c r="AD59" s="3">
        <v>4.9257716E-2</v>
      </c>
      <c r="AE59" s="3">
        <v>27.99078445</v>
      </c>
      <c r="AF59" s="4">
        <v>41619</v>
      </c>
      <c r="AG59" s="5">
        <f>YEAR(AF59)</f>
        <v>2013</v>
      </c>
      <c r="AH59" s="5" t="str">
        <f>"Q"&amp;ROUNDUP(MONTH(AF59)/3,0)</f>
        <v>Q4</v>
      </c>
      <c r="AI59" s="5">
        <f>INDEX(RatingLookup!$B$2:$B$11,MATCH(A59,RatingLookup!$A$2:$A$11,0))</f>
        <v>5</v>
      </c>
      <c r="AJ59" s="5" t="str">
        <f>INDEX(RatingLookup!$C$2:$C$11,MATCH(A59,RatingLookup!$A$2:$A$11,0))</f>
        <v>Speculative Grade</v>
      </c>
    </row>
    <row r="60" spans="1:36" x14ac:dyDescent="0.3">
      <c r="A60" s="3" t="s">
        <v>109</v>
      </c>
      <c r="B60" s="3" t="s">
        <v>129</v>
      </c>
      <c r="C60" s="3" t="s">
        <v>130</v>
      </c>
      <c r="D60" s="3" t="s">
        <v>39</v>
      </c>
      <c r="E60" s="3" t="s">
        <v>132</v>
      </c>
      <c r="F60" s="3" t="s">
        <v>66</v>
      </c>
      <c r="G60" s="3">
        <v>2.6988469290000001</v>
      </c>
      <c r="H60" s="3">
        <v>2.0631045069999998</v>
      </c>
      <c r="I60" s="3">
        <v>1.111312485</v>
      </c>
      <c r="J60" s="3">
        <v>5.2615862809999996</v>
      </c>
      <c r="K60" s="3">
        <v>3.5721764000000003E-2</v>
      </c>
      <c r="L60" s="3">
        <v>6.4992273000000003E-2</v>
      </c>
      <c r="M60" s="3">
        <v>0.330359034</v>
      </c>
      <c r="N60" s="3">
        <v>0.120637438</v>
      </c>
      <c r="O60" s="3">
        <v>4.5163249000000003E-2</v>
      </c>
      <c r="P60" s="3">
        <v>9.8408902000000006E-2</v>
      </c>
      <c r="Q60" s="3">
        <v>-0.287303382</v>
      </c>
      <c r="R60" s="3">
        <v>1.264306248</v>
      </c>
      <c r="S60" s="3">
        <v>21.911320610000001</v>
      </c>
      <c r="T60" s="3">
        <v>-7.3614418070000003</v>
      </c>
      <c r="U60" s="3">
        <v>1.1571970680000001</v>
      </c>
      <c r="V60" s="3">
        <v>0.38283273800000001</v>
      </c>
      <c r="W60" s="3">
        <v>0.92402356100000005</v>
      </c>
      <c r="X60" s="3">
        <v>1.133673489</v>
      </c>
      <c r="Y60" s="3">
        <v>3.5864645930000001</v>
      </c>
      <c r="Z60" s="3">
        <v>-6.3614418070000003</v>
      </c>
      <c r="AA60" s="3">
        <v>6.4992273000000003E-2</v>
      </c>
      <c r="AB60" s="3">
        <v>13.416870899999999</v>
      </c>
      <c r="AC60" s="3">
        <v>1.2268880769999999</v>
      </c>
      <c r="AD60" s="3">
        <v>8.7182755000000001E-2</v>
      </c>
      <c r="AE60" s="3">
        <v>56.506288509999997</v>
      </c>
      <c r="AF60" s="4">
        <v>42244</v>
      </c>
      <c r="AG60" s="5">
        <f>YEAR(AF60)</f>
        <v>2015</v>
      </c>
      <c r="AH60" s="5" t="str">
        <f>"Q"&amp;ROUNDUP(MONTH(AF60)/3,0)</f>
        <v>Q3</v>
      </c>
      <c r="AI60" s="5">
        <f>INDEX(RatingLookup!$B$2:$B$11,MATCH(A60,RatingLookup!$A$2:$A$11,0))</f>
        <v>5</v>
      </c>
      <c r="AJ60" s="5" t="str">
        <f>INDEX(RatingLookup!$C$2:$C$11,MATCH(A60,RatingLookup!$A$2:$A$11,0))</f>
        <v>Speculative Grade</v>
      </c>
    </row>
    <row r="61" spans="1:36" x14ac:dyDescent="0.3">
      <c r="A61" s="3" t="s">
        <v>42</v>
      </c>
      <c r="B61" s="3" t="s">
        <v>129</v>
      </c>
      <c r="C61" s="3" t="s">
        <v>130</v>
      </c>
      <c r="D61" s="3" t="s">
        <v>47</v>
      </c>
      <c r="E61" s="3" t="s">
        <v>133</v>
      </c>
      <c r="F61" s="3" t="s">
        <v>66</v>
      </c>
      <c r="G61" s="3">
        <v>1.6172088659999999</v>
      </c>
      <c r="H61" s="3">
        <v>1.0859142509999999</v>
      </c>
      <c r="I61" s="3">
        <v>0.76435446900000004</v>
      </c>
      <c r="J61" s="3">
        <v>8.0089511019999993</v>
      </c>
      <c r="K61" s="3">
        <v>6.6191392000000002E-2</v>
      </c>
      <c r="L61" s="3">
        <v>0.108663467</v>
      </c>
      <c r="M61" s="3">
        <v>0.21219449800000001</v>
      </c>
      <c r="N61" s="3">
        <v>0.126454499</v>
      </c>
      <c r="O61" s="3">
        <v>8.0860732000000005E-2</v>
      </c>
      <c r="P61" s="3">
        <v>0.20104967600000001</v>
      </c>
      <c r="Q61" s="3">
        <v>-0.842637313</v>
      </c>
      <c r="R61" s="3">
        <v>1.22162006</v>
      </c>
      <c r="S61" s="3">
        <v>20.039960390000001</v>
      </c>
      <c r="T61" s="3">
        <v>-11.42084691</v>
      </c>
      <c r="U61" s="3">
        <v>1.0959614900000001</v>
      </c>
      <c r="V61" s="3">
        <v>0.39085882199999999</v>
      </c>
      <c r="W61" s="3">
        <v>0.67154074500000005</v>
      </c>
      <c r="X61" s="3">
        <v>0.30763536000000002</v>
      </c>
      <c r="Y61" s="3">
        <v>4.0344681250000001</v>
      </c>
      <c r="Z61" s="3">
        <v>-10.42084691</v>
      </c>
      <c r="AA61" s="3">
        <v>0.108663467</v>
      </c>
      <c r="AB61" s="3">
        <v>8.4562523170000006</v>
      </c>
      <c r="AC61" s="3">
        <v>0.45810378899999998</v>
      </c>
      <c r="AD61" s="3">
        <v>3.1799572999999998E-2</v>
      </c>
      <c r="AE61" s="3">
        <v>93.672156950000002</v>
      </c>
      <c r="AF61" s="4">
        <v>40860</v>
      </c>
      <c r="AG61" s="5">
        <f>YEAR(AF61)</f>
        <v>2011</v>
      </c>
      <c r="AH61" s="5" t="str">
        <f>"Q"&amp;ROUNDUP(MONTH(AF61)/3,0)</f>
        <v>Q4</v>
      </c>
      <c r="AI61" s="5">
        <f>INDEX(RatingLookup!$B$2:$B$11,MATCH(A61,RatingLookup!$A$2:$A$11,0))</f>
        <v>7</v>
      </c>
      <c r="AJ61" s="5" t="str">
        <f>INDEX(RatingLookup!$C$2:$C$11,MATCH(A61,RatingLookup!$A$2:$A$11,0))</f>
        <v>Investment Grade</v>
      </c>
    </row>
    <row r="62" spans="1:36" x14ac:dyDescent="0.3">
      <c r="A62" s="3" t="s">
        <v>92</v>
      </c>
      <c r="B62" s="3" t="s">
        <v>129</v>
      </c>
      <c r="C62" s="3" t="s">
        <v>130</v>
      </c>
      <c r="D62" s="3" t="s">
        <v>47</v>
      </c>
      <c r="E62" s="3" t="s">
        <v>134</v>
      </c>
      <c r="F62" s="3" t="s">
        <v>66</v>
      </c>
      <c r="G62" s="3">
        <v>3.5965852319999998</v>
      </c>
      <c r="H62" s="3">
        <v>2.9020637480000002</v>
      </c>
      <c r="I62" s="3">
        <v>2.0062911680000002</v>
      </c>
      <c r="J62" s="3">
        <v>4.0582921189999999</v>
      </c>
      <c r="K62" s="3">
        <v>4.2063362E-2</v>
      </c>
      <c r="L62" s="3">
        <v>7.4768074000000004E-2</v>
      </c>
      <c r="M62" s="3">
        <v>0.35104843499999999</v>
      </c>
      <c r="N62" s="3">
        <v>0.137790673</v>
      </c>
      <c r="O62" s="3">
        <v>5.0658993999999999E-2</v>
      </c>
      <c r="P62" s="3">
        <v>0.104669559</v>
      </c>
      <c r="Q62" s="3">
        <v>-0.21423795200000001</v>
      </c>
      <c r="R62" s="3">
        <v>1.2043496069999999</v>
      </c>
      <c r="S62" s="3">
        <v>21.019155229999999</v>
      </c>
      <c r="T62" s="3">
        <v>-5.2290210840000002</v>
      </c>
      <c r="U62" s="3">
        <v>1.2364613419999999</v>
      </c>
      <c r="V62" s="3">
        <v>0.38885856899999999</v>
      </c>
      <c r="W62" s="3">
        <v>0.72662747299999997</v>
      </c>
      <c r="X62" s="3">
        <v>0.57199047300000005</v>
      </c>
      <c r="Y62" s="3">
        <v>4.4378382170000004</v>
      </c>
      <c r="Z62" s="3">
        <v>-4.2290210840000002</v>
      </c>
      <c r="AA62" s="3">
        <v>7.4768074000000004E-2</v>
      </c>
      <c r="AB62" s="3">
        <v>12.866756199999999</v>
      </c>
      <c r="AC62" s="3">
        <v>0.787185311</v>
      </c>
      <c r="AD62" s="3">
        <v>5.7740357999999999E-2</v>
      </c>
      <c r="AE62" s="3">
        <v>103.78738300000001</v>
      </c>
      <c r="AF62" s="4">
        <v>42703</v>
      </c>
      <c r="AG62" s="5">
        <f>YEAR(AF62)</f>
        <v>2016</v>
      </c>
      <c r="AH62" s="5" t="str">
        <f>"Q"&amp;ROUNDUP(MONTH(AF62)/3,0)</f>
        <v>Q4</v>
      </c>
      <c r="AI62" s="5">
        <f>INDEX(RatingLookup!$B$2:$B$11,MATCH(A62,RatingLookup!$A$2:$A$11,0))</f>
        <v>6</v>
      </c>
      <c r="AJ62" s="5" t="str">
        <f>INDEX(RatingLookup!$C$2:$C$11,MATCH(A62,RatingLookup!$A$2:$A$11,0))</f>
        <v>Speculative Grade</v>
      </c>
    </row>
    <row r="63" spans="1:36" x14ac:dyDescent="0.3">
      <c r="A63" s="3" t="s">
        <v>109</v>
      </c>
      <c r="B63" s="3" t="s">
        <v>129</v>
      </c>
      <c r="C63" s="3" t="s">
        <v>130</v>
      </c>
      <c r="D63" s="3" t="s">
        <v>47</v>
      </c>
      <c r="E63" s="3" t="s">
        <v>135</v>
      </c>
      <c r="F63" s="3" t="s">
        <v>66</v>
      </c>
      <c r="G63" s="3">
        <v>3.274540247</v>
      </c>
      <c r="H63" s="3">
        <v>2.4958418519999999</v>
      </c>
      <c r="I63" s="3">
        <v>2.0796120089999999</v>
      </c>
      <c r="J63" s="3">
        <v>3.7851368220000001</v>
      </c>
      <c r="K63" s="3">
        <v>2.8234855999999999E-2</v>
      </c>
      <c r="L63" s="3">
        <v>4.9529481E-2</v>
      </c>
      <c r="M63" s="3">
        <v>0.24074036500000001</v>
      </c>
      <c r="N63" s="3">
        <v>0.14285516700000001</v>
      </c>
      <c r="O63" s="3">
        <v>2.8178086000000001E-2</v>
      </c>
      <c r="P63" s="3">
        <v>6.0249760999999999E-2</v>
      </c>
      <c r="Q63" s="3">
        <v>-0.38638772500000002</v>
      </c>
      <c r="R63" s="3">
        <v>0.99798938299999995</v>
      </c>
      <c r="S63" s="3">
        <v>18.976186729999998</v>
      </c>
      <c r="T63" s="3">
        <v>-14.71234795</v>
      </c>
      <c r="U63" s="3">
        <v>1.072926971</v>
      </c>
      <c r="V63" s="3">
        <v>0.42993838099999998</v>
      </c>
      <c r="W63" s="3">
        <v>0.86603001700000004</v>
      </c>
      <c r="X63" s="3">
        <v>0.86064000900000004</v>
      </c>
      <c r="Y63" s="3">
        <v>5.6237360260000004</v>
      </c>
      <c r="Z63" s="3">
        <v>-13.71234795</v>
      </c>
      <c r="AA63" s="3">
        <v>4.9529481E-2</v>
      </c>
      <c r="AB63" s="3">
        <v>7.2094069019999996</v>
      </c>
      <c r="AC63" s="3">
        <v>0.993776188</v>
      </c>
      <c r="AD63" s="3">
        <v>7.7531058999999999E-2</v>
      </c>
      <c r="AE63" s="3">
        <v>135.01426459999999</v>
      </c>
      <c r="AF63" s="4">
        <v>41304</v>
      </c>
      <c r="AG63" s="5">
        <f>YEAR(AF63)</f>
        <v>2013</v>
      </c>
      <c r="AH63" s="5" t="str">
        <f>"Q"&amp;ROUNDUP(MONTH(AF63)/3,0)</f>
        <v>Q1</v>
      </c>
      <c r="AI63" s="5">
        <f>INDEX(RatingLookup!$B$2:$B$11,MATCH(A63,RatingLookup!$A$2:$A$11,0))</f>
        <v>5</v>
      </c>
      <c r="AJ63" s="5" t="str">
        <f>INDEX(RatingLookup!$C$2:$C$11,MATCH(A63,RatingLookup!$A$2:$A$11,0))</f>
        <v>Speculative Grade</v>
      </c>
    </row>
    <row r="64" spans="1:36" x14ac:dyDescent="0.3">
      <c r="A64" s="3" t="s">
        <v>42</v>
      </c>
      <c r="B64" s="3" t="s">
        <v>136</v>
      </c>
      <c r="C64" s="3" t="s">
        <v>137</v>
      </c>
      <c r="D64" s="3" t="s">
        <v>39</v>
      </c>
      <c r="E64" s="3" t="s">
        <v>138</v>
      </c>
      <c r="F64" s="3" t="s">
        <v>79</v>
      </c>
      <c r="G64" s="3">
        <v>1.298714653</v>
      </c>
      <c r="H64" s="3">
        <v>1.1994858610000001</v>
      </c>
      <c r="I64" s="3">
        <v>8.8431877000000006E-2</v>
      </c>
      <c r="J64" s="3">
        <v>50.808711539999997</v>
      </c>
      <c r="K64" s="3">
        <v>6.8839475999999997E-2</v>
      </c>
      <c r="L64" s="3">
        <v>0.115138593</v>
      </c>
      <c r="M64" s="3">
        <v>1</v>
      </c>
      <c r="N64" s="3">
        <v>0.17392628700000001</v>
      </c>
      <c r="O64" s="3">
        <v>2.5953146999999999E-2</v>
      </c>
      <c r="P64" s="3">
        <v>4.8865619999999999E-2</v>
      </c>
      <c r="Q64" s="3">
        <v>0.13086276799999999</v>
      </c>
      <c r="R64" s="3">
        <v>0.37700964599999998</v>
      </c>
      <c r="S64" s="3">
        <v>0.405709343</v>
      </c>
      <c r="T64" s="3">
        <v>4.0422698319999997</v>
      </c>
      <c r="U64" s="3">
        <v>0.80167661899999998</v>
      </c>
      <c r="V64" s="3">
        <v>0.39947089899999999</v>
      </c>
      <c r="W64" s="3">
        <v>6.7558058000000004E-2</v>
      </c>
      <c r="X64" s="3">
        <v>0.36294895999999999</v>
      </c>
      <c r="Y64" s="3">
        <v>5.3648393189999997</v>
      </c>
      <c r="Z64" s="3">
        <v>5.0422698319999997</v>
      </c>
      <c r="AA64" s="3">
        <v>0.115138593</v>
      </c>
      <c r="AB64" s="3">
        <v>8.0798502820000007</v>
      </c>
      <c r="AC64" s="3">
        <v>5.3724007560000002</v>
      </c>
      <c r="AD64" s="3">
        <v>0.21641790999999999</v>
      </c>
      <c r="AE64" s="3">
        <v>2.0991452989999999</v>
      </c>
      <c r="AF64" s="4">
        <v>41582</v>
      </c>
      <c r="AG64" s="5">
        <f>YEAR(AF64)</f>
        <v>2013</v>
      </c>
      <c r="AH64" s="5" t="str">
        <f>"Q"&amp;ROUNDUP(MONTH(AF64)/3,0)</f>
        <v>Q4</v>
      </c>
      <c r="AI64" s="5">
        <f>INDEX(RatingLookup!$B$2:$B$11,MATCH(A64,RatingLookup!$A$2:$A$11,0))</f>
        <v>7</v>
      </c>
      <c r="AJ64" s="5" t="str">
        <f>INDEX(RatingLookup!$C$2:$C$11,MATCH(A64,RatingLookup!$A$2:$A$11,0))</f>
        <v>Investment Grade</v>
      </c>
    </row>
    <row r="65" spans="1:36" x14ac:dyDescent="0.3">
      <c r="A65" s="3" t="s">
        <v>42</v>
      </c>
      <c r="B65" s="3" t="s">
        <v>136</v>
      </c>
      <c r="C65" s="3" t="s">
        <v>137</v>
      </c>
      <c r="D65" s="3" t="s">
        <v>39</v>
      </c>
      <c r="E65" s="3" t="s">
        <v>139</v>
      </c>
      <c r="F65" s="3" t="s">
        <v>79</v>
      </c>
      <c r="G65" s="3">
        <v>1.0078192880000001</v>
      </c>
      <c r="H65" s="3">
        <v>0.91963510000000004</v>
      </c>
      <c r="I65" s="3">
        <v>0.115551694</v>
      </c>
      <c r="J65" s="3">
        <v>43.759293679999999</v>
      </c>
      <c r="K65" s="3">
        <v>8.1009913000000003E-2</v>
      </c>
      <c r="L65" s="3">
        <v>0.123296159</v>
      </c>
      <c r="M65" s="3">
        <v>1</v>
      </c>
      <c r="N65" s="3">
        <v>0.18014250300000001</v>
      </c>
      <c r="O65" s="3">
        <v>2.5712881E-2</v>
      </c>
      <c r="P65" s="3">
        <v>4.4129060999999997E-2</v>
      </c>
      <c r="Q65" s="3">
        <v>0.13280853200000001</v>
      </c>
      <c r="R65" s="3">
        <v>0.31740413000000001</v>
      </c>
      <c r="S65" s="3">
        <v>0.43903434200000002</v>
      </c>
      <c r="T65" s="3">
        <v>4.1650584049999999</v>
      </c>
      <c r="U65" s="3">
        <v>0.80639134700000004</v>
      </c>
      <c r="V65" s="3">
        <v>0.34045226099999998</v>
      </c>
      <c r="W65" s="3">
        <v>4.6341462999999999E-2</v>
      </c>
      <c r="X65" s="3">
        <v>0.27576197400000002</v>
      </c>
      <c r="Y65" s="3">
        <v>4.8730043539999999</v>
      </c>
      <c r="Z65" s="3">
        <v>5.1650584049999999</v>
      </c>
      <c r="AA65" s="3">
        <v>0.123296159</v>
      </c>
      <c r="AB65" s="3">
        <v>10.00487611</v>
      </c>
      <c r="AC65" s="3">
        <v>5.9506531200000001</v>
      </c>
      <c r="AD65" s="3">
        <v>0.254027261</v>
      </c>
      <c r="AE65" s="3">
        <v>1.5181674570000001</v>
      </c>
      <c r="AF65" s="4">
        <v>42320</v>
      </c>
      <c r="AG65" s="5">
        <f>YEAR(AF65)</f>
        <v>2015</v>
      </c>
      <c r="AH65" s="5" t="str">
        <f>"Q"&amp;ROUNDUP(MONTH(AF65)/3,0)</f>
        <v>Q4</v>
      </c>
      <c r="AI65" s="5">
        <f>INDEX(RatingLookup!$B$2:$B$11,MATCH(A65,RatingLookup!$A$2:$A$11,0))</f>
        <v>7</v>
      </c>
      <c r="AJ65" s="5" t="str">
        <f>INDEX(RatingLookup!$C$2:$C$11,MATCH(A65,RatingLookup!$A$2:$A$11,0))</f>
        <v>Investment Grade</v>
      </c>
    </row>
    <row r="66" spans="1:36" x14ac:dyDescent="0.3">
      <c r="A66" s="3" t="s">
        <v>42</v>
      </c>
      <c r="B66" s="3" t="s">
        <v>136</v>
      </c>
      <c r="C66" s="3" t="s">
        <v>137</v>
      </c>
      <c r="D66" s="3" t="s">
        <v>39</v>
      </c>
      <c r="E66" s="3" t="s">
        <v>140</v>
      </c>
      <c r="F66" s="3" t="s">
        <v>79</v>
      </c>
      <c r="G66" s="3">
        <v>1.2894736840000001</v>
      </c>
      <c r="H66" s="3">
        <v>1.1956305860000001</v>
      </c>
      <c r="I66" s="3">
        <v>0.10278053600000001</v>
      </c>
      <c r="J66" s="3">
        <v>44.792450199999998</v>
      </c>
      <c r="K66" s="3">
        <v>6.6443794E-2</v>
      </c>
      <c r="L66" s="3">
        <v>0.101546176</v>
      </c>
      <c r="M66" s="3">
        <v>1</v>
      </c>
      <c r="N66" s="3">
        <v>0.16046803200000001</v>
      </c>
      <c r="O66" s="3">
        <v>2.4863173999999998E-2</v>
      </c>
      <c r="P66" s="3">
        <v>4.2455303E-2</v>
      </c>
      <c r="Q66" s="3">
        <v>0.129972752</v>
      </c>
      <c r="R66" s="3">
        <v>0.37419859300000002</v>
      </c>
      <c r="S66" s="3">
        <v>0.53526692499999995</v>
      </c>
      <c r="T66" s="3">
        <v>4.2275204359999998</v>
      </c>
      <c r="U66" s="3">
        <v>0.80870471700000002</v>
      </c>
      <c r="V66" s="3">
        <v>0.34293552799999999</v>
      </c>
      <c r="W66" s="3">
        <v>-8.9841050000000006E-2</v>
      </c>
      <c r="X66" s="3">
        <v>-0.48041389499999998</v>
      </c>
      <c r="Y66" s="3">
        <v>5.6430155209999997</v>
      </c>
      <c r="Z66" s="3">
        <v>5.2275204359999998</v>
      </c>
      <c r="AA66" s="3">
        <v>0.101546176</v>
      </c>
      <c r="AB66" s="3">
        <v>9.8414469239999995</v>
      </c>
      <c r="AC66" s="3">
        <v>5.3473762010000003</v>
      </c>
      <c r="AD66" s="3">
        <v>0.20156010599999999</v>
      </c>
      <c r="AE66" s="3">
        <v>2.2020648970000001</v>
      </c>
      <c r="AF66" s="4">
        <v>42044</v>
      </c>
      <c r="AG66" s="5">
        <f>YEAR(AF66)</f>
        <v>2015</v>
      </c>
      <c r="AH66" s="5" t="str">
        <f>"Q"&amp;ROUNDUP(MONTH(AF66)/3,0)</f>
        <v>Q1</v>
      </c>
      <c r="AI66" s="5">
        <f>INDEX(RatingLookup!$B$2:$B$11,MATCH(A66,RatingLookup!$A$2:$A$11,0))</f>
        <v>7</v>
      </c>
      <c r="AJ66" s="5" t="str">
        <f>INDEX(RatingLookup!$C$2:$C$11,MATCH(A66,RatingLookup!$A$2:$A$11,0))</f>
        <v>Investment Grade</v>
      </c>
    </row>
    <row r="67" spans="1:36" x14ac:dyDescent="0.3">
      <c r="A67" s="3" t="s">
        <v>92</v>
      </c>
      <c r="B67" s="3" t="s">
        <v>136</v>
      </c>
      <c r="C67" s="3" t="s">
        <v>137</v>
      </c>
      <c r="D67" s="3" t="s">
        <v>60</v>
      </c>
      <c r="E67" s="3" t="s">
        <v>46</v>
      </c>
      <c r="F67" s="3" t="s">
        <v>79</v>
      </c>
      <c r="G67" s="3">
        <v>1.097091531</v>
      </c>
      <c r="H67" s="3">
        <v>1.03635586</v>
      </c>
      <c r="I67" s="3">
        <v>6.8862275000000001E-2</v>
      </c>
      <c r="J67" s="3">
        <v>48.775180689999999</v>
      </c>
      <c r="K67" s="3">
        <v>6.3816700000000004E-2</v>
      </c>
      <c r="L67" s="3">
        <v>9.3187758999999995E-2</v>
      </c>
      <c r="M67" s="3">
        <v>1</v>
      </c>
      <c r="N67" s="3">
        <v>0.154236506</v>
      </c>
      <c r="O67" s="3">
        <v>2.5224897E-2</v>
      </c>
      <c r="P67" s="3">
        <v>4.2936092000000002E-2</v>
      </c>
      <c r="Q67" s="3">
        <v>0.13705416100000001</v>
      </c>
      <c r="R67" s="3">
        <v>0.39527109199999999</v>
      </c>
      <c r="S67" s="3">
        <v>0.44085146800000002</v>
      </c>
      <c r="T67" s="3">
        <v>4.4332893000000002</v>
      </c>
      <c r="U67" s="3">
        <v>0.815949429</v>
      </c>
      <c r="V67" s="3">
        <v>0.31518151799999999</v>
      </c>
      <c r="W67" s="3">
        <v>0.24550898199999999</v>
      </c>
      <c r="X67" s="3">
        <v>1.1443381180000001</v>
      </c>
      <c r="Y67" s="3">
        <v>6.196172249</v>
      </c>
      <c r="Z67" s="3">
        <v>5.4332893000000002</v>
      </c>
      <c r="AA67" s="3">
        <v>9.3187758999999995E-2</v>
      </c>
      <c r="AB67" s="3">
        <v>8.0057663009999995</v>
      </c>
      <c r="AC67" s="3">
        <v>4.6610845300000001</v>
      </c>
      <c r="AD67" s="3">
        <v>0.17976318599999999</v>
      </c>
      <c r="AE67" s="3">
        <v>2.6295652170000001</v>
      </c>
      <c r="AF67" s="4">
        <v>41075</v>
      </c>
      <c r="AG67" s="5">
        <f>YEAR(AF67)</f>
        <v>2012</v>
      </c>
      <c r="AH67" s="5" t="str">
        <f>"Q"&amp;ROUNDUP(MONTH(AF67)/3,0)</f>
        <v>Q2</v>
      </c>
      <c r="AI67" s="5">
        <f>INDEX(RatingLookup!$B$2:$B$11,MATCH(A67,RatingLookup!$A$2:$A$11,0))</f>
        <v>6</v>
      </c>
      <c r="AJ67" s="5" t="str">
        <f>INDEX(RatingLookup!$C$2:$C$11,MATCH(A67,RatingLookup!$A$2:$A$11,0))</f>
        <v>Speculative Grade</v>
      </c>
    </row>
    <row r="68" spans="1:36" x14ac:dyDescent="0.3">
      <c r="A68" s="3" t="s">
        <v>42</v>
      </c>
      <c r="B68" s="3" t="s">
        <v>136</v>
      </c>
      <c r="C68" s="3" t="s">
        <v>137</v>
      </c>
      <c r="D68" s="3" t="s">
        <v>60</v>
      </c>
      <c r="E68" s="3" t="s">
        <v>141</v>
      </c>
      <c r="F68" s="3" t="s">
        <v>79</v>
      </c>
      <c r="G68" s="3">
        <v>1.3478018919999999</v>
      </c>
      <c r="H68" s="3">
        <v>1.2648859210000001</v>
      </c>
      <c r="I68" s="3">
        <v>5.1752922E-2</v>
      </c>
      <c r="J68" s="3">
        <v>49.908044140000001</v>
      </c>
      <c r="K68" s="3">
        <v>6.1090675999999997E-2</v>
      </c>
      <c r="L68" s="3">
        <v>9.9472252999999997E-2</v>
      </c>
      <c r="M68" s="3">
        <v>1</v>
      </c>
      <c r="N68" s="3">
        <v>0.16040300699999999</v>
      </c>
      <c r="O68" s="3">
        <v>2.2298756999999999E-2</v>
      </c>
      <c r="P68" s="3">
        <v>4.0563453999999999E-2</v>
      </c>
      <c r="Q68" s="3">
        <v>0.119599249</v>
      </c>
      <c r="R68" s="3">
        <v>0.365010799</v>
      </c>
      <c r="S68" s="3">
        <v>0.40103899399999998</v>
      </c>
      <c r="T68" s="3">
        <v>4.363494051</v>
      </c>
      <c r="U68" s="3">
        <v>0.81355437500000005</v>
      </c>
      <c r="V68" s="3">
        <v>0.39389067500000002</v>
      </c>
      <c r="W68" s="3">
        <v>1.1281225000000001E-2</v>
      </c>
      <c r="X68" s="3">
        <v>5.3701573000000002E-2</v>
      </c>
      <c r="Y68" s="3">
        <v>5.4392021479999997</v>
      </c>
      <c r="Z68" s="3">
        <v>5.363494051</v>
      </c>
      <c r="AA68" s="3">
        <v>9.9472252999999997E-2</v>
      </c>
      <c r="AB68" s="3">
        <v>8.3801136790000008</v>
      </c>
      <c r="AC68" s="3">
        <v>4.7602608359999996</v>
      </c>
      <c r="AD68" s="3">
        <v>0.198464737</v>
      </c>
      <c r="AE68" s="3">
        <v>2.24609375</v>
      </c>
      <c r="AF68" s="4">
        <v>41348</v>
      </c>
      <c r="AG68" s="5">
        <f>YEAR(AF68)</f>
        <v>2013</v>
      </c>
      <c r="AH68" s="5" t="str">
        <f>"Q"&amp;ROUNDUP(MONTH(AF68)/3,0)</f>
        <v>Q1</v>
      </c>
      <c r="AI68" s="5">
        <f>INDEX(RatingLookup!$B$2:$B$11,MATCH(A68,RatingLookup!$A$2:$A$11,0))</f>
        <v>7</v>
      </c>
      <c r="AJ68" s="5" t="str">
        <f>INDEX(RatingLookup!$C$2:$C$11,MATCH(A68,RatingLookup!$A$2:$A$11,0))</f>
        <v>Investment Grade</v>
      </c>
    </row>
    <row r="69" spans="1:36" x14ac:dyDescent="0.3">
      <c r="A69" s="3" t="s">
        <v>42</v>
      </c>
      <c r="B69" s="3" t="s">
        <v>136</v>
      </c>
      <c r="C69" s="3" t="s">
        <v>137</v>
      </c>
      <c r="D69" s="3" t="s">
        <v>44</v>
      </c>
      <c r="E69" s="3" t="s">
        <v>142</v>
      </c>
      <c r="F69" s="3" t="s">
        <v>79</v>
      </c>
      <c r="G69" s="3">
        <v>0.85875706200000002</v>
      </c>
      <c r="H69" s="3">
        <v>0.78342749499999997</v>
      </c>
      <c r="I69" s="3">
        <v>8.8512241000000005E-2</v>
      </c>
      <c r="J69" s="3">
        <v>46.829973430000003</v>
      </c>
      <c r="K69" s="3">
        <v>8.6107204000000007E-2</v>
      </c>
      <c r="L69" s="3">
        <v>0.12908266900000001</v>
      </c>
      <c r="M69" s="3">
        <v>1</v>
      </c>
      <c r="N69" s="3">
        <v>0.20268791999999999</v>
      </c>
      <c r="O69" s="3">
        <v>2.5483303999999998E-2</v>
      </c>
      <c r="P69" s="3">
        <v>4.3549323000000001E-2</v>
      </c>
      <c r="Q69" s="3">
        <v>0.12955560799999999</v>
      </c>
      <c r="R69" s="3">
        <v>0.29594857099999999</v>
      </c>
      <c r="S69" s="3">
        <v>0.40719058200000002</v>
      </c>
      <c r="T69" s="3">
        <v>4.0839407479999998</v>
      </c>
      <c r="U69" s="3">
        <v>0.80330219199999997</v>
      </c>
      <c r="V69" s="3">
        <v>0.33050847500000002</v>
      </c>
      <c r="W69" s="3">
        <v>-2.6396561999999998E-2</v>
      </c>
      <c r="X69" s="3">
        <v>-0.154731918</v>
      </c>
      <c r="Y69" s="3">
        <v>4.530406621</v>
      </c>
      <c r="Z69" s="3">
        <v>5.0839407479999998</v>
      </c>
      <c r="AA69" s="3">
        <v>0.12908266900000001</v>
      </c>
      <c r="AB69" s="3">
        <v>9.7181764709999996</v>
      </c>
      <c r="AC69" s="3">
        <v>5.8618207990000002</v>
      </c>
      <c r="AD69" s="3">
        <v>0.25457102700000001</v>
      </c>
      <c r="AE69" s="3">
        <v>1.1872909700000001</v>
      </c>
      <c r="AF69" s="4">
        <v>42674</v>
      </c>
      <c r="AG69" s="5">
        <f>YEAR(AF69)</f>
        <v>2016</v>
      </c>
      <c r="AH69" s="5" t="str">
        <f>"Q"&amp;ROUNDUP(MONTH(AF69)/3,0)</f>
        <v>Q4</v>
      </c>
      <c r="AI69" s="5">
        <f>INDEX(RatingLookup!$B$2:$B$11,MATCH(A69,RatingLookup!$A$2:$A$11,0))</f>
        <v>7</v>
      </c>
      <c r="AJ69" s="5" t="str">
        <f>INDEX(RatingLookup!$C$2:$C$11,MATCH(A69,RatingLookup!$A$2:$A$11,0))</f>
        <v>Investment Grade</v>
      </c>
    </row>
    <row r="70" spans="1:36" x14ac:dyDescent="0.3">
      <c r="A70" s="3" t="s">
        <v>49</v>
      </c>
      <c r="B70" s="3" t="s">
        <v>143</v>
      </c>
      <c r="C70" s="3" t="s">
        <v>144</v>
      </c>
      <c r="D70" s="3" t="s">
        <v>39</v>
      </c>
      <c r="E70" s="3" t="s">
        <v>145</v>
      </c>
      <c r="F70" s="3" t="s">
        <v>53</v>
      </c>
      <c r="G70" s="3">
        <v>2.1728926789999998</v>
      </c>
      <c r="H70" s="3">
        <v>1.852850036</v>
      </c>
      <c r="I70" s="3">
        <v>1.2918123669999999</v>
      </c>
      <c r="J70" s="3">
        <v>84.022200260000005</v>
      </c>
      <c r="K70" s="3">
        <v>0.124980832</v>
      </c>
      <c r="L70" s="3">
        <v>6.9735744000000002E-2</v>
      </c>
      <c r="M70" s="3">
        <v>0.295546317</v>
      </c>
      <c r="N70" s="3">
        <v>1.4482136E-2</v>
      </c>
      <c r="O70" s="3">
        <v>2.9777224000000001E-2</v>
      </c>
      <c r="P70" s="3">
        <v>1.9382396E-2</v>
      </c>
      <c r="Q70" s="3">
        <v>0.149286688</v>
      </c>
      <c r="R70" s="3">
        <v>0.23825432499999999</v>
      </c>
      <c r="S70" s="3">
        <v>2.1699972270000001</v>
      </c>
      <c r="T70" s="3">
        <v>4.0134521850000002</v>
      </c>
      <c r="U70" s="3">
        <v>0.80053664400000002</v>
      </c>
      <c r="V70" s="3">
        <v>-0.79220620600000002</v>
      </c>
      <c r="W70" s="3">
        <v>0.63254738300000002</v>
      </c>
      <c r="X70" s="3">
        <v>1.4384444649999999</v>
      </c>
      <c r="Y70" s="3">
        <v>11.812805020000001</v>
      </c>
      <c r="Z70" s="3">
        <v>5.0134521850000002</v>
      </c>
      <c r="AA70" s="3">
        <v>6.9735744000000002E-2</v>
      </c>
      <c r="AB70" s="3">
        <v>53.31504898</v>
      </c>
      <c r="AC70" s="3">
        <v>2.2740501399999999</v>
      </c>
      <c r="AD70" s="3">
        <v>0.169449508</v>
      </c>
      <c r="AE70" s="3">
        <v>6.0448099419999997</v>
      </c>
      <c r="AF70" s="4">
        <v>42282</v>
      </c>
      <c r="AG70" s="5">
        <f>YEAR(AF70)</f>
        <v>2015</v>
      </c>
      <c r="AH70" s="5" t="str">
        <f>"Q"&amp;ROUNDUP(MONTH(AF70)/3,0)</f>
        <v>Q4</v>
      </c>
      <c r="AI70" s="5">
        <f>INDEX(RatingLookup!$B$2:$B$11,MATCH(A70,RatingLookup!$A$2:$A$11,0))</f>
        <v>9</v>
      </c>
      <c r="AJ70" s="5" t="str">
        <f>INDEX(RatingLookup!$C$2:$C$11,MATCH(A70,RatingLookup!$A$2:$A$11,0))</f>
        <v>Investment Grade</v>
      </c>
    </row>
    <row r="71" spans="1:36" x14ac:dyDescent="0.3">
      <c r="A71" s="3" t="s">
        <v>49</v>
      </c>
      <c r="B71" s="3" t="s">
        <v>143</v>
      </c>
      <c r="C71" s="3" t="s">
        <v>144</v>
      </c>
      <c r="D71" s="3" t="s">
        <v>39</v>
      </c>
      <c r="E71" s="3" t="s">
        <v>146</v>
      </c>
      <c r="F71" s="3" t="s">
        <v>53</v>
      </c>
      <c r="G71" s="3">
        <v>1.686754445</v>
      </c>
      <c r="H71" s="3">
        <v>1.5138105550000001</v>
      </c>
      <c r="I71" s="3">
        <v>0.88630124700000001</v>
      </c>
      <c r="J71" s="3">
        <v>53.453524600000001</v>
      </c>
      <c r="K71" s="3">
        <v>0.11521791200000001</v>
      </c>
      <c r="L71" s="3">
        <v>0.110589202</v>
      </c>
      <c r="M71" s="3">
        <v>0.471799788</v>
      </c>
      <c r="N71" s="3">
        <v>0.105960492</v>
      </c>
      <c r="O71" s="3">
        <v>2.5629036000000001E-2</v>
      </c>
      <c r="P71" s="3">
        <v>2.9028564999999999E-2</v>
      </c>
      <c r="Q71" s="3">
        <v>0.128877349</v>
      </c>
      <c r="R71" s="3">
        <v>0.222439686</v>
      </c>
      <c r="S71" s="3">
        <v>2.1219143649999999</v>
      </c>
      <c r="T71" s="3">
        <v>4.0285679270000001</v>
      </c>
      <c r="U71" s="3">
        <v>0.80113622500000004</v>
      </c>
      <c r="V71" s="3">
        <v>-4.1854993E-2</v>
      </c>
      <c r="W71" s="3">
        <v>0.52909479000000004</v>
      </c>
      <c r="X71" s="3">
        <v>1.7332645579999999</v>
      </c>
      <c r="Y71" s="3">
        <v>14.93133884</v>
      </c>
      <c r="Z71" s="3">
        <v>5.0285679270000001</v>
      </c>
      <c r="AA71" s="3">
        <v>0.110589202</v>
      </c>
      <c r="AB71" s="3">
        <v>16.827692670000001</v>
      </c>
      <c r="AC71" s="3">
        <v>3.2759055479999999</v>
      </c>
      <c r="AD71" s="3">
        <v>0.195686261</v>
      </c>
      <c r="AE71" s="3">
        <v>4.683443628</v>
      </c>
      <c r="AF71" s="4">
        <v>41773</v>
      </c>
      <c r="AG71" s="5">
        <f>YEAR(AF71)</f>
        <v>2014</v>
      </c>
      <c r="AH71" s="5" t="str">
        <f>"Q"&amp;ROUNDUP(MONTH(AF71)/3,0)</f>
        <v>Q2</v>
      </c>
      <c r="AI71" s="5">
        <f>INDEX(RatingLookup!$B$2:$B$11,MATCH(A71,RatingLookup!$A$2:$A$11,0))</f>
        <v>9</v>
      </c>
      <c r="AJ71" s="5" t="str">
        <f>INDEX(RatingLookup!$C$2:$C$11,MATCH(A71,RatingLookup!$A$2:$A$11,0))</f>
        <v>Investment Grade</v>
      </c>
    </row>
    <row r="72" spans="1:36" x14ac:dyDescent="0.3">
      <c r="A72" s="3" t="s">
        <v>49</v>
      </c>
      <c r="B72" s="3" t="s">
        <v>143</v>
      </c>
      <c r="C72" s="3" t="s">
        <v>144</v>
      </c>
      <c r="D72" s="3" t="s">
        <v>44</v>
      </c>
      <c r="E72" s="3" t="s">
        <v>147</v>
      </c>
      <c r="F72" s="3" t="s">
        <v>53</v>
      </c>
      <c r="G72" s="3">
        <v>2.1692582410000001</v>
      </c>
      <c r="H72" s="3">
        <v>1.720751991</v>
      </c>
      <c r="I72" s="3">
        <v>0.99432194399999996</v>
      </c>
      <c r="J72" s="3">
        <v>71.044764049999998</v>
      </c>
      <c r="K72" s="3">
        <v>6.9252099999999997E-2</v>
      </c>
      <c r="L72" s="3">
        <v>7.3003322999999995E-2</v>
      </c>
      <c r="M72" s="3">
        <v>0.292740899</v>
      </c>
      <c r="N72" s="3">
        <v>7.6754546000000007E-2</v>
      </c>
      <c r="O72" s="3">
        <v>2.3456733E-2</v>
      </c>
      <c r="P72" s="3">
        <v>2.8635576999999999E-2</v>
      </c>
      <c r="Q72" s="3">
        <v>0.112966187</v>
      </c>
      <c r="R72" s="3">
        <v>0.33871510999999999</v>
      </c>
      <c r="S72" s="3">
        <v>2.448493606</v>
      </c>
      <c r="T72" s="3">
        <v>3.815938703</v>
      </c>
      <c r="U72" s="3">
        <v>0.79235616099999995</v>
      </c>
      <c r="V72" s="3">
        <v>5.1384275E-2</v>
      </c>
      <c r="W72" s="3">
        <v>30.50409836</v>
      </c>
      <c r="X72" s="3">
        <v>-0.85316368600000003</v>
      </c>
      <c r="Y72" s="3">
        <v>7.0710683169999999</v>
      </c>
      <c r="Z72" s="3">
        <v>4.8159387029999996</v>
      </c>
      <c r="AA72" s="3">
        <v>7.3003322999999995E-2</v>
      </c>
      <c r="AB72" s="3">
        <v>23.295455109999999</v>
      </c>
      <c r="AC72" s="3">
        <v>-2.7968822000000001E-2</v>
      </c>
      <c r="AD72" s="3">
        <v>-1.9726259999999999E-3</v>
      </c>
      <c r="AE72" s="3">
        <v>6.0604780050000002</v>
      </c>
      <c r="AF72" s="4">
        <v>42648</v>
      </c>
      <c r="AG72" s="5">
        <f>YEAR(AF72)</f>
        <v>2016</v>
      </c>
      <c r="AH72" s="5" t="str">
        <f>"Q"&amp;ROUNDUP(MONTH(AF72)/3,0)</f>
        <v>Q4</v>
      </c>
      <c r="AI72" s="5">
        <f>INDEX(RatingLookup!$B$2:$B$11,MATCH(A72,RatingLookup!$A$2:$A$11,0))</f>
        <v>9</v>
      </c>
      <c r="AJ72" s="5" t="str">
        <f>INDEX(RatingLookup!$C$2:$C$11,MATCH(A72,RatingLookup!$A$2:$A$11,0))</f>
        <v>Investment Grade</v>
      </c>
    </row>
    <row r="73" spans="1:36" x14ac:dyDescent="0.3">
      <c r="A73" s="3" t="s">
        <v>42</v>
      </c>
      <c r="B73" s="3" t="s">
        <v>148</v>
      </c>
      <c r="C73" s="3" t="s">
        <v>149</v>
      </c>
      <c r="D73" s="3" t="s">
        <v>39</v>
      </c>
      <c r="E73" s="3" t="s">
        <v>150</v>
      </c>
      <c r="F73" s="3" t="s">
        <v>59</v>
      </c>
      <c r="G73" s="3">
        <v>1.198651079</v>
      </c>
      <c r="H73" s="3">
        <v>0.235341727</v>
      </c>
      <c r="I73" s="3">
        <v>0.235341727</v>
      </c>
      <c r="J73" s="3">
        <v>0</v>
      </c>
      <c r="K73" s="3">
        <v>6.5721592999999995E-2</v>
      </c>
      <c r="L73" s="3">
        <v>9.1604567999999997E-2</v>
      </c>
      <c r="M73" s="3">
        <v>9.2310066999999996E-2</v>
      </c>
      <c r="N73" s="3">
        <v>9.9320958000000001E-2</v>
      </c>
      <c r="O73" s="3">
        <v>8.2375373000000002E-2</v>
      </c>
      <c r="P73" s="3">
        <v>0.16574916200000001</v>
      </c>
      <c r="Q73" s="3">
        <v>0.60614070799999997</v>
      </c>
      <c r="R73" s="3">
        <v>1.2533989169999999</v>
      </c>
      <c r="S73" s="3">
        <v>9.6383340420000003</v>
      </c>
      <c r="T73" s="3">
        <v>6.3582757220000001</v>
      </c>
      <c r="U73" s="3">
        <v>0.86409859600000005</v>
      </c>
      <c r="V73" s="3">
        <v>0.29001203399999997</v>
      </c>
      <c r="W73" s="3">
        <v>0.81610206799999996</v>
      </c>
      <c r="X73" s="3">
        <v>11.56123403</v>
      </c>
      <c r="Y73" s="3">
        <v>8.1551885320000004</v>
      </c>
      <c r="Z73" s="3">
        <v>7.3582757220000001</v>
      </c>
      <c r="AA73" s="3">
        <v>9.1604567999999997E-2</v>
      </c>
      <c r="AB73" s="3">
        <v>9.6096440399999992</v>
      </c>
      <c r="AC73" s="3">
        <v>14.16640698</v>
      </c>
      <c r="AD73" s="3">
        <v>0.100224878</v>
      </c>
      <c r="AE73" s="3">
        <v>29.471009309999999</v>
      </c>
      <c r="AF73" s="4">
        <v>41766</v>
      </c>
      <c r="AG73" s="5">
        <f>YEAR(AF73)</f>
        <v>2014</v>
      </c>
      <c r="AH73" s="5" t="str">
        <f>"Q"&amp;ROUNDUP(MONTH(AF73)/3,0)</f>
        <v>Q2</v>
      </c>
      <c r="AI73" s="5">
        <f>INDEX(RatingLookup!$B$2:$B$11,MATCH(A73,RatingLookup!$A$2:$A$11,0))</f>
        <v>7</v>
      </c>
      <c r="AJ73" s="5" t="str">
        <f>INDEX(RatingLookup!$C$2:$C$11,MATCH(A73,RatingLookup!$A$2:$A$11,0))</f>
        <v>Investment Grade</v>
      </c>
    </row>
    <row r="74" spans="1:36" x14ac:dyDescent="0.3">
      <c r="A74" s="3" t="s">
        <v>36</v>
      </c>
      <c r="B74" s="3" t="s">
        <v>148</v>
      </c>
      <c r="C74" s="3" t="s">
        <v>149</v>
      </c>
      <c r="D74" s="3" t="s">
        <v>39</v>
      </c>
      <c r="E74" s="3" t="s">
        <v>151</v>
      </c>
      <c r="F74" s="3" t="s">
        <v>59</v>
      </c>
      <c r="G74" s="3">
        <v>1.1095212379999999</v>
      </c>
      <c r="H74" s="3">
        <v>0.13012958999999999</v>
      </c>
      <c r="I74" s="3">
        <v>0.13012958999999999</v>
      </c>
      <c r="J74" s="3">
        <v>0</v>
      </c>
      <c r="K74" s="3">
        <v>7.9254385999999996E-2</v>
      </c>
      <c r="L74" s="3">
        <v>0.115307018</v>
      </c>
      <c r="M74" s="3">
        <v>0.115241228</v>
      </c>
      <c r="N74" s="3">
        <v>0.122631579</v>
      </c>
      <c r="O74" s="3">
        <v>9.7483344E-2</v>
      </c>
      <c r="P74" s="3">
        <v>0.202534571</v>
      </c>
      <c r="Q74" s="3">
        <v>1.062941176</v>
      </c>
      <c r="R74" s="3">
        <v>1.2300056640000001</v>
      </c>
      <c r="S74" s="3">
        <v>9.5899053629999997</v>
      </c>
      <c r="T74" s="3">
        <v>9.9038235290000003</v>
      </c>
      <c r="U74" s="3">
        <v>0.90828905100000001</v>
      </c>
      <c r="V74" s="3">
        <v>0.31266641299999998</v>
      </c>
      <c r="W74" s="3">
        <v>0.78142783199999999</v>
      </c>
      <c r="X74" s="3">
        <v>9.535984848</v>
      </c>
      <c r="Y74" s="3">
        <v>4.5643939390000003</v>
      </c>
      <c r="Z74" s="3">
        <v>10.90382353</v>
      </c>
      <c r="AA74" s="3">
        <v>0.115307018</v>
      </c>
      <c r="AB74" s="3">
        <v>10.070546009999999</v>
      </c>
      <c r="AC74" s="3">
        <v>12.203282829999999</v>
      </c>
      <c r="AD74" s="3">
        <v>8.4780701999999999E-2</v>
      </c>
      <c r="AE74" s="3">
        <v>25.69745223</v>
      </c>
      <c r="AF74" s="4">
        <v>42123</v>
      </c>
      <c r="AG74" s="5">
        <f>YEAR(AF74)</f>
        <v>2015</v>
      </c>
      <c r="AH74" s="5" t="str">
        <f>"Q"&amp;ROUNDUP(MONTH(AF74)/3,0)</f>
        <v>Q2</v>
      </c>
      <c r="AI74" s="5">
        <f>INDEX(RatingLookup!$B$2:$B$11,MATCH(A74,RatingLookup!$A$2:$A$11,0))</f>
        <v>8</v>
      </c>
      <c r="AJ74" s="5" t="str">
        <f>INDEX(RatingLookup!$C$2:$C$11,MATCH(A74,RatingLookup!$A$2:$A$11,0))</f>
        <v>Investment Grade</v>
      </c>
    </row>
    <row r="75" spans="1:36" x14ac:dyDescent="0.3">
      <c r="A75" s="3" t="s">
        <v>42</v>
      </c>
      <c r="B75" s="3" t="s">
        <v>148</v>
      </c>
      <c r="C75" s="3" t="s">
        <v>149</v>
      </c>
      <c r="D75" s="3" t="s">
        <v>39</v>
      </c>
      <c r="E75" s="3" t="s">
        <v>152</v>
      </c>
      <c r="F75" s="3" t="s">
        <v>59</v>
      </c>
      <c r="G75" s="3">
        <v>1.152308458</v>
      </c>
      <c r="H75" s="3">
        <v>7.7541438000000004E-2</v>
      </c>
      <c r="I75" s="3">
        <v>7.7541438000000004E-2</v>
      </c>
      <c r="J75" s="3">
        <v>0</v>
      </c>
      <c r="K75" s="3">
        <v>7.8145322000000003E-2</v>
      </c>
      <c r="L75" s="3">
        <v>0.108883205</v>
      </c>
      <c r="M75" s="3">
        <v>0.112720021</v>
      </c>
      <c r="N75" s="3">
        <v>0.117835776</v>
      </c>
      <c r="O75" s="3">
        <v>7.3379742999999997E-2</v>
      </c>
      <c r="P75" s="3">
        <v>0.14322374600000001</v>
      </c>
      <c r="Q75" s="3">
        <v>1.164029706</v>
      </c>
      <c r="R75" s="3">
        <v>0.93901644699999998</v>
      </c>
      <c r="S75" s="3">
        <v>8.4029143899999994</v>
      </c>
      <c r="T75" s="3">
        <v>14.863093320000001</v>
      </c>
      <c r="U75" s="3">
        <v>0.93696059300000001</v>
      </c>
      <c r="V75" s="3">
        <v>0.282301413</v>
      </c>
      <c r="W75" s="3">
        <v>0.81591844700000005</v>
      </c>
      <c r="X75" s="3">
        <v>13.412826300000001</v>
      </c>
      <c r="Y75" s="3">
        <v>3.5127296170000002</v>
      </c>
      <c r="Z75" s="3">
        <v>15.863093320000001</v>
      </c>
      <c r="AA75" s="3">
        <v>0.108883205</v>
      </c>
      <c r="AB75" s="3">
        <v>12.325023209999999</v>
      </c>
      <c r="AC75" s="3">
        <v>16.438930070000001</v>
      </c>
      <c r="AD75" s="3">
        <v>0.110574005</v>
      </c>
      <c r="AE75" s="3">
        <v>20.735562309999999</v>
      </c>
      <c r="AF75" s="4">
        <v>42212</v>
      </c>
      <c r="AG75" s="5">
        <f>YEAR(AF75)</f>
        <v>2015</v>
      </c>
      <c r="AH75" s="5" t="str">
        <f>"Q"&amp;ROUNDUP(MONTH(AF75)/3,0)</f>
        <v>Q3</v>
      </c>
      <c r="AI75" s="5">
        <f>INDEX(RatingLookup!$B$2:$B$11,MATCH(A75,RatingLookup!$A$2:$A$11,0))</f>
        <v>7</v>
      </c>
      <c r="AJ75" s="5" t="str">
        <f>INDEX(RatingLookup!$C$2:$C$11,MATCH(A75,RatingLookup!$A$2:$A$11,0))</f>
        <v>Investment Grade</v>
      </c>
    </row>
    <row r="76" spans="1:36" x14ac:dyDescent="0.3">
      <c r="A76" s="3" t="s">
        <v>42</v>
      </c>
      <c r="B76" s="3" t="s">
        <v>148</v>
      </c>
      <c r="C76" s="3" t="s">
        <v>149</v>
      </c>
      <c r="D76" s="3" t="s">
        <v>60</v>
      </c>
      <c r="E76" s="3" t="s">
        <v>46</v>
      </c>
      <c r="F76" s="3" t="s">
        <v>59</v>
      </c>
      <c r="G76" s="3">
        <v>1.1619126129999999</v>
      </c>
      <c r="H76" s="3">
        <v>0.29554822800000002</v>
      </c>
      <c r="I76" s="3">
        <v>0.295300907</v>
      </c>
      <c r="J76" s="3">
        <v>0</v>
      </c>
      <c r="K76" s="3">
        <v>5.7098002000000002E-2</v>
      </c>
      <c r="L76" s="3">
        <v>7.8087700999999995E-2</v>
      </c>
      <c r="M76" s="3">
        <v>7.9657626999999995E-2</v>
      </c>
      <c r="N76" s="3">
        <v>8.5593239000000002E-2</v>
      </c>
      <c r="O76" s="3">
        <v>7.0037986999999996E-2</v>
      </c>
      <c r="P76" s="3">
        <v>0.140856544</v>
      </c>
      <c r="Q76" s="3">
        <v>2.652347652</v>
      </c>
      <c r="R76" s="3">
        <v>1.2266276250000001</v>
      </c>
      <c r="S76" s="3">
        <v>10.08436348</v>
      </c>
      <c r="T76" s="3">
        <v>36.87012987</v>
      </c>
      <c r="U76" s="3">
        <v>0.97359396399999998</v>
      </c>
      <c r="V76" s="3">
        <v>0.26549159999999999</v>
      </c>
      <c r="W76" s="3">
        <v>0.80860569000000004</v>
      </c>
      <c r="X76" s="3">
        <v>10.238166120000001</v>
      </c>
      <c r="Y76" s="3">
        <v>10.67281929</v>
      </c>
      <c r="Z76" s="3">
        <v>37.87012987</v>
      </c>
      <c r="AA76" s="3">
        <v>7.8087700999999995E-2</v>
      </c>
      <c r="AB76" s="3">
        <v>6.4601361270000002</v>
      </c>
      <c r="AC76" s="3">
        <v>12.6615064</v>
      </c>
      <c r="AD76" s="3">
        <v>9.1464332999999995E-2</v>
      </c>
      <c r="AE76" s="3">
        <v>18.860731600000001</v>
      </c>
      <c r="AF76" s="4">
        <v>41075</v>
      </c>
      <c r="AG76" s="5">
        <f>YEAR(AF76)</f>
        <v>2012</v>
      </c>
      <c r="AH76" s="5" t="str">
        <f>"Q"&amp;ROUNDUP(MONTH(AF76)/3,0)</f>
        <v>Q2</v>
      </c>
      <c r="AI76" s="5">
        <f>INDEX(RatingLookup!$B$2:$B$11,MATCH(A76,RatingLookup!$A$2:$A$11,0))</f>
        <v>7</v>
      </c>
      <c r="AJ76" s="5" t="str">
        <f>INDEX(RatingLookup!$C$2:$C$11,MATCH(A76,RatingLookup!$A$2:$A$11,0))</f>
        <v>Investment Grade</v>
      </c>
    </row>
    <row r="77" spans="1:36" x14ac:dyDescent="0.3">
      <c r="A77" s="3" t="s">
        <v>42</v>
      </c>
      <c r="B77" s="3" t="s">
        <v>148</v>
      </c>
      <c r="C77" s="3" t="s">
        <v>149</v>
      </c>
      <c r="D77" s="3" t="s">
        <v>60</v>
      </c>
      <c r="E77" s="3" t="s">
        <v>153</v>
      </c>
      <c r="F77" s="3" t="s">
        <v>59</v>
      </c>
      <c r="G77" s="3">
        <v>1.1398601399999999</v>
      </c>
      <c r="H77" s="3">
        <v>0.15614973300000001</v>
      </c>
      <c r="I77" s="3">
        <v>0.15614973300000001</v>
      </c>
      <c r="J77" s="3">
        <v>0</v>
      </c>
      <c r="K77" s="3">
        <v>5.8178966999999998E-2</v>
      </c>
      <c r="L77" s="3">
        <v>8.6304098999999995E-2</v>
      </c>
      <c r="M77" s="3">
        <v>8.8932220000000006E-2</v>
      </c>
      <c r="N77" s="3">
        <v>9.3976515999999996E-2</v>
      </c>
      <c r="O77" s="3">
        <v>7.1009132000000003E-2</v>
      </c>
      <c r="P77" s="3">
        <v>0.15364878100000001</v>
      </c>
      <c r="Q77" s="3">
        <v>70.38461538</v>
      </c>
      <c r="R77" s="3">
        <v>1.2205292700000001</v>
      </c>
      <c r="S77" s="3">
        <v>10.09240642</v>
      </c>
      <c r="T77" s="3">
        <v>990.20512819999999</v>
      </c>
      <c r="U77" s="3">
        <v>0.99899112700000003</v>
      </c>
      <c r="V77" s="3">
        <v>0.32588408600000002</v>
      </c>
      <c r="W77" s="3">
        <v>0.39654067900000001</v>
      </c>
      <c r="X77" s="3">
        <v>1.9122644419999999</v>
      </c>
      <c r="Y77" s="3">
        <v>5.8634538149999997</v>
      </c>
      <c r="Z77" s="3">
        <v>991.20512819999999</v>
      </c>
      <c r="AA77" s="3">
        <v>8.6304098999999995E-2</v>
      </c>
      <c r="AB77" s="3">
        <v>6.0795973810000001</v>
      </c>
      <c r="AC77" s="3">
        <v>4.8223663889999999</v>
      </c>
      <c r="AD77" s="3">
        <v>3.3084651E-2</v>
      </c>
      <c r="AE77" s="3">
        <v>21.0922473</v>
      </c>
      <c r="AF77" s="4">
        <v>41257</v>
      </c>
      <c r="AG77" s="5">
        <f>YEAR(AF77)</f>
        <v>2012</v>
      </c>
      <c r="AH77" s="5" t="str">
        <f>"Q"&amp;ROUNDUP(MONTH(AF77)/3,0)</f>
        <v>Q4</v>
      </c>
      <c r="AI77" s="5">
        <f>INDEX(RatingLookup!$B$2:$B$11,MATCH(A77,RatingLookup!$A$2:$A$11,0))</f>
        <v>7</v>
      </c>
      <c r="AJ77" s="5" t="str">
        <f>INDEX(RatingLookup!$C$2:$C$11,MATCH(A77,RatingLookup!$A$2:$A$11,0))</f>
        <v>Investment Grade</v>
      </c>
    </row>
    <row r="78" spans="1:36" x14ac:dyDescent="0.3">
      <c r="A78" s="3" t="s">
        <v>36</v>
      </c>
      <c r="B78" s="3" t="s">
        <v>154</v>
      </c>
      <c r="C78" s="3" t="s">
        <v>155</v>
      </c>
      <c r="D78" s="3" t="s">
        <v>39</v>
      </c>
      <c r="E78" s="3" t="s">
        <v>139</v>
      </c>
      <c r="F78" s="3" t="s">
        <v>53</v>
      </c>
      <c r="G78" s="3">
        <v>1.374159602</v>
      </c>
      <c r="H78" s="3">
        <v>0.92633732800000002</v>
      </c>
      <c r="I78" s="3">
        <v>0.46784565900000002</v>
      </c>
      <c r="J78" s="3">
        <v>86.862980769999993</v>
      </c>
      <c r="K78" s="3">
        <v>-0.62732371799999997</v>
      </c>
      <c r="L78" s="3">
        <v>-0.77596153800000001</v>
      </c>
      <c r="M78" s="3">
        <v>0.53493589699999999</v>
      </c>
      <c r="N78" s="3">
        <v>-0.77596153800000001</v>
      </c>
      <c r="O78" s="3">
        <v>-0.18023804600000001</v>
      </c>
      <c r="P78" s="3">
        <v>-0.264626315</v>
      </c>
      <c r="Q78" s="3">
        <v>-0.32151950699999998</v>
      </c>
      <c r="R78" s="3">
        <v>0.28731266</v>
      </c>
      <c r="S78" s="3">
        <v>0.39444988800000003</v>
      </c>
      <c r="T78" s="3">
        <v>0.78386036999999997</v>
      </c>
      <c r="U78" s="3">
        <v>0.43941800800000003</v>
      </c>
      <c r="V78" s="3">
        <v>0.13733994199999999</v>
      </c>
      <c r="W78" s="3">
        <v>-0.57326171299999995</v>
      </c>
      <c r="X78" s="3">
        <v>-2.5091431559999999</v>
      </c>
      <c r="Y78" s="3">
        <v>4.3991640539999999</v>
      </c>
      <c r="Z78" s="3">
        <v>1.78386037</v>
      </c>
      <c r="AA78" s="3">
        <v>-0.77596153800000001</v>
      </c>
      <c r="AB78" s="3">
        <v>-11.232757980000001</v>
      </c>
      <c r="AC78" s="3">
        <v>4.3769592480000004</v>
      </c>
      <c r="AD78" s="3">
        <v>0.26850961499999998</v>
      </c>
      <c r="AE78" s="3">
        <v>1.8911697620000001</v>
      </c>
      <c r="AF78" s="4">
        <v>42320</v>
      </c>
      <c r="AG78" s="5">
        <f>YEAR(AF78)</f>
        <v>2015</v>
      </c>
      <c r="AH78" s="5" t="str">
        <f>"Q"&amp;ROUNDUP(MONTH(AF78)/3,0)</f>
        <v>Q4</v>
      </c>
      <c r="AI78" s="5">
        <f>INDEX(RatingLookup!$B$2:$B$11,MATCH(A78,RatingLookup!$A$2:$A$11,0))</f>
        <v>8</v>
      </c>
      <c r="AJ78" s="5" t="str">
        <f>INDEX(RatingLookup!$C$2:$C$11,MATCH(A78,RatingLookup!$A$2:$A$11,0))</f>
        <v>Investment Grade</v>
      </c>
    </row>
    <row r="79" spans="1:36" x14ac:dyDescent="0.3">
      <c r="A79" s="3" t="s">
        <v>36</v>
      </c>
      <c r="B79" s="3" t="s">
        <v>154</v>
      </c>
      <c r="C79" s="3" t="s">
        <v>155</v>
      </c>
      <c r="D79" s="3" t="s">
        <v>39</v>
      </c>
      <c r="E79" s="3" t="s">
        <v>156</v>
      </c>
      <c r="F79" s="3" t="s">
        <v>53</v>
      </c>
      <c r="G79" s="3">
        <v>1.342542092</v>
      </c>
      <c r="H79" s="3">
        <v>1.248043633</v>
      </c>
      <c r="I79" s="3">
        <v>0.40230021300000002</v>
      </c>
      <c r="J79" s="3">
        <v>84.686567159999996</v>
      </c>
      <c r="K79" s="3">
        <v>0.24138213</v>
      </c>
      <c r="L79" s="3">
        <v>0.39492946200000001</v>
      </c>
      <c r="M79" s="3">
        <v>0.69077898199999999</v>
      </c>
      <c r="N79" s="3">
        <v>0.24138213</v>
      </c>
      <c r="O79" s="3">
        <v>8.5004968E-2</v>
      </c>
      <c r="P79" s="3">
        <v>0.15830451200000001</v>
      </c>
      <c r="Q79" s="3">
        <v>0.13687798500000001</v>
      </c>
      <c r="R79" s="3">
        <v>0.35215932500000002</v>
      </c>
      <c r="S79" s="3">
        <v>0.43809677400000002</v>
      </c>
      <c r="T79" s="3">
        <v>0.61023512499999999</v>
      </c>
      <c r="U79" s="3">
        <v>0.37897268299999998</v>
      </c>
      <c r="V79" s="3">
        <v>0.38879685200000003</v>
      </c>
      <c r="W79" s="3">
        <v>0.30092055400000001</v>
      </c>
      <c r="X79" s="3">
        <v>4.837706753</v>
      </c>
      <c r="Y79" s="3">
        <v>6.0340753640000004</v>
      </c>
      <c r="Z79" s="3">
        <v>1.610235125</v>
      </c>
      <c r="AA79" s="3">
        <v>0.39492946200000001</v>
      </c>
      <c r="AB79" s="3">
        <v>6.3620320000000001</v>
      </c>
      <c r="AC79" s="3">
        <v>16.07635866</v>
      </c>
      <c r="AD79" s="3">
        <v>0.52860355800000003</v>
      </c>
      <c r="AE79" s="3">
        <v>1.3699275360000001</v>
      </c>
      <c r="AF79" s="4">
        <v>41540</v>
      </c>
      <c r="AG79" s="5">
        <f>YEAR(AF79)</f>
        <v>2013</v>
      </c>
      <c r="AH79" s="5" t="str">
        <f>"Q"&amp;ROUNDUP(MONTH(AF79)/3,0)</f>
        <v>Q3</v>
      </c>
      <c r="AI79" s="5">
        <f>INDEX(RatingLookup!$B$2:$B$11,MATCH(A79,RatingLookup!$A$2:$A$11,0))</f>
        <v>8</v>
      </c>
      <c r="AJ79" s="5" t="str">
        <f>INDEX(RatingLookup!$C$2:$C$11,MATCH(A79,RatingLookup!$A$2:$A$11,0))</f>
        <v>Investment Grade</v>
      </c>
    </row>
    <row r="80" spans="1:36" x14ac:dyDescent="0.3">
      <c r="A80" s="3" t="s">
        <v>36</v>
      </c>
      <c r="B80" s="3" t="s">
        <v>154</v>
      </c>
      <c r="C80" s="3" t="s">
        <v>155</v>
      </c>
      <c r="D80" s="3" t="s">
        <v>60</v>
      </c>
      <c r="E80" s="3" t="s">
        <v>157</v>
      </c>
      <c r="F80" s="3" t="s">
        <v>53</v>
      </c>
      <c r="G80" s="3">
        <v>1.6827996119999999</v>
      </c>
      <c r="H80" s="3">
        <v>1.0175885490000001</v>
      </c>
      <c r="I80" s="3">
        <v>0.45960698700000002</v>
      </c>
      <c r="J80" s="3">
        <v>79.494096929999998</v>
      </c>
      <c r="K80" s="3">
        <v>3.1897266000000001E-2</v>
      </c>
      <c r="L80" s="3">
        <v>6.3380281999999996E-2</v>
      </c>
      <c r="M80" s="3">
        <v>0.64773197999999998</v>
      </c>
      <c r="N80" s="3">
        <v>6.3380281999999996E-2</v>
      </c>
      <c r="O80" s="3">
        <v>1.0949359000000001E-2</v>
      </c>
      <c r="P80" s="3">
        <v>2.5492034E-2</v>
      </c>
      <c r="Q80" s="3">
        <v>1.7620640999999999E-2</v>
      </c>
      <c r="R80" s="3">
        <v>0.34326952100000002</v>
      </c>
      <c r="S80" s="3">
        <v>0.48608104699999999</v>
      </c>
      <c r="T80" s="3">
        <v>0.60928516300000002</v>
      </c>
      <c r="U80" s="3">
        <v>0.37860609000000001</v>
      </c>
      <c r="V80" s="3">
        <v>1.3766339869999999</v>
      </c>
      <c r="W80" s="3">
        <v>0.193169498</v>
      </c>
      <c r="X80" s="3">
        <v>2.737165536</v>
      </c>
      <c r="Y80" s="3">
        <v>5.3552682110000003</v>
      </c>
      <c r="Z80" s="3">
        <v>1.609285163</v>
      </c>
      <c r="AA80" s="3">
        <v>6.3380281999999996E-2</v>
      </c>
      <c r="AB80" s="3">
        <v>11.92846782</v>
      </c>
      <c r="AC80" s="3">
        <v>14.169760589999999</v>
      </c>
      <c r="AD80" s="3">
        <v>0.57311516200000001</v>
      </c>
      <c r="AE80" s="3">
        <v>1.3010135780000001</v>
      </c>
      <c r="AF80" s="4">
        <v>41975</v>
      </c>
      <c r="AG80" s="5">
        <f>YEAR(AF80)</f>
        <v>2014</v>
      </c>
      <c r="AH80" s="5" t="str">
        <f>"Q"&amp;ROUNDUP(MONTH(AF80)/3,0)</f>
        <v>Q4</v>
      </c>
      <c r="AI80" s="5">
        <f>INDEX(RatingLookup!$B$2:$B$11,MATCH(A80,RatingLookup!$A$2:$A$11,0))</f>
        <v>8</v>
      </c>
      <c r="AJ80" s="5" t="str">
        <f>INDEX(RatingLookup!$C$2:$C$11,MATCH(A80,RatingLookup!$A$2:$A$11,0))</f>
        <v>Investment Grade</v>
      </c>
    </row>
    <row r="81" spans="1:36" x14ac:dyDescent="0.3">
      <c r="A81" s="3" t="s">
        <v>36</v>
      </c>
      <c r="B81" s="3" t="s">
        <v>154</v>
      </c>
      <c r="C81" s="3" t="s">
        <v>155</v>
      </c>
      <c r="D81" s="3" t="s">
        <v>60</v>
      </c>
      <c r="E81" s="3" t="s">
        <v>158</v>
      </c>
      <c r="F81" s="3" t="s">
        <v>53</v>
      </c>
      <c r="G81" s="3">
        <v>1.4523719639999999</v>
      </c>
      <c r="H81" s="3">
        <v>1.415376872</v>
      </c>
      <c r="I81" s="3">
        <v>0.47577702300000002</v>
      </c>
      <c r="J81" s="3">
        <v>82.258030829999996</v>
      </c>
      <c r="K81" s="3">
        <v>0.28284389500000001</v>
      </c>
      <c r="L81" s="3">
        <v>0.436902126</v>
      </c>
      <c r="M81" s="3">
        <v>1</v>
      </c>
      <c r="N81" s="3">
        <v>0.436902126</v>
      </c>
      <c r="O81" s="3">
        <v>0.112767304</v>
      </c>
      <c r="P81" s="3">
        <v>0.20076012100000001</v>
      </c>
      <c r="Q81" s="3">
        <v>0.17998405100000001</v>
      </c>
      <c r="R81" s="3">
        <v>0.39869095999999998</v>
      </c>
      <c r="S81" s="3">
        <v>0.52401278299999998</v>
      </c>
      <c r="T81" s="3">
        <v>0.59606592199999997</v>
      </c>
      <c r="U81" s="3">
        <v>0.37345946299999999</v>
      </c>
      <c r="V81" s="3">
        <v>0.40166363900000002</v>
      </c>
      <c r="W81" s="3">
        <v>0.38783486700000003</v>
      </c>
      <c r="X81" s="3">
        <v>5.8650412510000001</v>
      </c>
      <c r="Y81" s="3">
        <v>7.2072404880000001</v>
      </c>
      <c r="Z81" s="3">
        <v>1.596065922</v>
      </c>
      <c r="AA81" s="3">
        <v>0.436902126</v>
      </c>
      <c r="AB81" s="3">
        <v>5.6652543770000001</v>
      </c>
      <c r="AC81" s="3">
        <v>15.122521860000001</v>
      </c>
      <c r="AD81" s="3">
        <v>0.51301223900000004</v>
      </c>
      <c r="AE81" s="3">
        <v>1.3923454</v>
      </c>
      <c r="AF81" s="4">
        <v>41079</v>
      </c>
      <c r="AG81" s="5">
        <f>YEAR(AF81)</f>
        <v>2012</v>
      </c>
      <c r="AH81" s="5" t="str">
        <f>"Q"&amp;ROUNDUP(MONTH(AF81)/3,0)</f>
        <v>Q2</v>
      </c>
      <c r="AI81" s="5">
        <f>INDEX(RatingLookup!$B$2:$B$11,MATCH(A81,RatingLookup!$A$2:$A$11,0))</f>
        <v>8</v>
      </c>
      <c r="AJ81" s="5" t="str">
        <f>INDEX(RatingLookup!$C$2:$C$11,MATCH(A81,RatingLookup!$A$2:$A$11,0))</f>
        <v>Investment Grade</v>
      </c>
    </row>
    <row r="82" spans="1:36" x14ac:dyDescent="0.3">
      <c r="A82" s="3" t="s">
        <v>36</v>
      </c>
      <c r="B82" s="3" t="s">
        <v>154</v>
      </c>
      <c r="C82" s="3" t="s">
        <v>155</v>
      </c>
      <c r="D82" s="3" t="s">
        <v>60</v>
      </c>
      <c r="E82" s="3" t="s">
        <v>159</v>
      </c>
      <c r="F82" s="3" t="s">
        <v>53</v>
      </c>
      <c r="G82" s="3">
        <v>1.3247406479999999</v>
      </c>
      <c r="H82" s="3">
        <v>1.198208111</v>
      </c>
      <c r="I82" s="3">
        <v>0.35099025499999997</v>
      </c>
      <c r="J82" s="3">
        <v>144.29980180000001</v>
      </c>
      <c r="K82" s="3">
        <v>-5.6888007999999997E-2</v>
      </c>
      <c r="L82" s="3">
        <v>-0.18285431099999999</v>
      </c>
      <c r="M82" s="3">
        <v>0.48572844399999998</v>
      </c>
      <c r="N82" s="3">
        <v>-0.18285431099999999</v>
      </c>
      <c r="O82" s="3">
        <v>-1.3315085000000001E-2</v>
      </c>
      <c r="P82" s="3">
        <v>-5.0208179999999998E-2</v>
      </c>
      <c r="Q82" s="3">
        <v>-2.67014E-2</v>
      </c>
      <c r="R82" s="3">
        <v>0.23405785300000001</v>
      </c>
      <c r="S82" s="3">
        <v>0.31202647100000003</v>
      </c>
      <c r="T82" s="3">
        <v>1.005349584</v>
      </c>
      <c r="U82" s="3">
        <v>0.50133382800000004</v>
      </c>
      <c r="V82" s="3">
        <v>0.35880758800000001</v>
      </c>
      <c r="W82" s="3">
        <v>0.19686668600000001</v>
      </c>
      <c r="X82" s="3">
        <v>0.87195600900000003</v>
      </c>
      <c r="Y82" s="3">
        <v>4.7577899969999997</v>
      </c>
      <c r="Z82" s="3">
        <v>2.0053495840000002</v>
      </c>
      <c r="AA82" s="3">
        <v>-0.18285431099999999</v>
      </c>
      <c r="AB82" s="3">
        <v>24.528577800000001</v>
      </c>
      <c r="AC82" s="3">
        <v>4.4291699400000004</v>
      </c>
      <c r="AD82" s="3">
        <v>0.33528245800000001</v>
      </c>
      <c r="AE82" s="3">
        <v>1.321701477</v>
      </c>
      <c r="AF82" s="4">
        <v>42678</v>
      </c>
      <c r="AG82" s="5">
        <f>YEAR(AF82)</f>
        <v>2016</v>
      </c>
      <c r="AH82" s="5" t="str">
        <f>"Q"&amp;ROUNDUP(MONTH(AF82)/3,0)</f>
        <v>Q4</v>
      </c>
      <c r="AI82" s="5">
        <f>INDEX(RatingLookup!$B$2:$B$11,MATCH(A82,RatingLookup!$A$2:$A$11,0))</f>
        <v>8</v>
      </c>
      <c r="AJ82" s="5" t="str">
        <f>INDEX(RatingLookup!$C$2:$C$11,MATCH(A82,RatingLookup!$A$2:$A$11,0))</f>
        <v>Investment Grade</v>
      </c>
    </row>
    <row r="83" spans="1:36" x14ac:dyDescent="0.3">
      <c r="A83" s="3" t="s">
        <v>36</v>
      </c>
      <c r="B83" s="3" t="s">
        <v>160</v>
      </c>
      <c r="C83" s="3" t="s">
        <v>161</v>
      </c>
      <c r="D83" s="3" t="s">
        <v>39</v>
      </c>
      <c r="E83" s="3" t="s">
        <v>162</v>
      </c>
      <c r="F83" s="3" t="s">
        <v>79</v>
      </c>
      <c r="G83" s="3">
        <v>0.61742044200000001</v>
      </c>
      <c r="H83" s="3">
        <v>0.42919829700000001</v>
      </c>
      <c r="I83" s="3">
        <v>2.737817E-2</v>
      </c>
      <c r="J83" s="3">
        <v>28.683693309999999</v>
      </c>
      <c r="K83" s="3">
        <v>0.125093443</v>
      </c>
      <c r="L83" s="3">
        <v>0.137202352</v>
      </c>
      <c r="M83" s="3">
        <v>1</v>
      </c>
      <c r="N83" s="3">
        <v>0.24449032600000001</v>
      </c>
      <c r="O83" s="3">
        <v>2.9095653999999999E-2</v>
      </c>
      <c r="P83" s="3">
        <v>3.5299946999999998E-2</v>
      </c>
      <c r="Q83" s="3">
        <v>9.5389379999999996E-2</v>
      </c>
      <c r="R83" s="3">
        <v>0.232591362</v>
      </c>
      <c r="S83" s="3">
        <v>0.32888573700000001</v>
      </c>
      <c r="T83" s="3">
        <v>2.2784751559999998</v>
      </c>
      <c r="U83" s="3">
        <v>0.69498015000000002</v>
      </c>
      <c r="V83" s="3">
        <v>0.49568062299999999</v>
      </c>
      <c r="W83" s="3">
        <v>1.6667778000000001E-2</v>
      </c>
      <c r="X83" s="3">
        <v>0.16428584299999999</v>
      </c>
      <c r="Y83" s="3">
        <v>3.1015167620000001</v>
      </c>
      <c r="Z83" s="3">
        <v>3.2784751559999998</v>
      </c>
      <c r="AA83" s="3">
        <v>0.137202352</v>
      </c>
      <c r="AB83" s="3">
        <v>7.5531658129999997</v>
      </c>
      <c r="AC83" s="3">
        <v>9.8564930739999994</v>
      </c>
      <c r="AD83" s="3">
        <v>0.31307247799999999</v>
      </c>
      <c r="AE83" s="3">
        <v>3.7020908970000002</v>
      </c>
      <c r="AF83" s="4">
        <v>42342</v>
      </c>
      <c r="AG83" s="5">
        <f>YEAR(AF83)</f>
        <v>2015</v>
      </c>
      <c r="AH83" s="5" t="str">
        <f>"Q"&amp;ROUNDUP(MONTH(AF83)/3,0)</f>
        <v>Q4</v>
      </c>
      <c r="AI83" s="5">
        <f>INDEX(RatingLookup!$B$2:$B$11,MATCH(A83,RatingLookup!$A$2:$A$11,0))</f>
        <v>8</v>
      </c>
      <c r="AJ83" s="5" t="str">
        <f>INDEX(RatingLookup!$C$2:$C$11,MATCH(A83,RatingLookup!$A$2:$A$11,0))</f>
        <v>Investment Grade</v>
      </c>
    </row>
    <row r="84" spans="1:36" x14ac:dyDescent="0.3">
      <c r="A84" s="3" t="s">
        <v>36</v>
      </c>
      <c r="B84" s="3" t="s">
        <v>160</v>
      </c>
      <c r="C84" s="3" t="s">
        <v>161</v>
      </c>
      <c r="D84" s="3" t="s">
        <v>39</v>
      </c>
      <c r="E84" s="3" t="s">
        <v>97</v>
      </c>
      <c r="F84" s="3" t="s">
        <v>79</v>
      </c>
      <c r="G84" s="3">
        <v>0.62433978199999995</v>
      </c>
      <c r="H84" s="3">
        <v>0.45905282600000002</v>
      </c>
      <c r="I84" s="3">
        <v>4.8770380000000002E-3</v>
      </c>
      <c r="J84" s="3">
        <v>31.124442670000001</v>
      </c>
      <c r="K84" s="3">
        <v>0.11387082</v>
      </c>
      <c r="L84" s="3">
        <v>0.18455581800000001</v>
      </c>
      <c r="M84" s="3">
        <v>1</v>
      </c>
      <c r="N84" s="3">
        <v>0.23233891800000001</v>
      </c>
      <c r="O84" s="3">
        <v>2.777756E-2</v>
      </c>
      <c r="P84" s="3">
        <v>5.0523863000000002E-2</v>
      </c>
      <c r="Q84" s="3">
        <v>9.1035062999999999E-2</v>
      </c>
      <c r="R84" s="3">
        <v>0.24393923200000001</v>
      </c>
      <c r="S84" s="3">
        <v>0.34416211200000002</v>
      </c>
      <c r="T84" s="3">
        <v>2.277287909</v>
      </c>
      <c r="U84" s="3">
        <v>0.69486965199999995</v>
      </c>
      <c r="V84" s="3">
        <v>0.34249636500000002</v>
      </c>
      <c r="W84" s="3">
        <v>0.171870098</v>
      </c>
      <c r="X84" s="3">
        <v>1.7083958560000001</v>
      </c>
      <c r="Y84" s="3">
        <v>3.778397483</v>
      </c>
      <c r="Z84" s="3">
        <v>3.277287909</v>
      </c>
      <c r="AA84" s="3">
        <v>0.18455581800000001</v>
      </c>
      <c r="AB84" s="3">
        <v>8.108904119</v>
      </c>
      <c r="AC84" s="3">
        <v>9.9400412199999995</v>
      </c>
      <c r="AD84" s="3">
        <v>0.31493210100000002</v>
      </c>
      <c r="AE84" s="3">
        <v>3.996561781</v>
      </c>
      <c r="AF84" s="4">
        <v>41969</v>
      </c>
      <c r="AG84" s="5">
        <f>YEAR(AF84)</f>
        <v>2014</v>
      </c>
      <c r="AH84" s="5" t="str">
        <f>"Q"&amp;ROUNDUP(MONTH(AF84)/3,0)</f>
        <v>Q4</v>
      </c>
      <c r="AI84" s="5">
        <f>INDEX(RatingLookup!$B$2:$B$11,MATCH(A84,RatingLookup!$A$2:$A$11,0))</f>
        <v>8</v>
      </c>
      <c r="AJ84" s="5" t="str">
        <f>INDEX(RatingLookup!$C$2:$C$11,MATCH(A84,RatingLookup!$A$2:$A$11,0))</f>
        <v>Investment Grade</v>
      </c>
    </row>
    <row r="85" spans="1:36" x14ac:dyDescent="0.3">
      <c r="A85" s="3" t="s">
        <v>49</v>
      </c>
      <c r="B85" s="3" t="s">
        <v>160</v>
      </c>
      <c r="C85" s="3" t="s">
        <v>161</v>
      </c>
      <c r="D85" s="3" t="s">
        <v>39</v>
      </c>
      <c r="E85" s="3" t="s">
        <v>163</v>
      </c>
      <c r="F85" s="3" t="s">
        <v>79</v>
      </c>
      <c r="G85" s="3">
        <v>0.64474275999999997</v>
      </c>
      <c r="H85" s="3">
        <v>0.48314020899999999</v>
      </c>
      <c r="I85" s="3">
        <v>5.8851729999999996E-3</v>
      </c>
      <c r="J85" s="3">
        <v>31.686468120000001</v>
      </c>
      <c r="K85" s="3">
        <v>0.11754492800000001</v>
      </c>
      <c r="L85" s="3">
        <v>0.19410396699999999</v>
      </c>
      <c r="M85" s="3">
        <v>1</v>
      </c>
      <c r="N85" s="3">
        <v>0.244982383</v>
      </c>
      <c r="O85" s="3">
        <v>3.0060215000000001E-2</v>
      </c>
      <c r="P85" s="3">
        <v>5.6396520999999998E-2</v>
      </c>
      <c r="Q85" s="3">
        <v>9.6811754999999999E-2</v>
      </c>
      <c r="R85" s="3">
        <v>0.25573382900000002</v>
      </c>
      <c r="S85" s="3">
        <v>0.34894368799999997</v>
      </c>
      <c r="T85" s="3">
        <v>2.2205942589999998</v>
      </c>
      <c r="U85" s="3">
        <v>0.68949829799999995</v>
      </c>
      <c r="V85" s="3">
        <v>0.34387978899999999</v>
      </c>
      <c r="W85" s="3">
        <v>0.118775833</v>
      </c>
      <c r="X85" s="3">
        <v>1.245499345</v>
      </c>
      <c r="Y85" s="3">
        <v>4.383619436</v>
      </c>
      <c r="Z85" s="3">
        <v>3.2205942589999998</v>
      </c>
      <c r="AA85" s="3">
        <v>0.19410396699999999</v>
      </c>
      <c r="AB85" s="3">
        <v>6.3374266239999999</v>
      </c>
      <c r="AC85" s="3">
        <v>10.48613435</v>
      </c>
      <c r="AD85" s="3">
        <v>0.33384404899999998</v>
      </c>
      <c r="AE85" s="3">
        <v>3.8511331520000001</v>
      </c>
      <c r="AF85" s="4">
        <v>41796</v>
      </c>
      <c r="AG85" s="5">
        <f>YEAR(AF85)</f>
        <v>2014</v>
      </c>
      <c r="AH85" s="5" t="str">
        <f>"Q"&amp;ROUNDUP(MONTH(AF85)/3,0)</f>
        <v>Q2</v>
      </c>
      <c r="AI85" s="5">
        <f>INDEX(RatingLookup!$B$2:$B$11,MATCH(A85,RatingLookup!$A$2:$A$11,0))</f>
        <v>9</v>
      </c>
      <c r="AJ85" s="5" t="str">
        <f>INDEX(RatingLookup!$C$2:$C$11,MATCH(A85,RatingLookup!$A$2:$A$11,0))</f>
        <v>Investment Grade</v>
      </c>
    </row>
    <row r="86" spans="1:36" x14ac:dyDescent="0.3">
      <c r="A86" s="3" t="s">
        <v>49</v>
      </c>
      <c r="B86" s="3" t="s">
        <v>164</v>
      </c>
      <c r="C86" s="3" t="s">
        <v>165</v>
      </c>
      <c r="D86" s="3" t="s">
        <v>39</v>
      </c>
      <c r="E86" s="3" t="s">
        <v>166</v>
      </c>
      <c r="F86" s="3" t="s">
        <v>113</v>
      </c>
      <c r="G86" s="3">
        <v>1.3111485169999999</v>
      </c>
      <c r="H86" s="3">
        <v>0.62303077399999995</v>
      </c>
      <c r="I86" s="3">
        <v>0.106133195</v>
      </c>
      <c r="J86" s="3">
        <v>28.306608390000001</v>
      </c>
      <c r="K86" s="3">
        <v>3.4164002999999998E-2</v>
      </c>
      <c r="L86" s="3">
        <v>5.6207188999999998E-2</v>
      </c>
      <c r="M86" s="3">
        <v>0.173057603</v>
      </c>
      <c r="N86" s="3">
        <v>6.1673950999999998E-2</v>
      </c>
      <c r="O86" s="3">
        <v>5.5916803000000001E-2</v>
      </c>
      <c r="P86" s="3">
        <v>0.122233572</v>
      </c>
      <c r="Q86" s="3">
        <v>0.14079470899999999</v>
      </c>
      <c r="R86" s="3">
        <v>1.636716957</v>
      </c>
      <c r="S86" s="3">
        <v>15.55454084</v>
      </c>
      <c r="T86" s="3">
        <v>1.5179320359999999</v>
      </c>
      <c r="U86" s="3">
        <v>0.60284869299999999</v>
      </c>
      <c r="V86" s="3">
        <v>0.39298978600000001</v>
      </c>
      <c r="W86" s="3">
        <v>0.71861626199999995</v>
      </c>
      <c r="X86" s="3">
        <v>5.4069767439999996</v>
      </c>
      <c r="Y86" s="3">
        <v>2.2781753130000002</v>
      </c>
      <c r="Z86" s="3">
        <v>2.5179320359999999</v>
      </c>
      <c r="AA86" s="3">
        <v>5.6207188999999998E-2</v>
      </c>
      <c r="AB86" s="3">
        <v>11.518501649999999</v>
      </c>
      <c r="AC86" s="3">
        <v>7.5241502679999996</v>
      </c>
      <c r="AD86" s="3">
        <v>5.4876378000000003E-2</v>
      </c>
      <c r="AE86" s="3">
        <v>16.924165550000001</v>
      </c>
      <c r="AF86" s="4">
        <v>42324</v>
      </c>
      <c r="AG86" s="5">
        <f>YEAR(AF86)</f>
        <v>2015</v>
      </c>
      <c r="AH86" s="5" t="str">
        <f>"Q"&amp;ROUNDUP(MONTH(AF86)/3,0)</f>
        <v>Q4</v>
      </c>
      <c r="AI86" s="5">
        <f>INDEX(RatingLookup!$B$2:$B$11,MATCH(A86,RatingLookup!$A$2:$A$11,0))</f>
        <v>9</v>
      </c>
      <c r="AJ86" s="5" t="str">
        <f>INDEX(RatingLookup!$C$2:$C$11,MATCH(A86,RatingLookup!$A$2:$A$11,0))</f>
        <v>Investment Grade</v>
      </c>
    </row>
    <row r="87" spans="1:36" x14ac:dyDescent="0.3">
      <c r="A87" s="3" t="s">
        <v>36</v>
      </c>
      <c r="B87" s="3" t="s">
        <v>164</v>
      </c>
      <c r="C87" s="3" t="s">
        <v>165</v>
      </c>
      <c r="D87" s="3" t="s">
        <v>39</v>
      </c>
      <c r="E87" s="3" t="s">
        <v>167</v>
      </c>
      <c r="F87" s="3" t="s">
        <v>113</v>
      </c>
      <c r="G87" s="3">
        <v>1.6418152349999999</v>
      </c>
      <c r="H87" s="3">
        <v>0.83669367900000002</v>
      </c>
      <c r="I87" s="3">
        <v>0.26508914099999997</v>
      </c>
      <c r="J87" s="3">
        <v>25.134583979999999</v>
      </c>
      <c r="K87" s="3">
        <v>3.6225652999999997E-2</v>
      </c>
      <c r="L87" s="3">
        <v>5.9387350999999998E-2</v>
      </c>
      <c r="M87" s="3">
        <v>0.18762079800000001</v>
      </c>
      <c r="N87" s="3">
        <v>6.3402782000000005E-2</v>
      </c>
      <c r="O87" s="3">
        <v>6.4200431000000002E-2</v>
      </c>
      <c r="P87" s="3">
        <v>0.13418655600000001</v>
      </c>
      <c r="Q87" s="3">
        <v>0.121039591</v>
      </c>
      <c r="R87" s="3">
        <v>1.772236669</v>
      </c>
      <c r="S87" s="3">
        <v>14.713987230000001</v>
      </c>
      <c r="T87" s="3">
        <v>0.88533923800000003</v>
      </c>
      <c r="U87" s="3">
        <v>0.46959147699999998</v>
      </c>
      <c r="V87" s="3">
        <v>0.388947928</v>
      </c>
      <c r="W87" s="3">
        <v>0.65692547099999998</v>
      </c>
      <c r="X87" s="3">
        <v>3.1216105179999998</v>
      </c>
      <c r="Y87" s="3">
        <v>3.4322103529999999</v>
      </c>
      <c r="Z87" s="3">
        <v>1.885339238</v>
      </c>
      <c r="AA87" s="3">
        <v>5.9387350999999998E-2</v>
      </c>
      <c r="AB87" s="3">
        <v>9.2503330980000005</v>
      </c>
      <c r="AC87" s="3">
        <v>4.7518488090000002</v>
      </c>
      <c r="AD87" s="3">
        <v>4.5621287000000003E-2</v>
      </c>
      <c r="AE87" s="3">
        <v>18.56128335</v>
      </c>
      <c r="AF87" s="4">
        <v>41515</v>
      </c>
      <c r="AG87" s="5">
        <f>YEAR(AF87)</f>
        <v>2013</v>
      </c>
      <c r="AH87" s="5" t="str">
        <f>"Q"&amp;ROUNDUP(MONTH(AF87)/3,0)</f>
        <v>Q3</v>
      </c>
      <c r="AI87" s="5">
        <f>INDEX(RatingLookup!$B$2:$B$11,MATCH(A87,RatingLookup!$A$2:$A$11,0))</f>
        <v>8</v>
      </c>
      <c r="AJ87" s="5" t="str">
        <f>INDEX(RatingLookup!$C$2:$C$11,MATCH(A87,RatingLookup!$A$2:$A$11,0))</f>
        <v>Investment Grade</v>
      </c>
    </row>
    <row r="88" spans="1:36" x14ac:dyDescent="0.3">
      <c r="A88" s="3" t="s">
        <v>36</v>
      </c>
      <c r="B88" s="3" t="s">
        <v>164</v>
      </c>
      <c r="C88" s="3" t="s">
        <v>165</v>
      </c>
      <c r="D88" s="3" t="s">
        <v>39</v>
      </c>
      <c r="E88" s="3" t="s">
        <v>168</v>
      </c>
      <c r="F88" s="3" t="s">
        <v>113</v>
      </c>
      <c r="G88" s="3">
        <v>1.3655857469999999</v>
      </c>
      <c r="H88" s="3">
        <v>0.64129920600000001</v>
      </c>
      <c r="I88" s="3">
        <v>0.130393651</v>
      </c>
      <c r="J88" s="3">
        <v>25.37010196</v>
      </c>
      <c r="K88" s="3">
        <v>3.3322091999999998E-2</v>
      </c>
      <c r="L88" s="3">
        <v>5.5091951E-2</v>
      </c>
      <c r="M88" s="3">
        <v>0.18201582899999999</v>
      </c>
      <c r="N88" s="3">
        <v>6.3135462000000003E-2</v>
      </c>
      <c r="O88" s="3">
        <v>6.2543769999999999E-2</v>
      </c>
      <c r="P88" s="3">
        <v>0.139031236</v>
      </c>
      <c r="Q88" s="3">
        <v>0.122345751</v>
      </c>
      <c r="R88" s="3">
        <v>1.8769460760000001</v>
      </c>
      <c r="S88" s="3">
        <v>15.760149269999999</v>
      </c>
      <c r="T88" s="3">
        <v>0.95616207399999997</v>
      </c>
      <c r="U88" s="3">
        <v>0.488794915</v>
      </c>
      <c r="V88" s="3">
        <v>0.39502474599999998</v>
      </c>
      <c r="W88" s="3">
        <v>0.73749539099999994</v>
      </c>
      <c r="X88" s="3">
        <v>5.1688199829999997</v>
      </c>
      <c r="Y88" s="3">
        <v>2.1662360029999999</v>
      </c>
      <c r="Z88" s="3">
        <v>1.9561620740000001</v>
      </c>
      <c r="AA88" s="3">
        <v>5.5091951E-2</v>
      </c>
      <c r="AB88" s="3">
        <v>11.53334203</v>
      </c>
      <c r="AC88" s="3">
        <v>7.0086132640000001</v>
      </c>
      <c r="AD88" s="3">
        <v>5.8385413999999997E-2</v>
      </c>
      <c r="AE88" s="3">
        <v>17.41255537</v>
      </c>
      <c r="AF88" s="4">
        <v>42142</v>
      </c>
      <c r="AG88" s="5">
        <f>YEAR(AF88)</f>
        <v>2015</v>
      </c>
      <c r="AH88" s="5" t="str">
        <f>"Q"&amp;ROUNDUP(MONTH(AF88)/3,0)</f>
        <v>Q2</v>
      </c>
      <c r="AI88" s="5">
        <f>INDEX(RatingLookup!$B$2:$B$11,MATCH(A88,RatingLookup!$A$2:$A$11,0))</f>
        <v>8</v>
      </c>
      <c r="AJ88" s="5" t="str">
        <f>INDEX(RatingLookup!$C$2:$C$11,MATCH(A88,RatingLookup!$A$2:$A$11,0))</f>
        <v>Investment Grade</v>
      </c>
    </row>
    <row r="89" spans="1:36" x14ac:dyDescent="0.3">
      <c r="A89" s="3" t="s">
        <v>42</v>
      </c>
      <c r="B89" s="3" t="s">
        <v>164</v>
      </c>
      <c r="C89" s="3" t="s">
        <v>165</v>
      </c>
      <c r="D89" s="3" t="s">
        <v>60</v>
      </c>
      <c r="E89" s="3" t="s">
        <v>46</v>
      </c>
      <c r="F89" s="3" t="s">
        <v>113</v>
      </c>
      <c r="G89" s="3">
        <v>1.5552024090000001</v>
      </c>
      <c r="H89" s="3">
        <v>0.6243727</v>
      </c>
      <c r="I89" s="3">
        <v>0.118183339</v>
      </c>
      <c r="J89" s="3">
        <v>20.60835668</v>
      </c>
      <c r="K89" s="3">
        <v>3.2315592999999997E-2</v>
      </c>
      <c r="L89" s="3">
        <v>5.3650794000000002E-2</v>
      </c>
      <c r="M89" s="3">
        <v>0.19197945799999999</v>
      </c>
      <c r="N89" s="3">
        <v>5.9103640999999998E-2</v>
      </c>
      <c r="O89" s="3">
        <v>5.3623166E-2</v>
      </c>
      <c r="P89" s="3">
        <v>0.109266549</v>
      </c>
      <c r="Q89" s="3">
        <v>9.0956873999999993E-2</v>
      </c>
      <c r="R89" s="3">
        <v>1.6593588770000001</v>
      </c>
      <c r="S89" s="3">
        <v>12.6491083</v>
      </c>
      <c r="T89" s="3">
        <v>0.69622348999999994</v>
      </c>
      <c r="U89" s="3">
        <v>0.41045504500000002</v>
      </c>
      <c r="V89" s="3">
        <v>0.392969022</v>
      </c>
      <c r="W89" s="3">
        <v>0.68032786899999997</v>
      </c>
      <c r="X89" s="3">
        <v>2.9775784750000001</v>
      </c>
      <c r="Y89" s="3">
        <v>1.059790732</v>
      </c>
      <c r="Z89" s="3">
        <v>1.6962234899999999</v>
      </c>
      <c r="AA89" s="3">
        <v>5.3650794000000002E-2</v>
      </c>
      <c r="AB89" s="3">
        <v>8.0957153710000007</v>
      </c>
      <c r="AC89" s="3">
        <v>4.3766816139999998</v>
      </c>
      <c r="AD89" s="3">
        <v>5.4677871000000003E-2</v>
      </c>
      <c r="AE89" s="3">
        <v>19.80297483</v>
      </c>
      <c r="AF89" s="4">
        <v>41075</v>
      </c>
      <c r="AG89" s="5">
        <f>YEAR(AF89)</f>
        <v>2012</v>
      </c>
      <c r="AH89" s="5" t="str">
        <f>"Q"&amp;ROUNDUP(MONTH(AF89)/3,0)</f>
        <v>Q2</v>
      </c>
      <c r="AI89" s="5">
        <f>INDEX(RatingLookup!$B$2:$B$11,MATCH(A89,RatingLookup!$A$2:$A$11,0))</f>
        <v>7</v>
      </c>
      <c r="AJ89" s="5" t="str">
        <f>INDEX(RatingLookup!$C$2:$C$11,MATCH(A89,RatingLookup!$A$2:$A$11,0))</f>
        <v>Investment Grade</v>
      </c>
    </row>
    <row r="90" spans="1:36" x14ac:dyDescent="0.3">
      <c r="A90" s="3" t="s">
        <v>42</v>
      </c>
      <c r="B90" s="3" t="s">
        <v>164</v>
      </c>
      <c r="C90" s="3" t="s">
        <v>165</v>
      </c>
      <c r="D90" s="3" t="s">
        <v>60</v>
      </c>
      <c r="E90" s="3" t="s">
        <v>169</v>
      </c>
      <c r="F90" s="3" t="s">
        <v>113</v>
      </c>
      <c r="G90" s="3">
        <v>1.4395939090000001</v>
      </c>
      <c r="H90" s="3">
        <v>0.56947063099999995</v>
      </c>
      <c r="I90" s="3">
        <v>9.9709935E-2</v>
      </c>
      <c r="J90" s="3">
        <v>19.187748209999999</v>
      </c>
      <c r="K90" s="3">
        <v>3.1486278999999999E-2</v>
      </c>
      <c r="L90" s="3">
        <v>5.1350977999999999E-2</v>
      </c>
      <c r="M90" s="3">
        <v>0.18277797200000001</v>
      </c>
      <c r="N90" s="3">
        <v>5.8700754000000001E-2</v>
      </c>
      <c r="O90" s="3">
        <v>5.8820852E-2</v>
      </c>
      <c r="P90" s="3">
        <v>0.121311538</v>
      </c>
      <c r="Q90" s="3">
        <v>0.102827286</v>
      </c>
      <c r="R90" s="3">
        <v>1.8681423720000001</v>
      </c>
      <c r="S90" s="3">
        <v>14.2647127</v>
      </c>
      <c r="T90" s="3">
        <v>0.74814343299999997</v>
      </c>
      <c r="U90" s="3">
        <v>0.42796455900000002</v>
      </c>
      <c r="V90" s="3">
        <v>0.38605092499999999</v>
      </c>
      <c r="W90" s="3">
        <v>0.69569779600000003</v>
      </c>
      <c r="X90" s="3">
        <v>3.6514555469999999</v>
      </c>
      <c r="Y90" s="3">
        <v>1.085759245</v>
      </c>
      <c r="Z90" s="3">
        <v>1.7481434330000001</v>
      </c>
      <c r="AA90" s="3">
        <v>5.1350977999999999E-2</v>
      </c>
      <c r="AB90" s="3">
        <v>8.1739394280000006</v>
      </c>
      <c r="AC90" s="3">
        <v>5.2486231310000004</v>
      </c>
      <c r="AD90" s="3">
        <v>5.4177191E-2</v>
      </c>
      <c r="AE90" s="3">
        <v>19.84753452</v>
      </c>
      <c r="AF90" s="4">
        <v>41240</v>
      </c>
      <c r="AG90" s="5">
        <f>YEAR(AF90)</f>
        <v>2012</v>
      </c>
      <c r="AH90" s="5" t="str">
        <f>"Q"&amp;ROUNDUP(MONTH(AF90)/3,0)</f>
        <v>Q4</v>
      </c>
      <c r="AI90" s="5">
        <f>INDEX(RatingLookup!$B$2:$B$11,MATCH(A90,RatingLookup!$A$2:$A$11,0))</f>
        <v>7</v>
      </c>
      <c r="AJ90" s="5" t="str">
        <f>INDEX(RatingLookup!$C$2:$C$11,MATCH(A90,RatingLookup!$A$2:$A$11,0))</f>
        <v>Investment Grade</v>
      </c>
    </row>
    <row r="91" spans="1:36" x14ac:dyDescent="0.3">
      <c r="A91" s="3" t="s">
        <v>42</v>
      </c>
      <c r="B91" s="3" t="s">
        <v>164</v>
      </c>
      <c r="C91" s="3" t="s">
        <v>165</v>
      </c>
      <c r="D91" s="3" t="s">
        <v>47</v>
      </c>
      <c r="E91" s="3" t="s">
        <v>170</v>
      </c>
      <c r="F91" s="3" t="s">
        <v>113</v>
      </c>
      <c r="G91" s="3">
        <v>1.182552381</v>
      </c>
      <c r="H91" s="3">
        <v>0.59512381000000003</v>
      </c>
      <c r="I91" s="3">
        <v>0.12841904800000001</v>
      </c>
      <c r="J91" s="3">
        <v>25.00963239</v>
      </c>
      <c r="K91" s="3">
        <v>2.9950542E-2</v>
      </c>
      <c r="L91" s="3">
        <v>4.8652028E-2</v>
      </c>
      <c r="M91" s="3">
        <v>0.162550838</v>
      </c>
      <c r="N91" s="3">
        <v>5.8233724000000001E-2</v>
      </c>
      <c r="O91" s="3">
        <v>5.6287183999999997E-2</v>
      </c>
      <c r="P91" s="3">
        <v>0.12661995000000001</v>
      </c>
      <c r="Q91" s="3">
        <v>0.14436600599999999</v>
      </c>
      <c r="R91" s="3">
        <v>1.8793377229999999</v>
      </c>
      <c r="S91" s="3">
        <v>17.447272730000002</v>
      </c>
      <c r="T91" s="3">
        <v>1.5648112949999999</v>
      </c>
      <c r="U91" s="3">
        <v>0.61010776799999999</v>
      </c>
      <c r="V91" s="3">
        <v>0.38404538599999999</v>
      </c>
      <c r="W91" s="3">
        <v>0.77912404400000002</v>
      </c>
      <c r="X91" s="3">
        <v>7.3112767940000003</v>
      </c>
      <c r="Y91" s="3">
        <v>3.2227399810000001</v>
      </c>
      <c r="Z91" s="3">
        <v>2.5648112950000002</v>
      </c>
      <c r="AA91" s="3">
        <v>4.8652028E-2</v>
      </c>
      <c r="AB91" s="3">
        <v>8.3282322640000004</v>
      </c>
      <c r="AC91" s="3">
        <v>9.3839701770000001</v>
      </c>
      <c r="AD91" s="3">
        <v>5.6718453000000002E-2</v>
      </c>
      <c r="AE91" s="3">
        <v>18.709916939999999</v>
      </c>
      <c r="AF91" s="4">
        <v>42572</v>
      </c>
      <c r="AG91" s="5">
        <f>YEAR(AF91)</f>
        <v>2016</v>
      </c>
      <c r="AH91" s="5" t="str">
        <f>"Q"&amp;ROUNDUP(MONTH(AF91)/3,0)</f>
        <v>Q3</v>
      </c>
      <c r="AI91" s="5">
        <f>INDEX(RatingLookup!$B$2:$B$11,MATCH(A91,RatingLookup!$A$2:$A$11,0))</f>
        <v>7</v>
      </c>
      <c r="AJ91" s="5" t="str">
        <f>INDEX(RatingLookup!$C$2:$C$11,MATCH(A91,RatingLookup!$A$2:$A$11,0))</f>
        <v>Investment Grade</v>
      </c>
    </row>
    <row r="92" spans="1:36" x14ac:dyDescent="0.3">
      <c r="A92" s="3" t="s">
        <v>42</v>
      </c>
      <c r="B92" s="3" t="s">
        <v>171</v>
      </c>
      <c r="C92" s="3" t="s">
        <v>172</v>
      </c>
      <c r="D92" s="3" t="s">
        <v>39</v>
      </c>
      <c r="E92" s="3" t="s">
        <v>173</v>
      </c>
      <c r="F92" s="3" t="s">
        <v>174</v>
      </c>
      <c r="G92" s="3">
        <v>2.0620567379999999</v>
      </c>
      <c r="H92" s="3">
        <v>0.92730496500000004</v>
      </c>
      <c r="I92" s="3">
        <v>0.74024822700000004</v>
      </c>
      <c r="J92" s="3">
        <v>0</v>
      </c>
      <c r="K92" s="3">
        <v>6.6010082999999997E-2</v>
      </c>
      <c r="L92" s="3">
        <v>5.0885214999999998E-2</v>
      </c>
      <c r="M92" s="3">
        <v>0.21338961200000001</v>
      </c>
      <c r="N92" s="3">
        <v>8.7583539000000002E-2</v>
      </c>
      <c r="O92" s="3">
        <v>3.8832942000000002E-2</v>
      </c>
      <c r="P92" s="3">
        <v>3.2460732999999999E-2</v>
      </c>
      <c r="Q92" s="3">
        <v>8.2855040000000005E-2</v>
      </c>
      <c r="R92" s="3">
        <v>0.58828804000000001</v>
      </c>
      <c r="S92" s="3">
        <v>3.1542159760000001</v>
      </c>
      <c r="T92" s="3">
        <v>1.1336276670000001</v>
      </c>
      <c r="U92" s="3">
        <v>0.53131466400000005</v>
      </c>
      <c r="V92" s="3">
        <v>-0.29723502299999999</v>
      </c>
      <c r="W92" s="3">
        <v>0.74003984099999998</v>
      </c>
      <c r="X92" s="3">
        <v>1.3119582430000001</v>
      </c>
      <c r="Y92" s="3">
        <v>1.8469829369999999</v>
      </c>
      <c r="Z92" s="3">
        <v>2.1336276669999998</v>
      </c>
      <c r="AA92" s="3">
        <v>5.0885214999999998E-2</v>
      </c>
      <c r="AB92" s="3">
        <v>17.624235710000001</v>
      </c>
      <c r="AC92" s="3">
        <v>1.772821099</v>
      </c>
      <c r="AD92" s="3">
        <v>0.117716028</v>
      </c>
      <c r="AE92" s="3">
        <v>17.471354170000001</v>
      </c>
      <c r="AF92" s="4">
        <v>41691</v>
      </c>
      <c r="AG92" s="5">
        <f>YEAR(AF92)</f>
        <v>2014</v>
      </c>
      <c r="AH92" s="5" t="str">
        <f>"Q"&amp;ROUNDUP(MONTH(AF92)/3,0)</f>
        <v>Q1</v>
      </c>
      <c r="AI92" s="5">
        <f>INDEX(RatingLookup!$B$2:$B$11,MATCH(A92,RatingLookup!$A$2:$A$11,0))</f>
        <v>7</v>
      </c>
      <c r="AJ92" s="5" t="str">
        <f>INDEX(RatingLookup!$C$2:$C$11,MATCH(A92,RatingLookup!$A$2:$A$11,0))</f>
        <v>Investment Grade</v>
      </c>
    </row>
    <row r="93" spans="1:36" x14ac:dyDescent="0.3">
      <c r="A93" s="3" t="s">
        <v>42</v>
      </c>
      <c r="B93" s="3" t="s">
        <v>171</v>
      </c>
      <c r="C93" s="3" t="s">
        <v>172</v>
      </c>
      <c r="D93" s="3" t="s">
        <v>39</v>
      </c>
      <c r="E93" s="3" t="s">
        <v>175</v>
      </c>
      <c r="F93" s="3" t="s">
        <v>174</v>
      </c>
      <c r="G93" s="3">
        <v>3.3039215689999999</v>
      </c>
      <c r="H93" s="3">
        <v>1.9259259259999999</v>
      </c>
      <c r="I93" s="3">
        <v>1.721132898</v>
      </c>
      <c r="J93" s="3">
        <v>0</v>
      </c>
      <c r="K93" s="3">
        <v>0.246656761</v>
      </c>
      <c r="L93" s="3">
        <v>0.13683641799999999</v>
      </c>
      <c r="M93" s="3">
        <v>0.221531811</v>
      </c>
      <c r="N93" s="3">
        <v>0.178306092</v>
      </c>
      <c r="O93" s="3">
        <v>0.13569146200000001</v>
      </c>
      <c r="P93" s="3">
        <v>8.0787942000000001E-2</v>
      </c>
      <c r="Q93" s="3">
        <v>0.34426847700000002</v>
      </c>
      <c r="R93" s="3">
        <v>0.55012261299999998</v>
      </c>
      <c r="S93" s="3">
        <v>2.822340831</v>
      </c>
      <c r="T93" s="3">
        <v>1.53714178</v>
      </c>
      <c r="U93" s="3">
        <v>0.605855688</v>
      </c>
      <c r="V93" s="3">
        <v>0.182625864</v>
      </c>
      <c r="W93" s="3">
        <v>0.67463235300000002</v>
      </c>
      <c r="X93" s="3">
        <v>1.3184720809999999</v>
      </c>
      <c r="Y93" s="3">
        <v>3.1758292090000002</v>
      </c>
      <c r="Z93" s="3">
        <v>2.5371417799999998</v>
      </c>
      <c r="AA93" s="3">
        <v>0.13683641799999999</v>
      </c>
      <c r="AB93" s="3">
        <v>12.785095739999999</v>
      </c>
      <c r="AC93" s="3">
        <v>1.9543564369999999</v>
      </c>
      <c r="AD93" s="3">
        <v>0.146967446</v>
      </c>
      <c r="AE93" s="3">
        <v>17.410876129999998</v>
      </c>
      <c r="AF93" s="4">
        <v>41870</v>
      </c>
      <c r="AG93" s="5">
        <f>YEAR(AF93)</f>
        <v>2014</v>
      </c>
      <c r="AH93" s="5" t="str">
        <f>"Q"&amp;ROUNDUP(MONTH(AF93)/3,0)</f>
        <v>Q3</v>
      </c>
      <c r="AI93" s="5">
        <f>INDEX(RatingLookup!$B$2:$B$11,MATCH(A93,RatingLookup!$A$2:$A$11,0))</f>
        <v>7</v>
      </c>
      <c r="AJ93" s="5" t="str">
        <f>INDEX(RatingLookup!$C$2:$C$11,MATCH(A93,RatingLookup!$A$2:$A$11,0))</f>
        <v>Investment Grade</v>
      </c>
    </row>
    <row r="94" spans="1:36" x14ac:dyDescent="0.3">
      <c r="A94" s="3" t="s">
        <v>42</v>
      </c>
      <c r="B94" s="3" t="s">
        <v>171</v>
      </c>
      <c r="C94" s="3" t="s">
        <v>172</v>
      </c>
      <c r="D94" s="3" t="s">
        <v>60</v>
      </c>
      <c r="E94" s="3" t="s">
        <v>176</v>
      </c>
      <c r="F94" s="3" t="s">
        <v>174</v>
      </c>
      <c r="G94" s="3">
        <v>1.735772358</v>
      </c>
      <c r="H94" s="3">
        <v>0.94471544699999999</v>
      </c>
      <c r="I94" s="3">
        <v>0.73008130100000002</v>
      </c>
      <c r="J94" s="3">
        <v>3.7229069269999999</v>
      </c>
      <c r="K94" s="3">
        <v>5.4540302999999998E-2</v>
      </c>
      <c r="L94" s="3">
        <v>6.2190111999999999E-2</v>
      </c>
      <c r="M94" s="3">
        <v>0.17693724299999999</v>
      </c>
      <c r="N94" s="3">
        <v>0.10412239700000001</v>
      </c>
      <c r="O94" s="3">
        <v>3.0574968000000001E-2</v>
      </c>
      <c r="P94" s="3">
        <v>3.8637563999999999E-2</v>
      </c>
      <c r="Q94" s="3">
        <v>9.4594595000000004E-2</v>
      </c>
      <c r="R94" s="3">
        <v>0.56059402800000002</v>
      </c>
      <c r="S94" s="3">
        <v>2.4690451210000002</v>
      </c>
      <c r="T94" s="3">
        <v>2.0938574939999999</v>
      </c>
      <c r="U94" s="3">
        <v>0.67677890699999999</v>
      </c>
      <c r="V94" s="3">
        <v>0.12528473800000001</v>
      </c>
      <c r="W94" s="3">
        <v>0.55938037900000004</v>
      </c>
      <c r="X94" s="3">
        <v>0.60281188600000002</v>
      </c>
      <c r="Y94" s="3">
        <v>2.0217383240000002</v>
      </c>
      <c r="Z94" s="3">
        <v>3.0938574939999999</v>
      </c>
      <c r="AA94" s="3">
        <v>6.2190111999999999E-2</v>
      </c>
      <c r="AB94" s="3">
        <v>16.287904789999999</v>
      </c>
      <c r="AC94" s="3">
        <v>1.0776421709999999</v>
      </c>
      <c r="AD94" s="3">
        <v>8.2306275999999998E-2</v>
      </c>
      <c r="AE94" s="3">
        <v>17.659574469999999</v>
      </c>
      <c r="AF94" s="4">
        <v>41386</v>
      </c>
      <c r="AG94" s="5">
        <f>YEAR(AF94)</f>
        <v>2013</v>
      </c>
      <c r="AH94" s="5" t="str">
        <f>"Q"&amp;ROUNDUP(MONTH(AF94)/3,0)</f>
        <v>Q2</v>
      </c>
      <c r="AI94" s="5">
        <f>INDEX(RatingLookup!$B$2:$B$11,MATCH(A94,RatingLookup!$A$2:$A$11,0))</f>
        <v>7</v>
      </c>
      <c r="AJ94" s="5" t="str">
        <f>INDEX(RatingLookup!$C$2:$C$11,MATCH(A94,RatingLookup!$A$2:$A$11,0))</f>
        <v>Investment Grade</v>
      </c>
    </row>
    <row r="95" spans="1:36" x14ac:dyDescent="0.3">
      <c r="A95" s="3" t="s">
        <v>42</v>
      </c>
      <c r="B95" s="3" t="s">
        <v>171</v>
      </c>
      <c r="C95" s="3" t="s">
        <v>172</v>
      </c>
      <c r="D95" s="3" t="s">
        <v>39</v>
      </c>
      <c r="E95" s="3" t="s">
        <v>177</v>
      </c>
      <c r="F95" s="3" t="s">
        <v>174</v>
      </c>
      <c r="G95" s="3">
        <v>2.4845714289999998</v>
      </c>
      <c r="H95" s="3">
        <v>1.241142857</v>
      </c>
      <c r="I95" s="3">
        <v>1.156571429</v>
      </c>
      <c r="J95" s="3">
        <v>0</v>
      </c>
      <c r="K95" s="3">
        <v>7.1448742999999995E-2</v>
      </c>
      <c r="L95" s="3">
        <v>7.1025134000000004E-2</v>
      </c>
      <c r="M95" s="3">
        <v>0.195989833</v>
      </c>
      <c r="N95" s="3">
        <v>0.12976560300000001</v>
      </c>
      <c r="O95" s="3">
        <v>4.0525388000000002E-2</v>
      </c>
      <c r="P95" s="3">
        <v>4.3320988999999997E-2</v>
      </c>
      <c r="Q95" s="3">
        <v>0.10392277699999999</v>
      </c>
      <c r="R95" s="3">
        <v>0.56719525900000001</v>
      </c>
      <c r="S95" s="3">
        <v>2.7385924209999999</v>
      </c>
      <c r="T95" s="3">
        <v>1.5643869379999999</v>
      </c>
      <c r="U95" s="3">
        <v>0.61004324799999998</v>
      </c>
      <c r="V95" s="3">
        <v>-5.9642150000000001E-3</v>
      </c>
      <c r="W95" s="3">
        <v>0.58364661699999998</v>
      </c>
      <c r="X95" s="3">
        <v>1.202623695</v>
      </c>
      <c r="Y95" s="3">
        <v>2.1031390220000001</v>
      </c>
      <c r="Z95" s="3">
        <v>2.5643869380000002</v>
      </c>
      <c r="AA95" s="3">
        <v>7.1025134000000004E-2</v>
      </c>
      <c r="AB95" s="3">
        <v>12.234092499999999</v>
      </c>
      <c r="AC95" s="3">
        <v>2.0605339960000002</v>
      </c>
      <c r="AD95" s="3">
        <v>0.15024004499999999</v>
      </c>
      <c r="AE95" s="3">
        <v>17.466257670000001</v>
      </c>
      <c r="AF95" s="4">
        <v>42317</v>
      </c>
      <c r="AG95" s="5">
        <f>YEAR(AF95)</f>
        <v>2015</v>
      </c>
      <c r="AH95" s="5" t="str">
        <f>"Q"&amp;ROUNDUP(MONTH(AF95)/3,0)</f>
        <v>Q4</v>
      </c>
      <c r="AI95" s="5">
        <f>INDEX(RatingLookup!$B$2:$B$11,MATCH(A95,RatingLookup!$A$2:$A$11,0))</f>
        <v>7</v>
      </c>
      <c r="AJ95" s="5" t="str">
        <f>INDEX(RatingLookup!$C$2:$C$11,MATCH(A95,RatingLookup!$A$2:$A$11,0))</f>
        <v>Investment Grade</v>
      </c>
    </row>
    <row r="96" spans="1:36" x14ac:dyDescent="0.3">
      <c r="A96" s="3" t="s">
        <v>92</v>
      </c>
      <c r="B96" s="3" t="s">
        <v>171</v>
      </c>
      <c r="C96" s="3" t="s">
        <v>172</v>
      </c>
      <c r="D96" s="3" t="s">
        <v>60</v>
      </c>
      <c r="E96" s="3" t="s">
        <v>46</v>
      </c>
      <c r="F96" s="3" t="s">
        <v>174</v>
      </c>
      <c r="G96" s="3">
        <v>2.1944739640000002</v>
      </c>
      <c r="H96" s="3">
        <v>1.260361318</v>
      </c>
      <c r="I96" s="3">
        <v>1.012752391</v>
      </c>
      <c r="J96" s="3">
        <v>2.4074967819999999</v>
      </c>
      <c r="K96" s="3">
        <v>5.3249678000000002E-2</v>
      </c>
      <c r="L96" s="3">
        <v>4.1344916000000002E-2</v>
      </c>
      <c r="M96" s="3">
        <v>0.17631917599999999</v>
      </c>
      <c r="N96" s="3">
        <v>9.5559846000000004E-2</v>
      </c>
      <c r="O96" s="3">
        <v>2.6274011999999999E-2</v>
      </c>
      <c r="P96" s="3">
        <v>2.2046838999999999E-2</v>
      </c>
      <c r="Q96" s="3">
        <v>7.7644851000000001E-2</v>
      </c>
      <c r="R96" s="3">
        <v>0.49341165300000001</v>
      </c>
      <c r="S96" s="3">
        <v>2.1427094109999998</v>
      </c>
      <c r="T96" s="3">
        <v>1.9551958709999999</v>
      </c>
      <c r="U96" s="3">
        <v>0.66161295399999998</v>
      </c>
      <c r="V96" s="3">
        <v>-0.241245136</v>
      </c>
      <c r="W96" s="3">
        <v>0.27147766299999998</v>
      </c>
      <c r="X96" s="3">
        <v>0.146967448</v>
      </c>
      <c r="Y96" s="3">
        <v>2.1300978169999998</v>
      </c>
      <c r="Z96" s="3">
        <v>2.9551958709999999</v>
      </c>
      <c r="AA96" s="3">
        <v>4.1344916000000002E-2</v>
      </c>
      <c r="AB96" s="3">
        <v>13.17685307</v>
      </c>
      <c r="AC96" s="3">
        <v>0.54136110500000001</v>
      </c>
      <c r="AD96" s="3">
        <v>4.6814672000000002E-2</v>
      </c>
      <c r="AE96" s="3">
        <v>15.23809524</v>
      </c>
      <c r="AF96" s="4">
        <v>41075</v>
      </c>
      <c r="AG96" s="5">
        <f>YEAR(AF96)</f>
        <v>2012</v>
      </c>
      <c r="AH96" s="5" t="str">
        <f>"Q"&amp;ROUNDUP(MONTH(AF96)/3,0)</f>
        <v>Q2</v>
      </c>
      <c r="AI96" s="5">
        <f>INDEX(RatingLookup!$B$2:$B$11,MATCH(A96,RatingLookup!$A$2:$A$11,0))</f>
        <v>6</v>
      </c>
      <c r="AJ96" s="5" t="str">
        <f>INDEX(RatingLookup!$C$2:$C$11,MATCH(A96,RatingLookup!$A$2:$A$11,0))</f>
        <v>Speculative Grade</v>
      </c>
    </row>
    <row r="97" spans="1:36" x14ac:dyDescent="0.3">
      <c r="A97" s="3" t="s">
        <v>109</v>
      </c>
      <c r="B97" s="3" t="s">
        <v>178</v>
      </c>
      <c r="C97" s="3" t="s">
        <v>179</v>
      </c>
      <c r="D97" s="3" t="s">
        <v>39</v>
      </c>
      <c r="E97" s="3" t="s">
        <v>180</v>
      </c>
      <c r="F97" s="3" t="s">
        <v>96</v>
      </c>
      <c r="G97" s="3">
        <v>2.5903169859999999</v>
      </c>
      <c r="H97" s="3">
        <v>2.3298092179999998</v>
      </c>
      <c r="I97" s="3">
        <v>1.546855973</v>
      </c>
      <c r="J97" s="3">
        <v>74.149940950000001</v>
      </c>
      <c r="K97" s="3">
        <v>-6.3556065999999994E-2</v>
      </c>
      <c r="L97" s="3">
        <v>-5.6629572000000003E-2</v>
      </c>
      <c r="M97" s="3">
        <v>0.56528768900000004</v>
      </c>
      <c r="N97" s="3">
        <v>-8.2439239999999997E-3</v>
      </c>
      <c r="O97" s="3">
        <v>-2.7278061999999999E-2</v>
      </c>
      <c r="P97" s="3">
        <v>-2.8755953000000001E-2</v>
      </c>
      <c r="Q97" s="3">
        <v>-4.9310062000000002E-2</v>
      </c>
      <c r="R97" s="3">
        <v>0.42919683600000003</v>
      </c>
      <c r="S97" s="3">
        <v>8.372608005</v>
      </c>
      <c r="T97" s="3">
        <v>0.80768198300000005</v>
      </c>
      <c r="U97" s="3">
        <v>0.44680535100000002</v>
      </c>
      <c r="V97" s="3">
        <v>-0.122312302</v>
      </c>
      <c r="W97" s="3">
        <v>0.75772198899999998</v>
      </c>
      <c r="X97" s="3">
        <v>1.0742520499999999</v>
      </c>
      <c r="Y97" s="3">
        <v>5.1984036490000003</v>
      </c>
      <c r="Z97" s="3">
        <v>1.8076819829999999</v>
      </c>
      <c r="AA97" s="3">
        <v>-5.6629572000000003E-2</v>
      </c>
      <c r="AB97" s="3">
        <v>26.585253900000001</v>
      </c>
      <c r="AC97" s="3">
        <v>1.417739045</v>
      </c>
      <c r="AD97" s="3">
        <v>0.17373122399999999</v>
      </c>
      <c r="AE97" s="3">
        <v>8.0248111529999999</v>
      </c>
      <c r="AF97" s="4">
        <v>41976</v>
      </c>
      <c r="AG97" s="5">
        <f>YEAR(AF97)</f>
        <v>2014</v>
      </c>
      <c r="AH97" s="5" t="str">
        <f>"Q"&amp;ROUNDUP(MONTH(AF97)/3,0)</f>
        <v>Q4</v>
      </c>
      <c r="AI97" s="5">
        <f>INDEX(RatingLookup!$B$2:$B$11,MATCH(A97,RatingLookup!$A$2:$A$11,0))</f>
        <v>5</v>
      </c>
      <c r="AJ97" s="5" t="str">
        <f>INDEX(RatingLookup!$C$2:$C$11,MATCH(A97,RatingLookup!$A$2:$A$11,0))</f>
        <v>Speculative Grade</v>
      </c>
    </row>
    <row r="98" spans="1:36" x14ac:dyDescent="0.3">
      <c r="A98" s="3" t="s">
        <v>109</v>
      </c>
      <c r="B98" s="3" t="s">
        <v>178</v>
      </c>
      <c r="C98" s="3" t="s">
        <v>179</v>
      </c>
      <c r="D98" s="3" t="s">
        <v>39</v>
      </c>
      <c r="E98" s="3" t="s">
        <v>181</v>
      </c>
      <c r="F98" s="3" t="s">
        <v>96</v>
      </c>
      <c r="G98" s="3">
        <v>2.1536705440000001</v>
      </c>
      <c r="H98" s="3">
        <v>1.9684710919999999</v>
      </c>
      <c r="I98" s="3">
        <v>1.1383006710000001</v>
      </c>
      <c r="J98" s="3">
        <v>71.855214290000006</v>
      </c>
      <c r="K98" s="3">
        <v>-0.10480856099999999</v>
      </c>
      <c r="L98" s="3">
        <v>-4.9309587000000002E-2</v>
      </c>
      <c r="M98" s="3">
        <v>0.57858677700000005</v>
      </c>
      <c r="N98" s="3">
        <v>-2.3059090000000001E-3</v>
      </c>
      <c r="O98" s="3">
        <v>-5.0371540999999999E-2</v>
      </c>
      <c r="P98" s="3">
        <v>-2.8032340999999999E-2</v>
      </c>
      <c r="Q98" s="3">
        <v>-9.9501346000000004E-2</v>
      </c>
      <c r="R98" s="3">
        <v>0.480605214</v>
      </c>
      <c r="S98" s="3">
        <v>6.9545177489999999</v>
      </c>
      <c r="T98" s="3">
        <v>0.97534845599999997</v>
      </c>
      <c r="U98" s="3">
        <v>0.49376020399999998</v>
      </c>
      <c r="V98" s="3">
        <v>-1.1255209610000001</v>
      </c>
      <c r="W98" s="3">
        <v>0.62843700199999997</v>
      </c>
      <c r="X98" s="3">
        <v>1.042241972</v>
      </c>
      <c r="Y98" s="3">
        <v>3.8191821400000001</v>
      </c>
      <c r="Z98" s="3">
        <v>1.9753484560000001</v>
      </c>
      <c r="AA98" s="3">
        <v>-4.9309587000000002E-2</v>
      </c>
      <c r="AB98" s="3">
        <v>22.940898149999999</v>
      </c>
      <c r="AC98" s="3">
        <v>1.65846691</v>
      </c>
      <c r="AD98" s="3">
        <v>0.18948952699999999</v>
      </c>
      <c r="AE98" s="3">
        <v>11.99698873</v>
      </c>
      <c r="AF98" s="4">
        <v>42360</v>
      </c>
      <c r="AG98" s="5">
        <f>YEAR(AF98)</f>
        <v>2015</v>
      </c>
      <c r="AH98" s="5" t="str">
        <f>"Q"&amp;ROUNDUP(MONTH(AF98)/3,0)</f>
        <v>Q4</v>
      </c>
      <c r="AI98" s="5">
        <f>INDEX(RatingLookup!$B$2:$B$11,MATCH(A98,RatingLookup!$A$2:$A$11,0))</f>
        <v>5</v>
      </c>
      <c r="AJ98" s="5" t="str">
        <f>INDEX(RatingLookup!$C$2:$C$11,MATCH(A98,RatingLookup!$A$2:$A$11,0))</f>
        <v>Speculative Grade</v>
      </c>
    </row>
    <row r="99" spans="1:36" x14ac:dyDescent="0.3">
      <c r="A99" s="3" t="s">
        <v>42</v>
      </c>
      <c r="B99" s="3" t="s">
        <v>182</v>
      </c>
      <c r="C99" s="3" t="s">
        <v>183</v>
      </c>
      <c r="D99" s="3" t="s">
        <v>39</v>
      </c>
      <c r="E99" s="3" t="s">
        <v>184</v>
      </c>
      <c r="F99" s="3" t="s">
        <v>174</v>
      </c>
      <c r="G99" s="3">
        <v>2.8043389219999999</v>
      </c>
      <c r="H99" s="3">
        <v>1.298653864</v>
      </c>
      <c r="I99" s="3">
        <v>0.59085411600000004</v>
      </c>
      <c r="J99" s="3">
        <v>59.567662419999998</v>
      </c>
      <c r="K99" s="3">
        <v>5.3926171000000002E-2</v>
      </c>
      <c r="L99" s="3">
        <v>5.9339098999999999E-2</v>
      </c>
      <c r="M99" s="3">
        <v>0.187844655</v>
      </c>
      <c r="N99" s="3">
        <v>9.0591498000000006E-2</v>
      </c>
      <c r="O99" s="3">
        <v>5.7563347000000001E-2</v>
      </c>
      <c r="P99" s="3">
        <v>8.6765648000000001E-2</v>
      </c>
      <c r="Q99" s="3">
        <v>0.105476767</v>
      </c>
      <c r="R99" s="3">
        <v>1.0674473310000001</v>
      </c>
      <c r="S99" s="3">
        <v>8.5633844460000006</v>
      </c>
      <c r="T99" s="3">
        <v>0.83235987499999997</v>
      </c>
      <c r="U99" s="3">
        <v>0.45425567700000002</v>
      </c>
      <c r="V99" s="3">
        <v>0.45432825599999999</v>
      </c>
      <c r="W99" s="3">
        <v>0.86871017500000003</v>
      </c>
      <c r="X99" s="3">
        <v>8.7211731960000005</v>
      </c>
      <c r="Y99" s="3">
        <v>17.417726399999999</v>
      </c>
      <c r="Z99" s="3">
        <v>1.8323598750000001</v>
      </c>
      <c r="AA99" s="3">
        <v>5.9339098999999999E-2</v>
      </c>
      <c r="AB99" s="3">
        <v>5.1047692309999997</v>
      </c>
      <c r="AC99" s="3">
        <v>10.039220719999999</v>
      </c>
      <c r="AD99" s="3">
        <v>9.5245600999999999E-2</v>
      </c>
      <c r="AE99" s="3">
        <v>8.8601804580000003</v>
      </c>
      <c r="AF99" s="4">
        <v>41817</v>
      </c>
      <c r="AG99" s="5">
        <f>YEAR(AF99)</f>
        <v>2014</v>
      </c>
      <c r="AH99" s="5" t="str">
        <f>"Q"&amp;ROUNDUP(MONTH(AF99)/3,0)</f>
        <v>Q2</v>
      </c>
      <c r="AI99" s="5">
        <f>INDEX(RatingLookup!$B$2:$B$11,MATCH(A99,RatingLookup!$A$2:$A$11,0))</f>
        <v>7</v>
      </c>
      <c r="AJ99" s="5" t="str">
        <f>INDEX(RatingLookup!$C$2:$C$11,MATCH(A99,RatingLookup!$A$2:$A$11,0))</f>
        <v>Investment Grade</v>
      </c>
    </row>
    <row r="100" spans="1:36" x14ac:dyDescent="0.3">
      <c r="A100" s="3" t="s">
        <v>42</v>
      </c>
      <c r="B100" s="3" t="s">
        <v>182</v>
      </c>
      <c r="C100" s="3" t="s">
        <v>183</v>
      </c>
      <c r="D100" s="3" t="s">
        <v>39</v>
      </c>
      <c r="E100" s="3" t="s">
        <v>185</v>
      </c>
      <c r="F100" s="3" t="s">
        <v>174</v>
      </c>
      <c r="G100" s="3">
        <v>3.677651837</v>
      </c>
      <c r="H100" s="3">
        <v>1.514010598</v>
      </c>
      <c r="I100" s="3">
        <v>0.35942915800000003</v>
      </c>
      <c r="J100" s="3">
        <v>67.198169629999995</v>
      </c>
      <c r="K100" s="3">
        <v>5.8616151999999998E-2</v>
      </c>
      <c r="L100" s="3">
        <v>9.0747271000000004E-2</v>
      </c>
      <c r="M100" s="3">
        <v>0.170445082</v>
      </c>
      <c r="N100" s="3">
        <v>9.6829214999999996E-2</v>
      </c>
      <c r="O100" s="3">
        <v>6.5616514000000001E-2</v>
      </c>
      <c r="P100" s="3">
        <v>0.12703683499999999</v>
      </c>
      <c r="Q100" s="3">
        <v>0.10811620700000001</v>
      </c>
      <c r="R100" s="3">
        <v>1.119427172</v>
      </c>
      <c r="S100" s="3">
        <v>8.5724137230000004</v>
      </c>
      <c r="T100" s="3">
        <v>0.64769813499999995</v>
      </c>
      <c r="U100" s="3">
        <v>0.39309271600000001</v>
      </c>
      <c r="V100" s="3">
        <v>0.32743075100000002</v>
      </c>
      <c r="W100" s="3">
        <v>14.08849558</v>
      </c>
      <c r="X100" s="3">
        <v>-2.1236714139999999</v>
      </c>
      <c r="Y100" s="3">
        <v>9.5023451960000003</v>
      </c>
      <c r="Z100" s="3">
        <v>1.647698135</v>
      </c>
      <c r="AA100" s="3">
        <v>9.0747271000000004E-2</v>
      </c>
      <c r="AB100" s="3">
        <v>5.1249613399999996</v>
      </c>
      <c r="AC100" s="3">
        <v>-0.15073798399999999</v>
      </c>
      <c r="AD100" s="3">
        <v>-1.3779860000000001E-3</v>
      </c>
      <c r="AE100" s="3">
        <v>9.9275216309999994</v>
      </c>
      <c r="AF100" s="4">
        <v>41985</v>
      </c>
      <c r="AG100" s="5">
        <f>YEAR(AF100)</f>
        <v>2014</v>
      </c>
      <c r="AH100" s="5" t="str">
        <f>"Q"&amp;ROUNDUP(MONTH(AF100)/3,0)</f>
        <v>Q4</v>
      </c>
      <c r="AI100" s="5">
        <f>INDEX(RatingLookup!$B$2:$B$11,MATCH(A100,RatingLookup!$A$2:$A$11,0))</f>
        <v>7</v>
      </c>
      <c r="AJ100" s="5" t="str">
        <f>INDEX(RatingLookup!$C$2:$C$11,MATCH(A100,RatingLookup!$A$2:$A$11,0))</f>
        <v>Investment Grade</v>
      </c>
    </row>
    <row r="101" spans="1:36" x14ac:dyDescent="0.3">
      <c r="A101" s="3" t="s">
        <v>92</v>
      </c>
      <c r="B101" s="3" t="s">
        <v>182</v>
      </c>
      <c r="C101" s="3" t="s">
        <v>183</v>
      </c>
      <c r="D101" s="3" t="s">
        <v>60</v>
      </c>
      <c r="E101" s="3" t="s">
        <v>46</v>
      </c>
      <c r="F101" s="3" t="s">
        <v>174</v>
      </c>
      <c r="G101" s="3">
        <v>3.080376539</v>
      </c>
      <c r="H101" s="3">
        <v>1.078723375</v>
      </c>
      <c r="I101" s="3">
        <v>0.27521562399999999</v>
      </c>
      <c r="J101" s="3">
        <v>47.631183729999997</v>
      </c>
      <c r="K101" s="3">
        <v>6.0884057999999998E-2</v>
      </c>
      <c r="L101" s="3">
        <v>6.7100208999999994E-2</v>
      </c>
      <c r="M101" s="3">
        <v>0.19767748900000001</v>
      </c>
      <c r="N101" s="3">
        <v>9.9007320999999995E-2</v>
      </c>
      <c r="O101" s="3">
        <v>7.0275739000000004E-2</v>
      </c>
      <c r="P101" s="3">
        <v>0.100581982</v>
      </c>
      <c r="Q101" s="3">
        <v>0.13205483100000001</v>
      </c>
      <c r="R101" s="3">
        <v>1.154255169</v>
      </c>
      <c r="S101" s="3">
        <v>8.1196799530000003</v>
      </c>
      <c r="T101" s="3">
        <v>0.87909558499999996</v>
      </c>
      <c r="U101" s="3">
        <v>0.467829094</v>
      </c>
      <c r="V101" s="3">
        <v>0.45406548800000002</v>
      </c>
      <c r="W101" s="3">
        <v>0.27830240899999997</v>
      </c>
      <c r="X101" s="3">
        <v>0.65055617799999998</v>
      </c>
      <c r="Y101" s="3">
        <v>9.3606105030000002</v>
      </c>
      <c r="Z101" s="3">
        <v>1.879095585</v>
      </c>
      <c r="AA101" s="3">
        <v>6.7100208999999994E-2</v>
      </c>
      <c r="AB101" s="3">
        <v>4.2696274409999999</v>
      </c>
      <c r="AC101" s="3">
        <v>2.3375873070000002</v>
      </c>
      <c r="AD101" s="3">
        <v>2.1083971E-2</v>
      </c>
      <c r="AE101" s="3">
        <v>9.6857201869999994</v>
      </c>
      <c r="AF101" s="4">
        <v>41075</v>
      </c>
      <c r="AG101" s="5">
        <f>YEAR(AF101)</f>
        <v>2012</v>
      </c>
      <c r="AH101" s="5" t="str">
        <f>"Q"&amp;ROUNDUP(MONTH(AF101)/3,0)</f>
        <v>Q2</v>
      </c>
      <c r="AI101" s="5">
        <f>INDEX(RatingLookup!$B$2:$B$11,MATCH(A101,RatingLookup!$A$2:$A$11,0))</f>
        <v>6</v>
      </c>
      <c r="AJ101" s="5" t="str">
        <f>INDEX(RatingLookup!$C$2:$C$11,MATCH(A101,RatingLookup!$A$2:$A$11,0))</f>
        <v>Speculative Grade</v>
      </c>
    </row>
    <row r="102" spans="1:36" x14ac:dyDescent="0.3">
      <c r="A102" s="3" t="s">
        <v>42</v>
      </c>
      <c r="B102" s="3" t="s">
        <v>182</v>
      </c>
      <c r="C102" s="3" t="s">
        <v>183</v>
      </c>
      <c r="D102" s="3" t="s">
        <v>39</v>
      </c>
      <c r="E102" s="3" t="s">
        <v>186</v>
      </c>
      <c r="F102" s="3" t="s">
        <v>174</v>
      </c>
      <c r="G102" s="3">
        <v>6.033708238</v>
      </c>
      <c r="H102" s="3">
        <v>2.729562627</v>
      </c>
      <c r="I102" s="3">
        <v>0.91831325900000005</v>
      </c>
      <c r="J102" s="3">
        <v>69.786979579999993</v>
      </c>
      <c r="K102" s="3">
        <v>5.0448080999999999E-2</v>
      </c>
      <c r="L102" s="3">
        <v>6.9753909000000003E-2</v>
      </c>
      <c r="M102" s="3">
        <v>0.180594163</v>
      </c>
      <c r="N102" s="3">
        <v>7.3894677000000006E-2</v>
      </c>
      <c r="O102" s="3">
        <v>5.2130729000000001E-2</v>
      </c>
      <c r="P102" s="3">
        <v>8.2211189000000004E-2</v>
      </c>
      <c r="Q102" s="3">
        <v>8.4102074999999998E-2</v>
      </c>
      <c r="R102" s="3">
        <v>1.03335406</v>
      </c>
      <c r="S102" s="3">
        <v>7.4390400440000004</v>
      </c>
      <c r="T102" s="3">
        <v>0.61329175000000002</v>
      </c>
      <c r="U102" s="3">
        <v>0.38014931299999999</v>
      </c>
      <c r="V102" s="3">
        <v>0.23983542299999999</v>
      </c>
      <c r="W102" s="3">
        <v>0.74222616600000002</v>
      </c>
      <c r="X102" s="3">
        <v>7.2978201</v>
      </c>
      <c r="Y102" s="3">
        <v>13.24505381</v>
      </c>
      <c r="Z102" s="3">
        <v>1.6132917499999999</v>
      </c>
      <c r="AA102" s="3">
        <v>6.9753909000000003E-2</v>
      </c>
      <c r="AB102" s="3">
        <v>6.1621376310000002</v>
      </c>
      <c r="AC102" s="3">
        <v>9.8323401019999999</v>
      </c>
      <c r="AD102" s="3">
        <v>9.9699312999999998E-2</v>
      </c>
      <c r="AE102" s="3">
        <v>13.285992630000001</v>
      </c>
      <c r="AF102" s="4">
        <v>42256</v>
      </c>
      <c r="AG102" s="5">
        <f>YEAR(AF102)</f>
        <v>2015</v>
      </c>
      <c r="AH102" s="5" t="str">
        <f>"Q"&amp;ROUNDUP(MONTH(AF102)/3,0)</f>
        <v>Q3</v>
      </c>
      <c r="AI102" s="5">
        <f>INDEX(RatingLookup!$B$2:$B$11,MATCH(A102,RatingLookup!$A$2:$A$11,0))</f>
        <v>7</v>
      </c>
      <c r="AJ102" s="5" t="str">
        <f>INDEX(RatingLookup!$C$2:$C$11,MATCH(A102,RatingLookup!$A$2:$A$11,0))</f>
        <v>Investment Grade</v>
      </c>
    </row>
    <row r="103" spans="1:36" x14ac:dyDescent="0.3">
      <c r="A103" s="3" t="s">
        <v>42</v>
      </c>
      <c r="B103" s="3" t="s">
        <v>182</v>
      </c>
      <c r="C103" s="3" t="s">
        <v>183</v>
      </c>
      <c r="D103" s="3" t="s">
        <v>39</v>
      </c>
      <c r="E103" s="3" t="s">
        <v>187</v>
      </c>
      <c r="F103" s="3" t="s">
        <v>174</v>
      </c>
      <c r="G103" s="3">
        <v>4.3050536279999996</v>
      </c>
      <c r="H103" s="3">
        <v>1.863224075</v>
      </c>
      <c r="I103" s="3">
        <v>0.66639589700000001</v>
      </c>
      <c r="J103" s="3">
        <v>58.294041749999998</v>
      </c>
      <c r="K103" s="3">
        <v>3.7622243E-2</v>
      </c>
      <c r="L103" s="3">
        <v>2.6693208999999999E-2</v>
      </c>
      <c r="M103" s="3">
        <v>0.19289567899999999</v>
      </c>
      <c r="N103" s="3">
        <v>7.3687398000000001E-2</v>
      </c>
      <c r="O103" s="3">
        <v>4.0608862000000003E-2</v>
      </c>
      <c r="P103" s="3">
        <v>3.4849330999999997E-2</v>
      </c>
      <c r="Q103" s="3">
        <v>7.7786912999999999E-2</v>
      </c>
      <c r="R103" s="3">
        <v>1.079384398</v>
      </c>
      <c r="S103" s="3">
        <v>8.0703877409999993</v>
      </c>
      <c r="T103" s="3">
        <v>0.915515725</v>
      </c>
      <c r="U103" s="3">
        <v>0.477947381</v>
      </c>
      <c r="V103" s="3">
        <v>0.93636989999999998</v>
      </c>
      <c r="W103" s="3">
        <v>0.80892554999999999</v>
      </c>
      <c r="X103" s="3">
        <v>6.9576373340000002</v>
      </c>
      <c r="Y103" s="3">
        <v>14.67681247</v>
      </c>
      <c r="Z103" s="3">
        <v>1.9155157249999999</v>
      </c>
      <c r="AA103" s="3">
        <v>2.6693208999999999E-2</v>
      </c>
      <c r="AB103" s="3">
        <v>5.4047831559999997</v>
      </c>
      <c r="AC103" s="3">
        <v>8.6010848979999999</v>
      </c>
      <c r="AD103" s="3">
        <v>8.1649384000000005E-2</v>
      </c>
      <c r="AE103" s="3">
        <v>10.516454550000001</v>
      </c>
      <c r="AF103" s="4">
        <v>41424</v>
      </c>
      <c r="AG103" s="5">
        <f>YEAR(AF103)</f>
        <v>2013</v>
      </c>
      <c r="AH103" s="5" t="str">
        <f>"Q"&amp;ROUNDUP(MONTH(AF103)/3,0)</f>
        <v>Q2</v>
      </c>
      <c r="AI103" s="5">
        <f>INDEX(RatingLookup!$B$2:$B$11,MATCH(A103,RatingLookup!$A$2:$A$11,0))</f>
        <v>7</v>
      </c>
      <c r="AJ103" s="5" t="str">
        <f>INDEX(RatingLookup!$C$2:$C$11,MATCH(A103,RatingLookup!$A$2:$A$11,0))</f>
        <v>Investment Grade</v>
      </c>
    </row>
    <row r="104" spans="1:36" x14ac:dyDescent="0.3">
      <c r="A104" s="3" t="s">
        <v>36</v>
      </c>
      <c r="B104" s="3" t="s">
        <v>188</v>
      </c>
      <c r="C104" s="3" t="s">
        <v>189</v>
      </c>
      <c r="D104" s="3" t="s">
        <v>60</v>
      </c>
      <c r="E104" s="3" t="s">
        <v>46</v>
      </c>
      <c r="F104" s="3" t="s">
        <v>53</v>
      </c>
      <c r="G104" s="3">
        <v>1.445475638</v>
      </c>
      <c r="H104" s="3">
        <v>1.013766435</v>
      </c>
      <c r="I104" s="3">
        <v>0.317401392</v>
      </c>
      <c r="J104" s="3">
        <v>67.840393030000001</v>
      </c>
      <c r="K104" s="3">
        <v>0.10238626000000001</v>
      </c>
      <c r="L104" s="3">
        <v>0.14990504499999999</v>
      </c>
      <c r="M104" s="3">
        <v>0.394558666</v>
      </c>
      <c r="N104" s="3">
        <v>0.14990504499999999</v>
      </c>
      <c r="O104" s="3">
        <v>0.103935292</v>
      </c>
      <c r="P104" s="3">
        <v>0.208726144</v>
      </c>
      <c r="Q104" s="3">
        <v>0.23848447</v>
      </c>
      <c r="R104" s="3">
        <v>1.01512929</v>
      </c>
      <c r="S104" s="3">
        <v>7.04742508</v>
      </c>
      <c r="T104" s="3">
        <v>1.2945475529999999</v>
      </c>
      <c r="U104" s="3">
        <v>0.56418423399999995</v>
      </c>
      <c r="V104" s="3">
        <v>0.31038281499999998</v>
      </c>
      <c r="W104" s="3">
        <v>0.799876276</v>
      </c>
      <c r="X104" s="3">
        <v>3.4549098200000001</v>
      </c>
      <c r="Y104" s="3">
        <v>2.741482966</v>
      </c>
      <c r="Z104" s="3">
        <v>2.2945475530000001</v>
      </c>
      <c r="AA104" s="3">
        <v>0.14990504499999999</v>
      </c>
      <c r="AB104" s="3">
        <v>8.9555546909999997</v>
      </c>
      <c r="AC104" s="3">
        <v>4.3193052769999998</v>
      </c>
      <c r="AD104" s="3">
        <v>0.133473702</v>
      </c>
      <c r="AE104" s="3">
        <v>5.4781471799999997</v>
      </c>
      <c r="AF104" s="4">
        <v>41075</v>
      </c>
      <c r="AG104" s="5">
        <f>YEAR(AF104)</f>
        <v>2012</v>
      </c>
      <c r="AH104" s="5" t="str">
        <f>"Q"&amp;ROUNDUP(MONTH(AF104)/3,0)</f>
        <v>Q2</v>
      </c>
      <c r="AI104" s="5">
        <f>INDEX(RatingLookup!$B$2:$B$11,MATCH(A104,RatingLookup!$A$2:$A$11,0))</f>
        <v>8</v>
      </c>
      <c r="AJ104" s="5" t="str">
        <f>INDEX(RatingLookup!$C$2:$C$11,MATCH(A104,RatingLookup!$A$2:$A$11,0))</f>
        <v>Investment Grade</v>
      </c>
    </row>
    <row r="105" spans="1:36" x14ac:dyDescent="0.3">
      <c r="A105" s="3" t="s">
        <v>36</v>
      </c>
      <c r="B105" s="3" t="s">
        <v>188</v>
      </c>
      <c r="C105" s="3" t="s">
        <v>189</v>
      </c>
      <c r="D105" s="3" t="s">
        <v>60</v>
      </c>
      <c r="E105" s="3" t="s">
        <v>168</v>
      </c>
      <c r="F105" s="3" t="s">
        <v>53</v>
      </c>
      <c r="G105" s="3">
        <v>1.2854270169999999</v>
      </c>
      <c r="H105" s="3">
        <v>0.96616986000000005</v>
      </c>
      <c r="I105" s="3">
        <v>0.37248639700000002</v>
      </c>
      <c r="J105" s="3">
        <v>74.660105150000007</v>
      </c>
      <c r="K105" s="3">
        <v>8.7500509000000004E-2</v>
      </c>
      <c r="L105" s="3">
        <v>0.13644699800000001</v>
      </c>
      <c r="M105" s="3">
        <v>0.41398703999999997</v>
      </c>
      <c r="N105" s="3">
        <v>0.13644699800000001</v>
      </c>
      <c r="O105" s="3">
        <v>8.8803408E-2</v>
      </c>
      <c r="P105" s="3">
        <v>0.21293646299999999</v>
      </c>
      <c r="Q105" s="3">
        <v>0.212175116</v>
      </c>
      <c r="R105" s="3">
        <v>1.0148901850000001</v>
      </c>
      <c r="S105" s="3">
        <v>6.4537085740000002</v>
      </c>
      <c r="T105" s="3">
        <v>1.389267714</v>
      </c>
      <c r="U105" s="3">
        <v>0.58146171999999996</v>
      </c>
      <c r="V105" s="3">
        <v>0.34767025099999999</v>
      </c>
      <c r="W105" s="3">
        <v>0.79225352100000002</v>
      </c>
      <c r="X105" s="3">
        <v>4.177377892</v>
      </c>
      <c r="Y105" s="3">
        <v>4.4972864899999996</v>
      </c>
      <c r="Z105" s="3">
        <v>2.3892677139999998</v>
      </c>
      <c r="AA105" s="3">
        <v>0.13644699800000001</v>
      </c>
      <c r="AB105" s="3">
        <v>11.314114379999999</v>
      </c>
      <c r="AC105" s="3">
        <v>5.2727792060000001</v>
      </c>
      <c r="AD105" s="3">
        <v>0.15046664200000001</v>
      </c>
      <c r="AE105" s="3">
        <v>4.8725855640000004</v>
      </c>
      <c r="AF105" s="4">
        <v>42142</v>
      </c>
      <c r="AG105" s="5">
        <f>YEAR(AF105)</f>
        <v>2015</v>
      </c>
      <c r="AH105" s="5" t="str">
        <f>"Q"&amp;ROUNDUP(MONTH(AF105)/3,0)</f>
        <v>Q2</v>
      </c>
      <c r="AI105" s="5">
        <f>INDEX(RatingLookup!$B$2:$B$11,MATCH(A105,RatingLookup!$A$2:$A$11,0))</f>
        <v>8</v>
      </c>
      <c r="AJ105" s="5" t="str">
        <f>INDEX(RatingLookup!$C$2:$C$11,MATCH(A105,RatingLookup!$A$2:$A$11,0))</f>
        <v>Investment Grade</v>
      </c>
    </row>
    <row r="106" spans="1:36" x14ac:dyDescent="0.3">
      <c r="A106" s="3" t="s">
        <v>36</v>
      </c>
      <c r="B106" s="3" t="s">
        <v>188</v>
      </c>
      <c r="C106" s="3" t="s">
        <v>189</v>
      </c>
      <c r="D106" s="3" t="s">
        <v>60</v>
      </c>
      <c r="E106" s="3" t="s">
        <v>190</v>
      </c>
      <c r="F106" s="3" t="s">
        <v>53</v>
      </c>
      <c r="G106" s="3">
        <v>1.4195990469999999</v>
      </c>
      <c r="H106" s="3">
        <v>1.030421982</v>
      </c>
      <c r="I106" s="3">
        <v>0.331837936</v>
      </c>
      <c r="J106" s="3">
        <v>74.504137310000004</v>
      </c>
      <c r="K106" s="3">
        <v>8.0616090000000001E-2</v>
      </c>
      <c r="L106" s="3">
        <v>0.12760118000000001</v>
      </c>
      <c r="M106" s="3">
        <v>0.400131083</v>
      </c>
      <c r="N106" s="3">
        <v>0.12760118000000001</v>
      </c>
      <c r="O106" s="3">
        <v>8.2626585000000002E-2</v>
      </c>
      <c r="P106" s="3">
        <v>0.186694636</v>
      </c>
      <c r="Q106" s="3">
        <v>0.19116075799999999</v>
      </c>
      <c r="R106" s="3">
        <v>1.0249391219999999</v>
      </c>
      <c r="S106" s="3">
        <v>6.9569677969999999</v>
      </c>
      <c r="T106" s="3">
        <v>1.3135502670000001</v>
      </c>
      <c r="U106" s="3">
        <v>0.567763876</v>
      </c>
      <c r="V106" s="3">
        <v>0.35024076999999998</v>
      </c>
      <c r="W106" s="3">
        <v>0.78218146099999997</v>
      </c>
      <c r="X106" s="3">
        <v>3.2685464</v>
      </c>
      <c r="Y106" s="3">
        <v>3.2398029020000001</v>
      </c>
      <c r="Z106" s="3">
        <v>2.3135502670000001</v>
      </c>
      <c r="AA106" s="3">
        <v>0.12760118000000001</v>
      </c>
      <c r="AB106" s="3">
        <v>9.6185637380000006</v>
      </c>
      <c r="AC106" s="3">
        <v>4.1787571860000003</v>
      </c>
      <c r="AD106" s="3">
        <v>0.12506144499999999</v>
      </c>
      <c r="AE106" s="3">
        <v>5.2923744130000001</v>
      </c>
      <c r="AF106" s="4">
        <v>41319</v>
      </c>
      <c r="AG106" s="5">
        <f>YEAR(AF106)</f>
        <v>2013</v>
      </c>
      <c r="AH106" s="5" t="str">
        <f>"Q"&amp;ROUNDUP(MONTH(AF106)/3,0)</f>
        <v>Q1</v>
      </c>
      <c r="AI106" s="5">
        <f>INDEX(RatingLookup!$B$2:$B$11,MATCH(A106,RatingLookup!$A$2:$A$11,0))</f>
        <v>8</v>
      </c>
      <c r="AJ106" s="5" t="str">
        <f>INDEX(RatingLookup!$C$2:$C$11,MATCH(A106,RatingLookup!$A$2:$A$11,0))</f>
        <v>Investment Grade</v>
      </c>
    </row>
    <row r="107" spans="1:36" x14ac:dyDescent="0.3">
      <c r="A107" s="3" t="s">
        <v>42</v>
      </c>
      <c r="B107" s="3" t="s">
        <v>191</v>
      </c>
      <c r="C107" s="3" t="s">
        <v>192</v>
      </c>
      <c r="D107" s="3" t="s">
        <v>60</v>
      </c>
      <c r="E107" s="3" t="s">
        <v>193</v>
      </c>
      <c r="F107" s="3" t="s">
        <v>53</v>
      </c>
      <c r="G107" s="3">
        <v>0.68659127600000003</v>
      </c>
      <c r="H107" s="3">
        <v>0.83060235400000004</v>
      </c>
      <c r="I107" s="3">
        <v>6.0927764000000002E-2</v>
      </c>
      <c r="J107" s="3">
        <v>52.069657059999997</v>
      </c>
      <c r="K107" s="3">
        <v>0.117186978</v>
      </c>
      <c r="L107" s="3">
        <v>0.32956748400000002</v>
      </c>
      <c r="M107" s="3">
        <v>1</v>
      </c>
      <c r="N107" s="3">
        <v>0.347884217</v>
      </c>
      <c r="O107" s="3">
        <v>4.9213924999999999E-2</v>
      </c>
      <c r="P107" s="3">
        <v>0.15757343300000001</v>
      </c>
      <c r="Q107" s="3">
        <v>9.0622414999999998E-2</v>
      </c>
      <c r="R107" s="3">
        <v>0.41996069600000002</v>
      </c>
      <c r="S107" s="3">
        <v>0.53149760199999996</v>
      </c>
      <c r="T107" s="3">
        <v>0.84139784900000003</v>
      </c>
      <c r="U107" s="3">
        <v>0.45693430699999998</v>
      </c>
      <c r="V107" s="3">
        <v>0.676876268</v>
      </c>
      <c r="W107" s="3">
        <v>9.5635674000000004E-2</v>
      </c>
      <c r="X107" s="3">
        <v>0.71489361699999998</v>
      </c>
      <c r="Y107" s="3">
        <v>2.0780141840000002</v>
      </c>
      <c r="Z107" s="3">
        <v>1.841397849</v>
      </c>
      <c r="AA107" s="3">
        <v>0.32956748400000002</v>
      </c>
      <c r="AB107" s="3">
        <v>3.6891668750000002</v>
      </c>
      <c r="AC107" s="3">
        <v>7.4751773049999999</v>
      </c>
      <c r="AD107" s="3">
        <v>0.35229627600000002</v>
      </c>
      <c r="AE107" s="3">
        <v>0</v>
      </c>
      <c r="AF107" s="4">
        <v>41486</v>
      </c>
      <c r="AG107" s="5">
        <f>YEAR(AF107)</f>
        <v>2013</v>
      </c>
      <c r="AH107" s="5" t="str">
        <f>"Q"&amp;ROUNDUP(MONTH(AF107)/3,0)</f>
        <v>Q3</v>
      </c>
      <c r="AI107" s="5">
        <f>INDEX(RatingLookup!$B$2:$B$11,MATCH(A107,RatingLookup!$A$2:$A$11,0))</f>
        <v>7</v>
      </c>
      <c r="AJ107" s="5" t="str">
        <f>INDEX(RatingLookup!$C$2:$C$11,MATCH(A107,RatingLookup!$A$2:$A$11,0))</f>
        <v>Investment Grade</v>
      </c>
    </row>
    <row r="108" spans="1:36" x14ac:dyDescent="0.3">
      <c r="A108" s="3" t="s">
        <v>42</v>
      </c>
      <c r="B108" s="3" t="s">
        <v>191</v>
      </c>
      <c r="C108" s="3" t="s">
        <v>192</v>
      </c>
      <c r="D108" s="3" t="s">
        <v>60</v>
      </c>
      <c r="E108" s="3" t="s">
        <v>194</v>
      </c>
      <c r="F108" s="3" t="s">
        <v>53</v>
      </c>
      <c r="G108" s="3">
        <v>0.74040543199999997</v>
      </c>
      <c r="H108" s="3">
        <v>0.61011611899999996</v>
      </c>
      <c r="I108" s="3">
        <v>0.13461916900000001</v>
      </c>
      <c r="J108" s="3">
        <v>53.756550150000002</v>
      </c>
      <c r="K108" s="3">
        <v>9.7527896000000003E-2</v>
      </c>
      <c r="L108" s="3">
        <v>9.3644041999999997E-2</v>
      </c>
      <c r="M108" s="3">
        <v>0.67825658099999997</v>
      </c>
      <c r="N108" s="3">
        <v>0.390358178</v>
      </c>
      <c r="O108" s="3">
        <v>4.4808248000000002E-2</v>
      </c>
      <c r="P108" s="3">
        <v>5.0256410000000001E-2</v>
      </c>
      <c r="Q108" s="3">
        <v>8.6528468999999997E-2</v>
      </c>
      <c r="R108" s="3">
        <v>0.45944032200000001</v>
      </c>
      <c r="S108" s="3">
        <v>0.57374787800000004</v>
      </c>
      <c r="T108" s="3">
        <v>0.93108352000000005</v>
      </c>
      <c r="U108" s="3">
        <v>0.482156007</v>
      </c>
      <c r="V108" s="3">
        <v>2.982883476</v>
      </c>
      <c r="W108" s="3">
        <v>-0.22977346300000001</v>
      </c>
      <c r="X108" s="3">
        <v>-1.307365439</v>
      </c>
      <c r="Y108" s="3">
        <v>1.007082153</v>
      </c>
      <c r="Z108" s="3">
        <v>1.9310835200000001</v>
      </c>
      <c r="AA108" s="3">
        <v>9.3644041999999997E-2</v>
      </c>
      <c r="AB108" s="3">
        <v>3.3709761629999999</v>
      </c>
      <c r="AC108" s="3">
        <v>5.6898017000000003</v>
      </c>
      <c r="AD108" s="3">
        <v>0.247641946</v>
      </c>
      <c r="AE108" s="3">
        <v>2.2840262579999999</v>
      </c>
      <c r="AF108" s="4">
        <v>41206</v>
      </c>
      <c r="AG108" s="5">
        <f>YEAR(AF108)</f>
        <v>2012</v>
      </c>
      <c r="AH108" s="5" t="str">
        <f>"Q"&amp;ROUNDUP(MONTH(AF108)/3,0)</f>
        <v>Q4</v>
      </c>
      <c r="AI108" s="5">
        <f>INDEX(RatingLookup!$B$2:$B$11,MATCH(A108,RatingLookup!$A$2:$A$11,0))</f>
        <v>7</v>
      </c>
      <c r="AJ108" s="5" t="str">
        <f>INDEX(RatingLookup!$C$2:$C$11,MATCH(A108,RatingLookup!$A$2:$A$11,0))</f>
        <v>Investment Grade</v>
      </c>
    </row>
    <row r="109" spans="1:36" x14ac:dyDescent="0.3">
      <c r="A109" s="3" t="s">
        <v>42</v>
      </c>
      <c r="B109" s="3" t="s">
        <v>191</v>
      </c>
      <c r="C109" s="3" t="s">
        <v>192</v>
      </c>
      <c r="D109" s="3" t="s">
        <v>60</v>
      </c>
      <c r="E109" s="3" t="s">
        <v>46</v>
      </c>
      <c r="F109" s="3" t="s">
        <v>53</v>
      </c>
      <c r="G109" s="3">
        <v>0.73372781099999995</v>
      </c>
      <c r="H109" s="3">
        <v>0.60081929899999997</v>
      </c>
      <c r="I109" s="3">
        <v>0.112198452</v>
      </c>
      <c r="J109" s="3">
        <v>45.786219080000002</v>
      </c>
      <c r="K109" s="3">
        <v>0.19277581499999999</v>
      </c>
      <c r="L109" s="3">
        <v>0.23380447600000001</v>
      </c>
      <c r="M109" s="3">
        <v>0.59265802899999998</v>
      </c>
      <c r="N109" s="3">
        <v>0.314945688</v>
      </c>
      <c r="O109" s="3">
        <v>9.3908386999999996E-2</v>
      </c>
      <c r="P109" s="3">
        <v>0.13244615800000001</v>
      </c>
      <c r="Q109" s="3">
        <v>0.17175839600000001</v>
      </c>
      <c r="R109" s="3">
        <v>0.48713780200000001</v>
      </c>
      <c r="S109" s="3">
        <v>0.60345916899999996</v>
      </c>
      <c r="T109" s="3">
        <v>0.82899953400000004</v>
      </c>
      <c r="U109" s="3">
        <v>0.45325300400000001</v>
      </c>
      <c r="V109" s="3">
        <v>0.76126504299999997</v>
      </c>
      <c r="W109" s="3">
        <v>0.49494175400000001</v>
      </c>
      <c r="X109" s="3">
        <v>4.5478873240000004</v>
      </c>
      <c r="Y109" s="3">
        <v>1.0183098589999999</v>
      </c>
      <c r="Z109" s="3">
        <v>1.828999534</v>
      </c>
      <c r="AA109" s="3">
        <v>0.23380447600000001</v>
      </c>
      <c r="AB109" s="3">
        <v>3.7157225600000001</v>
      </c>
      <c r="AC109" s="3">
        <v>9.1887323940000005</v>
      </c>
      <c r="AD109" s="3">
        <v>0.42690747299999998</v>
      </c>
      <c r="AE109" s="3">
        <v>3.3395922750000002</v>
      </c>
      <c r="AF109" s="4">
        <v>41075</v>
      </c>
      <c r="AG109" s="5">
        <f>YEAR(AF109)</f>
        <v>2012</v>
      </c>
      <c r="AH109" s="5" t="str">
        <f>"Q"&amp;ROUNDUP(MONTH(AF109)/3,0)</f>
        <v>Q2</v>
      </c>
      <c r="AI109" s="5">
        <f>INDEX(RatingLookup!$B$2:$B$11,MATCH(A109,RatingLookup!$A$2:$A$11,0))</f>
        <v>7</v>
      </c>
      <c r="AJ109" s="5" t="str">
        <f>INDEX(RatingLookup!$C$2:$C$11,MATCH(A109,RatingLookup!$A$2:$A$11,0))</f>
        <v>Investment Grade</v>
      </c>
    </row>
    <row r="110" spans="1:36" x14ac:dyDescent="0.3">
      <c r="A110" s="3" t="s">
        <v>36</v>
      </c>
      <c r="B110" s="3" t="s">
        <v>191</v>
      </c>
      <c r="C110" s="3" t="s">
        <v>192</v>
      </c>
      <c r="D110" s="3" t="s">
        <v>39</v>
      </c>
      <c r="E110" s="3" t="s">
        <v>195</v>
      </c>
      <c r="F110" s="3" t="s">
        <v>53</v>
      </c>
      <c r="G110" s="3">
        <v>1.0488696049999999</v>
      </c>
      <c r="H110" s="3">
        <v>1.196620233</v>
      </c>
      <c r="I110" s="3">
        <v>0.54761360999999997</v>
      </c>
      <c r="J110" s="3">
        <v>56.056581989999998</v>
      </c>
      <c r="K110" s="3">
        <v>0.270563155</v>
      </c>
      <c r="L110" s="3">
        <v>0.12089181</v>
      </c>
      <c r="M110" s="3">
        <v>1</v>
      </c>
      <c r="N110" s="3">
        <v>0.14203233300000001</v>
      </c>
      <c r="O110" s="3">
        <v>8.4585266000000006E-2</v>
      </c>
      <c r="P110" s="3">
        <v>4.3026050000000003E-2</v>
      </c>
      <c r="Q110" s="3">
        <v>0.14490960999999999</v>
      </c>
      <c r="R110" s="3">
        <v>0.31262669700000001</v>
      </c>
      <c r="S110" s="3">
        <v>0.38767217599999998</v>
      </c>
      <c r="T110" s="3">
        <v>0.71317792599999996</v>
      </c>
      <c r="U110" s="3">
        <v>0.41628946700000002</v>
      </c>
      <c r="V110" s="3">
        <v>0.28802351199999998</v>
      </c>
      <c r="W110" s="3">
        <v>5.9595407000000003E-2</v>
      </c>
      <c r="X110" s="3">
        <v>0.48088235299999998</v>
      </c>
      <c r="Y110" s="3">
        <v>5.1632352939999997</v>
      </c>
      <c r="Z110" s="3">
        <v>1.713177926</v>
      </c>
      <c r="AA110" s="3">
        <v>0.12089181</v>
      </c>
      <c r="AB110" s="3">
        <v>4.9508968610000004</v>
      </c>
      <c r="AC110" s="3">
        <v>8.0691176470000006</v>
      </c>
      <c r="AD110" s="3">
        <v>0.48738674700000001</v>
      </c>
      <c r="AE110" s="3">
        <v>0</v>
      </c>
      <c r="AF110" s="4">
        <v>41983</v>
      </c>
      <c r="AG110" s="5">
        <f>YEAR(AF110)</f>
        <v>2014</v>
      </c>
      <c r="AH110" s="5" t="str">
        <f>"Q"&amp;ROUNDUP(MONTH(AF110)/3,0)</f>
        <v>Q4</v>
      </c>
      <c r="AI110" s="5">
        <f>INDEX(RatingLookup!$B$2:$B$11,MATCH(A110,RatingLookup!$A$2:$A$11,0))</f>
        <v>8</v>
      </c>
      <c r="AJ110" s="5" t="str">
        <f>INDEX(RatingLookup!$C$2:$C$11,MATCH(A110,RatingLookup!$A$2:$A$11,0))</f>
        <v>Investment Grade</v>
      </c>
    </row>
    <row r="111" spans="1:36" x14ac:dyDescent="0.3">
      <c r="A111" s="3" t="s">
        <v>92</v>
      </c>
      <c r="B111" s="3" t="s">
        <v>191</v>
      </c>
      <c r="C111" s="3" t="s">
        <v>192</v>
      </c>
      <c r="D111" s="3" t="s">
        <v>39</v>
      </c>
      <c r="E111" s="3" t="s">
        <v>196</v>
      </c>
      <c r="F111" s="3" t="s">
        <v>53</v>
      </c>
      <c r="G111" s="3">
        <v>1.4979757090000001</v>
      </c>
      <c r="H111" s="3">
        <v>1.813765182</v>
      </c>
      <c r="I111" s="3">
        <v>0.70618854799999997</v>
      </c>
      <c r="J111" s="3">
        <v>56.795768639999999</v>
      </c>
      <c r="K111" s="3">
        <v>-0.37604504399999999</v>
      </c>
      <c r="L111" s="3">
        <v>-0.50469203200000001</v>
      </c>
      <c r="M111" s="3">
        <v>1</v>
      </c>
      <c r="N111" s="3">
        <v>-0.45913666600000003</v>
      </c>
      <c r="O111" s="3">
        <v>-6.8212064000000003E-2</v>
      </c>
      <c r="P111" s="3">
        <v>-9.6723562999999999E-2</v>
      </c>
      <c r="Q111" s="3">
        <v>-0.118794804</v>
      </c>
      <c r="R111" s="3">
        <v>0.18139333399999999</v>
      </c>
      <c r="S111" s="3">
        <v>0.21658475299999999</v>
      </c>
      <c r="T111" s="3">
        <v>0.74155123199999995</v>
      </c>
      <c r="U111" s="3">
        <v>0.42579926299999998</v>
      </c>
      <c r="V111" s="3">
        <v>0.25490196100000001</v>
      </c>
      <c r="W111" s="3">
        <v>-1.221086262</v>
      </c>
      <c r="X111" s="3">
        <v>-2.8227474149999998</v>
      </c>
      <c r="Y111" s="3">
        <v>3.2850812409999999</v>
      </c>
      <c r="Z111" s="3">
        <v>1.7415512319999999</v>
      </c>
      <c r="AA111" s="3">
        <v>-0.50469203200000001</v>
      </c>
      <c r="AB111" s="3">
        <v>47.530864659999999</v>
      </c>
      <c r="AC111" s="3">
        <v>2.3116691290000002</v>
      </c>
      <c r="AD111" s="3">
        <v>0.26701928000000003</v>
      </c>
      <c r="AE111" s="3">
        <v>0</v>
      </c>
      <c r="AF111" s="4">
        <v>42321</v>
      </c>
      <c r="AG111" s="5">
        <f>YEAR(AF111)</f>
        <v>2015</v>
      </c>
      <c r="AH111" s="5" t="str">
        <f>"Q"&amp;ROUNDUP(MONTH(AF111)/3,0)</f>
        <v>Q4</v>
      </c>
      <c r="AI111" s="5">
        <f>INDEX(RatingLookup!$B$2:$B$11,MATCH(A111,RatingLookup!$A$2:$A$11,0))</f>
        <v>6</v>
      </c>
      <c r="AJ111" s="5" t="str">
        <f>INDEX(RatingLookup!$C$2:$C$11,MATCH(A111,RatingLookup!$A$2:$A$11,0))</f>
        <v>Speculative Grade</v>
      </c>
    </row>
    <row r="112" spans="1:36" x14ac:dyDescent="0.3">
      <c r="A112" s="3" t="s">
        <v>92</v>
      </c>
      <c r="B112" s="3" t="s">
        <v>197</v>
      </c>
      <c r="C112" s="3" t="s">
        <v>198</v>
      </c>
      <c r="D112" s="3" t="s">
        <v>47</v>
      </c>
      <c r="E112" s="3" t="s">
        <v>139</v>
      </c>
      <c r="F112" s="3" t="s">
        <v>53</v>
      </c>
      <c r="G112" s="3">
        <v>0.82148760300000001</v>
      </c>
      <c r="H112" s="3">
        <v>0.49421487600000003</v>
      </c>
      <c r="I112" s="3">
        <v>1.9834711000000001E-2</v>
      </c>
      <c r="J112" s="3">
        <v>30.378693299999998</v>
      </c>
      <c r="K112" s="3">
        <v>-1.478984603</v>
      </c>
      <c r="L112" s="3">
        <v>-2.2788181440000002</v>
      </c>
      <c r="M112" s="3">
        <v>1</v>
      </c>
      <c r="N112" s="3">
        <v>-2.2788181440000002</v>
      </c>
      <c r="O112" s="3">
        <v>-0.50389905000000002</v>
      </c>
      <c r="P112" s="3">
        <v>-0.84925558300000004</v>
      </c>
      <c r="Q112" s="3">
        <v>3.8799126639999999</v>
      </c>
      <c r="R112" s="3">
        <v>0.34070608299999999</v>
      </c>
      <c r="S112" s="3">
        <v>0.38070342200000001</v>
      </c>
      <c r="T112" s="3">
        <v>-8.6997816589999992</v>
      </c>
      <c r="U112" s="3">
        <v>1.1298738129999999</v>
      </c>
      <c r="V112" s="3">
        <v>0.35098612099999998</v>
      </c>
      <c r="W112" s="3">
        <v>4.9627789999999996E-3</v>
      </c>
      <c r="X112" s="3">
        <v>5.219207E-3</v>
      </c>
      <c r="Y112" s="3">
        <v>0.258350731</v>
      </c>
      <c r="Z112" s="3">
        <v>-7.6997816590000001</v>
      </c>
      <c r="AA112" s="3">
        <v>-2.2788181440000002</v>
      </c>
      <c r="AB112" s="3">
        <v>-2.5963237920000002</v>
      </c>
      <c r="AC112" s="3">
        <v>1.051670146</v>
      </c>
      <c r="AD112" s="3">
        <v>0.16770703300000001</v>
      </c>
      <c r="AE112" s="3">
        <v>0</v>
      </c>
      <c r="AF112" s="4">
        <v>42320</v>
      </c>
      <c r="AG112" s="5">
        <f>YEAR(AF112)</f>
        <v>2015</v>
      </c>
      <c r="AH112" s="5" t="str">
        <f>"Q"&amp;ROUNDUP(MONTH(AF112)/3,0)</f>
        <v>Q4</v>
      </c>
      <c r="AI112" s="5">
        <f>INDEX(RatingLookup!$B$2:$B$11,MATCH(A112,RatingLookup!$A$2:$A$11,0))</f>
        <v>6</v>
      </c>
      <c r="AJ112" s="5" t="str">
        <f>INDEX(RatingLookup!$C$2:$C$11,MATCH(A112,RatingLookup!$A$2:$A$11,0))</f>
        <v>Speculative Grade</v>
      </c>
    </row>
    <row r="113" spans="1:36" x14ac:dyDescent="0.3">
      <c r="A113" s="3" t="s">
        <v>199</v>
      </c>
      <c r="B113" s="3" t="s">
        <v>197</v>
      </c>
      <c r="C113" s="3" t="s">
        <v>198</v>
      </c>
      <c r="D113" s="3" t="s">
        <v>47</v>
      </c>
      <c r="E113" s="3" t="s">
        <v>200</v>
      </c>
      <c r="F113" s="3" t="s">
        <v>53</v>
      </c>
      <c r="G113" s="3">
        <v>0.58539944899999996</v>
      </c>
      <c r="H113" s="3">
        <v>0.38980716300000001</v>
      </c>
      <c r="I113" s="3">
        <v>1.6528925999999999E-2</v>
      </c>
      <c r="J113" s="3">
        <v>54.738202970000003</v>
      </c>
      <c r="K113" s="3">
        <v>0.180349063</v>
      </c>
      <c r="L113" s="3">
        <v>0.12992889499999999</v>
      </c>
      <c r="M113" s="3">
        <v>1</v>
      </c>
      <c r="N113" s="3">
        <v>-0.19780219800000001</v>
      </c>
      <c r="O113" s="3">
        <v>4.3909348000000001E-2</v>
      </c>
      <c r="P113" s="3">
        <v>3.5714285999999998E-2</v>
      </c>
      <c r="Q113" s="3">
        <v>-0.50089766599999996</v>
      </c>
      <c r="R113" s="3">
        <v>0.24346868099999999</v>
      </c>
      <c r="S113" s="3">
        <v>0.26287170799999998</v>
      </c>
      <c r="T113" s="3">
        <v>-12.407540389999999</v>
      </c>
      <c r="U113" s="3">
        <v>1.0876613159999999</v>
      </c>
      <c r="V113" s="3">
        <v>-0.38805970099999998</v>
      </c>
      <c r="W113" s="3">
        <v>0.42307692299999999</v>
      </c>
      <c r="X113" s="3">
        <v>1.3613861389999999</v>
      </c>
      <c r="Y113" s="3">
        <v>1.2623762380000001</v>
      </c>
      <c r="Z113" s="3">
        <v>-11.407540389999999</v>
      </c>
      <c r="AA113" s="3">
        <v>0.12992889499999999</v>
      </c>
      <c r="AB113" s="3">
        <v>20.81823129</v>
      </c>
      <c r="AC113" s="3">
        <v>3.2178217820000001</v>
      </c>
      <c r="AD113" s="3">
        <v>8.4033612999999993E-2</v>
      </c>
      <c r="AE113" s="3">
        <v>3.6529680369999999</v>
      </c>
      <c r="AF113" s="4">
        <v>42606</v>
      </c>
      <c r="AG113" s="5">
        <f>YEAR(AF113)</f>
        <v>2016</v>
      </c>
      <c r="AH113" s="5" t="str">
        <f>"Q"&amp;ROUNDUP(MONTH(AF113)/3,0)</f>
        <v>Q3</v>
      </c>
      <c r="AI113" s="5">
        <f>INDEX(RatingLookup!$B$2:$B$11,MATCH(A113,RatingLookup!$A$2:$A$11,0))</f>
        <v>1</v>
      </c>
      <c r="AJ113" s="5" t="str">
        <f>INDEX(RatingLookup!$C$2:$C$11,MATCH(A113,RatingLookup!$A$2:$A$11,0))</f>
        <v>Default</v>
      </c>
    </row>
    <row r="114" spans="1:36" x14ac:dyDescent="0.3">
      <c r="A114" s="3" t="s">
        <v>92</v>
      </c>
      <c r="B114" s="3" t="s">
        <v>197</v>
      </c>
      <c r="C114" s="3" t="s">
        <v>198</v>
      </c>
      <c r="D114" s="3" t="s">
        <v>60</v>
      </c>
      <c r="E114" s="3" t="s">
        <v>102</v>
      </c>
      <c r="F114" s="3" t="s">
        <v>53</v>
      </c>
      <c r="G114" s="3">
        <v>0.773730684</v>
      </c>
      <c r="H114" s="3">
        <v>3.2373068429999998</v>
      </c>
      <c r="I114" s="3">
        <v>1.5452539E-2</v>
      </c>
      <c r="J114" s="3">
        <v>26.939851430000001</v>
      </c>
      <c r="K114" s="3">
        <v>-0.34363767099999998</v>
      </c>
      <c r="L114" s="3">
        <v>-0.58015815999999998</v>
      </c>
      <c r="M114" s="3">
        <v>1</v>
      </c>
      <c r="N114" s="3">
        <v>-0.58015815999999998</v>
      </c>
      <c r="O114" s="3">
        <v>-0.114747539</v>
      </c>
      <c r="P114" s="3">
        <v>-0.20886895</v>
      </c>
      <c r="Q114" s="3">
        <v>-0.54921485999999997</v>
      </c>
      <c r="R114" s="3">
        <v>0.333920141</v>
      </c>
      <c r="S114" s="3">
        <v>0.35712451899999997</v>
      </c>
      <c r="T114" s="3">
        <v>3.7862887779999999</v>
      </c>
      <c r="U114" s="3">
        <v>0.79106985699999999</v>
      </c>
      <c r="V114" s="3">
        <v>0.40768277600000002</v>
      </c>
      <c r="W114" s="3">
        <v>0.148038802</v>
      </c>
      <c r="X114" s="3">
        <v>0.91908876699999997</v>
      </c>
      <c r="Y114" s="3">
        <v>6.8735271009999996</v>
      </c>
      <c r="Z114" s="3">
        <v>4.7862887780000003</v>
      </c>
      <c r="AA114" s="3">
        <v>-0.58015815999999998</v>
      </c>
      <c r="AB114" s="3">
        <v>-21.471201959999998</v>
      </c>
      <c r="AC114" s="3">
        <v>6.2084315270000001</v>
      </c>
      <c r="AD114" s="3">
        <v>0.56817637200000004</v>
      </c>
      <c r="AE114" s="3">
        <v>0</v>
      </c>
      <c r="AF114" s="4">
        <v>41886</v>
      </c>
      <c r="AG114" s="5">
        <f>YEAR(AF114)</f>
        <v>2014</v>
      </c>
      <c r="AH114" s="5" t="str">
        <f>"Q"&amp;ROUNDUP(MONTH(AF114)/3,0)</f>
        <v>Q3</v>
      </c>
      <c r="AI114" s="5">
        <f>INDEX(RatingLookup!$B$2:$B$11,MATCH(A114,RatingLookup!$A$2:$A$11,0))</f>
        <v>6</v>
      </c>
      <c r="AJ114" s="5" t="str">
        <f>INDEX(RatingLookup!$C$2:$C$11,MATCH(A114,RatingLookup!$A$2:$A$11,0))</f>
        <v>Speculative Grade</v>
      </c>
    </row>
    <row r="115" spans="1:36" x14ac:dyDescent="0.3">
      <c r="A115" s="3" t="s">
        <v>92</v>
      </c>
      <c r="B115" s="3" t="s">
        <v>201</v>
      </c>
      <c r="C115" s="3" t="s">
        <v>202</v>
      </c>
      <c r="D115" s="3" t="s">
        <v>39</v>
      </c>
      <c r="E115" s="3" t="s">
        <v>203</v>
      </c>
      <c r="F115" s="3" t="s">
        <v>174</v>
      </c>
      <c r="G115" s="3">
        <v>1.6956521739999999</v>
      </c>
      <c r="H115" s="3">
        <v>1.6956521739999999</v>
      </c>
      <c r="I115" s="3">
        <v>1.1852060980000001</v>
      </c>
      <c r="J115" s="3">
        <v>21.63335631</v>
      </c>
      <c r="K115" s="3">
        <v>0.141281875</v>
      </c>
      <c r="L115" s="3">
        <v>0.159338387</v>
      </c>
      <c r="M115" s="3">
        <v>0.34810475499999999</v>
      </c>
      <c r="N115" s="3">
        <v>0.159338387</v>
      </c>
      <c r="O115" s="3">
        <v>2.9549550000000001E-2</v>
      </c>
      <c r="P115" s="3">
        <v>3.4199159999999999E-2</v>
      </c>
      <c r="Q115" s="3">
        <v>0.156012177</v>
      </c>
      <c r="R115" s="3">
        <v>0.20915315300000001</v>
      </c>
      <c r="S115" s="3">
        <v>0.255098453</v>
      </c>
      <c r="T115" s="3">
        <v>4.2796803649999999</v>
      </c>
      <c r="U115" s="3">
        <v>0.81059459499999997</v>
      </c>
      <c r="V115" s="3">
        <v>0.327422145</v>
      </c>
      <c r="W115" s="3">
        <v>-1.260017809</v>
      </c>
      <c r="X115" s="3">
        <v>-12.57777778</v>
      </c>
      <c r="Y115" s="3">
        <v>4.7622222220000001</v>
      </c>
      <c r="Z115" s="3">
        <v>5.2796803649999999</v>
      </c>
      <c r="AA115" s="3">
        <v>0.159338387</v>
      </c>
      <c r="AB115" s="3">
        <v>12.809050559999999</v>
      </c>
      <c r="AC115" s="3">
        <v>9.9822222220000008</v>
      </c>
      <c r="AD115" s="3">
        <v>0.30957960000000001</v>
      </c>
      <c r="AE115" s="3">
        <v>5.7016274859999996</v>
      </c>
      <c r="AF115" s="4">
        <v>41941</v>
      </c>
      <c r="AG115" s="5">
        <f>YEAR(AF115)</f>
        <v>2014</v>
      </c>
      <c r="AH115" s="5" t="str">
        <f>"Q"&amp;ROUNDUP(MONTH(AF115)/3,0)</f>
        <v>Q4</v>
      </c>
      <c r="AI115" s="5">
        <f>INDEX(RatingLookup!$B$2:$B$11,MATCH(A115,RatingLookup!$A$2:$A$11,0))</f>
        <v>6</v>
      </c>
      <c r="AJ115" s="5" t="str">
        <f>INDEX(RatingLookup!$C$2:$C$11,MATCH(A115,RatingLookup!$A$2:$A$11,0))</f>
        <v>Speculative Grade</v>
      </c>
    </row>
    <row r="116" spans="1:36" x14ac:dyDescent="0.3">
      <c r="A116" s="3" t="s">
        <v>92</v>
      </c>
      <c r="B116" s="3" t="s">
        <v>201</v>
      </c>
      <c r="C116" s="3" t="s">
        <v>202</v>
      </c>
      <c r="D116" s="3" t="s">
        <v>39</v>
      </c>
      <c r="E116" s="3" t="s">
        <v>146</v>
      </c>
      <c r="F116" s="3" t="s">
        <v>174</v>
      </c>
      <c r="G116" s="3">
        <v>2.7005813949999999</v>
      </c>
      <c r="H116" s="3">
        <v>2.7005813949999999</v>
      </c>
      <c r="I116" s="3">
        <v>2.2075581400000002</v>
      </c>
      <c r="J116" s="3">
        <v>22.132096900000001</v>
      </c>
      <c r="K116" s="3">
        <v>0.12816048399999999</v>
      </c>
      <c r="L116" s="3">
        <v>4.9962149999999997E-2</v>
      </c>
      <c r="M116" s="3">
        <v>0.32301286899999998</v>
      </c>
      <c r="N116" s="3">
        <v>0.12816048399999999</v>
      </c>
      <c r="O116" s="3">
        <v>2.5848907000000001E-2</v>
      </c>
      <c r="P116" s="3">
        <v>1.0348721E-2</v>
      </c>
      <c r="Q116" s="3">
        <v>0.12118826100000001</v>
      </c>
      <c r="R116" s="3">
        <v>0.201691706</v>
      </c>
      <c r="S116" s="3">
        <v>0.26053685199999999</v>
      </c>
      <c r="T116" s="3">
        <v>3.68833214</v>
      </c>
      <c r="U116" s="3">
        <v>0.78670453200000001</v>
      </c>
      <c r="V116" s="3">
        <v>0.99242424200000001</v>
      </c>
      <c r="W116" s="3">
        <v>-0.85700025000000002</v>
      </c>
      <c r="X116" s="3">
        <v>-7.4008620690000004</v>
      </c>
      <c r="Y116" s="3">
        <v>8.2844827589999994</v>
      </c>
      <c r="Z116" s="3">
        <v>4.68833214</v>
      </c>
      <c r="AA116" s="3">
        <v>4.9962149999999997E-2</v>
      </c>
      <c r="AB116" s="3">
        <v>14.112010980000001</v>
      </c>
      <c r="AC116" s="3">
        <v>8.6357758619999991</v>
      </c>
      <c r="AD116" s="3">
        <v>0.30333081000000001</v>
      </c>
      <c r="AE116" s="3">
        <v>5.6033834589999998</v>
      </c>
      <c r="AF116" s="4">
        <v>41773</v>
      </c>
      <c r="AG116" s="5">
        <f>YEAR(AF116)</f>
        <v>2014</v>
      </c>
      <c r="AH116" s="5" t="str">
        <f>"Q"&amp;ROUNDUP(MONTH(AF116)/3,0)</f>
        <v>Q2</v>
      </c>
      <c r="AI116" s="5">
        <f>INDEX(RatingLookup!$B$2:$B$11,MATCH(A116,RatingLookup!$A$2:$A$11,0))</f>
        <v>6</v>
      </c>
      <c r="AJ116" s="5" t="str">
        <f>INDEX(RatingLookup!$C$2:$C$11,MATCH(A116,RatingLookup!$A$2:$A$11,0))</f>
        <v>Speculative Grade</v>
      </c>
    </row>
    <row r="117" spans="1:36" x14ac:dyDescent="0.3">
      <c r="A117" s="3" t="s">
        <v>92</v>
      </c>
      <c r="B117" s="3" t="s">
        <v>201</v>
      </c>
      <c r="C117" s="3" t="s">
        <v>202</v>
      </c>
      <c r="D117" s="3" t="s">
        <v>39</v>
      </c>
      <c r="E117" s="3" t="s">
        <v>204</v>
      </c>
      <c r="F117" s="3" t="s">
        <v>174</v>
      </c>
      <c r="G117" s="3">
        <v>1.4926749859999999</v>
      </c>
      <c r="H117" s="3">
        <v>1.4926749859999999</v>
      </c>
      <c r="I117" s="3">
        <v>1.0982094410000001</v>
      </c>
      <c r="J117" s="3">
        <v>17.47086006</v>
      </c>
      <c r="K117" s="3">
        <v>0.14159597199999999</v>
      </c>
      <c r="L117" s="3">
        <v>0.18642665</v>
      </c>
      <c r="M117" s="3">
        <v>0.38057797100000001</v>
      </c>
      <c r="N117" s="3">
        <v>0.18642665</v>
      </c>
      <c r="O117" s="3">
        <v>2.9778655000000001E-2</v>
      </c>
      <c r="P117" s="3">
        <v>4.0283760000000002E-2</v>
      </c>
      <c r="Q117" s="3">
        <v>0.16036556799999999</v>
      </c>
      <c r="R117" s="3">
        <v>0.21030721499999999</v>
      </c>
      <c r="S117" s="3">
        <v>0.254439843</v>
      </c>
      <c r="T117" s="3">
        <v>4.3852523039999998</v>
      </c>
      <c r="U117" s="3">
        <v>0.81430767900000001</v>
      </c>
      <c r="V117" s="3">
        <v>0.410284869</v>
      </c>
      <c r="W117" s="3">
        <v>-0.27531349399999999</v>
      </c>
      <c r="X117" s="3">
        <v>-3.4129930389999998</v>
      </c>
      <c r="Y117" s="3">
        <v>4.7726218100000004</v>
      </c>
      <c r="Z117" s="3">
        <v>5.3852523039999998</v>
      </c>
      <c r="AA117" s="3">
        <v>0.18642665</v>
      </c>
      <c r="AB117" s="3">
        <v>10.070149929999999</v>
      </c>
      <c r="AC117" s="3">
        <v>12.396751739999999</v>
      </c>
      <c r="AD117" s="3">
        <v>0.36850817299999999</v>
      </c>
      <c r="AE117" s="3">
        <v>5.2551199530000003</v>
      </c>
      <c r="AF117" s="4">
        <v>42305</v>
      </c>
      <c r="AG117" s="5">
        <f>YEAR(AF117)</f>
        <v>2015</v>
      </c>
      <c r="AH117" s="5" t="str">
        <f>"Q"&amp;ROUNDUP(MONTH(AF117)/3,0)</f>
        <v>Q4</v>
      </c>
      <c r="AI117" s="5">
        <f>INDEX(RatingLookup!$B$2:$B$11,MATCH(A117,RatingLookup!$A$2:$A$11,0))</f>
        <v>6</v>
      </c>
      <c r="AJ117" s="5" t="str">
        <f>INDEX(RatingLookup!$C$2:$C$11,MATCH(A117,RatingLookup!$A$2:$A$11,0))</f>
        <v>Speculative Grade</v>
      </c>
    </row>
    <row r="118" spans="1:36" x14ac:dyDescent="0.3">
      <c r="A118" s="3" t="s">
        <v>92</v>
      </c>
      <c r="B118" s="3" t="s">
        <v>201</v>
      </c>
      <c r="C118" s="3" t="s">
        <v>202</v>
      </c>
      <c r="D118" s="3" t="s">
        <v>39</v>
      </c>
      <c r="E118" s="3" t="s">
        <v>205</v>
      </c>
      <c r="F118" s="3" t="s">
        <v>174</v>
      </c>
      <c r="G118" s="3">
        <v>0.85141198200000001</v>
      </c>
      <c r="H118" s="3">
        <v>0.85141198200000001</v>
      </c>
      <c r="I118" s="3">
        <v>0.61810504099999997</v>
      </c>
      <c r="J118" s="3">
        <v>25.953989700000001</v>
      </c>
      <c r="K118" s="3">
        <v>0.11044079800000001</v>
      </c>
      <c r="L118" s="3">
        <v>0.11566924100000001</v>
      </c>
      <c r="M118" s="3">
        <v>0.321187259</v>
      </c>
      <c r="N118" s="3">
        <v>0.11566924100000001</v>
      </c>
      <c r="O118" s="3">
        <v>2.2673977000000001E-2</v>
      </c>
      <c r="P118" s="3">
        <v>2.5332510999999999E-2</v>
      </c>
      <c r="Q118" s="3">
        <v>0.110352033</v>
      </c>
      <c r="R118" s="3">
        <v>0.20530435599999999</v>
      </c>
      <c r="S118" s="3">
        <v>0.26710209699999998</v>
      </c>
      <c r="T118" s="3">
        <v>3.8669024269999999</v>
      </c>
      <c r="U118" s="3">
        <v>0.79453050199999997</v>
      </c>
      <c r="V118" s="3">
        <v>0.18150208600000001</v>
      </c>
      <c r="W118" s="3">
        <v>-0.997028633</v>
      </c>
      <c r="X118" s="3">
        <v>-7.8867521370000002</v>
      </c>
      <c r="Y118" s="3">
        <v>5.0042735040000004</v>
      </c>
      <c r="Z118" s="3">
        <v>4.8669024270000003</v>
      </c>
      <c r="AA118" s="3">
        <v>0.11566924100000001</v>
      </c>
      <c r="AB118" s="3">
        <v>13.82317396</v>
      </c>
      <c r="AC118" s="3">
        <v>7.9102564099999997</v>
      </c>
      <c r="AD118" s="3">
        <v>0.297779923</v>
      </c>
      <c r="AE118" s="3">
        <v>4.7570462229999997</v>
      </c>
      <c r="AF118" s="4">
        <v>41380</v>
      </c>
      <c r="AG118" s="5">
        <f>YEAR(AF118)</f>
        <v>2013</v>
      </c>
      <c r="AH118" s="5" t="str">
        <f>"Q"&amp;ROUNDUP(MONTH(AF118)/3,0)</f>
        <v>Q2</v>
      </c>
      <c r="AI118" s="5">
        <f>INDEX(RatingLookup!$B$2:$B$11,MATCH(A118,RatingLookup!$A$2:$A$11,0))</f>
        <v>6</v>
      </c>
      <c r="AJ118" s="5" t="str">
        <f>INDEX(RatingLookup!$C$2:$C$11,MATCH(A118,RatingLookup!$A$2:$A$11,0))</f>
        <v>Speculative Grade</v>
      </c>
    </row>
    <row r="119" spans="1:36" x14ac:dyDescent="0.3">
      <c r="A119" s="3" t="s">
        <v>42</v>
      </c>
      <c r="B119" s="3" t="s">
        <v>201</v>
      </c>
      <c r="C119" s="3" t="s">
        <v>202</v>
      </c>
      <c r="D119" s="3" t="s">
        <v>47</v>
      </c>
      <c r="E119" s="3" t="s">
        <v>206</v>
      </c>
      <c r="F119" s="3" t="s">
        <v>174</v>
      </c>
      <c r="G119" s="3">
        <v>2.1509021320000001</v>
      </c>
      <c r="H119" s="3">
        <v>2.1509021320000001</v>
      </c>
      <c r="I119" s="3">
        <v>1.6812465830000001</v>
      </c>
      <c r="J119" s="3">
        <v>22.106394980000001</v>
      </c>
      <c r="K119" s="3">
        <v>0.181273355</v>
      </c>
      <c r="L119" s="3">
        <v>0.21532820999999999</v>
      </c>
      <c r="M119" s="3">
        <v>0.38214764200000001</v>
      </c>
      <c r="N119" s="3">
        <v>0.21532820999999999</v>
      </c>
      <c r="O119" s="3">
        <v>3.6183748000000002E-2</v>
      </c>
      <c r="P119" s="3">
        <v>4.4117009999999998E-2</v>
      </c>
      <c r="Q119" s="3">
        <v>0.19084026100000001</v>
      </c>
      <c r="R119" s="3">
        <v>0.199608748</v>
      </c>
      <c r="S119" s="3">
        <v>0.24433648599999999</v>
      </c>
      <c r="T119" s="3">
        <v>4.2741983369999996</v>
      </c>
      <c r="U119" s="3">
        <v>0.81039772600000004</v>
      </c>
      <c r="V119" s="3">
        <v>0.313359528</v>
      </c>
      <c r="W119" s="3">
        <v>4.8554543999999998E-2</v>
      </c>
      <c r="X119" s="3">
        <v>0.75061728400000005</v>
      </c>
      <c r="Y119" s="3">
        <v>7.592592593</v>
      </c>
      <c r="Z119" s="3">
        <v>5.2741983369999996</v>
      </c>
      <c r="AA119" s="3">
        <v>0.21532820999999999</v>
      </c>
      <c r="AB119" s="3">
        <v>10.36668291</v>
      </c>
      <c r="AC119" s="3">
        <v>15.45925926</v>
      </c>
      <c r="AD119" s="3">
        <v>0.44144398200000001</v>
      </c>
      <c r="AE119" s="3">
        <v>5.013157895</v>
      </c>
      <c r="AF119" s="4">
        <v>42663</v>
      </c>
      <c r="AG119" s="5">
        <f>YEAR(AF119)</f>
        <v>2016</v>
      </c>
      <c r="AH119" s="5" t="str">
        <f>"Q"&amp;ROUNDUP(MONTH(AF119)/3,0)</f>
        <v>Q4</v>
      </c>
      <c r="AI119" s="5">
        <f>INDEX(RatingLookup!$B$2:$B$11,MATCH(A119,RatingLookup!$A$2:$A$11,0))</f>
        <v>7</v>
      </c>
      <c r="AJ119" s="5" t="str">
        <f>INDEX(RatingLookup!$C$2:$C$11,MATCH(A119,RatingLookup!$A$2:$A$11,0))</f>
        <v>Investment Grade</v>
      </c>
    </row>
    <row r="120" spans="1:36" x14ac:dyDescent="0.3">
      <c r="A120" s="3" t="s">
        <v>36</v>
      </c>
      <c r="B120" s="3" t="s">
        <v>207</v>
      </c>
      <c r="C120" s="3" t="s">
        <v>208</v>
      </c>
      <c r="D120" s="3" t="s">
        <v>39</v>
      </c>
      <c r="E120" s="3" t="s">
        <v>209</v>
      </c>
      <c r="F120" s="3" t="s">
        <v>79</v>
      </c>
      <c r="G120" s="3">
        <v>0.85248886400000001</v>
      </c>
      <c r="H120" s="3">
        <v>0.96731280399999997</v>
      </c>
      <c r="I120" s="3">
        <v>6.9064290000000004E-3</v>
      </c>
      <c r="J120" s="3">
        <v>41.874777379999998</v>
      </c>
      <c r="K120" s="3">
        <v>5.4411548999999997E-2</v>
      </c>
      <c r="L120" s="3">
        <v>5.5830033000000001E-2</v>
      </c>
      <c r="M120" s="3">
        <v>0.14576235700000001</v>
      </c>
      <c r="N120" s="3">
        <v>7.2648606000000004E-2</v>
      </c>
      <c r="O120" s="3">
        <v>6.4698159000000005E-2</v>
      </c>
      <c r="P120" s="3">
        <v>8.3529780999999997E-2</v>
      </c>
      <c r="Q120" s="3">
        <v>0.17068249299999999</v>
      </c>
      <c r="R120" s="3">
        <v>1.189051962</v>
      </c>
      <c r="S120" s="3">
        <v>1.771169647</v>
      </c>
      <c r="T120" s="3">
        <v>1.638135237</v>
      </c>
      <c r="U120" s="3">
        <v>0.62094437499999999</v>
      </c>
      <c r="V120" s="3">
        <v>2.1579224000000001E-2</v>
      </c>
      <c r="W120" s="3">
        <v>0.118302936</v>
      </c>
      <c r="X120" s="3">
        <v>0.51152125299999995</v>
      </c>
      <c r="Y120" s="3">
        <v>2.789597315</v>
      </c>
      <c r="Z120" s="3">
        <v>2.6381352370000002</v>
      </c>
      <c r="AA120" s="3">
        <v>5.5830033000000001E-2</v>
      </c>
      <c r="AB120" s="3">
        <v>9.9010352410000007</v>
      </c>
      <c r="AC120" s="3">
        <v>4.3238255030000001</v>
      </c>
      <c r="AD120" s="3">
        <v>8.0991890999999996E-2</v>
      </c>
      <c r="AE120" s="3">
        <v>56.335774489999999</v>
      </c>
      <c r="AF120" s="4">
        <v>41604</v>
      </c>
      <c r="AG120" s="5">
        <f>YEAR(AF120)</f>
        <v>2013</v>
      </c>
      <c r="AH120" s="5" t="str">
        <f>"Q"&amp;ROUNDUP(MONTH(AF120)/3,0)</f>
        <v>Q4</v>
      </c>
      <c r="AI120" s="5">
        <f>INDEX(RatingLookup!$B$2:$B$11,MATCH(A120,RatingLookup!$A$2:$A$11,0))</f>
        <v>8</v>
      </c>
      <c r="AJ120" s="5" t="str">
        <f>INDEX(RatingLookup!$C$2:$C$11,MATCH(A120,RatingLookup!$A$2:$A$11,0))</f>
        <v>Investment Grade</v>
      </c>
    </row>
    <row r="121" spans="1:36" x14ac:dyDescent="0.3">
      <c r="A121" s="3" t="s">
        <v>36</v>
      </c>
      <c r="B121" s="3" t="s">
        <v>207</v>
      </c>
      <c r="C121" s="3" t="s">
        <v>208</v>
      </c>
      <c r="D121" s="3" t="s">
        <v>39</v>
      </c>
      <c r="E121" s="3" t="s">
        <v>210</v>
      </c>
      <c r="F121" s="3" t="s">
        <v>79</v>
      </c>
      <c r="G121" s="3">
        <v>0.69734686400000001</v>
      </c>
      <c r="H121" s="3">
        <v>0.88133914199999996</v>
      </c>
      <c r="I121" s="3">
        <v>9.4491790000000003E-3</v>
      </c>
      <c r="J121" s="3">
        <v>29.100314489999999</v>
      </c>
      <c r="K121" s="3">
        <v>5.8129932000000002E-2</v>
      </c>
      <c r="L121" s="3">
        <v>5.9573066000000001E-2</v>
      </c>
      <c r="M121" s="3">
        <v>0.15613999200000001</v>
      </c>
      <c r="N121" s="3">
        <v>7.8740468999999993E-2</v>
      </c>
      <c r="O121" s="3">
        <v>5.9179587999999998E-2</v>
      </c>
      <c r="P121" s="3">
        <v>7.2822290999999997E-2</v>
      </c>
      <c r="Q121" s="3">
        <v>0.154313743</v>
      </c>
      <c r="R121" s="3">
        <v>1.018057056</v>
      </c>
      <c r="S121" s="3">
        <v>1.604706575</v>
      </c>
      <c r="T121" s="3">
        <v>1.6075501569999999</v>
      </c>
      <c r="U121" s="3">
        <v>0.61649826900000004</v>
      </c>
      <c r="V121" s="3">
        <v>8.0865360000000001E-3</v>
      </c>
      <c r="W121" s="3">
        <v>0.30495891600000002</v>
      </c>
      <c r="X121" s="3">
        <v>0.68659057700000004</v>
      </c>
      <c r="Y121" s="3">
        <v>1.6857251040000001</v>
      </c>
      <c r="Z121" s="3">
        <v>2.6075501569999999</v>
      </c>
      <c r="AA121" s="3">
        <v>5.9573066000000001E-2</v>
      </c>
      <c r="AB121" s="3">
        <v>16.54114482</v>
      </c>
      <c r="AC121" s="3">
        <v>2.2514199170000002</v>
      </c>
      <c r="AD121" s="3">
        <v>8.6800746999999998E-2</v>
      </c>
      <c r="AE121" s="3">
        <v>52.29271129</v>
      </c>
      <c r="AF121" s="4">
        <v>41957</v>
      </c>
      <c r="AG121" s="5">
        <f>YEAR(AF121)</f>
        <v>2014</v>
      </c>
      <c r="AH121" s="5" t="str">
        <f>"Q"&amp;ROUNDUP(MONTH(AF121)/3,0)</f>
        <v>Q4</v>
      </c>
      <c r="AI121" s="5">
        <f>INDEX(RatingLookup!$B$2:$B$11,MATCH(A121,RatingLookup!$A$2:$A$11,0))</f>
        <v>8</v>
      </c>
      <c r="AJ121" s="5" t="str">
        <f>INDEX(RatingLookup!$C$2:$C$11,MATCH(A121,RatingLookup!$A$2:$A$11,0))</f>
        <v>Investment Grade</v>
      </c>
    </row>
    <row r="122" spans="1:36" x14ac:dyDescent="0.3">
      <c r="A122" s="3" t="s">
        <v>36</v>
      </c>
      <c r="B122" s="3" t="s">
        <v>207</v>
      </c>
      <c r="C122" s="3" t="s">
        <v>208</v>
      </c>
      <c r="D122" s="3" t="s">
        <v>39</v>
      </c>
      <c r="E122" s="3" t="s">
        <v>152</v>
      </c>
      <c r="F122" s="3" t="s">
        <v>79</v>
      </c>
      <c r="G122" s="3">
        <v>0.60181955200000004</v>
      </c>
      <c r="H122" s="3">
        <v>0.39971534600000003</v>
      </c>
      <c r="I122" s="3">
        <v>2.6511870000000002E-3</v>
      </c>
      <c r="J122" s="3">
        <v>34.705378519999996</v>
      </c>
      <c r="K122" s="3">
        <v>9.3281386999999993E-2</v>
      </c>
      <c r="L122" s="3">
        <v>9.4565246000000006E-2</v>
      </c>
      <c r="M122" s="3">
        <v>0.27434613899999999</v>
      </c>
      <c r="N122" s="3">
        <v>0.13098316900000001</v>
      </c>
      <c r="O122" s="3">
        <v>5.1503514E-2</v>
      </c>
      <c r="P122" s="3">
        <v>6.1167298000000002E-2</v>
      </c>
      <c r="Q122" s="3">
        <v>0.12422703</v>
      </c>
      <c r="R122" s="3">
        <v>0.55213065900000002</v>
      </c>
      <c r="S122" s="3">
        <v>0.84370698</v>
      </c>
      <c r="T122" s="3">
        <v>1.412010781</v>
      </c>
      <c r="U122" s="3">
        <v>0.58540815499999999</v>
      </c>
      <c r="V122" s="3">
        <v>-9.7812900000000011E-4</v>
      </c>
      <c r="W122" s="3">
        <v>4.2899260000000002E-2</v>
      </c>
      <c r="X122" s="3">
        <v>8.7308044000000001E-2</v>
      </c>
      <c r="Y122" s="3">
        <v>0.14985253700000001</v>
      </c>
      <c r="Z122" s="3">
        <v>2.4120107810000002</v>
      </c>
      <c r="AA122" s="3">
        <v>9.4565246000000006E-2</v>
      </c>
      <c r="AB122" s="3">
        <v>13.78367272</v>
      </c>
      <c r="AC122" s="3">
        <v>2.0351876330000001</v>
      </c>
      <c r="AD122" s="3">
        <v>0.14808401700000001</v>
      </c>
      <c r="AE122" s="3">
        <v>22.803046160000001</v>
      </c>
      <c r="AF122" s="4">
        <v>42212</v>
      </c>
      <c r="AG122" s="5">
        <f>YEAR(AF122)</f>
        <v>2015</v>
      </c>
      <c r="AH122" s="5" t="str">
        <f>"Q"&amp;ROUNDUP(MONTH(AF122)/3,0)</f>
        <v>Q3</v>
      </c>
      <c r="AI122" s="5">
        <f>INDEX(RatingLookup!$B$2:$B$11,MATCH(A122,RatingLookup!$A$2:$A$11,0))</f>
        <v>8</v>
      </c>
      <c r="AJ122" s="5" t="str">
        <f>INDEX(RatingLookup!$C$2:$C$11,MATCH(A122,RatingLookup!$A$2:$A$11,0))</f>
        <v>Investment Grade</v>
      </c>
    </row>
    <row r="123" spans="1:36" x14ac:dyDescent="0.3">
      <c r="A123" s="3" t="s">
        <v>42</v>
      </c>
      <c r="B123" s="3" t="s">
        <v>207</v>
      </c>
      <c r="C123" s="3" t="s">
        <v>208</v>
      </c>
      <c r="D123" s="3" t="s">
        <v>39</v>
      </c>
      <c r="E123" s="3" t="s">
        <v>211</v>
      </c>
      <c r="F123" s="3" t="s">
        <v>79</v>
      </c>
      <c r="G123" s="3">
        <v>0.75339427800000003</v>
      </c>
      <c r="H123" s="3">
        <v>0.742808515</v>
      </c>
      <c r="I123" s="3">
        <v>2.0758930000000001E-3</v>
      </c>
      <c r="J123" s="3">
        <v>37.29363292</v>
      </c>
      <c r="K123" s="3">
        <v>5.6827708999999997E-2</v>
      </c>
      <c r="L123" s="3">
        <v>5.6614009E-2</v>
      </c>
      <c r="M123" s="3">
        <v>0.15423019900000001</v>
      </c>
      <c r="N123" s="3">
        <v>7.3014881000000004E-2</v>
      </c>
      <c r="O123" s="3">
        <v>6.7342157E-2</v>
      </c>
      <c r="P123" s="3">
        <v>8.5553982000000001E-2</v>
      </c>
      <c r="Q123" s="3">
        <v>0.18349674299999999</v>
      </c>
      <c r="R123" s="3">
        <v>1.1850232650000001</v>
      </c>
      <c r="S123" s="3">
        <v>1.7138539180000001</v>
      </c>
      <c r="T123" s="3">
        <v>1.7248420879999999</v>
      </c>
      <c r="U123" s="3">
        <v>0.63300625600000004</v>
      </c>
      <c r="V123" s="3">
        <v>-7.1345610000000002E-3</v>
      </c>
      <c r="W123" s="3">
        <v>-0.25286243000000003</v>
      </c>
      <c r="X123" s="3">
        <v>-0.84822464600000003</v>
      </c>
      <c r="Y123" s="3">
        <v>1.6362265030000001</v>
      </c>
      <c r="Z123" s="3">
        <v>2.7248420879999999</v>
      </c>
      <c r="AA123" s="3">
        <v>5.6614009E-2</v>
      </c>
      <c r="AB123" s="3">
        <v>9.5608186800000006</v>
      </c>
      <c r="AC123" s="3">
        <v>3.3544906010000002</v>
      </c>
      <c r="AD123" s="3">
        <v>6.7888434999999997E-2</v>
      </c>
      <c r="AE123" s="3">
        <v>47.10987574</v>
      </c>
      <c r="AF123" s="4">
        <v>41355</v>
      </c>
      <c r="AG123" s="5">
        <f>YEAR(AF123)</f>
        <v>2013</v>
      </c>
      <c r="AH123" s="5" t="str">
        <f>"Q"&amp;ROUNDUP(MONTH(AF123)/3,0)</f>
        <v>Q1</v>
      </c>
      <c r="AI123" s="5">
        <f>INDEX(RatingLookup!$B$2:$B$11,MATCH(A123,RatingLookup!$A$2:$A$11,0))</f>
        <v>7</v>
      </c>
      <c r="AJ123" s="5" t="str">
        <f>INDEX(RatingLookup!$C$2:$C$11,MATCH(A123,RatingLookup!$A$2:$A$11,0))</f>
        <v>Investment Grade</v>
      </c>
    </row>
    <row r="124" spans="1:36" x14ac:dyDescent="0.3">
      <c r="A124" s="3" t="s">
        <v>92</v>
      </c>
      <c r="B124" s="3" t="s">
        <v>212</v>
      </c>
      <c r="C124" s="3" t="s">
        <v>213</v>
      </c>
      <c r="D124" s="3" t="s">
        <v>60</v>
      </c>
      <c r="E124" s="3" t="s">
        <v>214</v>
      </c>
      <c r="F124" s="3" t="s">
        <v>215</v>
      </c>
      <c r="G124" s="3">
        <v>1.495044179</v>
      </c>
      <c r="H124" s="3">
        <v>1.0359563979999999</v>
      </c>
      <c r="I124" s="3">
        <v>0.82214812900000001</v>
      </c>
      <c r="J124" s="3">
        <v>34.141076460000001</v>
      </c>
      <c r="K124" s="3">
        <v>0.16213420000000001</v>
      </c>
      <c r="L124" s="3">
        <v>0.230393983</v>
      </c>
      <c r="M124" s="3">
        <v>0.88336408300000002</v>
      </c>
      <c r="N124" s="3">
        <v>0.23962428999999999</v>
      </c>
      <c r="O124" s="3">
        <v>5.7411757000000001E-2</v>
      </c>
      <c r="P124" s="3">
        <v>9.6899158999999999E-2</v>
      </c>
      <c r="Q124" s="3">
        <v>0.133659944</v>
      </c>
      <c r="R124" s="3">
        <v>0.35410022800000002</v>
      </c>
      <c r="S124" s="3">
        <v>1.099732054</v>
      </c>
      <c r="T124" s="3">
        <v>1.328093593</v>
      </c>
      <c r="U124" s="3">
        <v>0.57046400399999997</v>
      </c>
      <c r="V124" s="3">
        <v>0.28340000300000001</v>
      </c>
      <c r="W124" s="3">
        <v>0.79456853500000002</v>
      </c>
      <c r="X124" s="3">
        <v>1.3230945569999999</v>
      </c>
      <c r="Y124" s="3">
        <v>1.9595364070000001</v>
      </c>
      <c r="Z124" s="3">
        <v>2.3280935930000002</v>
      </c>
      <c r="AA124" s="3">
        <v>0.230393983</v>
      </c>
      <c r="AB124" s="3">
        <v>21.937962760000001</v>
      </c>
      <c r="AC124" s="3">
        <v>1.6651736109999999</v>
      </c>
      <c r="AD124" s="3">
        <v>0.31348793699999999</v>
      </c>
      <c r="AE124" s="3">
        <v>0.52979293299999997</v>
      </c>
      <c r="AF124" s="4">
        <v>42706</v>
      </c>
      <c r="AG124" s="5">
        <f>YEAR(AF124)</f>
        <v>2016</v>
      </c>
      <c r="AH124" s="5" t="str">
        <f>"Q"&amp;ROUNDUP(MONTH(AF124)/3,0)</f>
        <v>Q4</v>
      </c>
      <c r="AI124" s="5">
        <f>INDEX(RatingLookup!$B$2:$B$11,MATCH(A124,RatingLookup!$A$2:$A$11,0))</f>
        <v>6</v>
      </c>
      <c r="AJ124" s="5" t="str">
        <f>INDEX(RatingLookup!$C$2:$C$11,MATCH(A124,RatingLookup!$A$2:$A$11,0))</f>
        <v>Speculative Grade</v>
      </c>
    </row>
    <row r="125" spans="1:36" x14ac:dyDescent="0.3">
      <c r="A125" s="3" t="s">
        <v>42</v>
      </c>
      <c r="B125" s="3" t="s">
        <v>216</v>
      </c>
      <c r="C125" s="3" t="s">
        <v>217</v>
      </c>
      <c r="D125" s="3" t="s">
        <v>60</v>
      </c>
      <c r="E125" s="3" t="s">
        <v>218</v>
      </c>
      <c r="F125" s="3" t="s">
        <v>219</v>
      </c>
      <c r="G125" s="3">
        <v>1.570184984</v>
      </c>
      <c r="H125" s="3">
        <v>0.91294885699999995</v>
      </c>
      <c r="I125" s="3">
        <v>0.13057671400000001</v>
      </c>
      <c r="J125" s="3">
        <v>26.766666669999999</v>
      </c>
      <c r="K125" s="3">
        <v>0.117575758</v>
      </c>
      <c r="L125" s="3">
        <v>7.4242424000000001E-2</v>
      </c>
      <c r="M125" s="3">
        <v>0.19636363600000001</v>
      </c>
      <c r="N125" s="3">
        <v>8.7878787999999999E-2</v>
      </c>
      <c r="O125" s="3">
        <v>8.8201864000000005E-2</v>
      </c>
      <c r="P125" s="3">
        <v>7.0402299000000002E-2</v>
      </c>
      <c r="Q125" s="3">
        <v>0.21400992799999999</v>
      </c>
      <c r="R125" s="3">
        <v>0.75017049300000005</v>
      </c>
      <c r="S125" s="3">
        <v>2.1262886600000002</v>
      </c>
      <c r="T125" s="3">
        <v>1.426365141</v>
      </c>
      <c r="U125" s="3">
        <v>0.587860877</v>
      </c>
      <c r="V125" s="3">
        <v>0.22448979599999999</v>
      </c>
      <c r="W125" s="3">
        <v>0.32289156600000002</v>
      </c>
      <c r="X125" s="3">
        <v>2.1135646690000001</v>
      </c>
      <c r="Y125" s="3">
        <v>9.416403785</v>
      </c>
      <c r="Z125" s="3">
        <v>2.4263651409999998</v>
      </c>
      <c r="AA125" s="3">
        <v>7.4242424000000001E-2</v>
      </c>
      <c r="AB125" s="3">
        <v>7.7972107619999997</v>
      </c>
      <c r="AC125" s="3">
        <v>6.5457413249999998</v>
      </c>
      <c r="AD125" s="3">
        <v>0.12575757600000001</v>
      </c>
      <c r="AE125" s="3">
        <v>4.3762376239999998</v>
      </c>
      <c r="AF125" s="4">
        <v>41096</v>
      </c>
      <c r="AG125" s="5">
        <f>YEAR(AF125)</f>
        <v>2012</v>
      </c>
      <c r="AH125" s="5" t="str">
        <f>"Q"&amp;ROUNDUP(MONTH(AF125)/3,0)</f>
        <v>Q3</v>
      </c>
      <c r="AI125" s="5">
        <f>INDEX(RatingLookup!$B$2:$B$11,MATCH(A125,RatingLookup!$A$2:$A$11,0))</f>
        <v>7</v>
      </c>
      <c r="AJ125" s="5" t="str">
        <f>INDEX(RatingLookup!$C$2:$C$11,MATCH(A125,RatingLookup!$A$2:$A$11,0))</f>
        <v>Investment Grade</v>
      </c>
    </row>
    <row r="126" spans="1:36" x14ac:dyDescent="0.3">
      <c r="A126" s="3" t="s">
        <v>42</v>
      </c>
      <c r="B126" s="3" t="s">
        <v>216</v>
      </c>
      <c r="C126" s="3" t="s">
        <v>217</v>
      </c>
      <c r="D126" s="3" t="s">
        <v>47</v>
      </c>
      <c r="E126" s="3" t="s">
        <v>220</v>
      </c>
      <c r="F126" s="3" t="s">
        <v>219</v>
      </c>
      <c r="G126" s="3">
        <v>2.3704268289999999</v>
      </c>
      <c r="H126" s="3">
        <v>1.6554878049999999</v>
      </c>
      <c r="I126" s="3">
        <v>0.43597561000000001</v>
      </c>
      <c r="J126" s="3">
        <v>77.541908449999994</v>
      </c>
      <c r="K126" s="3">
        <v>7.6079947999999994E-2</v>
      </c>
      <c r="L126" s="3">
        <v>6.5441651000000003E-2</v>
      </c>
      <c r="M126" s="3">
        <v>0.17988394599999999</v>
      </c>
      <c r="N126" s="3">
        <v>7.8336557000000001E-2</v>
      </c>
      <c r="O126" s="3">
        <v>7.5135306999999998E-2</v>
      </c>
      <c r="P126" s="3">
        <v>8.1690140999999994E-2</v>
      </c>
      <c r="Q126" s="3">
        <v>0.15870881000000001</v>
      </c>
      <c r="R126" s="3">
        <v>0.98758357200000002</v>
      </c>
      <c r="S126" s="3">
        <v>2.994208494</v>
      </c>
      <c r="T126" s="3">
        <v>1.1123066580000001</v>
      </c>
      <c r="U126" s="3">
        <v>0.52658389000000005</v>
      </c>
      <c r="V126" s="3">
        <v>2.955665E-2</v>
      </c>
      <c r="W126" s="3">
        <v>-0.179487179</v>
      </c>
      <c r="X126" s="3">
        <v>-0.54179566599999995</v>
      </c>
      <c r="Y126" s="3">
        <v>6.609907121</v>
      </c>
      <c r="Z126" s="3">
        <v>2.1123066580000001</v>
      </c>
      <c r="AA126" s="3">
        <v>6.5441651000000003E-2</v>
      </c>
      <c r="AB126" s="3">
        <v>6.0947545219999997</v>
      </c>
      <c r="AC126" s="3">
        <v>3.018575851</v>
      </c>
      <c r="AD126" s="3">
        <v>6.2862668999999996E-2</v>
      </c>
      <c r="AE126" s="3">
        <v>5.5184381780000002</v>
      </c>
      <c r="AF126" s="4">
        <v>41081</v>
      </c>
      <c r="AG126" s="5">
        <f>YEAR(AF126)</f>
        <v>2012</v>
      </c>
      <c r="AH126" s="5" t="str">
        <f>"Q"&amp;ROUNDUP(MONTH(AF126)/3,0)</f>
        <v>Q2</v>
      </c>
      <c r="AI126" s="5">
        <f>INDEX(RatingLookup!$B$2:$B$11,MATCH(A126,RatingLookup!$A$2:$A$11,0))</f>
        <v>7</v>
      </c>
      <c r="AJ126" s="5" t="str">
        <f>INDEX(RatingLookup!$C$2:$C$11,MATCH(A126,RatingLookup!$A$2:$A$11,0))</f>
        <v>Investment Grade</v>
      </c>
    </row>
    <row r="127" spans="1:36" x14ac:dyDescent="0.3">
      <c r="A127" s="3" t="s">
        <v>42</v>
      </c>
      <c r="B127" s="3" t="s">
        <v>216</v>
      </c>
      <c r="C127" s="3" t="s">
        <v>217</v>
      </c>
      <c r="D127" s="3" t="s">
        <v>39</v>
      </c>
      <c r="E127" s="3" t="s">
        <v>221</v>
      </c>
      <c r="F127" s="3" t="s">
        <v>219</v>
      </c>
      <c r="G127" s="3">
        <v>2.165079365</v>
      </c>
      <c r="H127" s="3">
        <v>1.1984126980000001</v>
      </c>
      <c r="I127" s="3">
        <v>0.106349206</v>
      </c>
      <c r="J127" s="3">
        <v>68.856594459999997</v>
      </c>
      <c r="K127" s="3">
        <v>5.4565396000000002E-2</v>
      </c>
      <c r="L127" s="3">
        <v>5.9226762000000002E-2</v>
      </c>
      <c r="M127" s="3">
        <v>0.19769673700000001</v>
      </c>
      <c r="N127" s="3">
        <v>9.1856320000000005E-2</v>
      </c>
      <c r="O127" s="3">
        <v>4.8726737999999999E-2</v>
      </c>
      <c r="P127" s="3">
        <v>6.2536190000000005E-2</v>
      </c>
      <c r="Q127" s="3">
        <v>0.102471679</v>
      </c>
      <c r="R127" s="3">
        <v>0.89299706199999995</v>
      </c>
      <c r="S127" s="3">
        <v>2.3067678680000001</v>
      </c>
      <c r="T127" s="3">
        <v>1.102986612</v>
      </c>
      <c r="U127" s="3">
        <v>0.52448579799999995</v>
      </c>
      <c r="V127" s="3">
        <v>0.42592592600000001</v>
      </c>
      <c r="W127" s="3">
        <v>0.45714285700000001</v>
      </c>
      <c r="X127" s="3">
        <v>2.2360248450000002</v>
      </c>
      <c r="Y127" s="3">
        <v>1.0403726710000001</v>
      </c>
      <c r="Z127" s="3">
        <v>2.102986612</v>
      </c>
      <c r="AA127" s="3">
        <v>5.9226762000000002E-2</v>
      </c>
      <c r="AB127" s="3">
        <v>7.2080373130000002</v>
      </c>
      <c r="AC127" s="3">
        <v>4.8913043480000002</v>
      </c>
      <c r="AD127" s="3">
        <v>8.6372360999999995E-2</v>
      </c>
      <c r="AE127" s="3">
        <v>5.71484375</v>
      </c>
      <c r="AF127" s="4">
        <v>42137</v>
      </c>
      <c r="AG127" s="5">
        <f>YEAR(AF127)</f>
        <v>2015</v>
      </c>
      <c r="AH127" s="5" t="str">
        <f>"Q"&amp;ROUNDUP(MONTH(AF127)/3,0)</f>
        <v>Q2</v>
      </c>
      <c r="AI127" s="5">
        <f>INDEX(RatingLookup!$B$2:$B$11,MATCH(A127,RatingLookup!$A$2:$A$11,0))</f>
        <v>7</v>
      </c>
      <c r="AJ127" s="5" t="str">
        <f>INDEX(RatingLookup!$C$2:$C$11,MATCH(A127,RatingLookup!$A$2:$A$11,0))</f>
        <v>Investment Grade</v>
      </c>
    </row>
    <row r="128" spans="1:36" x14ac:dyDescent="0.3">
      <c r="A128" s="3" t="s">
        <v>42</v>
      </c>
      <c r="B128" s="3" t="s">
        <v>216</v>
      </c>
      <c r="C128" s="3" t="s">
        <v>217</v>
      </c>
      <c r="D128" s="3" t="s">
        <v>39</v>
      </c>
      <c r="E128" s="3" t="s">
        <v>222</v>
      </c>
      <c r="F128" s="3" t="s">
        <v>219</v>
      </c>
      <c r="G128" s="3">
        <v>2.3764172339999998</v>
      </c>
      <c r="H128" s="3">
        <v>1.2562358280000001</v>
      </c>
      <c r="I128" s="3">
        <v>0.174603175</v>
      </c>
      <c r="J128" s="3">
        <v>60.642633230000001</v>
      </c>
      <c r="K128" s="3">
        <v>-0.116335772</v>
      </c>
      <c r="L128" s="3">
        <v>-0.11424590699999999</v>
      </c>
      <c r="M128" s="3">
        <v>0.20376175499999999</v>
      </c>
      <c r="N128" s="3">
        <v>-0.11041449</v>
      </c>
      <c r="O128" s="3">
        <v>-0.108617886</v>
      </c>
      <c r="P128" s="3">
        <v>-0.124525437</v>
      </c>
      <c r="Q128" s="3">
        <v>-0.27066450600000003</v>
      </c>
      <c r="R128" s="3">
        <v>0.93365853700000001</v>
      </c>
      <c r="S128" s="3">
        <v>2.0759219089999998</v>
      </c>
      <c r="T128" s="3">
        <v>1.491896272</v>
      </c>
      <c r="U128" s="3">
        <v>0.59869918700000002</v>
      </c>
      <c r="V128" s="3">
        <v>0.137195122</v>
      </c>
      <c r="W128" s="3">
        <v>0.71743486999999995</v>
      </c>
      <c r="X128" s="3">
        <v>5.646687697</v>
      </c>
      <c r="Y128" s="3">
        <v>1.214511041</v>
      </c>
      <c r="Z128" s="3">
        <v>2.491896272</v>
      </c>
      <c r="AA128" s="3">
        <v>-0.11424590699999999</v>
      </c>
      <c r="AB128" s="3">
        <v>-23.67608955</v>
      </c>
      <c r="AC128" s="3">
        <v>7.8706624610000002</v>
      </c>
      <c r="AD128" s="3">
        <v>0.173807036</v>
      </c>
      <c r="AE128" s="3">
        <v>5.8766066840000004</v>
      </c>
      <c r="AF128" s="4">
        <v>42340</v>
      </c>
      <c r="AG128" s="5">
        <f>YEAR(AF128)</f>
        <v>2015</v>
      </c>
      <c r="AH128" s="5" t="str">
        <f>"Q"&amp;ROUNDUP(MONTH(AF128)/3,0)</f>
        <v>Q4</v>
      </c>
      <c r="AI128" s="5">
        <f>INDEX(RatingLookup!$B$2:$B$11,MATCH(A128,RatingLookup!$A$2:$A$11,0))</f>
        <v>7</v>
      </c>
      <c r="AJ128" s="5" t="str">
        <f>INDEX(RatingLookup!$C$2:$C$11,MATCH(A128,RatingLookup!$A$2:$A$11,0))</f>
        <v>Investment Grade</v>
      </c>
    </row>
    <row r="129" spans="1:36" x14ac:dyDescent="0.3">
      <c r="A129" s="3" t="s">
        <v>42</v>
      </c>
      <c r="B129" s="3" t="s">
        <v>216</v>
      </c>
      <c r="C129" s="3" t="s">
        <v>217</v>
      </c>
      <c r="D129" s="3" t="s">
        <v>39</v>
      </c>
      <c r="E129" s="3" t="s">
        <v>223</v>
      </c>
      <c r="F129" s="3" t="s">
        <v>219</v>
      </c>
      <c r="G129" s="3">
        <v>1.7713270139999999</v>
      </c>
      <c r="H129" s="3">
        <v>0.36611374400000002</v>
      </c>
      <c r="I129" s="3">
        <v>0.112559242</v>
      </c>
      <c r="J129" s="3">
        <v>22.555587639999999</v>
      </c>
      <c r="K129" s="3">
        <v>4.4181346000000003E-2</v>
      </c>
      <c r="L129" s="3">
        <v>4.5625180000000001E-2</v>
      </c>
      <c r="M129" s="3">
        <v>0.18365579000000001</v>
      </c>
      <c r="N129" s="3">
        <v>7.5945711999999999E-2</v>
      </c>
      <c r="O129" s="3">
        <v>3.6144577999999997E-2</v>
      </c>
      <c r="P129" s="3">
        <v>4.6621422000000003E-2</v>
      </c>
      <c r="Q129" s="3">
        <v>7.8421322000000002E-2</v>
      </c>
      <c r="R129" s="3">
        <v>0.81809591299999995</v>
      </c>
      <c r="S129" s="3">
        <v>2.1576323990000001</v>
      </c>
      <c r="T129" s="3">
        <v>1.1696565860000001</v>
      </c>
      <c r="U129" s="3">
        <v>0.539097567</v>
      </c>
      <c r="V129" s="3">
        <v>0.36708860799999998</v>
      </c>
      <c r="W129" s="3">
        <v>0.36992840100000002</v>
      </c>
      <c r="X129" s="3">
        <v>2.4294670850000002</v>
      </c>
      <c r="Y129" s="3">
        <v>1.4890282130000001</v>
      </c>
      <c r="Z129" s="3">
        <v>2.1696565859999999</v>
      </c>
      <c r="AA129" s="3">
        <v>4.5625180000000001E-2</v>
      </c>
      <c r="AB129" s="3">
        <v>8.6866401769999992</v>
      </c>
      <c r="AC129" s="3">
        <v>6.5673981189999999</v>
      </c>
      <c r="AD129" s="3">
        <v>0.120993358</v>
      </c>
      <c r="AE129" s="3">
        <v>5.2940074910000003</v>
      </c>
      <c r="AF129" s="4">
        <v>41694</v>
      </c>
      <c r="AG129" s="5">
        <f>YEAR(AF129)</f>
        <v>2014</v>
      </c>
      <c r="AH129" s="5" t="str">
        <f>"Q"&amp;ROUNDUP(MONTH(AF129)/3,0)</f>
        <v>Q1</v>
      </c>
      <c r="AI129" s="5">
        <f>INDEX(RatingLookup!$B$2:$B$11,MATCH(A129,RatingLookup!$A$2:$A$11,0))</f>
        <v>7</v>
      </c>
      <c r="AJ129" s="5" t="str">
        <f>INDEX(RatingLookup!$C$2:$C$11,MATCH(A129,RatingLookup!$A$2:$A$11,0))</f>
        <v>Investment Grade</v>
      </c>
    </row>
    <row r="130" spans="1:36" x14ac:dyDescent="0.3">
      <c r="A130" s="3" t="s">
        <v>42</v>
      </c>
      <c r="B130" s="3" t="s">
        <v>216</v>
      </c>
      <c r="C130" s="3" t="s">
        <v>217</v>
      </c>
      <c r="D130" s="3" t="s">
        <v>60</v>
      </c>
      <c r="E130" s="3" t="s">
        <v>224</v>
      </c>
      <c r="F130" s="3" t="s">
        <v>219</v>
      </c>
      <c r="G130" s="3">
        <v>2.7361809049999999</v>
      </c>
      <c r="H130" s="3">
        <v>1.648241206</v>
      </c>
      <c r="I130" s="3">
        <v>0.50251256300000002</v>
      </c>
      <c r="J130" s="3">
        <v>69.033596020000005</v>
      </c>
      <c r="K130" s="3">
        <v>6.1800082999999999E-2</v>
      </c>
      <c r="L130" s="3">
        <v>6.7606801999999994E-2</v>
      </c>
      <c r="M130" s="3">
        <v>0.23973454999999999</v>
      </c>
      <c r="N130" s="3">
        <v>0.103691414</v>
      </c>
      <c r="O130" s="3">
        <v>4.8948751999999998E-2</v>
      </c>
      <c r="P130" s="3">
        <v>6.1602418999999999E-2</v>
      </c>
      <c r="Q130" s="3">
        <v>0.116954474</v>
      </c>
      <c r="R130" s="3">
        <v>0.79204993400000001</v>
      </c>
      <c r="S130" s="3">
        <v>1.8689922480000001</v>
      </c>
      <c r="T130" s="3">
        <v>1.389324961</v>
      </c>
      <c r="U130" s="3">
        <v>0.58147174800000001</v>
      </c>
      <c r="V130" s="3">
        <v>0.20858895699999999</v>
      </c>
      <c r="W130" s="3">
        <v>0.71428571399999996</v>
      </c>
      <c r="X130" s="3">
        <v>4.4871794869999997</v>
      </c>
      <c r="Y130" s="3">
        <v>3.2051282049999998</v>
      </c>
      <c r="Z130" s="3">
        <v>2.3893249609999998</v>
      </c>
      <c r="AA130" s="3">
        <v>6.7606801999999994E-2</v>
      </c>
      <c r="AB130" s="3">
        <v>9.6442822380000006</v>
      </c>
      <c r="AC130" s="3">
        <v>6.2820512820000003</v>
      </c>
      <c r="AD130" s="3">
        <v>0.16258813799999999</v>
      </c>
      <c r="AE130" s="3">
        <v>5.0357142860000002</v>
      </c>
      <c r="AF130" s="4">
        <v>42619</v>
      </c>
      <c r="AG130" s="5">
        <f>YEAR(AF130)</f>
        <v>2016</v>
      </c>
      <c r="AH130" s="5" t="str">
        <f>"Q"&amp;ROUNDUP(MONTH(AF130)/3,0)</f>
        <v>Q3</v>
      </c>
      <c r="AI130" s="5">
        <f>INDEX(RatingLookup!$B$2:$B$11,MATCH(A130,RatingLookup!$A$2:$A$11,0))</f>
        <v>7</v>
      </c>
      <c r="AJ130" s="5" t="str">
        <f>INDEX(RatingLookup!$C$2:$C$11,MATCH(A130,RatingLookup!$A$2:$A$11,0))</f>
        <v>Investment Grade</v>
      </c>
    </row>
    <row r="131" spans="1:36" x14ac:dyDescent="0.3">
      <c r="A131" s="3" t="s">
        <v>36</v>
      </c>
      <c r="B131" s="3" t="s">
        <v>225</v>
      </c>
      <c r="C131" s="3" t="s">
        <v>226</v>
      </c>
      <c r="D131" s="3" t="s">
        <v>60</v>
      </c>
      <c r="E131" s="3" t="s">
        <v>227</v>
      </c>
      <c r="F131" s="3" t="s">
        <v>53</v>
      </c>
      <c r="G131" s="3">
        <v>1.504957635</v>
      </c>
      <c r="H131" s="3">
        <v>1.044618713</v>
      </c>
      <c r="I131" s="3">
        <v>0.46935280299999999</v>
      </c>
      <c r="J131" s="3">
        <v>14.277411109999999</v>
      </c>
      <c r="K131" s="3">
        <v>2.9538743999999999E-2</v>
      </c>
      <c r="L131" s="3">
        <v>3.5636305E-2</v>
      </c>
      <c r="M131" s="3">
        <v>1</v>
      </c>
      <c r="N131" s="3">
        <v>3.5636305E-2</v>
      </c>
      <c r="O131" s="3">
        <v>9.7700088000000004E-2</v>
      </c>
      <c r="P131" s="3">
        <v>0.15260180100000001</v>
      </c>
      <c r="Q131" s="3">
        <v>0.220565076</v>
      </c>
      <c r="R131" s="3">
        <v>3.3075234400000002</v>
      </c>
      <c r="S131" s="3">
        <v>9.2939006109999998</v>
      </c>
      <c r="T131" s="3">
        <v>1.2575729499999999</v>
      </c>
      <c r="U131" s="3">
        <v>0.55704642900000001</v>
      </c>
      <c r="V131" s="3">
        <v>0.28790252399999999</v>
      </c>
      <c r="W131" s="3">
        <v>1</v>
      </c>
      <c r="X131" s="3">
        <v>6.2360620740000003</v>
      </c>
      <c r="Y131" s="3">
        <v>9.3355386619999994</v>
      </c>
      <c r="Z131" s="3">
        <v>2.2575729500000001</v>
      </c>
      <c r="AA131" s="3">
        <v>3.5636305E-2</v>
      </c>
      <c r="AB131" s="3">
        <v>6.4200635960000003</v>
      </c>
      <c r="AC131" s="3">
        <v>6.2360620740000003</v>
      </c>
      <c r="AD131" s="3">
        <v>2.1890429999999999E-2</v>
      </c>
      <c r="AE131" s="3">
        <v>0</v>
      </c>
      <c r="AF131" s="4">
        <v>41955</v>
      </c>
      <c r="AG131" s="5">
        <f>YEAR(AF131)</f>
        <v>2014</v>
      </c>
      <c r="AH131" s="5" t="str">
        <f>"Q"&amp;ROUNDUP(MONTH(AF131)/3,0)</f>
        <v>Q4</v>
      </c>
      <c r="AI131" s="5">
        <f>INDEX(RatingLookup!$B$2:$B$11,MATCH(A131,RatingLookup!$A$2:$A$11,0))</f>
        <v>8</v>
      </c>
      <c r="AJ131" s="5" t="str">
        <f>INDEX(RatingLookup!$C$2:$C$11,MATCH(A131,RatingLookup!$A$2:$A$11,0))</f>
        <v>Investment Grade</v>
      </c>
    </row>
    <row r="132" spans="1:36" x14ac:dyDescent="0.3">
      <c r="A132" s="3" t="s">
        <v>42</v>
      </c>
      <c r="B132" s="3" t="s">
        <v>225</v>
      </c>
      <c r="C132" s="3" t="s">
        <v>226</v>
      </c>
      <c r="D132" s="3" t="s">
        <v>47</v>
      </c>
      <c r="E132" s="3" t="s">
        <v>142</v>
      </c>
      <c r="F132" s="3" t="s">
        <v>53</v>
      </c>
      <c r="G132" s="3">
        <v>1.339955617</v>
      </c>
      <c r="H132" s="3">
        <v>0.87636056200000001</v>
      </c>
      <c r="I132" s="3">
        <v>0.28648420200000002</v>
      </c>
      <c r="J132" s="3">
        <v>23.75473131</v>
      </c>
      <c r="K132" s="3">
        <v>1.8450622E-2</v>
      </c>
      <c r="L132" s="3">
        <v>2.5996986E-2</v>
      </c>
      <c r="M132" s="3">
        <v>1</v>
      </c>
      <c r="N132" s="3">
        <v>2.5996986E-2</v>
      </c>
      <c r="O132" s="3">
        <v>3.0104736999999999E-2</v>
      </c>
      <c r="P132" s="3">
        <v>5.1931736999999999E-2</v>
      </c>
      <c r="Q132" s="3">
        <v>6.9450648000000004E-2</v>
      </c>
      <c r="R132" s="3">
        <v>1.631638046</v>
      </c>
      <c r="S132" s="3">
        <v>4.0411891630000003</v>
      </c>
      <c r="T132" s="3">
        <v>1.3069673959999999</v>
      </c>
      <c r="U132" s="3">
        <v>0.56653050199999999</v>
      </c>
      <c r="V132" s="3">
        <v>0.24965769099999999</v>
      </c>
      <c r="W132" s="3">
        <v>1</v>
      </c>
      <c r="X132" s="3">
        <v>5.6167315289999999</v>
      </c>
      <c r="Y132" s="3">
        <v>5.322909933</v>
      </c>
      <c r="Z132" s="3">
        <v>2.3069673960000001</v>
      </c>
      <c r="AA132" s="3">
        <v>2.5996986E-2</v>
      </c>
      <c r="AB132" s="3">
        <v>15.14100245</v>
      </c>
      <c r="AC132" s="3">
        <v>5.6167315289999999</v>
      </c>
      <c r="AD132" s="3">
        <v>3.5157038000000002E-2</v>
      </c>
      <c r="AE132" s="3">
        <v>0</v>
      </c>
      <c r="AF132" s="4">
        <v>42674</v>
      </c>
      <c r="AG132" s="5">
        <f>YEAR(AF132)</f>
        <v>2016</v>
      </c>
      <c r="AH132" s="5" t="str">
        <f>"Q"&amp;ROUNDUP(MONTH(AF132)/3,0)</f>
        <v>Q4</v>
      </c>
      <c r="AI132" s="5">
        <f>INDEX(RatingLookup!$B$2:$B$11,MATCH(A132,RatingLookup!$A$2:$A$11,0))</f>
        <v>7</v>
      </c>
      <c r="AJ132" s="5" t="str">
        <f>INDEX(RatingLookup!$C$2:$C$11,MATCH(A132,RatingLookup!$A$2:$A$11,0))</f>
        <v>Investment Grade</v>
      </c>
    </row>
    <row r="133" spans="1:36" x14ac:dyDescent="0.3">
      <c r="A133" s="3" t="s">
        <v>36</v>
      </c>
      <c r="B133" s="3" t="s">
        <v>225</v>
      </c>
      <c r="C133" s="3" t="s">
        <v>226</v>
      </c>
      <c r="D133" s="3" t="s">
        <v>39</v>
      </c>
      <c r="E133" s="3" t="s">
        <v>228</v>
      </c>
      <c r="F133" s="3" t="s">
        <v>53</v>
      </c>
      <c r="G133" s="3">
        <v>1.6274067189999999</v>
      </c>
      <c r="H133" s="3">
        <v>1.0049130260000001</v>
      </c>
      <c r="I133" s="3">
        <v>0.40817952499999999</v>
      </c>
      <c r="J133" s="3">
        <v>16.26688558</v>
      </c>
      <c r="K133" s="3">
        <v>4.2707754000000001E-2</v>
      </c>
      <c r="L133" s="3">
        <v>6.1065926E-2</v>
      </c>
      <c r="M133" s="3">
        <v>1</v>
      </c>
      <c r="N133" s="3">
        <v>6.1065926E-2</v>
      </c>
      <c r="O133" s="3">
        <v>8.7011115999999999E-2</v>
      </c>
      <c r="P133" s="3">
        <v>0.14723866599999999</v>
      </c>
      <c r="Q133" s="3">
        <v>0.182987013</v>
      </c>
      <c r="R133" s="3">
        <v>2.0373610539999998</v>
      </c>
      <c r="S133" s="3">
        <v>5.0187617260000001</v>
      </c>
      <c r="T133" s="3">
        <v>1.1030303029999999</v>
      </c>
      <c r="U133" s="3">
        <v>0.52449567699999999</v>
      </c>
      <c r="V133" s="3">
        <v>0.291859696</v>
      </c>
      <c r="W133" s="3">
        <v>1</v>
      </c>
      <c r="X133" s="3">
        <v>10.53369103</v>
      </c>
      <c r="Y133" s="3">
        <v>5.8209106579999998</v>
      </c>
      <c r="Z133" s="3">
        <v>2.1030303030000002</v>
      </c>
      <c r="AA133" s="3">
        <v>6.1065926E-2</v>
      </c>
      <c r="AB133" s="3">
        <v>6.9197912449999999</v>
      </c>
      <c r="AC133" s="3">
        <v>10.53369103</v>
      </c>
      <c r="AD133" s="3">
        <v>5.7721647000000001E-2</v>
      </c>
      <c r="AE133" s="3">
        <v>0</v>
      </c>
      <c r="AF133" s="4">
        <v>42247</v>
      </c>
      <c r="AG133" s="5">
        <f>YEAR(AF133)</f>
        <v>2015</v>
      </c>
      <c r="AH133" s="5" t="str">
        <f>"Q"&amp;ROUNDUP(MONTH(AF133)/3,0)</f>
        <v>Q3</v>
      </c>
      <c r="AI133" s="5">
        <f>INDEX(RatingLookup!$B$2:$B$11,MATCH(A133,RatingLookup!$A$2:$A$11,0))</f>
        <v>8</v>
      </c>
      <c r="AJ133" s="5" t="str">
        <f>INDEX(RatingLookup!$C$2:$C$11,MATCH(A133,RatingLookup!$A$2:$A$11,0))</f>
        <v>Investment Grade</v>
      </c>
    </row>
    <row r="134" spans="1:36" x14ac:dyDescent="0.3">
      <c r="A134" s="3" t="s">
        <v>42</v>
      </c>
      <c r="B134" s="3" t="s">
        <v>225</v>
      </c>
      <c r="C134" s="3" t="s">
        <v>226</v>
      </c>
      <c r="D134" s="3" t="s">
        <v>47</v>
      </c>
      <c r="E134" s="3" t="s">
        <v>146</v>
      </c>
      <c r="F134" s="3" t="s">
        <v>53</v>
      </c>
      <c r="G134" s="3">
        <v>1.4876653</v>
      </c>
      <c r="H134" s="3">
        <v>0.51442270499999998</v>
      </c>
      <c r="I134" s="3">
        <v>0.417601114</v>
      </c>
      <c r="J134" s="3">
        <v>2.526981981</v>
      </c>
      <c r="K134" s="3">
        <v>2.1713792999999999E-2</v>
      </c>
      <c r="L134" s="3">
        <v>3.2203547999999999E-2</v>
      </c>
      <c r="M134" s="3">
        <v>1</v>
      </c>
      <c r="N134" s="3">
        <v>3.2203547999999999E-2</v>
      </c>
      <c r="O134" s="3">
        <v>7.4822282000000004E-2</v>
      </c>
      <c r="P134" s="3">
        <v>0.149890146</v>
      </c>
      <c r="Q134" s="3">
        <v>0.16974943100000001</v>
      </c>
      <c r="R134" s="3">
        <v>3.4458411980000001</v>
      </c>
      <c r="S134" s="3">
        <v>11.14404468</v>
      </c>
      <c r="T134" s="3">
        <v>1.268701595</v>
      </c>
      <c r="U134" s="3">
        <v>0.55921924599999995</v>
      </c>
      <c r="V134" s="3">
        <v>0.33369525900000002</v>
      </c>
      <c r="W134" s="3">
        <v>1</v>
      </c>
      <c r="X134" s="3">
        <v>9.8332892820000009</v>
      </c>
      <c r="Y134" s="3">
        <v>8.9147324759999993</v>
      </c>
      <c r="Z134" s="3">
        <v>2.268701595</v>
      </c>
      <c r="AA134" s="3">
        <v>3.2203547999999999E-2</v>
      </c>
      <c r="AB134" s="3">
        <v>7.0819168980000002</v>
      </c>
      <c r="AC134" s="3">
        <v>9.8332892820000009</v>
      </c>
      <c r="AD134" s="3">
        <v>3.5123196000000002E-2</v>
      </c>
      <c r="AE134" s="3">
        <v>9.0288966730000002</v>
      </c>
      <c r="AF134" s="4">
        <v>41773</v>
      </c>
      <c r="AG134" s="5">
        <f>YEAR(AF134)</f>
        <v>2014</v>
      </c>
      <c r="AH134" s="5" t="str">
        <f>"Q"&amp;ROUNDUP(MONTH(AF134)/3,0)</f>
        <v>Q2</v>
      </c>
      <c r="AI134" s="5">
        <f>INDEX(RatingLookup!$B$2:$B$11,MATCH(A134,RatingLookup!$A$2:$A$11,0))</f>
        <v>7</v>
      </c>
      <c r="AJ134" s="5" t="str">
        <f>INDEX(RatingLookup!$C$2:$C$11,MATCH(A134,RatingLookup!$A$2:$A$11,0))</f>
        <v>Investment Grade</v>
      </c>
    </row>
    <row r="135" spans="1:36" x14ac:dyDescent="0.3">
      <c r="A135" s="3" t="s">
        <v>42</v>
      </c>
      <c r="B135" s="3" t="s">
        <v>225</v>
      </c>
      <c r="C135" s="3" t="s">
        <v>226</v>
      </c>
      <c r="D135" s="3" t="s">
        <v>47</v>
      </c>
      <c r="E135" s="3" t="s">
        <v>229</v>
      </c>
      <c r="F135" s="3" t="s">
        <v>53</v>
      </c>
      <c r="G135" s="3">
        <v>1.439032206</v>
      </c>
      <c r="H135" s="3">
        <v>1.805640122</v>
      </c>
      <c r="I135" s="3">
        <v>0.27832078199999999</v>
      </c>
      <c r="J135" s="3">
        <v>17.477125820000001</v>
      </c>
      <c r="K135" s="3">
        <v>2.2980051000000001E-2</v>
      </c>
      <c r="L135" s="3">
        <v>3.6949738000000003E-2</v>
      </c>
      <c r="M135" s="3">
        <v>1</v>
      </c>
      <c r="N135" s="3">
        <v>3.6949738000000003E-2</v>
      </c>
      <c r="O135" s="3">
        <v>8.5786200000000007E-2</v>
      </c>
      <c r="P135" s="3">
        <v>0.18631114600000001</v>
      </c>
      <c r="Q135" s="3">
        <v>0.198507822</v>
      </c>
      <c r="R135" s="3">
        <v>3.7330726190000001</v>
      </c>
      <c r="S135" s="3">
        <v>11.64795223</v>
      </c>
      <c r="T135" s="3">
        <v>1.3139831529999999</v>
      </c>
      <c r="U135" s="3">
        <v>0.56784473599999996</v>
      </c>
      <c r="V135" s="3">
        <v>0.377017041</v>
      </c>
      <c r="W135" s="3">
        <v>1</v>
      </c>
      <c r="X135" s="3">
        <v>6.8316808069999997</v>
      </c>
      <c r="Y135" s="3">
        <v>22.175928500000001</v>
      </c>
      <c r="Z135" s="3">
        <v>2.3139831530000001</v>
      </c>
      <c r="AA135" s="3">
        <v>3.6949738000000003E-2</v>
      </c>
      <c r="AB135" s="3">
        <v>5.5286339609999997</v>
      </c>
      <c r="AC135" s="3">
        <v>6.8316808069999997</v>
      </c>
      <c r="AD135" s="3">
        <v>2.3938482000000001E-2</v>
      </c>
      <c r="AE135" s="3">
        <v>0</v>
      </c>
      <c r="AF135" s="4">
        <v>41362</v>
      </c>
      <c r="AG135" s="5">
        <f>YEAR(AF135)</f>
        <v>2013</v>
      </c>
      <c r="AH135" s="5" t="str">
        <f>"Q"&amp;ROUNDUP(MONTH(AF135)/3,0)</f>
        <v>Q1</v>
      </c>
      <c r="AI135" s="5">
        <f>INDEX(RatingLookup!$B$2:$B$11,MATCH(A135,RatingLookup!$A$2:$A$11,0))</f>
        <v>7</v>
      </c>
      <c r="AJ135" s="5" t="str">
        <f>INDEX(RatingLookup!$C$2:$C$11,MATCH(A135,RatingLookup!$A$2:$A$11,0))</f>
        <v>Investment Grade</v>
      </c>
    </row>
    <row r="136" spans="1:36" x14ac:dyDescent="0.3">
      <c r="A136" s="3" t="s">
        <v>42</v>
      </c>
      <c r="B136" s="3" t="s">
        <v>230</v>
      </c>
      <c r="C136" s="3" t="s">
        <v>231</v>
      </c>
      <c r="D136" s="3" t="s">
        <v>60</v>
      </c>
      <c r="E136" s="3" t="s">
        <v>46</v>
      </c>
      <c r="F136" s="3" t="s">
        <v>232</v>
      </c>
      <c r="G136" s="3">
        <v>1.246692393</v>
      </c>
      <c r="H136" s="3">
        <v>1.135887541</v>
      </c>
      <c r="I136" s="3">
        <v>0.351984564</v>
      </c>
      <c r="J136" s="3">
        <v>52.96764976</v>
      </c>
      <c r="K136" s="3">
        <v>0.118838657</v>
      </c>
      <c r="L136" s="3">
        <v>0.20828656000000001</v>
      </c>
      <c r="M136" s="3">
        <v>0.60786815000000005</v>
      </c>
      <c r="N136" s="3">
        <v>0.24033064600000001</v>
      </c>
      <c r="O136" s="3">
        <v>6.6379753E-2</v>
      </c>
      <c r="P136" s="3">
        <v>0.12976031499999999</v>
      </c>
      <c r="Q136" s="3">
        <v>0.136806861</v>
      </c>
      <c r="R136" s="3">
        <v>0.55857036999999998</v>
      </c>
      <c r="S136" s="3">
        <v>6.6910208259999999</v>
      </c>
      <c r="T136" s="3">
        <v>1.0609727440000001</v>
      </c>
      <c r="U136" s="3">
        <v>0.51479222499999999</v>
      </c>
      <c r="V136" s="3">
        <v>0.41156295900000001</v>
      </c>
      <c r="W136" s="3">
        <v>0.81649131399999997</v>
      </c>
      <c r="X136" s="3">
        <v>2.7374897460000001</v>
      </c>
      <c r="Y136" s="3">
        <v>1.047579984</v>
      </c>
      <c r="Z136" s="3">
        <v>2.0609727439999999</v>
      </c>
      <c r="AA136" s="3">
        <v>0.20828656000000001</v>
      </c>
      <c r="AB136" s="3">
        <v>8.9108633430000008</v>
      </c>
      <c r="AC136" s="3">
        <v>3.3527481539999999</v>
      </c>
      <c r="AD136" s="3">
        <v>0.208541688</v>
      </c>
      <c r="AE136" s="3">
        <v>27.945454550000001</v>
      </c>
      <c r="AF136" s="4">
        <v>41075</v>
      </c>
      <c r="AG136" s="5">
        <f>YEAR(AF136)</f>
        <v>2012</v>
      </c>
      <c r="AH136" s="5" t="str">
        <f>"Q"&amp;ROUNDUP(MONTH(AF136)/3,0)</f>
        <v>Q2</v>
      </c>
      <c r="AI136" s="5">
        <f>INDEX(RatingLookup!$B$2:$B$11,MATCH(A136,RatingLookup!$A$2:$A$11,0))</f>
        <v>7</v>
      </c>
      <c r="AJ136" s="5" t="str">
        <f>INDEX(RatingLookup!$C$2:$C$11,MATCH(A136,RatingLookup!$A$2:$A$11,0))</f>
        <v>Investment Grade</v>
      </c>
    </row>
    <row r="137" spans="1:36" x14ac:dyDescent="0.3">
      <c r="A137" s="3" t="s">
        <v>36</v>
      </c>
      <c r="B137" s="3" t="s">
        <v>230</v>
      </c>
      <c r="C137" s="3" t="s">
        <v>231</v>
      </c>
      <c r="D137" s="3" t="s">
        <v>39</v>
      </c>
      <c r="E137" s="3" t="s">
        <v>233</v>
      </c>
      <c r="F137" s="3" t="s">
        <v>232</v>
      </c>
      <c r="G137" s="3">
        <v>0.97871698100000004</v>
      </c>
      <c r="H137" s="3">
        <v>0.82354717</v>
      </c>
      <c r="I137" s="3">
        <v>0.356075472</v>
      </c>
      <c r="J137" s="3">
        <v>49.064846559999999</v>
      </c>
      <c r="K137" s="3">
        <v>0.15269759999999999</v>
      </c>
      <c r="L137" s="3">
        <v>0.230218325</v>
      </c>
      <c r="M137" s="3">
        <v>0.65827509900000003</v>
      </c>
      <c r="N137" s="3">
        <v>0.26528929200000001</v>
      </c>
      <c r="O137" s="3">
        <v>7.7490693999999999E-2</v>
      </c>
      <c r="P137" s="3">
        <v>0.13679269599999999</v>
      </c>
      <c r="Q137" s="3">
        <v>0.152909984</v>
      </c>
      <c r="R137" s="3">
        <v>0.50747813799999997</v>
      </c>
      <c r="S137" s="3">
        <v>7.9747317410000003</v>
      </c>
      <c r="T137" s="3">
        <v>0.97326900500000002</v>
      </c>
      <c r="U137" s="3">
        <v>0.49322672299999998</v>
      </c>
      <c r="V137" s="3">
        <v>0.356146305</v>
      </c>
      <c r="W137" s="3">
        <v>0.85290482099999998</v>
      </c>
      <c r="X137" s="3">
        <v>3.9851485150000001</v>
      </c>
      <c r="Y137" s="3">
        <v>1.9463696370000001</v>
      </c>
      <c r="Z137" s="3">
        <v>1.9732690049999999</v>
      </c>
      <c r="AA137" s="3">
        <v>0.230218325</v>
      </c>
      <c r="AB137" s="3">
        <v>12.20185652</v>
      </c>
      <c r="AC137" s="3">
        <v>4.672442244</v>
      </c>
      <c r="AD137" s="3">
        <v>0.24580059900000001</v>
      </c>
      <c r="AE137" s="3">
        <v>39.562814070000002</v>
      </c>
      <c r="AF137" s="4">
        <v>41495</v>
      </c>
      <c r="AG137" s="5">
        <f>YEAR(AF137)</f>
        <v>2013</v>
      </c>
      <c r="AH137" s="5" t="str">
        <f>"Q"&amp;ROUNDUP(MONTH(AF137)/3,0)</f>
        <v>Q3</v>
      </c>
      <c r="AI137" s="5">
        <f>INDEX(RatingLookup!$B$2:$B$11,MATCH(A137,RatingLookup!$A$2:$A$11,0))</f>
        <v>8</v>
      </c>
      <c r="AJ137" s="5" t="str">
        <f>INDEX(RatingLookup!$C$2:$C$11,MATCH(A137,RatingLookup!$A$2:$A$11,0))</f>
        <v>Investment Grade</v>
      </c>
    </row>
    <row r="138" spans="1:36" x14ac:dyDescent="0.3">
      <c r="A138" s="3" t="s">
        <v>36</v>
      </c>
      <c r="B138" s="3" t="s">
        <v>230</v>
      </c>
      <c r="C138" s="3" t="s">
        <v>231</v>
      </c>
      <c r="D138" s="3" t="s">
        <v>39</v>
      </c>
      <c r="E138" s="3" t="s">
        <v>91</v>
      </c>
      <c r="F138" s="3" t="s">
        <v>232</v>
      </c>
      <c r="G138" s="3">
        <v>0.93010930800000002</v>
      </c>
      <c r="H138" s="3">
        <v>0.733852269</v>
      </c>
      <c r="I138" s="3">
        <v>0.15452136499999999</v>
      </c>
      <c r="J138" s="3">
        <v>47.933999100000001</v>
      </c>
      <c r="K138" s="3">
        <v>0.16109776200000001</v>
      </c>
      <c r="L138" s="3">
        <v>0.23899985000000001</v>
      </c>
      <c r="M138" s="3">
        <v>0.666841868</v>
      </c>
      <c r="N138" s="3">
        <v>0.260512089</v>
      </c>
      <c r="O138" s="3">
        <v>9.5165225000000006E-2</v>
      </c>
      <c r="P138" s="3">
        <v>0.16301341799999999</v>
      </c>
      <c r="Q138" s="3">
        <v>0.18568523100000001</v>
      </c>
      <c r="R138" s="3">
        <v>0.59072965200000005</v>
      </c>
      <c r="S138" s="3">
        <v>7.2617230099999999</v>
      </c>
      <c r="T138" s="3">
        <v>0.95118784899999997</v>
      </c>
      <c r="U138" s="3">
        <v>0.48749168300000001</v>
      </c>
      <c r="V138" s="3">
        <v>0.31699654399999999</v>
      </c>
      <c r="W138" s="3">
        <v>0.80299151099999999</v>
      </c>
      <c r="X138" s="3">
        <v>5.0202190399999997</v>
      </c>
      <c r="Y138" s="3">
        <v>0.78601516400000004</v>
      </c>
      <c r="Z138" s="3">
        <v>1.9511878490000001</v>
      </c>
      <c r="AA138" s="3">
        <v>0.23899985000000001</v>
      </c>
      <c r="AB138" s="3">
        <v>15.28175411</v>
      </c>
      <c r="AC138" s="3">
        <v>6.2518955350000001</v>
      </c>
      <c r="AD138" s="3">
        <v>0.27860789899999999</v>
      </c>
      <c r="AE138" s="3">
        <v>21.85714286</v>
      </c>
      <c r="AF138" s="4">
        <v>42304</v>
      </c>
      <c r="AG138" s="5">
        <f>YEAR(AF138)</f>
        <v>2015</v>
      </c>
      <c r="AH138" s="5" t="str">
        <f>"Q"&amp;ROUNDUP(MONTH(AF138)/3,0)</f>
        <v>Q4</v>
      </c>
      <c r="AI138" s="5">
        <f>INDEX(RatingLookup!$B$2:$B$11,MATCH(A138,RatingLookup!$A$2:$A$11,0))</f>
        <v>8</v>
      </c>
      <c r="AJ138" s="5" t="str">
        <f>INDEX(RatingLookup!$C$2:$C$11,MATCH(A138,RatingLookup!$A$2:$A$11,0))</f>
        <v>Investment Grade</v>
      </c>
    </row>
    <row r="139" spans="1:36" x14ac:dyDescent="0.3">
      <c r="A139" s="3" t="s">
        <v>36</v>
      </c>
      <c r="B139" s="3" t="s">
        <v>230</v>
      </c>
      <c r="C139" s="3" t="s">
        <v>231</v>
      </c>
      <c r="D139" s="3" t="s">
        <v>39</v>
      </c>
      <c r="E139" s="3" t="s">
        <v>234</v>
      </c>
      <c r="F139" s="3" t="s">
        <v>232</v>
      </c>
      <c r="G139" s="3">
        <v>0.73514761299999998</v>
      </c>
      <c r="H139" s="3">
        <v>0.56554489100000005</v>
      </c>
      <c r="I139" s="3">
        <v>0.155874134</v>
      </c>
      <c r="J139" s="3">
        <v>50.516335580000003</v>
      </c>
      <c r="K139" s="3">
        <v>0.15079625699999999</v>
      </c>
      <c r="L139" s="3">
        <v>0.23567558699999999</v>
      </c>
      <c r="M139" s="3">
        <v>0.65329995100000005</v>
      </c>
      <c r="N139" s="3">
        <v>0.26194385199999998</v>
      </c>
      <c r="O139" s="3">
        <v>7.8601686000000004E-2</v>
      </c>
      <c r="P139" s="3">
        <v>0.14910025700000001</v>
      </c>
      <c r="Q139" s="3">
        <v>0.16699240900000001</v>
      </c>
      <c r="R139" s="3">
        <v>0.52124427699999998</v>
      </c>
      <c r="S139" s="3">
        <v>8.1051230870000008</v>
      </c>
      <c r="T139" s="3">
        <v>1.1245397939999999</v>
      </c>
      <c r="U139" s="3">
        <v>0.52930982800000004</v>
      </c>
      <c r="V139" s="3">
        <v>0.34865900399999999</v>
      </c>
      <c r="W139" s="3">
        <v>0.85978578400000005</v>
      </c>
      <c r="X139" s="3">
        <v>4.3712871289999997</v>
      </c>
      <c r="Y139" s="3">
        <v>1.058580858</v>
      </c>
      <c r="Z139" s="3">
        <v>2.1245397939999999</v>
      </c>
      <c r="AA139" s="3">
        <v>0.23567558699999999</v>
      </c>
      <c r="AB139" s="3">
        <v>13.810959159999999</v>
      </c>
      <c r="AC139" s="3">
        <v>5.0841584160000002</v>
      </c>
      <c r="AD139" s="3">
        <v>0.25291413600000001</v>
      </c>
      <c r="AE139" s="3">
        <v>41.610837439999997</v>
      </c>
      <c r="AF139" s="4">
        <v>41848</v>
      </c>
      <c r="AG139" s="5">
        <f>YEAR(AF139)</f>
        <v>2014</v>
      </c>
      <c r="AH139" s="5" t="str">
        <f>"Q"&amp;ROUNDUP(MONTH(AF139)/3,0)</f>
        <v>Q3</v>
      </c>
      <c r="AI139" s="5">
        <f>INDEX(RatingLookup!$B$2:$B$11,MATCH(A139,RatingLookup!$A$2:$A$11,0))</f>
        <v>8</v>
      </c>
      <c r="AJ139" s="5" t="str">
        <f>INDEX(RatingLookup!$C$2:$C$11,MATCH(A139,RatingLookup!$A$2:$A$11,0))</f>
        <v>Investment Grade</v>
      </c>
    </row>
    <row r="140" spans="1:36" x14ac:dyDescent="0.3">
      <c r="A140" s="3" t="s">
        <v>42</v>
      </c>
      <c r="B140" s="3" t="s">
        <v>230</v>
      </c>
      <c r="C140" s="3" t="s">
        <v>231</v>
      </c>
      <c r="D140" s="3" t="s">
        <v>60</v>
      </c>
      <c r="E140" s="3" t="s">
        <v>235</v>
      </c>
      <c r="F140" s="3" t="s">
        <v>232</v>
      </c>
      <c r="G140" s="3">
        <v>0.81933487999999999</v>
      </c>
      <c r="H140" s="3">
        <v>0.71740139199999997</v>
      </c>
      <c r="I140" s="3">
        <v>0.227068832</v>
      </c>
      <c r="J140" s="3">
        <v>59.039187669999997</v>
      </c>
      <c r="K140" s="3">
        <v>0.118838657</v>
      </c>
      <c r="L140" s="3">
        <v>0.20828656000000001</v>
      </c>
      <c r="M140" s="3">
        <v>0.612817634</v>
      </c>
      <c r="N140" s="3">
        <v>0.24033064600000001</v>
      </c>
      <c r="O140" s="3">
        <v>5.1628206000000003E-2</v>
      </c>
      <c r="P140" s="3">
        <v>0.10562542</v>
      </c>
      <c r="Q140" s="3">
        <v>0.12047382600000001</v>
      </c>
      <c r="R140" s="3">
        <v>0.43443949399999998</v>
      </c>
      <c r="S140" s="3">
        <v>6.9080014099999998</v>
      </c>
      <c r="T140" s="3">
        <v>1.3334885160000001</v>
      </c>
      <c r="U140" s="3">
        <v>0.57145707300000004</v>
      </c>
      <c r="V140" s="3">
        <v>0.41156295900000001</v>
      </c>
      <c r="W140" s="3">
        <v>0.81649131399999997</v>
      </c>
      <c r="X140" s="3">
        <v>2.7374897460000001</v>
      </c>
      <c r="Y140" s="3">
        <v>1.2042657919999999</v>
      </c>
      <c r="Z140" s="3">
        <v>2.3334885160000001</v>
      </c>
      <c r="AA140" s="3">
        <v>0.20828656000000001</v>
      </c>
      <c r="AB140" s="3">
        <v>13.7587388</v>
      </c>
      <c r="AC140" s="3">
        <v>3.3527481539999999</v>
      </c>
      <c r="AD140" s="3">
        <v>0.208541688</v>
      </c>
      <c r="AE140" s="3">
        <v>30.231075700000002</v>
      </c>
      <c r="AF140" s="4">
        <v>41253</v>
      </c>
      <c r="AG140" s="5">
        <f>YEAR(AF140)</f>
        <v>2012</v>
      </c>
      <c r="AH140" s="5" t="str">
        <f>"Q"&amp;ROUNDUP(MONTH(AF140)/3,0)</f>
        <v>Q4</v>
      </c>
      <c r="AI140" s="5">
        <f>INDEX(RatingLookup!$B$2:$B$11,MATCH(A140,RatingLookup!$A$2:$A$11,0))</f>
        <v>7</v>
      </c>
      <c r="AJ140" s="5" t="str">
        <f>INDEX(RatingLookup!$C$2:$C$11,MATCH(A140,RatingLookup!$A$2:$A$11,0))</f>
        <v>Investment Grade</v>
      </c>
    </row>
    <row r="141" spans="1:36" x14ac:dyDescent="0.3">
      <c r="A141" s="3" t="s">
        <v>49</v>
      </c>
      <c r="B141" s="3" t="s">
        <v>236</v>
      </c>
      <c r="C141" s="3" t="s">
        <v>237</v>
      </c>
      <c r="D141" s="3" t="s">
        <v>39</v>
      </c>
      <c r="E141" s="3" t="s">
        <v>238</v>
      </c>
      <c r="F141" s="3" t="s">
        <v>53</v>
      </c>
      <c r="G141" s="3">
        <v>0.826891975</v>
      </c>
      <c r="H141" s="3">
        <v>0.53071496299999998</v>
      </c>
      <c r="I141" s="3">
        <v>6.4748201000000005E-2</v>
      </c>
      <c r="J141" s="3">
        <v>21.648229910000001</v>
      </c>
      <c r="K141" s="3">
        <v>7.4340280999999994E-2</v>
      </c>
      <c r="L141" s="3">
        <v>0.13168360900000001</v>
      </c>
      <c r="M141" s="3">
        <v>1</v>
      </c>
      <c r="N141" s="3">
        <v>0.13168360900000001</v>
      </c>
      <c r="O141" s="3">
        <v>9.394247E-2</v>
      </c>
      <c r="P141" s="3">
        <v>0.20979409900000001</v>
      </c>
      <c r="Q141" s="3">
        <v>0.18723815099999999</v>
      </c>
      <c r="R141" s="3">
        <v>1.263681922</v>
      </c>
      <c r="S141" s="3">
        <v>1.7987071619999999</v>
      </c>
      <c r="T141" s="3">
        <v>0.99311506100000002</v>
      </c>
      <c r="U141" s="3">
        <v>0.49827282000000001</v>
      </c>
      <c r="V141" s="3">
        <v>0.42042245</v>
      </c>
      <c r="W141" s="3">
        <v>0.25036736900000001</v>
      </c>
      <c r="X141" s="3">
        <v>2.5446933700000001</v>
      </c>
      <c r="Y141" s="3">
        <v>2.7318397829999999</v>
      </c>
      <c r="Z141" s="3">
        <v>1.9931150609999999</v>
      </c>
      <c r="AA141" s="3">
        <v>0.13168360900000001</v>
      </c>
      <c r="AB141" s="3">
        <v>5.7868800819999997</v>
      </c>
      <c r="AC141" s="3">
        <v>10.163837969999999</v>
      </c>
      <c r="AD141" s="3">
        <v>0.102483714</v>
      </c>
      <c r="AE141" s="3">
        <v>0</v>
      </c>
      <c r="AF141" s="4">
        <v>41541</v>
      </c>
      <c r="AG141" s="5">
        <f>YEAR(AF141)</f>
        <v>2013</v>
      </c>
      <c r="AH141" s="5" t="str">
        <f>"Q"&amp;ROUNDUP(MONTH(AF141)/3,0)</f>
        <v>Q3</v>
      </c>
      <c r="AI141" s="5">
        <f>INDEX(RatingLookup!$B$2:$B$11,MATCH(A141,RatingLookup!$A$2:$A$11,0))</f>
        <v>9</v>
      </c>
      <c r="AJ141" s="5" t="str">
        <f>INDEX(RatingLookup!$C$2:$C$11,MATCH(A141,RatingLookup!$A$2:$A$11,0))</f>
        <v>Investment Grade</v>
      </c>
    </row>
    <row r="142" spans="1:36" x14ac:dyDescent="0.3">
      <c r="A142" s="3" t="s">
        <v>49</v>
      </c>
      <c r="B142" s="3" t="s">
        <v>236</v>
      </c>
      <c r="C142" s="3" t="s">
        <v>237</v>
      </c>
      <c r="D142" s="3" t="s">
        <v>39</v>
      </c>
      <c r="E142" s="3" t="s">
        <v>97</v>
      </c>
      <c r="F142" s="3" t="s">
        <v>53</v>
      </c>
      <c r="G142" s="3">
        <v>0.81862206599999998</v>
      </c>
      <c r="H142" s="3">
        <v>0.50542292600000005</v>
      </c>
      <c r="I142" s="3">
        <v>7.1418624999999999E-2</v>
      </c>
      <c r="J142" s="3">
        <v>16.428318269999998</v>
      </c>
      <c r="K142" s="3">
        <v>7.8943727000000005E-2</v>
      </c>
      <c r="L142" s="3">
        <v>0.12533409100000001</v>
      </c>
      <c r="M142" s="3">
        <v>1</v>
      </c>
      <c r="N142" s="3">
        <v>0.12533409100000001</v>
      </c>
      <c r="O142" s="3">
        <v>9.3049073999999996E-2</v>
      </c>
      <c r="P142" s="3">
        <v>0.181246928</v>
      </c>
      <c r="Q142" s="3">
        <v>0.18646895899999999</v>
      </c>
      <c r="R142" s="3">
        <v>1.1786759680000001</v>
      </c>
      <c r="S142" s="3">
        <v>1.6303568319999999</v>
      </c>
      <c r="T142" s="3">
        <v>1.0039851150000001</v>
      </c>
      <c r="U142" s="3">
        <v>0.50099429699999998</v>
      </c>
      <c r="V142" s="3">
        <v>0.34892504400000002</v>
      </c>
      <c r="W142" s="3">
        <v>0.269616101</v>
      </c>
      <c r="X142" s="3">
        <v>2.8407286310000002</v>
      </c>
      <c r="Y142" s="3">
        <v>3.2989257360000002</v>
      </c>
      <c r="Z142" s="3">
        <v>2.0039851149999999</v>
      </c>
      <c r="AA142" s="3">
        <v>0.12533409100000001</v>
      </c>
      <c r="AB142" s="3">
        <v>5.7863745700000004</v>
      </c>
      <c r="AC142" s="3">
        <v>10.53619804</v>
      </c>
      <c r="AD142" s="3">
        <v>0.10952107</v>
      </c>
      <c r="AE142" s="3">
        <v>0</v>
      </c>
      <c r="AF142" s="4">
        <v>41969</v>
      </c>
      <c r="AG142" s="5">
        <f>YEAR(AF142)</f>
        <v>2014</v>
      </c>
      <c r="AH142" s="5" t="str">
        <f>"Q"&amp;ROUNDUP(MONTH(AF142)/3,0)</f>
        <v>Q4</v>
      </c>
      <c r="AI142" s="5">
        <f>INDEX(RatingLookup!$B$2:$B$11,MATCH(A142,RatingLookup!$A$2:$A$11,0))</f>
        <v>9</v>
      </c>
      <c r="AJ142" s="5" t="str">
        <f>INDEX(RatingLookup!$C$2:$C$11,MATCH(A142,RatingLookup!$A$2:$A$11,0))</f>
        <v>Investment Grade</v>
      </c>
    </row>
    <row r="143" spans="1:36" x14ac:dyDescent="0.3">
      <c r="A143" s="3" t="s">
        <v>49</v>
      </c>
      <c r="B143" s="3" t="s">
        <v>236</v>
      </c>
      <c r="C143" s="3" t="s">
        <v>237</v>
      </c>
      <c r="D143" s="3" t="s">
        <v>47</v>
      </c>
      <c r="E143" s="3" t="s">
        <v>239</v>
      </c>
      <c r="F143" s="3" t="s">
        <v>53</v>
      </c>
      <c r="G143" s="3">
        <v>0.78966577699999996</v>
      </c>
      <c r="H143" s="3">
        <v>0.43686082700000001</v>
      </c>
      <c r="I143" s="3">
        <v>6.8641618000000001E-2</v>
      </c>
      <c r="J143" s="3">
        <v>17.977012219999999</v>
      </c>
      <c r="K143" s="3">
        <v>6.0063522000000001E-2</v>
      </c>
      <c r="L143" s="3">
        <v>8.1693828999999996E-2</v>
      </c>
      <c r="M143" s="3">
        <v>1</v>
      </c>
      <c r="N143" s="3">
        <v>8.1693828999999996E-2</v>
      </c>
      <c r="O143" s="3">
        <v>4.7957287000000001E-2</v>
      </c>
      <c r="P143" s="3">
        <v>7.7678210999999997E-2</v>
      </c>
      <c r="Q143" s="3">
        <v>9.4548945999999995E-2</v>
      </c>
      <c r="R143" s="3">
        <v>0.79844279900000004</v>
      </c>
      <c r="S143" s="3">
        <v>1.0686671569999999</v>
      </c>
      <c r="T143" s="3">
        <v>0.97152408199999996</v>
      </c>
      <c r="U143" s="3">
        <v>0.49277819699999997</v>
      </c>
      <c r="V143" s="3">
        <v>0.246517345</v>
      </c>
      <c r="W143" s="3">
        <v>0.127010282</v>
      </c>
      <c r="X143" s="3">
        <v>0.91849380400000002</v>
      </c>
      <c r="Y143" s="3">
        <v>2.4635367019999999</v>
      </c>
      <c r="Z143" s="3">
        <v>1.971524082</v>
      </c>
      <c r="AA143" s="3">
        <v>8.1693828999999996E-2</v>
      </c>
      <c r="AB143" s="3">
        <v>9.0378517519999999</v>
      </c>
      <c r="AC143" s="3">
        <v>7.2316491899999997</v>
      </c>
      <c r="AD143" s="3">
        <v>0.11285247800000001</v>
      </c>
      <c r="AE143" s="3">
        <v>0</v>
      </c>
      <c r="AF143" s="4">
        <v>42486</v>
      </c>
      <c r="AG143" s="5">
        <f>YEAR(AF143)</f>
        <v>2016</v>
      </c>
      <c r="AH143" s="5" t="str">
        <f>"Q"&amp;ROUNDUP(MONTH(AF143)/3,0)</f>
        <v>Q2</v>
      </c>
      <c r="AI143" s="5">
        <f>INDEX(RatingLookup!$B$2:$B$11,MATCH(A143,RatingLookup!$A$2:$A$11,0))</f>
        <v>9</v>
      </c>
      <c r="AJ143" s="5" t="str">
        <f>INDEX(RatingLookup!$C$2:$C$11,MATCH(A143,RatingLookup!$A$2:$A$11,0))</f>
        <v>Investment Grade</v>
      </c>
    </row>
    <row r="144" spans="1:36" x14ac:dyDescent="0.3">
      <c r="A144" s="3" t="s">
        <v>36</v>
      </c>
      <c r="B144" s="3" t="s">
        <v>240</v>
      </c>
      <c r="C144" s="3" t="s">
        <v>241</v>
      </c>
      <c r="D144" s="3" t="s">
        <v>60</v>
      </c>
      <c r="E144" s="3" t="s">
        <v>221</v>
      </c>
      <c r="F144" s="3" t="s">
        <v>96</v>
      </c>
      <c r="G144" s="3">
        <v>3.7274239150000001</v>
      </c>
      <c r="H144" s="3">
        <v>3.3223016799999998</v>
      </c>
      <c r="I144" s="3">
        <v>1.3149842009999999</v>
      </c>
      <c r="J144" s="3">
        <v>33.238192320000003</v>
      </c>
      <c r="K144" s="3">
        <v>0.30078906599999999</v>
      </c>
      <c r="L144" s="3">
        <v>0.33140786</v>
      </c>
      <c r="M144" s="3">
        <v>0.59655680099999997</v>
      </c>
      <c r="N144" s="3">
        <v>0.28504549400000001</v>
      </c>
      <c r="O144" s="3">
        <v>0.164017787</v>
      </c>
      <c r="P144" s="3">
        <v>0.20624515400000001</v>
      </c>
      <c r="Q144" s="3">
        <v>0.20340064799999999</v>
      </c>
      <c r="R144" s="3">
        <v>0.54529172000000004</v>
      </c>
      <c r="S144" s="3">
        <v>10.65018094</v>
      </c>
      <c r="T144" s="3">
        <v>0.240113355</v>
      </c>
      <c r="U144" s="3">
        <v>0.19362210199999999</v>
      </c>
      <c r="V144" s="3">
        <v>0.14171793099999999</v>
      </c>
      <c r="W144" s="3">
        <v>0.86665916499999995</v>
      </c>
      <c r="X144" s="3">
        <v>4.576351753</v>
      </c>
      <c r="Y144" s="3">
        <v>10.43672014</v>
      </c>
      <c r="Z144" s="3">
        <v>1.2401133550000001</v>
      </c>
      <c r="AA144" s="3">
        <v>0.33140786</v>
      </c>
      <c r="AB144" s="3">
        <v>14.161300000000001</v>
      </c>
      <c r="AC144" s="3">
        <v>5.2804515749999998</v>
      </c>
      <c r="AD144" s="3">
        <v>0.335523087</v>
      </c>
      <c r="AE144" s="3">
        <v>4.8950984880000004</v>
      </c>
      <c r="AF144" s="4">
        <v>42137</v>
      </c>
      <c r="AG144" s="5">
        <f>YEAR(AF144)</f>
        <v>2015</v>
      </c>
      <c r="AH144" s="5" t="str">
        <f>"Q"&amp;ROUNDUP(MONTH(AF144)/3,0)</f>
        <v>Q2</v>
      </c>
      <c r="AI144" s="5">
        <f>INDEX(RatingLookup!$B$2:$B$11,MATCH(A144,RatingLookup!$A$2:$A$11,0))</f>
        <v>8</v>
      </c>
      <c r="AJ144" s="5" t="str">
        <f>INDEX(RatingLookup!$C$2:$C$11,MATCH(A144,RatingLookup!$A$2:$A$11,0))</f>
        <v>Investment Grade</v>
      </c>
    </row>
    <row r="145" spans="1:36" x14ac:dyDescent="0.3">
      <c r="A145" s="3" t="s">
        <v>36</v>
      </c>
      <c r="B145" s="3" t="s">
        <v>240</v>
      </c>
      <c r="C145" s="3" t="s">
        <v>241</v>
      </c>
      <c r="D145" s="3" t="s">
        <v>47</v>
      </c>
      <c r="E145" s="3" t="s">
        <v>242</v>
      </c>
      <c r="F145" s="3" t="s">
        <v>96</v>
      </c>
      <c r="G145" s="3">
        <v>3.143345644</v>
      </c>
      <c r="H145" s="3">
        <v>2.854192313</v>
      </c>
      <c r="I145" s="3">
        <v>0.813295035</v>
      </c>
      <c r="J145" s="3">
        <v>34.386303810000001</v>
      </c>
      <c r="K145" s="3">
        <v>0.242209391</v>
      </c>
      <c r="L145" s="3">
        <v>0.29009934599999998</v>
      </c>
      <c r="M145" s="3">
        <v>0.58610002500000002</v>
      </c>
      <c r="N145" s="3">
        <v>0.27574934200000001</v>
      </c>
      <c r="O145" s="3">
        <v>0.1089593</v>
      </c>
      <c r="P145" s="3">
        <v>0.15168265</v>
      </c>
      <c r="Q145" s="3">
        <v>0.179526717</v>
      </c>
      <c r="R145" s="3">
        <v>0.449855803</v>
      </c>
      <c r="S145" s="3">
        <v>10.214223759999999</v>
      </c>
      <c r="T145" s="3">
        <v>0.64764931699999995</v>
      </c>
      <c r="U145" s="3">
        <v>0.39307473399999998</v>
      </c>
      <c r="V145" s="3">
        <v>0.165520269</v>
      </c>
      <c r="W145" s="3">
        <v>0.92716216200000001</v>
      </c>
      <c r="X145" s="3">
        <v>4.6233153639999998</v>
      </c>
      <c r="Y145" s="3">
        <v>12.566037740000001</v>
      </c>
      <c r="Z145" s="3">
        <v>1.6476493169999999</v>
      </c>
      <c r="AA145" s="3">
        <v>0.29009934599999998</v>
      </c>
      <c r="AB145" s="3">
        <v>13.480328159999999</v>
      </c>
      <c r="AC145" s="3">
        <v>4.9865229109999998</v>
      </c>
      <c r="AD145" s="3">
        <v>0.31417169099999998</v>
      </c>
      <c r="AE145" s="3">
        <v>5.2470398280000001</v>
      </c>
      <c r="AF145" s="4">
        <v>42688</v>
      </c>
      <c r="AG145" s="5">
        <f>YEAR(AF145)</f>
        <v>2016</v>
      </c>
      <c r="AH145" s="5" t="str">
        <f>"Q"&amp;ROUNDUP(MONTH(AF145)/3,0)</f>
        <v>Q4</v>
      </c>
      <c r="AI145" s="5">
        <f>INDEX(RatingLookup!$B$2:$B$11,MATCH(A145,RatingLookup!$A$2:$A$11,0))</f>
        <v>8</v>
      </c>
      <c r="AJ145" s="5" t="str">
        <f>INDEX(RatingLookup!$C$2:$C$11,MATCH(A145,RatingLookup!$A$2:$A$11,0))</f>
        <v>Investment Grade</v>
      </c>
    </row>
    <row r="146" spans="1:36" x14ac:dyDescent="0.3">
      <c r="A146" s="3" t="s">
        <v>42</v>
      </c>
      <c r="B146" s="3" t="s">
        <v>243</v>
      </c>
      <c r="C146" s="3" t="s">
        <v>244</v>
      </c>
      <c r="D146" s="3" t="s">
        <v>60</v>
      </c>
      <c r="E146" s="3" t="s">
        <v>245</v>
      </c>
      <c r="F146" s="3" t="s">
        <v>246</v>
      </c>
      <c r="G146" s="3">
        <v>1.2206929280000001</v>
      </c>
      <c r="H146" s="3">
        <v>0.99193165599999999</v>
      </c>
      <c r="I146" s="3">
        <v>0.31751305200000002</v>
      </c>
      <c r="J146" s="3">
        <v>32.527034489999998</v>
      </c>
      <c r="K146" s="3">
        <v>0.15210356</v>
      </c>
      <c r="L146" s="3">
        <v>0.24027152900000001</v>
      </c>
      <c r="M146" s="3">
        <v>0.80393085500000006</v>
      </c>
      <c r="N146" s="3">
        <v>0.285184308</v>
      </c>
      <c r="O146" s="3">
        <v>5.8300306000000003E-2</v>
      </c>
      <c r="P146" s="3">
        <v>9.8364893999999994E-2</v>
      </c>
      <c r="Q146" s="3">
        <v>0.17242304899999999</v>
      </c>
      <c r="R146" s="3">
        <v>0.38329349800000001</v>
      </c>
      <c r="S146" s="3">
        <v>0.44321998299999998</v>
      </c>
      <c r="T146" s="3">
        <v>1.95749821</v>
      </c>
      <c r="U146" s="3">
        <v>0.66187638000000004</v>
      </c>
      <c r="V146" s="3">
        <v>0.36695137999999999</v>
      </c>
      <c r="W146" s="3">
        <v>0.267424469</v>
      </c>
      <c r="X146" s="3">
        <v>0.89310689300000001</v>
      </c>
      <c r="Y146" s="3">
        <v>0.96003996000000003</v>
      </c>
      <c r="Z146" s="3">
        <v>2.9574982099999998</v>
      </c>
      <c r="AA146" s="3">
        <v>0.24027152900000001</v>
      </c>
      <c r="AB146" s="3">
        <v>9.1472439130000005</v>
      </c>
      <c r="AC146" s="3">
        <v>3.33966034</v>
      </c>
      <c r="AD146" s="3">
        <v>0.26387244500000001</v>
      </c>
      <c r="AE146" s="3">
        <v>2.9396449699999998</v>
      </c>
      <c r="AF146" s="4">
        <v>41891</v>
      </c>
      <c r="AG146" s="5">
        <f>YEAR(AF146)</f>
        <v>2014</v>
      </c>
      <c r="AH146" s="5" t="str">
        <f>"Q"&amp;ROUNDUP(MONTH(AF146)/3,0)</f>
        <v>Q3</v>
      </c>
      <c r="AI146" s="5">
        <f>INDEX(RatingLookup!$B$2:$B$11,MATCH(A146,RatingLookup!$A$2:$A$11,0))</f>
        <v>7</v>
      </c>
      <c r="AJ146" s="5" t="str">
        <f>INDEX(RatingLookup!$C$2:$C$11,MATCH(A146,RatingLookup!$A$2:$A$11,0))</f>
        <v>Investment Grade</v>
      </c>
    </row>
    <row r="147" spans="1:36" x14ac:dyDescent="0.3">
      <c r="A147" s="3" t="s">
        <v>36</v>
      </c>
      <c r="B147" s="3" t="s">
        <v>243</v>
      </c>
      <c r="C147" s="3" t="s">
        <v>244</v>
      </c>
      <c r="D147" s="3" t="s">
        <v>39</v>
      </c>
      <c r="E147" s="3" t="s">
        <v>247</v>
      </c>
      <c r="F147" s="3" t="s">
        <v>246</v>
      </c>
      <c r="G147" s="3">
        <v>1.519467213</v>
      </c>
      <c r="H147" s="3">
        <v>1.2397540979999999</v>
      </c>
      <c r="I147" s="3">
        <v>0.32172131100000001</v>
      </c>
      <c r="J147" s="3">
        <v>30.347134029999999</v>
      </c>
      <c r="K147" s="3">
        <v>0.16662433300000001</v>
      </c>
      <c r="L147" s="3">
        <v>0.265684531</v>
      </c>
      <c r="M147" s="3">
        <v>1</v>
      </c>
      <c r="N147" s="3">
        <v>0.30344594000000003</v>
      </c>
      <c r="O147" s="3">
        <v>5.6165986000000001E-2</v>
      </c>
      <c r="P147" s="3">
        <v>9.4840874000000006E-2</v>
      </c>
      <c r="Q147" s="3">
        <v>0.168666438</v>
      </c>
      <c r="R147" s="3">
        <v>0.33708153800000001</v>
      </c>
      <c r="S147" s="3">
        <v>0.39142970799999999</v>
      </c>
      <c r="T147" s="3">
        <v>2.0029996570000002</v>
      </c>
      <c r="U147" s="3">
        <v>0.66699962899999998</v>
      </c>
      <c r="V147" s="3">
        <v>0.37284894800000001</v>
      </c>
      <c r="W147" s="3">
        <v>0.23976261099999999</v>
      </c>
      <c r="X147" s="3">
        <v>0.82197355000000005</v>
      </c>
      <c r="Y147" s="3">
        <v>1.462868769</v>
      </c>
      <c r="Z147" s="3">
        <v>3.0029996570000002</v>
      </c>
      <c r="AA147" s="3">
        <v>0.265684531</v>
      </c>
      <c r="AB147" s="3">
        <v>6.701556761</v>
      </c>
      <c r="AC147" s="3">
        <v>3.428280773</v>
      </c>
      <c r="AD147" s="3">
        <v>0.28532723700000001</v>
      </c>
      <c r="AE147" s="3">
        <v>1.252617801</v>
      </c>
      <c r="AF147" s="4">
        <v>42291</v>
      </c>
      <c r="AG147" s="5">
        <f>YEAR(AF147)</f>
        <v>2015</v>
      </c>
      <c r="AH147" s="5" t="str">
        <f>"Q"&amp;ROUNDUP(MONTH(AF147)/3,0)</f>
        <v>Q4</v>
      </c>
      <c r="AI147" s="5">
        <f>INDEX(RatingLookup!$B$2:$B$11,MATCH(A147,RatingLookup!$A$2:$A$11,0))</f>
        <v>8</v>
      </c>
      <c r="AJ147" s="5" t="str">
        <f>INDEX(RatingLookup!$C$2:$C$11,MATCH(A147,RatingLookup!$A$2:$A$11,0))</f>
        <v>Investment Grade</v>
      </c>
    </row>
    <row r="148" spans="1:36" x14ac:dyDescent="0.3">
      <c r="A148" s="3" t="s">
        <v>42</v>
      </c>
      <c r="B148" s="3" t="s">
        <v>243</v>
      </c>
      <c r="C148" s="3" t="s">
        <v>244</v>
      </c>
      <c r="D148" s="3" t="s">
        <v>60</v>
      </c>
      <c r="E148" s="3" t="s">
        <v>248</v>
      </c>
      <c r="F148" s="3" t="s">
        <v>246</v>
      </c>
      <c r="G148" s="3">
        <v>1.066235249</v>
      </c>
      <c r="H148" s="3">
        <v>0.88808526799999998</v>
      </c>
      <c r="I148" s="3">
        <v>0.29843928400000003</v>
      </c>
      <c r="J148" s="3">
        <v>29.868152429999999</v>
      </c>
      <c r="K148" s="3">
        <v>0.15813201800000001</v>
      </c>
      <c r="L148" s="3">
        <v>0.25212657399999999</v>
      </c>
      <c r="M148" s="3">
        <v>0.81660428699999998</v>
      </c>
      <c r="N148" s="3">
        <v>0.294062606</v>
      </c>
      <c r="O148" s="3">
        <v>6.0809264000000002E-2</v>
      </c>
      <c r="P148" s="3">
        <v>0.106069281</v>
      </c>
      <c r="Q148" s="3">
        <v>0.20650966500000001</v>
      </c>
      <c r="R148" s="3">
        <v>0.38454744699999999</v>
      </c>
      <c r="S148" s="3">
        <v>0.45128598800000003</v>
      </c>
      <c r="T148" s="3">
        <v>2.3960231059999999</v>
      </c>
      <c r="U148" s="3">
        <v>0.70553792800000004</v>
      </c>
      <c r="V148" s="3">
        <v>0.37280701799999999</v>
      </c>
      <c r="W148" s="3">
        <v>0.20536320399999999</v>
      </c>
      <c r="X148" s="3">
        <v>0.58285163799999995</v>
      </c>
      <c r="Y148" s="3">
        <v>1.3208092490000001</v>
      </c>
      <c r="Z148" s="3">
        <v>3.3960231059999999</v>
      </c>
      <c r="AA148" s="3">
        <v>0.25212657399999999</v>
      </c>
      <c r="AB148" s="3">
        <v>7.1153941539999996</v>
      </c>
      <c r="AC148" s="3">
        <v>2.8381502890000001</v>
      </c>
      <c r="AD148" s="3">
        <v>0.25059544099999997</v>
      </c>
      <c r="AE148" s="3">
        <v>2.126232742</v>
      </c>
      <c r="AF148" s="4">
        <v>41199</v>
      </c>
      <c r="AG148" s="5">
        <f>YEAR(AF148)</f>
        <v>2012</v>
      </c>
      <c r="AH148" s="5" t="str">
        <f>"Q"&amp;ROUNDUP(MONTH(AF148)/3,0)</f>
        <v>Q4</v>
      </c>
      <c r="AI148" s="5">
        <f>INDEX(RatingLookup!$B$2:$B$11,MATCH(A148,RatingLookup!$A$2:$A$11,0))</f>
        <v>7</v>
      </c>
      <c r="AJ148" s="5" t="str">
        <f>INDEX(RatingLookup!$C$2:$C$11,MATCH(A148,RatingLookup!$A$2:$A$11,0))</f>
        <v>Investment Grade</v>
      </c>
    </row>
    <row r="149" spans="1:36" x14ac:dyDescent="0.3">
      <c r="A149" s="3" t="s">
        <v>42</v>
      </c>
      <c r="B149" s="3" t="s">
        <v>243</v>
      </c>
      <c r="C149" s="3" t="s">
        <v>244</v>
      </c>
      <c r="D149" s="3" t="s">
        <v>60</v>
      </c>
      <c r="E149" s="3" t="s">
        <v>46</v>
      </c>
      <c r="F149" s="3" t="s">
        <v>246</v>
      </c>
      <c r="G149" s="3">
        <v>1.0922962409999999</v>
      </c>
      <c r="H149" s="3">
        <v>0.90621510999999999</v>
      </c>
      <c r="I149" s="3">
        <v>0.291403052</v>
      </c>
      <c r="J149" s="3">
        <v>35.091969679999998</v>
      </c>
      <c r="K149" s="3">
        <v>0.15515626299999999</v>
      </c>
      <c r="L149" s="3">
        <v>0.24593374800000001</v>
      </c>
      <c r="M149" s="3">
        <v>0.81018479099999996</v>
      </c>
      <c r="N149" s="3">
        <v>0.29106701899999998</v>
      </c>
      <c r="O149" s="3">
        <v>6.1819291999999998E-2</v>
      </c>
      <c r="P149" s="3">
        <v>0.107817517</v>
      </c>
      <c r="Q149" s="3">
        <v>0.21516296600000001</v>
      </c>
      <c r="R149" s="3">
        <v>0.39843246399999999</v>
      </c>
      <c r="S149" s="3">
        <v>0.47020901700000001</v>
      </c>
      <c r="T149" s="3">
        <v>2.4805148799999999</v>
      </c>
      <c r="U149" s="3">
        <v>0.71268618699999997</v>
      </c>
      <c r="V149" s="3">
        <v>0.36911357299999997</v>
      </c>
      <c r="W149" s="3">
        <v>0.34202234300000001</v>
      </c>
      <c r="X149" s="3">
        <v>1.1024930749999999</v>
      </c>
      <c r="Y149" s="3">
        <v>1.205909511</v>
      </c>
      <c r="Z149" s="3">
        <v>3.4805148799999999</v>
      </c>
      <c r="AA149" s="3">
        <v>0.24593374800000001</v>
      </c>
      <c r="AB149" s="3">
        <v>7.5346108330000003</v>
      </c>
      <c r="AC149" s="3">
        <v>3.2234533700000001</v>
      </c>
      <c r="AD149" s="3">
        <v>0.29728348799999998</v>
      </c>
      <c r="AE149" s="3">
        <v>1.943330427</v>
      </c>
      <c r="AF149" s="4">
        <v>41075</v>
      </c>
      <c r="AG149" s="5">
        <f>YEAR(AF149)</f>
        <v>2012</v>
      </c>
      <c r="AH149" s="5" t="str">
        <f>"Q"&amp;ROUNDUP(MONTH(AF149)/3,0)</f>
        <v>Q2</v>
      </c>
      <c r="AI149" s="5">
        <f>INDEX(RatingLookup!$B$2:$B$11,MATCH(A149,RatingLookup!$A$2:$A$11,0))</f>
        <v>7</v>
      </c>
      <c r="AJ149" s="5" t="str">
        <f>INDEX(RatingLookup!$C$2:$C$11,MATCH(A149,RatingLookup!$A$2:$A$11,0))</f>
        <v>Investment Grade</v>
      </c>
    </row>
    <row r="150" spans="1:36" x14ac:dyDescent="0.3">
      <c r="A150" s="3" t="s">
        <v>36</v>
      </c>
      <c r="B150" s="3" t="s">
        <v>243</v>
      </c>
      <c r="C150" s="3" t="s">
        <v>244</v>
      </c>
      <c r="D150" s="3" t="s">
        <v>39</v>
      </c>
      <c r="E150" s="3" t="s">
        <v>249</v>
      </c>
      <c r="F150" s="3" t="s">
        <v>246</v>
      </c>
      <c r="G150" s="3">
        <v>1.0734323429999999</v>
      </c>
      <c r="H150" s="3">
        <v>0.87912541300000002</v>
      </c>
      <c r="I150" s="3">
        <v>0.244224422</v>
      </c>
      <c r="J150" s="3">
        <v>31.929153500000002</v>
      </c>
      <c r="K150" s="3">
        <v>0.15499750500000001</v>
      </c>
      <c r="L150" s="3">
        <v>0.24297355700000001</v>
      </c>
      <c r="M150" s="3">
        <v>0.81082654200000004</v>
      </c>
      <c r="N150" s="3">
        <v>0.28879095300000002</v>
      </c>
      <c r="O150" s="3">
        <v>5.8649550000000002E-2</v>
      </c>
      <c r="P150" s="3">
        <v>9.9529940999999997E-2</v>
      </c>
      <c r="Q150" s="3">
        <v>0.177456207</v>
      </c>
      <c r="R150" s="3">
        <v>0.37839028400000002</v>
      </c>
      <c r="S150" s="3">
        <v>0.440658092</v>
      </c>
      <c r="T150" s="3">
        <v>2.0257044940000002</v>
      </c>
      <c r="U150" s="3">
        <v>0.66949845799999996</v>
      </c>
      <c r="V150" s="3">
        <v>0.36208076700000003</v>
      </c>
      <c r="W150" s="3">
        <v>0.29201101899999998</v>
      </c>
      <c r="X150" s="3">
        <v>0.93621197300000003</v>
      </c>
      <c r="Y150" s="3">
        <v>1.058881256</v>
      </c>
      <c r="Z150" s="3">
        <v>3.0257044940000002</v>
      </c>
      <c r="AA150" s="3">
        <v>0.24297355700000001</v>
      </c>
      <c r="AB150" s="3">
        <v>7.7913043479999997</v>
      </c>
      <c r="AC150" s="3">
        <v>3.2060843960000001</v>
      </c>
      <c r="AD150" s="3">
        <v>0.2716614</v>
      </c>
      <c r="AE150" s="3">
        <v>2.3772204810000002</v>
      </c>
      <c r="AF150" s="4">
        <v>41472</v>
      </c>
      <c r="AG150" s="5">
        <f>YEAR(AF150)</f>
        <v>2013</v>
      </c>
      <c r="AH150" s="5" t="str">
        <f>"Q"&amp;ROUNDUP(MONTH(AF150)/3,0)</f>
        <v>Q3</v>
      </c>
      <c r="AI150" s="5">
        <f>INDEX(RatingLookup!$B$2:$B$11,MATCH(A150,RatingLookup!$A$2:$A$11,0))</f>
        <v>8</v>
      </c>
      <c r="AJ150" s="5" t="str">
        <f>INDEX(RatingLookup!$C$2:$C$11,MATCH(A150,RatingLookup!$A$2:$A$11,0))</f>
        <v>Investment Grade</v>
      </c>
    </row>
    <row r="151" spans="1:36" x14ac:dyDescent="0.3">
      <c r="A151" s="3" t="s">
        <v>42</v>
      </c>
      <c r="B151" s="3" t="s">
        <v>243</v>
      </c>
      <c r="C151" s="3" t="s">
        <v>244</v>
      </c>
      <c r="D151" s="3" t="s">
        <v>60</v>
      </c>
      <c r="E151" s="3" t="s">
        <v>250</v>
      </c>
      <c r="F151" s="3" t="s">
        <v>246</v>
      </c>
      <c r="G151" s="3">
        <v>1.219117647</v>
      </c>
      <c r="H151" s="3">
        <v>0.95980392199999998</v>
      </c>
      <c r="I151" s="3">
        <v>0.29558823499999998</v>
      </c>
      <c r="J151" s="3">
        <v>30.930526700000001</v>
      </c>
      <c r="K151" s="3">
        <v>0.15484687</v>
      </c>
      <c r="L151" s="3">
        <v>0.247628512</v>
      </c>
      <c r="M151" s="3">
        <v>1</v>
      </c>
      <c r="N151" s="3">
        <v>0.30617038600000002</v>
      </c>
      <c r="O151" s="3">
        <v>4.8398938000000002E-2</v>
      </c>
      <c r="P151" s="3">
        <v>8.2129802000000002E-2</v>
      </c>
      <c r="Q151" s="3">
        <v>0.14657089100000001</v>
      </c>
      <c r="R151" s="3">
        <v>0.31256000499999997</v>
      </c>
      <c r="S151" s="3">
        <v>0.35534510400000002</v>
      </c>
      <c r="T151" s="3">
        <v>2.0283906279999999</v>
      </c>
      <c r="U151" s="3">
        <v>0.66979160800000004</v>
      </c>
      <c r="V151" s="3">
        <v>0.37468077300000002</v>
      </c>
      <c r="W151" s="3">
        <v>0.21144360400000001</v>
      </c>
      <c r="X151" s="3">
        <v>0.67898627199999995</v>
      </c>
      <c r="Y151" s="3">
        <v>1.077085533</v>
      </c>
      <c r="Z151" s="3">
        <v>3.0283906279999999</v>
      </c>
      <c r="AA151" s="3">
        <v>0.247628512</v>
      </c>
      <c r="AB151" s="3">
        <v>11.983543709999999</v>
      </c>
      <c r="AC151" s="3">
        <v>3.2111932419999998</v>
      </c>
      <c r="AD151" s="3">
        <v>0.27473123100000002</v>
      </c>
      <c r="AE151" s="3">
        <v>0.88461538500000003</v>
      </c>
      <c r="AF151" s="4">
        <v>42657</v>
      </c>
      <c r="AG151" s="5">
        <f>YEAR(AF151)</f>
        <v>2016</v>
      </c>
      <c r="AH151" s="5" t="str">
        <f>"Q"&amp;ROUNDUP(MONTH(AF151)/3,0)</f>
        <v>Q4</v>
      </c>
      <c r="AI151" s="5">
        <f>INDEX(RatingLookup!$B$2:$B$11,MATCH(A151,RatingLookup!$A$2:$A$11,0))</f>
        <v>7</v>
      </c>
      <c r="AJ151" s="5" t="str">
        <f>INDEX(RatingLookup!$C$2:$C$11,MATCH(A151,RatingLookup!$A$2:$A$11,0))</f>
        <v>Investment Grade</v>
      </c>
    </row>
    <row r="152" spans="1:36" x14ac:dyDescent="0.3">
      <c r="A152" s="3" t="s">
        <v>42</v>
      </c>
      <c r="B152" s="3" t="s">
        <v>243</v>
      </c>
      <c r="C152" s="3" t="s">
        <v>244</v>
      </c>
      <c r="D152" s="3" t="s">
        <v>47</v>
      </c>
      <c r="E152" s="3" t="s">
        <v>251</v>
      </c>
      <c r="F152" s="3" t="s">
        <v>246</v>
      </c>
      <c r="G152" s="3">
        <v>1.1253448960000001</v>
      </c>
      <c r="H152" s="3">
        <v>0.92195506500000002</v>
      </c>
      <c r="I152" s="3">
        <v>0.50926290900000004</v>
      </c>
      <c r="J152" s="3">
        <v>34.07719067</v>
      </c>
      <c r="K152" s="3">
        <v>0.146953742</v>
      </c>
      <c r="L152" s="3">
        <v>0.150620534</v>
      </c>
      <c r="M152" s="3">
        <v>1</v>
      </c>
      <c r="N152" s="3">
        <v>0.28873636699999999</v>
      </c>
      <c r="O152" s="3">
        <v>5.5541736000000001E-2</v>
      </c>
      <c r="P152" s="3">
        <v>6.2568348999999995E-2</v>
      </c>
      <c r="Q152" s="3">
        <v>0.179655172</v>
      </c>
      <c r="R152" s="3">
        <v>0.37795387499999999</v>
      </c>
      <c r="S152" s="3">
        <v>0.446909534</v>
      </c>
      <c r="T152" s="3">
        <v>2.2345977010000002</v>
      </c>
      <c r="U152" s="3">
        <v>0.69084254300000003</v>
      </c>
      <c r="V152" s="3">
        <v>0.61360798999999999</v>
      </c>
      <c r="W152" s="3">
        <v>0.43776956299999997</v>
      </c>
      <c r="X152" s="3">
        <v>3.728601866</v>
      </c>
      <c r="Y152" s="3">
        <v>3.5318072570000001</v>
      </c>
      <c r="Z152" s="3">
        <v>3.2345977010000002</v>
      </c>
      <c r="AA152" s="3">
        <v>0.150620534</v>
      </c>
      <c r="AB152" s="3">
        <v>4.0248341759999997</v>
      </c>
      <c r="AC152" s="3">
        <v>8.5172706950000006</v>
      </c>
      <c r="AD152" s="3">
        <v>0.30518992099999998</v>
      </c>
      <c r="AE152" s="3">
        <v>0</v>
      </c>
      <c r="AF152" s="4">
        <v>40661</v>
      </c>
      <c r="AG152" s="5">
        <f>YEAR(AF152)</f>
        <v>2011</v>
      </c>
      <c r="AH152" s="5" t="str">
        <f>"Q"&amp;ROUNDUP(MONTH(AF152)/3,0)</f>
        <v>Q2</v>
      </c>
      <c r="AI152" s="5">
        <f>INDEX(RatingLookup!$B$2:$B$11,MATCH(A152,RatingLookup!$A$2:$A$11,0))</f>
        <v>7</v>
      </c>
      <c r="AJ152" s="5" t="str">
        <f>INDEX(RatingLookup!$C$2:$C$11,MATCH(A152,RatingLookup!$A$2:$A$11,0))</f>
        <v>Investment Grade</v>
      </c>
    </row>
    <row r="153" spans="1:36" x14ac:dyDescent="0.3">
      <c r="A153" s="3" t="s">
        <v>49</v>
      </c>
      <c r="B153" s="3" t="s">
        <v>252</v>
      </c>
      <c r="C153" s="3" t="s">
        <v>253</v>
      </c>
      <c r="D153" s="3" t="s">
        <v>39</v>
      </c>
      <c r="E153" s="3" t="s">
        <v>254</v>
      </c>
      <c r="F153" s="3" t="s">
        <v>53</v>
      </c>
      <c r="G153" s="3">
        <v>2.7266215680000001</v>
      </c>
      <c r="H153" s="3">
        <v>0.46876243499999998</v>
      </c>
      <c r="I153" s="3">
        <v>0.46876243499999998</v>
      </c>
      <c r="J153" s="3">
        <v>0</v>
      </c>
      <c r="K153" s="3">
        <v>7.2273994999999994E-2</v>
      </c>
      <c r="L153" s="3">
        <v>9.4007209999999994E-2</v>
      </c>
      <c r="M153" s="3">
        <v>0.79688456600000002</v>
      </c>
      <c r="N153" s="3">
        <v>0.106727434</v>
      </c>
      <c r="O153" s="3">
        <v>7.2716695999999997E-2</v>
      </c>
      <c r="P153" s="3">
        <v>0.11422903700000001</v>
      </c>
      <c r="Q153" s="3">
        <v>0.15646859599999999</v>
      </c>
      <c r="R153" s="3">
        <v>1.006125312</v>
      </c>
      <c r="S153" s="3">
        <v>2.5968910090000001</v>
      </c>
      <c r="T153" s="3">
        <v>1.1517561300000001</v>
      </c>
      <c r="U153" s="3">
        <v>0.53526331999999999</v>
      </c>
      <c r="V153" s="3">
        <v>0.23444283599999999</v>
      </c>
      <c r="W153" s="3">
        <v>0.34022936799999998</v>
      </c>
      <c r="X153" s="3">
        <v>1.684855234</v>
      </c>
      <c r="Y153" s="3">
        <v>2.6236080180000001</v>
      </c>
      <c r="Z153" s="3">
        <v>2.1517561299999999</v>
      </c>
      <c r="AA153" s="3">
        <v>9.4007209999999994E-2</v>
      </c>
      <c r="AB153" s="3">
        <v>10.095498210000001</v>
      </c>
      <c r="AC153" s="3">
        <v>4.9521158129999998</v>
      </c>
      <c r="AD153" s="3">
        <v>0.15124821399999999</v>
      </c>
      <c r="AE153" s="3">
        <v>2.5251585620000001</v>
      </c>
      <c r="AF153" s="4">
        <v>41512</v>
      </c>
      <c r="AG153" s="5">
        <f>YEAR(AF153)</f>
        <v>2013</v>
      </c>
      <c r="AH153" s="5" t="str">
        <f>"Q"&amp;ROUNDUP(MONTH(AF153)/3,0)</f>
        <v>Q3</v>
      </c>
      <c r="AI153" s="5">
        <f>INDEX(RatingLookup!$B$2:$B$11,MATCH(A153,RatingLookup!$A$2:$A$11,0))</f>
        <v>9</v>
      </c>
      <c r="AJ153" s="5" t="str">
        <f>INDEX(RatingLookup!$C$2:$C$11,MATCH(A153,RatingLookup!$A$2:$A$11,0))</f>
        <v>Investment Grade</v>
      </c>
    </row>
    <row r="154" spans="1:36" x14ac:dyDescent="0.3">
      <c r="A154" s="3" t="s">
        <v>36</v>
      </c>
      <c r="B154" s="3" t="s">
        <v>252</v>
      </c>
      <c r="C154" s="3" t="s">
        <v>253</v>
      </c>
      <c r="D154" s="3" t="s">
        <v>39</v>
      </c>
      <c r="E154" s="3" t="s">
        <v>255</v>
      </c>
      <c r="F154" s="3" t="s">
        <v>53</v>
      </c>
      <c r="G154" s="3">
        <v>2.5612782589999998</v>
      </c>
      <c r="H154" s="3">
        <v>0.38942716300000002</v>
      </c>
      <c r="I154" s="3">
        <v>0.38942716300000002</v>
      </c>
      <c r="J154" s="3">
        <v>0</v>
      </c>
      <c r="K154" s="3">
        <v>0.10648007299999999</v>
      </c>
      <c r="L154" s="3">
        <v>0.143352601</v>
      </c>
      <c r="M154" s="3">
        <v>0.79923942800000003</v>
      </c>
      <c r="N154" s="3">
        <v>0.15506540899999999</v>
      </c>
      <c r="O154" s="3">
        <v>0.108560794</v>
      </c>
      <c r="P154" s="3">
        <v>0.178776037</v>
      </c>
      <c r="Q154" s="3">
        <v>0.21515952499999999</v>
      </c>
      <c r="R154" s="3">
        <v>1.019540943</v>
      </c>
      <c r="S154" s="3">
        <v>2.634869739</v>
      </c>
      <c r="T154" s="3">
        <v>0.98192659999999998</v>
      </c>
      <c r="U154" s="3">
        <v>0.49544044700000001</v>
      </c>
      <c r="V154" s="3">
        <v>0.27058573899999999</v>
      </c>
      <c r="W154" s="3">
        <v>0.19177744999999999</v>
      </c>
      <c r="X154" s="3">
        <v>0.91863207499999999</v>
      </c>
      <c r="Y154" s="3">
        <v>2.7016509430000002</v>
      </c>
      <c r="Z154" s="3">
        <v>1.9819266</v>
      </c>
      <c r="AA154" s="3">
        <v>0.143352601</v>
      </c>
      <c r="AB154" s="3">
        <v>5.589577738</v>
      </c>
      <c r="AC154" s="3">
        <v>4.7900943399999996</v>
      </c>
      <c r="AD154" s="3">
        <v>0.12357773</v>
      </c>
      <c r="AE154" s="3">
        <v>2.345060412</v>
      </c>
      <c r="AF154" s="4">
        <v>42020</v>
      </c>
      <c r="AG154" s="5">
        <f>YEAR(AF154)</f>
        <v>2015</v>
      </c>
      <c r="AH154" s="5" t="str">
        <f>"Q"&amp;ROUNDUP(MONTH(AF154)/3,0)</f>
        <v>Q1</v>
      </c>
      <c r="AI154" s="5">
        <f>INDEX(RatingLookup!$B$2:$B$11,MATCH(A154,RatingLookup!$A$2:$A$11,0))</f>
        <v>8</v>
      </c>
      <c r="AJ154" s="5" t="str">
        <f>INDEX(RatingLookup!$C$2:$C$11,MATCH(A154,RatingLookup!$A$2:$A$11,0))</f>
        <v>Investment Grade</v>
      </c>
    </row>
    <row r="155" spans="1:36" x14ac:dyDescent="0.3">
      <c r="A155" s="3" t="s">
        <v>36</v>
      </c>
      <c r="B155" s="3" t="s">
        <v>252</v>
      </c>
      <c r="C155" s="3" t="s">
        <v>253</v>
      </c>
      <c r="D155" s="3" t="s">
        <v>60</v>
      </c>
      <c r="E155" s="3" t="s">
        <v>256</v>
      </c>
      <c r="F155" s="3" t="s">
        <v>53</v>
      </c>
      <c r="G155" s="3">
        <v>4.0322821419999997</v>
      </c>
      <c r="H155" s="3">
        <v>1.880388132</v>
      </c>
      <c r="I155" s="3">
        <v>1.880388132</v>
      </c>
      <c r="J155" s="3">
        <v>0</v>
      </c>
      <c r="K155" s="3">
        <v>-2.8392502E-2</v>
      </c>
      <c r="L155" s="3">
        <v>-3.9605636E-2</v>
      </c>
      <c r="M155" s="3">
        <v>0.77941861000000001</v>
      </c>
      <c r="N155" s="3">
        <v>-6.9817630000000002E-3</v>
      </c>
      <c r="O155" s="3">
        <v>-1.8163608000000001E-2</v>
      </c>
      <c r="P155" s="3">
        <v>-2.9636197E-2</v>
      </c>
      <c r="Q155" s="3">
        <v>-4.3396715000000002E-2</v>
      </c>
      <c r="R155" s="3">
        <v>0.63973255399999995</v>
      </c>
      <c r="S155" s="3">
        <v>2.1659792869999999</v>
      </c>
      <c r="T155" s="3">
        <v>1.389212262</v>
      </c>
      <c r="U155" s="3">
        <v>0.58145200600000002</v>
      </c>
      <c r="V155" s="3">
        <v>0.29273504299999997</v>
      </c>
      <c r="W155" s="3">
        <v>0.24845148</v>
      </c>
      <c r="X155" s="3">
        <v>0.84642438499999995</v>
      </c>
      <c r="Y155" s="3">
        <v>11.81359906</v>
      </c>
      <c r="Z155" s="3">
        <v>2.389212262</v>
      </c>
      <c r="AA155" s="3">
        <v>-3.9605636E-2</v>
      </c>
      <c r="AB155" s="3">
        <v>19.392736530000001</v>
      </c>
      <c r="AC155" s="3">
        <v>3.4067995309999999</v>
      </c>
      <c r="AD155" s="3">
        <v>0.12296365300000001</v>
      </c>
      <c r="AE155" s="3">
        <v>2.5819712730000002</v>
      </c>
      <c r="AF155" s="4">
        <v>42313</v>
      </c>
      <c r="AG155" s="5">
        <f>YEAR(AF155)</f>
        <v>2015</v>
      </c>
      <c r="AH155" s="5" t="str">
        <f>"Q"&amp;ROUNDUP(MONTH(AF155)/3,0)</f>
        <v>Q4</v>
      </c>
      <c r="AI155" s="5">
        <f>INDEX(RatingLookup!$B$2:$B$11,MATCH(A155,RatingLookup!$A$2:$A$11,0))</f>
        <v>8</v>
      </c>
      <c r="AJ155" s="5" t="str">
        <f>INDEX(RatingLookup!$C$2:$C$11,MATCH(A155,RatingLookup!$A$2:$A$11,0))</f>
        <v>Investment Grade</v>
      </c>
    </row>
    <row r="156" spans="1:36" x14ac:dyDescent="0.3">
      <c r="A156" s="3" t="s">
        <v>36</v>
      </c>
      <c r="B156" s="3" t="s">
        <v>252</v>
      </c>
      <c r="C156" s="3" t="s">
        <v>253</v>
      </c>
      <c r="D156" s="3" t="s">
        <v>60</v>
      </c>
      <c r="E156" s="3" t="s">
        <v>46</v>
      </c>
      <c r="F156" s="3" t="s">
        <v>53</v>
      </c>
      <c r="G156" s="3">
        <v>2.809269595</v>
      </c>
      <c r="H156" s="3">
        <v>0.69109439500000003</v>
      </c>
      <c r="I156" s="3">
        <v>0.65469546199999995</v>
      </c>
      <c r="J156" s="3">
        <v>0</v>
      </c>
      <c r="K156" s="3">
        <v>0.1143421</v>
      </c>
      <c r="L156" s="3">
        <v>0.17918563000000001</v>
      </c>
      <c r="M156" s="3">
        <v>0.82363365399999999</v>
      </c>
      <c r="N156" s="3">
        <v>0.190784969</v>
      </c>
      <c r="O156" s="3">
        <v>0.119905393</v>
      </c>
      <c r="P156" s="3">
        <v>0.22750051099999999</v>
      </c>
      <c r="Q156" s="3">
        <v>0.21510835</v>
      </c>
      <c r="R156" s="3">
        <v>1.048654813</v>
      </c>
      <c r="S156" s="3">
        <v>2.9238106450000001</v>
      </c>
      <c r="T156" s="3">
        <v>0.79398393700000003</v>
      </c>
      <c r="U156" s="3">
        <v>0.44258140800000001</v>
      </c>
      <c r="V156" s="3">
        <v>0.32344347000000001</v>
      </c>
      <c r="W156" s="3">
        <v>0.19842562399999999</v>
      </c>
      <c r="X156" s="3">
        <v>0.79629629599999996</v>
      </c>
      <c r="Y156" s="3">
        <v>3.102396514</v>
      </c>
      <c r="Z156" s="3">
        <v>1.7939839369999999</v>
      </c>
      <c r="AA156" s="3">
        <v>0.17918563000000001</v>
      </c>
      <c r="AB156" s="3">
        <v>6.0546358270000002</v>
      </c>
      <c r="AC156" s="3">
        <v>4.0130718950000004</v>
      </c>
      <c r="AD156" s="3">
        <v>0.14837488400000001</v>
      </c>
      <c r="AE156" s="3">
        <v>2.398138007</v>
      </c>
      <c r="AF156" s="4">
        <v>41075</v>
      </c>
      <c r="AG156" s="5">
        <f>YEAR(AF156)</f>
        <v>2012</v>
      </c>
      <c r="AH156" s="5" t="str">
        <f>"Q"&amp;ROUNDUP(MONTH(AF156)/3,0)</f>
        <v>Q2</v>
      </c>
      <c r="AI156" s="5">
        <f>INDEX(RatingLookup!$B$2:$B$11,MATCH(A156,RatingLookup!$A$2:$A$11,0))</f>
        <v>8</v>
      </c>
      <c r="AJ156" s="5" t="str">
        <f>INDEX(RatingLookup!$C$2:$C$11,MATCH(A156,RatingLookup!$A$2:$A$11,0))</f>
        <v>Investment Grade</v>
      </c>
    </row>
    <row r="157" spans="1:36" x14ac:dyDescent="0.3">
      <c r="A157" s="3" t="s">
        <v>92</v>
      </c>
      <c r="B157" s="3" t="s">
        <v>257</v>
      </c>
      <c r="C157" s="3" t="s">
        <v>258</v>
      </c>
      <c r="D157" s="3" t="s">
        <v>39</v>
      </c>
      <c r="E157" s="3" t="s">
        <v>255</v>
      </c>
      <c r="F157" s="3" t="s">
        <v>174</v>
      </c>
      <c r="G157" s="3">
        <v>1.725082147</v>
      </c>
      <c r="H157" s="3">
        <v>0.98083242100000001</v>
      </c>
      <c r="I157" s="3">
        <v>0.83187294599999995</v>
      </c>
      <c r="J157" s="3">
        <v>8.2669637060000003</v>
      </c>
      <c r="K157" s="3">
        <v>8.3820663000000004E-2</v>
      </c>
      <c r="L157" s="3">
        <v>0.13422445</v>
      </c>
      <c r="M157" s="3">
        <v>0.411120394</v>
      </c>
      <c r="N157" s="3">
        <v>0.16179337199999999</v>
      </c>
      <c r="O157" s="3">
        <v>0.12545151399999999</v>
      </c>
      <c r="P157" s="3">
        <v>0.26917349200000001</v>
      </c>
      <c r="Q157" s="3">
        <v>-2.4405405409999998</v>
      </c>
      <c r="R157" s="3">
        <v>1.4966657400000001</v>
      </c>
      <c r="S157" s="3">
        <v>5.2679706599999996</v>
      </c>
      <c r="T157" s="3">
        <v>-20.45405405</v>
      </c>
      <c r="U157" s="3">
        <v>1.051403168</v>
      </c>
      <c r="V157" s="3">
        <v>0.375518672</v>
      </c>
      <c r="W157" s="3">
        <v>0.44631410300000002</v>
      </c>
      <c r="X157" s="3">
        <v>1.9245182789999999</v>
      </c>
      <c r="Y157" s="3">
        <v>5.3451162959999996</v>
      </c>
      <c r="Z157" s="3">
        <v>-19.45405405</v>
      </c>
      <c r="AA157" s="3">
        <v>0.13422445</v>
      </c>
      <c r="AB157" s="3">
        <v>9.2673586829999994</v>
      </c>
      <c r="AC157" s="3">
        <v>4.3120265919999996</v>
      </c>
      <c r="AD157" s="3">
        <v>0.115845168</v>
      </c>
      <c r="AE157" s="3">
        <v>10.590984969999999</v>
      </c>
      <c r="AF157" s="4">
        <v>42020</v>
      </c>
      <c r="AG157" s="5">
        <f>YEAR(AF157)</f>
        <v>2015</v>
      </c>
      <c r="AH157" s="5" t="str">
        <f>"Q"&amp;ROUNDUP(MONTH(AF157)/3,0)</f>
        <v>Q1</v>
      </c>
      <c r="AI157" s="5">
        <f>INDEX(RatingLookup!$B$2:$B$11,MATCH(A157,RatingLookup!$A$2:$A$11,0))</f>
        <v>6</v>
      </c>
      <c r="AJ157" s="5" t="str">
        <f>INDEX(RatingLookup!$C$2:$C$11,MATCH(A157,RatingLookup!$A$2:$A$11,0))</f>
        <v>Speculative Grade</v>
      </c>
    </row>
    <row r="158" spans="1:36" x14ac:dyDescent="0.3">
      <c r="A158" s="3" t="s">
        <v>42</v>
      </c>
      <c r="B158" s="3" t="s">
        <v>257</v>
      </c>
      <c r="C158" s="3" t="s">
        <v>258</v>
      </c>
      <c r="D158" s="3" t="s">
        <v>39</v>
      </c>
      <c r="E158" s="3" t="s">
        <v>259</v>
      </c>
      <c r="F158" s="3" t="s">
        <v>174</v>
      </c>
      <c r="G158" s="3">
        <v>1.433680104</v>
      </c>
      <c r="H158" s="3">
        <v>0.65344603400000001</v>
      </c>
      <c r="I158" s="3">
        <v>0.50260077999999997</v>
      </c>
      <c r="J158" s="3">
        <v>7.084329286</v>
      </c>
      <c r="K158" s="3">
        <v>7.1995410999999995E-2</v>
      </c>
      <c r="L158" s="3">
        <v>0.122478248</v>
      </c>
      <c r="M158" s="3">
        <v>0.41935175400000002</v>
      </c>
      <c r="N158" s="3">
        <v>0.150396787</v>
      </c>
      <c r="O158" s="3">
        <v>0.12510383799999999</v>
      </c>
      <c r="P158" s="3">
        <v>0.28587368899999999</v>
      </c>
      <c r="Q158" s="3">
        <v>-0.74187192099999999</v>
      </c>
      <c r="R158" s="3">
        <v>1.7376640640000001</v>
      </c>
      <c r="S158" s="3">
        <v>5.8008874099999996</v>
      </c>
      <c r="T158" s="3">
        <v>-6.9300492609999997</v>
      </c>
      <c r="U158" s="3">
        <v>1.1686326629999999</v>
      </c>
      <c r="V158" s="3">
        <v>0.412177986</v>
      </c>
      <c r="W158" s="3">
        <v>0.56476683900000002</v>
      </c>
      <c r="X158" s="3">
        <v>2.634528558</v>
      </c>
      <c r="Y158" s="3">
        <v>2.7691899129999999</v>
      </c>
      <c r="Z158" s="3">
        <v>-5.9300492609999997</v>
      </c>
      <c r="AA158" s="3">
        <v>0.122478248</v>
      </c>
      <c r="AB158" s="3">
        <v>8.6868647810000006</v>
      </c>
      <c r="AC158" s="3">
        <v>4.6648074470000003</v>
      </c>
      <c r="AD158" s="3">
        <v>0.12917104900000001</v>
      </c>
      <c r="AE158" s="3">
        <v>11.225508319999999</v>
      </c>
      <c r="AF158" s="4">
        <v>41456</v>
      </c>
      <c r="AG158" s="5">
        <f>YEAR(AF158)</f>
        <v>2013</v>
      </c>
      <c r="AH158" s="5" t="str">
        <f>"Q"&amp;ROUNDUP(MONTH(AF158)/3,0)</f>
        <v>Q3</v>
      </c>
      <c r="AI158" s="5">
        <f>INDEX(RatingLookup!$B$2:$B$11,MATCH(A158,RatingLookup!$A$2:$A$11,0))</f>
        <v>7</v>
      </c>
      <c r="AJ158" s="5" t="str">
        <f>INDEX(RatingLookup!$C$2:$C$11,MATCH(A158,RatingLookup!$A$2:$A$11,0))</f>
        <v>Investment Grade</v>
      </c>
    </row>
    <row r="159" spans="1:36" x14ac:dyDescent="0.3">
      <c r="A159" s="3" t="s">
        <v>42</v>
      </c>
      <c r="B159" s="3" t="s">
        <v>257</v>
      </c>
      <c r="C159" s="3" t="s">
        <v>258</v>
      </c>
      <c r="D159" s="3" t="s">
        <v>39</v>
      </c>
      <c r="E159" s="3" t="s">
        <v>260</v>
      </c>
      <c r="F159" s="3" t="s">
        <v>174</v>
      </c>
      <c r="G159" s="3">
        <v>1.924955331</v>
      </c>
      <c r="H159" s="3">
        <v>1.17093508</v>
      </c>
      <c r="I159" s="3">
        <v>1.0011911849999999</v>
      </c>
      <c r="J159" s="3">
        <v>8.0303823990000005</v>
      </c>
      <c r="K159" s="3">
        <v>9.0972585999999994E-2</v>
      </c>
      <c r="L159" s="3">
        <v>0.14283219799999999</v>
      </c>
      <c r="M159" s="3">
        <v>0.41976602099999999</v>
      </c>
      <c r="N159" s="3">
        <v>0.17050811900000001</v>
      </c>
      <c r="O159" s="3">
        <v>0.13812301199999999</v>
      </c>
      <c r="P159" s="3">
        <v>0.278942882</v>
      </c>
      <c r="Q159" s="3">
        <v>57.888888889999997</v>
      </c>
      <c r="R159" s="3">
        <v>1.5182926830000001</v>
      </c>
      <c r="S159" s="3">
        <v>5.0303030299999998</v>
      </c>
      <c r="T159" s="3">
        <v>418.11111110000002</v>
      </c>
      <c r="U159" s="3">
        <v>0.99761399799999995</v>
      </c>
      <c r="V159" s="3">
        <v>0.36308068500000001</v>
      </c>
      <c r="W159" s="3">
        <v>0.599664054</v>
      </c>
      <c r="X159" s="3">
        <v>3.6693570150000001</v>
      </c>
      <c r="Y159" s="3">
        <v>5.8723416650000004</v>
      </c>
      <c r="Z159" s="3">
        <v>419.11111110000002</v>
      </c>
      <c r="AA159" s="3">
        <v>0.14283219799999999</v>
      </c>
      <c r="AB159" s="3">
        <v>12.78821215</v>
      </c>
      <c r="AC159" s="3">
        <v>6.119021128</v>
      </c>
      <c r="AD159" s="3">
        <v>0.15592806000000001</v>
      </c>
      <c r="AE159" s="3">
        <v>10.841761829999999</v>
      </c>
      <c r="AF159" s="4">
        <v>42348</v>
      </c>
      <c r="AG159" s="5">
        <f>YEAR(AF159)</f>
        <v>2015</v>
      </c>
      <c r="AH159" s="5" t="str">
        <f>"Q"&amp;ROUNDUP(MONTH(AF159)/3,0)</f>
        <v>Q4</v>
      </c>
      <c r="AI159" s="5">
        <f>INDEX(RatingLookup!$B$2:$B$11,MATCH(A159,RatingLookup!$A$2:$A$11,0))</f>
        <v>7</v>
      </c>
      <c r="AJ159" s="5" t="str">
        <f>INDEX(RatingLookup!$C$2:$C$11,MATCH(A159,RatingLookup!$A$2:$A$11,0))</f>
        <v>Investment Grade</v>
      </c>
    </row>
    <row r="160" spans="1:36" x14ac:dyDescent="0.3">
      <c r="A160" s="3" t="s">
        <v>42</v>
      </c>
      <c r="B160" s="3" t="s">
        <v>261</v>
      </c>
      <c r="C160" s="3" t="s">
        <v>262</v>
      </c>
      <c r="D160" s="3" t="s">
        <v>39</v>
      </c>
      <c r="E160" s="3" t="s">
        <v>263</v>
      </c>
      <c r="F160" s="3" t="s">
        <v>219</v>
      </c>
      <c r="G160" s="3">
        <v>1.972081218</v>
      </c>
      <c r="H160" s="3">
        <v>0.95558375600000001</v>
      </c>
      <c r="I160" s="3">
        <v>0.15989847700000001</v>
      </c>
      <c r="J160" s="3">
        <v>43.475493919999998</v>
      </c>
      <c r="K160" s="3">
        <v>2.6975684E-2</v>
      </c>
      <c r="L160" s="3">
        <v>2.9635258000000001E-2</v>
      </c>
      <c r="M160" s="3">
        <v>0.212196049</v>
      </c>
      <c r="N160" s="3">
        <v>5.4711245999999998E-2</v>
      </c>
      <c r="O160" s="3">
        <v>2.5075048999999999E-2</v>
      </c>
      <c r="P160" s="3">
        <v>3.2000000000000001E-2</v>
      </c>
      <c r="Q160" s="3">
        <v>5.3544494999999998E-2</v>
      </c>
      <c r="R160" s="3">
        <v>0.92954264499999995</v>
      </c>
      <c r="S160" s="3">
        <v>1.8567901229999999</v>
      </c>
      <c r="T160" s="3">
        <v>1.1353695319999999</v>
      </c>
      <c r="U160" s="3">
        <v>0.53169697999999999</v>
      </c>
      <c r="V160" s="3">
        <v>8.9743589999999998E-2</v>
      </c>
      <c r="W160" s="3">
        <v>0.36203090500000001</v>
      </c>
      <c r="X160" s="3">
        <v>2.5908372829999999</v>
      </c>
      <c r="Y160" s="3">
        <v>1.990521327</v>
      </c>
      <c r="Z160" s="3">
        <v>2.1353695319999999</v>
      </c>
      <c r="AA160" s="3">
        <v>2.9635258000000001E-2</v>
      </c>
      <c r="AB160" s="3">
        <v>4.9079211750000002</v>
      </c>
      <c r="AC160" s="3">
        <v>7.156398104</v>
      </c>
      <c r="AD160" s="3">
        <v>8.6056230999999997E-2</v>
      </c>
      <c r="AE160" s="3">
        <v>5.7597222219999997</v>
      </c>
      <c r="AF160" s="4">
        <v>42339</v>
      </c>
      <c r="AG160" s="5">
        <f>YEAR(AF160)</f>
        <v>2015</v>
      </c>
      <c r="AH160" s="5" t="str">
        <f>"Q"&amp;ROUNDUP(MONTH(AF160)/3,0)</f>
        <v>Q4</v>
      </c>
      <c r="AI160" s="5">
        <f>INDEX(RatingLookup!$B$2:$B$11,MATCH(A160,RatingLookup!$A$2:$A$11,0))</f>
        <v>7</v>
      </c>
      <c r="AJ160" s="5" t="str">
        <f>INDEX(RatingLookup!$C$2:$C$11,MATCH(A160,RatingLookup!$A$2:$A$11,0))</f>
        <v>Investment Grade</v>
      </c>
    </row>
    <row r="161" spans="1:36" x14ac:dyDescent="0.3">
      <c r="A161" s="3" t="s">
        <v>92</v>
      </c>
      <c r="B161" s="3" t="s">
        <v>261</v>
      </c>
      <c r="C161" s="3" t="s">
        <v>262</v>
      </c>
      <c r="D161" s="3" t="s">
        <v>39</v>
      </c>
      <c r="E161" s="3" t="s">
        <v>264</v>
      </c>
      <c r="F161" s="3" t="s">
        <v>219</v>
      </c>
      <c r="G161" s="3">
        <v>2.9294781379999999</v>
      </c>
      <c r="H161" s="3">
        <v>0.92383638899999998</v>
      </c>
      <c r="I161" s="3">
        <v>0.92383638899999998</v>
      </c>
      <c r="J161" s="3">
        <v>0</v>
      </c>
      <c r="K161" s="3">
        <v>1.6879985E-2</v>
      </c>
      <c r="L161" s="3">
        <v>6.8632909999999997E-3</v>
      </c>
      <c r="M161" s="3">
        <v>0.191059173</v>
      </c>
      <c r="N161" s="3">
        <v>2.9864589E-2</v>
      </c>
      <c r="O161" s="3">
        <v>1.4495062E-2</v>
      </c>
      <c r="P161" s="3">
        <v>6.643922E-3</v>
      </c>
      <c r="Q161" s="3">
        <v>3.2710280000000001E-2</v>
      </c>
      <c r="R161" s="3">
        <v>0.85871296600000002</v>
      </c>
      <c r="S161" s="3">
        <v>1.63910003</v>
      </c>
      <c r="T161" s="3">
        <v>1.256649892</v>
      </c>
      <c r="U161" s="3">
        <v>0.55686524400000004</v>
      </c>
      <c r="V161" s="3">
        <v>-0.54054054100000004</v>
      </c>
      <c r="W161" s="3">
        <v>0.411192214</v>
      </c>
      <c r="X161" s="3">
        <v>5.075075075</v>
      </c>
      <c r="Y161" s="3">
        <v>19.669669670000001</v>
      </c>
      <c r="Z161" s="3">
        <v>2.256649892</v>
      </c>
      <c r="AA161" s="3">
        <v>6.8632909999999997E-3</v>
      </c>
      <c r="AB161" s="3">
        <v>4.5860856610000003</v>
      </c>
      <c r="AC161" s="3">
        <v>12.34234234</v>
      </c>
      <c r="AD161" s="3">
        <v>7.6238175000000005E-2</v>
      </c>
      <c r="AE161" s="3">
        <v>6.4799405649999997</v>
      </c>
      <c r="AF161" s="4">
        <v>41771</v>
      </c>
      <c r="AG161" s="5">
        <f>YEAR(AF161)</f>
        <v>2014</v>
      </c>
      <c r="AH161" s="5" t="str">
        <f>"Q"&amp;ROUNDUP(MONTH(AF161)/3,0)</f>
        <v>Q2</v>
      </c>
      <c r="AI161" s="5">
        <f>INDEX(RatingLookup!$B$2:$B$11,MATCH(A161,RatingLookup!$A$2:$A$11,0))</f>
        <v>6</v>
      </c>
      <c r="AJ161" s="5" t="str">
        <f>INDEX(RatingLookup!$C$2:$C$11,MATCH(A161,RatingLookup!$A$2:$A$11,0))</f>
        <v>Speculative Grade</v>
      </c>
    </row>
    <row r="162" spans="1:36" x14ac:dyDescent="0.3">
      <c r="A162" s="3" t="s">
        <v>42</v>
      </c>
      <c r="B162" s="3" t="s">
        <v>261</v>
      </c>
      <c r="C162" s="3" t="s">
        <v>262</v>
      </c>
      <c r="D162" s="3" t="s">
        <v>60</v>
      </c>
      <c r="E162" s="3" t="s">
        <v>46</v>
      </c>
      <c r="F162" s="3" t="s">
        <v>219</v>
      </c>
      <c r="G162" s="3">
        <v>2.7011173180000001</v>
      </c>
      <c r="H162" s="3">
        <v>0.62011173200000003</v>
      </c>
      <c r="I162" s="3">
        <v>0.62011173200000003</v>
      </c>
      <c r="J162" s="3">
        <v>0</v>
      </c>
      <c r="K162" s="3">
        <v>6.5039202000000004E-2</v>
      </c>
      <c r="L162" s="3">
        <v>8.9985745000000006E-2</v>
      </c>
      <c r="M162" s="3">
        <v>0.256771205</v>
      </c>
      <c r="N162" s="3">
        <v>0.105488239</v>
      </c>
      <c r="O162" s="3">
        <v>6.2191174000000002E-2</v>
      </c>
      <c r="P162" s="3">
        <v>9.8001164000000002E-2</v>
      </c>
      <c r="Q162" s="3">
        <v>0.12281292100000001</v>
      </c>
      <c r="R162" s="3">
        <v>0.95621059799999997</v>
      </c>
      <c r="S162" s="3">
        <v>1.6224342300000001</v>
      </c>
      <c r="T162" s="3">
        <v>0.97476446800000005</v>
      </c>
      <c r="U162" s="3">
        <v>0.49361049600000001</v>
      </c>
      <c r="V162" s="3">
        <v>0.26336633700000001</v>
      </c>
      <c r="W162" s="3">
        <v>0.83691959199999999</v>
      </c>
      <c r="X162" s="3">
        <v>18.52130326</v>
      </c>
      <c r="Y162" s="3">
        <v>11.12781955</v>
      </c>
      <c r="Z162" s="3">
        <v>1.9747644680000001</v>
      </c>
      <c r="AA162" s="3">
        <v>8.9985745000000006E-2</v>
      </c>
      <c r="AB162" s="3">
        <v>2.1878997930000001</v>
      </c>
      <c r="AC162" s="3">
        <v>22.130325809999999</v>
      </c>
      <c r="AD162" s="3">
        <v>0.15734141099999999</v>
      </c>
      <c r="AE162" s="3">
        <v>6.0625</v>
      </c>
      <c r="AF162" s="4">
        <v>41075</v>
      </c>
      <c r="AG162" s="5">
        <f>YEAR(AF162)</f>
        <v>2012</v>
      </c>
      <c r="AH162" s="5" t="str">
        <f>"Q"&amp;ROUNDUP(MONTH(AF162)/3,0)</f>
        <v>Q2</v>
      </c>
      <c r="AI162" s="5">
        <f>INDEX(RatingLookup!$B$2:$B$11,MATCH(A162,RatingLookup!$A$2:$A$11,0))</f>
        <v>7</v>
      </c>
      <c r="AJ162" s="5" t="str">
        <f>INDEX(RatingLookup!$C$2:$C$11,MATCH(A162,RatingLookup!$A$2:$A$11,0))</f>
        <v>Investment Grade</v>
      </c>
    </row>
    <row r="163" spans="1:36" x14ac:dyDescent="0.3">
      <c r="A163" s="3" t="s">
        <v>42</v>
      </c>
      <c r="B163" s="3" t="s">
        <v>261</v>
      </c>
      <c r="C163" s="3" t="s">
        <v>262</v>
      </c>
      <c r="D163" s="3" t="s">
        <v>39</v>
      </c>
      <c r="E163" s="3" t="s">
        <v>265</v>
      </c>
      <c r="F163" s="3" t="s">
        <v>219</v>
      </c>
      <c r="G163" s="3">
        <v>1.803455724</v>
      </c>
      <c r="H163" s="3">
        <v>0.18790496800000001</v>
      </c>
      <c r="I163" s="3">
        <v>0.18790496800000001</v>
      </c>
      <c r="J163" s="3">
        <v>0</v>
      </c>
      <c r="K163" s="3">
        <v>7.7476182000000005E-2</v>
      </c>
      <c r="L163" s="3">
        <v>1.5459285E-2</v>
      </c>
      <c r="M163" s="3">
        <v>0.20977889599999999</v>
      </c>
      <c r="N163" s="3">
        <v>6.5432321000000002E-2</v>
      </c>
      <c r="O163" s="3">
        <v>6.9684721000000005E-2</v>
      </c>
      <c r="P163" s="3">
        <v>1.6352919E-2</v>
      </c>
      <c r="Q163" s="3">
        <v>0.14913494799999999</v>
      </c>
      <c r="R163" s="3">
        <v>0.89943411500000003</v>
      </c>
      <c r="S163" s="3">
        <v>1.7767486429999999</v>
      </c>
      <c r="T163" s="3">
        <v>1.1401384080000001</v>
      </c>
      <c r="U163" s="3">
        <v>0.53274050100000003</v>
      </c>
      <c r="V163" s="3">
        <v>-1.9767441859999999</v>
      </c>
      <c r="W163" s="3">
        <v>0.62776025199999996</v>
      </c>
      <c r="X163" s="3">
        <v>6.1419753090000002</v>
      </c>
      <c r="Y163" s="3">
        <v>2.6851851849999999</v>
      </c>
      <c r="Z163" s="3">
        <v>2.1401384079999999</v>
      </c>
      <c r="AA163" s="3">
        <v>1.5459285E-2</v>
      </c>
      <c r="AB163" s="3">
        <v>4.8901604279999997</v>
      </c>
      <c r="AC163" s="3">
        <v>9.7839506170000003</v>
      </c>
      <c r="AD163" s="3">
        <v>0.113967284</v>
      </c>
      <c r="AE163" s="3">
        <v>6.0970873790000004</v>
      </c>
      <c r="AF163" s="4">
        <v>42082</v>
      </c>
      <c r="AG163" s="5">
        <f>YEAR(AF163)</f>
        <v>2015</v>
      </c>
      <c r="AH163" s="5" t="str">
        <f>"Q"&amp;ROUNDUP(MONTH(AF163)/3,0)</f>
        <v>Q1</v>
      </c>
      <c r="AI163" s="5">
        <f>INDEX(RatingLookup!$B$2:$B$11,MATCH(A163,RatingLookup!$A$2:$A$11,0))</f>
        <v>7</v>
      </c>
      <c r="AJ163" s="5" t="str">
        <f>INDEX(RatingLookup!$C$2:$C$11,MATCH(A163,RatingLookup!$A$2:$A$11,0))</f>
        <v>Investment Grade</v>
      </c>
    </row>
    <row r="164" spans="1:36" x14ac:dyDescent="0.3">
      <c r="A164" s="3" t="s">
        <v>42</v>
      </c>
      <c r="B164" s="3" t="s">
        <v>261</v>
      </c>
      <c r="C164" s="3" t="s">
        <v>262</v>
      </c>
      <c r="D164" s="3" t="s">
        <v>60</v>
      </c>
      <c r="E164" s="3" t="s">
        <v>266</v>
      </c>
      <c r="F164" s="3" t="s">
        <v>219</v>
      </c>
      <c r="G164" s="3">
        <v>2.6583113460000001</v>
      </c>
      <c r="H164" s="3">
        <v>0.87203166200000004</v>
      </c>
      <c r="I164" s="3">
        <v>0.87203166200000004</v>
      </c>
      <c r="J164" s="3">
        <v>0</v>
      </c>
      <c r="K164" s="3">
        <v>3.1375409999999999E-2</v>
      </c>
      <c r="L164" s="3">
        <v>4.3049982000000001E-2</v>
      </c>
      <c r="M164" s="3">
        <v>0.21178401999999999</v>
      </c>
      <c r="N164" s="3">
        <v>6.6946370000000005E-2</v>
      </c>
      <c r="O164" s="3">
        <v>2.8090805E-2</v>
      </c>
      <c r="P164" s="3">
        <v>4.3988816E-2</v>
      </c>
      <c r="Q164" s="3">
        <v>5.9784497999999998E-2</v>
      </c>
      <c r="R164" s="3">
        <v>0.89531275499999996</v>
      </c>
      <c r="S164" s="3">
        <v>1.6118788589999999</v>
      </c>
      <c r="T164" s="3">
        <v>1.1282586029999999</v>
      </c>
      <c r="U164" s="3">
        <v>0.53013228800000001</v>
      </c>
      <c r="V164" s="3">
        <v>0.24576271199999999</v>
      </c>
      <c r="W164" s="3">
        <v>0.57168783999999995</v>
      </c>
      <c r="X164" s="3">
        <v>8.75</v>
      </c>
      <c r="Y164" s="3">
        <v>18.36111111</v>
      </c>
      <c r="Z164" s="3">
        <v>2.1282586029999999</v>
      </c>
      <c r="AA164" s="3">
        <v>4.3049982000000001E-2</v>
      </c>
      <c r="AB164" s="3">
        <v>2.7046276599999999</v>
      </c>
      <c r="AC164" s="3">
        <v>15.30555556</v>
      </c>
      <c r="AD164" s="3">
        <v>0.100510762</v>
      </c>
      <c r="AE164" s="3">
        <v>6.6888544889999997</v>
      </c>
      <c r="AF164" s="4">
        <v>41141</v>
      </c>
      <c r="AG164" s="5">
        <f>YEAR(AF164)</f>
        <v>2012</v>
      </c>
      <c r="AH164" s="5" t="str">
        <f>"Q"&amp;ROUNDUP(MONTH(AF164)/3,0)</f>
        <v>Q3</v>
      </c>
      <c r="AI164" s="5">
        <f>INDEX(RatingLookup!$B$2:$B$11,MATCH(A164,RatingLookup!$A$2:$A$11,0))</f>
        <v>7</v>
      </c>
      <c r="AJ164" s="5" t="str">
        <f>INDEX(RatingLookup!$C$2:$C$11,MATCH(A164,RatingLookup!$A$2:$A$11,0))</f>
        <v>Investment Grade</v>
      </c>
    </row>
    <row r="165" spans="1:36" x14ac:dyDescent="0.3">
      <c r="A165" s="3" t="s">
        <v>42</v>
      </c>
      <c r="B165" s="3" t="s">
        <v>267</v>
      </c>
      <c r="C165" s="3" t="s">
        <v>268</v>
      </c>
      <c r="D165" s="3" t="s">
        <v>39</v>
      </c>
      <c r="E165" s="3" t="s">
        <v>269</v>
      </c>
      <c r="F165" s="3" t="s">
        <v>53</v>
      </c>
      <c r="G165" s="3">
        <v>1.378478664</v>
      </c>
      <c r="H165" s="3">
        <v>0.93114821699999994</v>
      </c>
      <c r="I165" s="3">
        <v>0.50381364699999998</v>
      </c>
      <c r="J165" s="3">
        <v>52.393565870000003</v>
      </c>
      <c r="K165" s="3">
        <v>0.20255267099999999</v>
      </c>
      <c r="L165" s="3">
        <v>0.21295567800000001</v>
      </c>
      <c r="M165" s="3">
        <v>0.831541219</v>
      </c>
      <c r="N165" s="3">
        <v>0.21295567800000001</v>
      </c>
      <c r="O165" s="3">
        <v>6.0060137999999999E-2</v>
      </c>
      <c r="P165" s="3">
        <v>7.2226999E-2</v>
      </c>
      <c r="Q165" s="3">
        <v>0.10434586799999999</v>
      </c>
      <c r="R165" s="3">
        <v>0.29651614900000001</v>
      </c>
      <c r="S165" s="3">
        <v>0.41570665400000001</v>
      </c>
      <c r="T165" s="3">
        <v>0.73735645100000002</v>
      </c>
      <c r="U165" s="3">
        <v>0.42441287799999999</v>
      </c>
      <c r="V165" s="3">
        <v>0.30541871900000001</v>
      </c>
      <c r="W165" s="3">
        <v>-0.18145161300000001</v>
      </c>
      <c r="X165" s="3">
        <v>-2.6671056960000001</v>
      </c>
      <c r="Y165" s="3">
        <v>9.4665788610000003</v>
      </c>
      <c r="Z165" s="3">
        <v>1.7373564509999999</v>
      </c>
      <c r="AA165" s="3">
        <v>0.21295567800000001</v>
      </c>
      <c r="AB165" s="3">
        <v>4.2472991169999998</v>
      </c>
      <c r="AC165" s="3">
        <v>14.69871584</v>
      </c>
      <c r="AD165" s="3">
        <v>0.39024390199999998</v>
      </c>
      <c r="AE165" s="3">
        <v>2.7217514120000001</v>
      </c>
      <c r="AF165" s="4">
        <v>42131</v>
      </c>
      <c r="AG165" s="5">
        <f>YEAR(AF165)</f>
        <v>2015</v>
      </c>
      <c r="AH165" s="5" t="str">
        <f>"Q"&amp;ROUNDUP(MONTH(AF165)/3,0)</f>
        <v>Q2</v>
      </c>
      <c r="AI165" s="5">
        <f>INDEX(RatingLookup!$B$2:$B$11,MATCH(A165,RatingLookup!$A$2:$A$11,0))</f>
        <v>7</v>
      </c>
      <c r="AJ165" s="5" t="str">
        <f>INDEX(RatingLookup!$C$2:$C$11,MATCH(A165,RatingLookup!$A$2:$A$11,0))</f>
        <v>Investment Grade</v>
      </c>
    </row>
    <row r="166" spans="1:36" x14ac:dyDescent="0.3">
      <c r="A166" s="3" t="s">
        <v>36</v>
      </c>
      <c r="B166" s="3" t="s">
        <v>267</v>
      </c>
      <c r="C166" s="3" t="s">
        <v>268</v>
      </c>
      <c r="D166" s="3" t="s">
        <v>39</v>
      </c>
      <c r="E166" s="3" t="s">
        <v>270</v>
      </c>
      <c r="F166" s="3" t="s">
        <v>53</v>
      </c>
      <c r="G166" s="3">
        <v>1.3112229339999999</v>
      </c>
      <c r="H166" s="3">
        <v>0.981396767</v>
      </c>
      <c r="I166" s="3">
        <v>0.27660872199999997</v>
      </c>
      <c r="J166" s="3">
        <v>46.22845092</v>
      </c>
      <c r="K166" s="3">
        <v>0.20687113500000001</v>
      </c>
      <c r="L166" s="3">
        <v>0.18398100000000001</v>
      </c>
      <c r="M166" s="3">
        <v>0.913353262</v>
      </c>
      <c r="N166" s="3">
        <v>0.18398100000000001</v>
      </c>
      <c r="O166" s="3">
        <v>0.118164382</v>
      </c>
      <c r="P166" s="3">
        <v>0.124129738</v>
      </c>
      <c r="Q166" s="3">
        <v>0.204368932</v>
      </c>
      <c r="R166" s="3">
        <v>0.57119801699999995</v>
      </c>
      <c r="S166" s="3">
        <v>0.84880608899999999</v>
      </c>
      <c r="T166" s="3">
        <v>0.72953074399999995</v>
      </c>
      <c r="U166" s="3">
        <v>0.42180848599999998</v>
      </c>
      <c r="V166" s="3">
        <v>0.116848431</v>
      </c>
      <c r="W166" s="3">
        <v>-0.19917864499999999</v>
      </c>
      <c r="X166" s="3">
        <v>-2.8817587640000002</v>
      </c>
      <c r="Y166" s="3">
        <v>9.9316696380000007</v>
      </c>
      <c r="Z166" s="3">
        <v>1.7295307440000001</v>
      </c>
      <c r="AA166" s="3">
        <v>0.18398100000000001</v>
      </c>
      <c r="AB166" s="3">
        <v>4.095277158</v>
      </c>
      <c r="AC166" s="3">
        <v>14.46821153</v>
      </c>
      <c r="AD166" s="3">
        <v>0.19941853300000001</v>
      </c>
      <c r="AE166" s="3">
        <v>1.003319109</v>
      </c>
      <c r="AF166" s="4">
        <v>41528</v>
      </c>
      <c r="AG166" s="5">
        <f>YEAR(AF166)</f>
        <v>2013</v>
      </c>
      <c r="AH166" s="5" t="str">
        <f>"Q"&amp;ROUNDUP(MONTH(AF166)/3,0)</f>
        <v>Q3</v>
      </c>
      <c r="AI166" s="5">
        <f>INDEX(RatingLookup!$B$2:$B$11,MATCH(A166,RatingLookup!$A$2:$A$11,0))</f>
        <v>8</v>
      </c>
      <c r="AJ166" s="5" t="str">
        <f>INDEX(RatingLookup!$C$2:$C$11,MATCH(A166,RatingLookup!$A$2:$A$11,0))</f>
        <v>Investment Grade</v>
      </c>
    </row>
    <row r="167" spans="1:36" x14ac:dyDescent="0.3">
      <c r="A167" s="3" t="s">
        <v>92</v>
      </c>
      <c r="B167" s="3" t="s">
        <v>267</v>
      </c>
      <c r="C167" s="3" t="s">
        <v>268</v>
      </c>
      <c r="D167" s="3" t="s">
        <v>39</v>
      </c>
      <c r="E167" s="3" t="s">
        <v>125</v>
      </c>
      <c r="F167" s="3" t="s">
        <v>53</v>
      </c>
      <c r="G167" s="3">
        <v>1.6757990869999999</v>
      </c>
      <c r="H167" s="3">
        <v>1.4745053269999999</v>
      </c>
      <c r="I167" s="3">
        <v>1.03348554</v>
      </c>
      <c r="J167" s="3">
        <v>47.120103640000004</v>
      </c>
      <c r="K167" s="3">
        <v>-0.46578265499999999</v>
      </c>
      <c r="L167" s="3">
        <v>-0.64898643499999997</v>
      </c>
      <c r="M167" s="3">
        <v>0.690748362</v>
      </c>
      <c r="N167" s="3">
        <v>-0.64898643499999997</v>
      </c>
      <c r="O167" s="3">
        <v>-8.9369791000000004E-2</v>
      </c>
      <c r="P167" s="3">
        <v>-0.134887699</v>
      </c>
      <c r="Q167" s="3">
        <v>-0.157639534</v>
      </c>
      <c r="R167" s="3">
        <v>0.19187015599999999</v>
      </c>
      <c r="S167" s="3">
        <v>0.24897541000000001</v>
      </c>
      <c r="T167" s="3">
        <v>0.76390178500000006</v>
      </c>
      <c r="U167" s="3">
        <v>0.43307501100000001</v>
      </c>
      <c r="V167" s="3">
        <v>0.30507280399999998</v>
      </c>
      <c r="W167" s="3">
        <v>1</v>
      </c>
      <c r="X167" s="3">
        <v>6.9851904090000003</v>
      </c>
      <c r="Y167" s="3">
        <v>10.677009869999999</v>
      </c>
      <c r="Z167" s="3">
        <v>1.7639017850000001</v>
      </c>
      <c r="AA167" s="3">
        <v>-0.64898643499999997</v>
      </c>
      <c r="AB167" s="3">
        <v>-52.69636964</v>
      </c>
      <c r="AC167" s="3">
        <v>6.9851904090000003</v>
      </c>
      <c r="AD167" s="3">
        <v>0.30193568100000001</v>
      </c>
      <c r="AE167" s="3">
        <v>4.4398249449999998</v>
      </c>
      <c r="AF167" s="4">
        <v>42230</v>
      </c>
      <c r="AG167" s="5">
        <f>YEAR(AF167)</f>
        <v>2015</v>
      </c>
      <c r="AH167" s="5" t="str">
        <f>"Q"&amp;ROUNDUP(MONTH(AF167)/3,0)</f>
        <v>Q3</v>
      </c>
      <c r="AI167" s="5">
        <f>INDEX(RatingLookup!$B$2:$B$11,MATCH(A167,RatingLookup!$A$2:$A$11,0))</f>
        <v>6</v>
      </c>
      <c r="AJ167" s="5" t="str">
        <f>INDEX(RatingLookup!$C$2:$C$11,MATCH(A167,RatingLookup!$A$2:$A$11,0))</f>
        <v>Speculative Grade</v>
      </c>
    </row>
    <row r="168" spans="1:36" x14ac:dyDescent="0.3">
      <c r="A168" s="3" t="s">
        <v>92</v>
      </c>
      <c r="B168" s="3" t="s">
        <v>267</v>
      </c>
      <c r="C168" s="3" t="s">
        <v>268</v>
      </c>
      <c r="D168" s="3" t="s">
        <v>60</v>
      </c>
      <c r="E168" s="3" t="s">
        <v>271</v>
      </c>
      <c r="F168" s="3" t="s">
        <v>53</v>
      </c>
      <c r="G168" s="3">
        <v>1.899600178</v>
      </c>
      <c r="H168" s="3">
        <v>1.6694802310000001</v>
      </c>
      <c r="I168" s="3">
        <v>1.2136828079999999</v>
      </c>
      <c r="J168" s="3">
        <v>70.829892650000005</v>
      </c>
      <c r="K168" s="3">
        <v>-1.2658959540000001</v>
      </c>
      <c r="L168" s="3">
        <v>-0.79562345199999995</v>
      </c>
      <c r="M168" s="3">
        <v>0.61189099899999999</v>
      </c>
      <c r="N168" s="3">
        <v>-0.79562345199999995</v>
      </c>
      <c r="O168" s="3">
        <v>-0.21424827900000001</v>
      </c>
      <c r="P168" s="3">
        <v>-0.14615092900000001</v>
      </c>
      <c r="Q168" s="3">
        <v>-0.42190725200000001</v>
      </c>
      <c r="R168" s="3">
        <v>0.16924635800000001</v>
      </c>
      <c r="S168" s="3">
        <v>0.20529773300000001</v>
      </c>
      <c r="T168" s="3">
        <v>0.96924452999999999</v>
      </c>
      <c r="U168" s="3">
        <v>0.49219104899999999</v>
      </c>
      <c r="V168" s="3">
        <v>-0.57654385100000005</v>
      </c>
      <c r="W168" s="3">
        <v>1</v>
      </c>
      <c r="X168" s="3">
        <v>2.5653436589999998</v>
      </c>
      <c r="Y168" s="3">
        <v>9.0932558889999999</v>
      </c>
      <c r="Z168" s="3">
        <v>1.9692445300000001</v>
      </c>
      <c r="AA168" s="3">
        <v>-0.79562345199999995</v>
      </c>
      <c r="AB168" s="3">
        <v>-34.081977049999999</v>
      </c>
      <c r="AC168" s="3">
        <v>2.5653436589999998</v>
      </c>
      <c r="AD168" s="3">
        <v>0.164120562</v>
      </c>
      <c r="AE168" s="3">
        <v>4.3418013860000002</v>
      </c>
      <c r="AF168" s="4">
        <v>42632</v>
      </c>
      <c r="AG168" s="5">
        <f>YEAR(AF168)</f>
        <v>2016</v>
      </c>
      <c r="AH168" s="5" t="str">
        <f>"Q"&amp;ROUNDUP(MONTH(AF168)/3,0)</f>
        <v>Q3</v>
      </c>
      <c r="AI168" s="5">
        <f>INDEX(RatingLookup!$B$2:$B$11,MATCH(A168,RatingLookup!$A$2:$A$11,0))</f>
        <v>6</v>
      </c>
      <c r="AJ168" s="5" t="str">
        <f>INDEX(RatingLookup!$C$2:$C$11,MATCH(A168,RatingLookup!$A$2:$A$11,0))</f>
        <v>Speculative Grade</v>
      </c>
    </row>
    <row r="169" spans="1:36" x14ac:dyDescent="0.3">
      <c r="A169" s="3" t="s">
        <v>109</v>
      </c>
      <c r="B169" s="3" t="s">
        <v>272</v>
      </c>
      <c r="C169" s="3" t="s">
        <v>273</v>
      </c>
      <c r="D169" s="3" t="s">
        <v>60</v>
      </c>
      <c r="E169" s="3" t="s">
        <v>222</v>
      </c>
      <c r="F169" s="3" t="s">
        <v>174</v>
      </c>
      <c r="G169" s="3">
        <v>0.34811483199999999</v>
      </c>
      <c r="H169" s="3">
        <v>0.42491509199999999</v>
      </c>
      <c r="I169" s="3">
        <v>0.116431444</v>
      </c>
      <c r="J169" s="3">
        <v>20.387655380000002</v>
      </c>
      <c r="K169" s="3">
        <v>5.3779548000000003E-2</v>
      </c>
      <c r="L169" s="3">
        <v>9.2459711E-2</v>
      </c>
      <c r="M169" s="3">
        <v>1</v>
      </c>
      <c r="N169" s="3">
        <v>0.10196477599999999</v>
      </c>
      <c r="O169" s="3">
        <v>2.8627268000000001E-2</v>
      </c>
      <c r="P169" s="3">
        <v>6.8457903000000001E-2</v>
      </c>
      <c r="Q169" s="3">
        <v>0.10563402</v>
      </c>
      <c r="R169" s="3">
        <v>0.53230770999999999</v>
      </c>
      <c r="S169" s="3">
        <v>2.1150736600000002</v>
      </c>
      <c r="T169" s="3">
        <v>2.6899790499999998</v>
      </c>
      <c r="U169" s="3">
        <v>0.72899575100000003</v>
      </c>
      <c r="V169" s="3">
        <v>0.41834613599999998</v>
      </c>
      <c r="W169" s="3">
        <v>0.83551711399999995</v>
      </c>
      <c r="X169" s="3">
        <v>12.831117559999999</v>
      </c>
      <c r="Y169" s="3">
        <v>11.8591582</v>
      </c>
      <c r="Z169" s="3">
        <v>3.6899790499999998</v>
      </c>
      <c r="AA169" s="3">
        <v>9.2459711E-2</v>
      </c>
      <c r="AB169" s="3">
        <v>5.4675930880000001</v>
      </c>
      <c r="AC169" s="3">
        <v>15.35709724</v>
      </c>
      <c r="AD169" s="3">
        <v>0.218201585</v>
      </c>
      <c r="AE169" s="3">
        <v>0</v>
      </c>
      <c r="AF169" s="4">
        <v>42340</v>
      </c>
      <c r="AG169" s="5">
        <f>YEAR(AF169)</f>
        <v>2015</v>
      </c>
      <c r="AH169" s="5" t="str">
        <f>"Q"&amp;ROUNDUP(MONTH(AF169)/3,0)</f>
        <v>Q4</v>
      </c>
      <c r="AI169" s="5">
        <f>INDEX(RatingLookup!$B$2:$B$11,MATCH(A169,RatingLookup!$A$2:$A$11,0))</f>
        <v>5</v>
      </c>
      <c r="AJ169" s="5" t="str">
        <f>INDEX(RatingLookup!$C$2:$C$11,MATCH(A169,RatingLookup!$A$2:$A$11,0))</f>
        <v>Speculative Grade</v>
      </c>
    </row>
    <row r="170" spans="1:36" x14ac:dyDescent="0.3">
      <c r="A170" s="3" t="s">
        <v>109</v>
      </c>
      <c r="B170" s="3" t="s">
        <v>272</v>
      </c>
      <c r="C170" s="3" t="s">
        <v>273</v>
      </c>
      <c r="D170" s="3" t="s">
        <v>60</v>
      </c>
      <c r="E170" s="3" t="s">
        <v>274</v>
      </c>
      <c r="F170" s="3" t="s">
        <v>174</v>
      </c>
      <c r="G170" s="3">
        <v>0.75380148800000002</v>
      </c>
      <c r="H170" s="3">
        <v>0.83220453500000002</v>
      </c>
      <c r="I170" s="3">
        <v>0.20969391100000001</v>
      </c>
      <c r="J170" s="3">
        <v>21.812183619999999</v>
      </c>
      <c r="K170" s="3">
        <v>0.109718025</v>
      </c>
      <c r="L170" s="3">
        <v>0.109718025</v>
      </c>
      <c r="M170" s="3">
        <v>1</v>
      </c>
      <c r="N170" s="3">
        <v>0.11561287000000001</v>
      </c>
      <c r="O170" s="3">
        <v>6.3231876000000006E-2</v>
      </c>
      <c r="P170" s="3">
        <v>7.5067490000000001E-2</v>
      </c>
      <c r="Q170" s="3">
        <v>0.121321417</v>
      </c>
      <c r="R170" s="3">
        <v>0.57631256099999995</v>
      </c>
      <c r="S170" s="3">
        <v>1.3310463910000001</v>
      </c>
      <c r="T170" s="3">
        <v>0.91867495099999996</v>
      </c>
      <c r="U170" s="3">
        <v>0.478806976</v>
      </c>
      <c r="V170" s="3">
        <v>0.35638434699999999</v>
      </c>
      <c r="W170" s="3">
        <v>0.66345098899999999</v>
      </c>
      <c r="X170" s="3">
        <v>5.5593847580000002</v>
      </c>
      <c r="Y170" s="3">
        <v>7.5667283449999996</v>
      </c>
      <c r="Z170" s="3">
        <v>1.9186749510000001</v>
      </c>
      <c r="AA170" s="3">
        <v>0.109718025</v>
      </c>
      <c r="AB170" s="3">
        <v>5.519359895</v>
      </c>
      <c r="AC170" s="3">
        <v>8.3794957790000009</v>
      </c>
      <c r="AD170" s="3">
        <v>0.185949379</v>
      </c>
      <c r="AE170" s="3">
        <v>0</v>
      </c>
      <c r="AF170" s="4">
        <v>41617</v>
      </c>
      <c r="AG170" s="5">
        <f>YEAR(AF170)</f>
        <v>2013</v>
      </c>
      <c r="AH170" s="5" t="str">
        <f>"Q"&amp;ROUNDUP(MONTH(AF170)/3,0)</f>
        <v>Q4</v>
      </c>
      <c r="AI170" s="5">
        <f>INDEX(RatingLookup!$B$2:$B$11,MATCH(A170,RatingLookup!$A$2:$A$11,0))</f>
        <v>5</v>
      </c>
      <c r="AJ170" s="5" t="str">
        <f>INDEX(RatingLookup!$C$2:$C$11,MATCH(A170,RatingLookup!$A$2:$A$11,0))</f>
        <v>Speculative Grade</v>
      </c>
    </row>
    <row r="171" spans="1:36" x14ac:dyDescent="0.3">
      <c r="A171" s="3" t="s">
        <v>36</v>
      </c>
      <c r="B171" s="3" t="s">
        <v>275</v>
      </c>
      <c r="C171" s="3" t="s">
        <v>276</v>
      </c>
      <c r="D171" s="3" t="s">
        <v>60</v>
      </c>
      <c r="E171" s="3" t="s">
        <v>180</v>
      </c>
      <c r="F171" s="3" t="s">
        <v>113</v>
      </c>
      <c r="G171" s="3">
        <v>0.76922574499999996</v>
      </c>
      <c r="H171" s="3">
        <v>0.44045325400000002</v>
      </c>
      <c r="I171" s="3">
        <v>0.244750678</v>
      </c>
      <c r="J171" s="3">
        <v>11.894936919999999</v>
      </c>
      <c r="K171" s="3">
        <v>4.3066051000000001E-2</v>
      </c>
      <c r="L171" s="3">
        <v>7.4007082000000002E-2</v>
      </c>
      <c r="M171" s="3">
        <v>0.97099805299999997</v>
      </c>
      <c r="N171" s="3">
        <v>7.8743657999999994E-2</v>
      </c>
      <c r="O171" s="3">
        <v>6.5048274000000003E-2</v>
      </c>
      <c r="P171" s="3">
        <v>0.173173837</v>
      </c>
      <c r="Q171" s="3">
        <v>0.17313736399999999</v>
      </c>
      <c r="R171" s="3">
        <v>1.510430414</v>
      </c>
      <c r="S171" s="3">
        <v>29.53236759</v>
      </c>
      <c r="T171" s="3">
        <v>1.661674986</v>
      </c>
      <c r="U171" s="3">
        <v>0.62429672800000002</v>
      </c>
      <c r="V171" s="3">
        <v>0.418082022</v>
      </c>
      <c r="W171" s="3">
        <v>0.81058253599999996</v>
      </c>
      <c r="X171" s="3">
        <v>6.7139917699999998</v>
      </c>
      <c r="Y171" s="3">
        <v>9.5020576129999998</v>
      </c>
      <c r="Z171" s="3">
        <v>2.661674986</v>
      </c>
      <c r="AA171" s="3">
        <v>7.4007082000000002E-2</v>
      </c>
      <c r="AB171" s="3">
        <v>9.6312117090000005</v>
      </c>
      <c r="AC171" s="3">
        <v>8.2829218109999996</v>
      </c>
      <c r="AD171" s="3">
        <v>6.1705780000000002E-2</v>
      </c>
      <c r="AE171" s="3">
        <v>0.40921379899999999</v>
      </c>
      <c r="AF171" s="4">
        <v>41976</v>
      </c>
      <c r="AG171" s="5">
        <f>YEAR(AF171)</f>
        <v>2014</v>
      </c>
      <c r="AH171" s="5" t="str">
        <f>"Q"&amp;ROUNDUP(MONTH(AF171)/3,0)</f>
        <v>Q4</v>
      </c>
      <c r="AI171" s="5">
        <f>INDEX(RatingLookup!$B$2:$B$11,MATCH(A171,RatingLookup!$A$2:$A$11,0))</f>
        <v>8</v>
      </c>
      <c r="AJ171" s="5" t="str">
        <f>INDEX(RatingLookup!$C$2:$C$11,MATCH(A171,RatingLookup!$A$2:$A$11,0))</f>
        <v>Investment Grade</v>
      </c>
    </row>
    <row r="172" spans="1:36" x14ac:dyDescent="0.3">
      <c r="A172" s="3" t="s">
        <v>36</v>
      </c>
      <c r="B172" s="3" t="s">
        <v>275</v>
      </c>
      <c r="C172" s="3" t="s">
        <v>276</v>
      </c>
      <c r="D172" s="3" t="s">
        <v>60</v>
      </c>
      <c r="E172" s="3" t="s">
        <v>46</v>
      </c>
      <c r="F172" s="3" t="s">
        <v>113</v>
      </c>
      <c r="G172" s="3">
        <v>0.85068138100000001</v>
      </c>
      <c r="H172" s="3">
        <v>0.59777610599999997</v>
      </c>
      <c r="I172" s="3">
        <v>0.39415600699999997</v>
      </c>
      <c r="J172" s="3">
        <v>8.2200428030000001</v>
      </c>
      <c r="K172" s="3">
        <v>5.0480061E-2</v>
      </c>
      <c r="L172" s="3">
        <v>7.8135124E-2</v>
      </c>
      <c r="M172" s="3">
        <v>0.97658596900000005</v>
      </c>
      <c r="N172" s="3">
        <v>8.3092812000000002E-2</v>
      </c>
      <c r="O172" s="3">
        <v>7.5741284000000006E-2</v>
      </c>
      <c r="P172" s="3">
        <v>0.18102213</v>
      </c>
      <c r="Q172" s="3">
        <v>0.18174749000000001</v>
      </c>
      <c r="R172" s="3">
        <v>1.500419803</v>
      </c>
      <c r="S172" s="3">
        <v>40.501789260000002</v>
      </c>
      <c r="T172" s="3">
        <v>1.3995829209999999</v>
      </c>
      <c r="U172" s="3">
        <v>0.58326091099999999</v>
      </c>
      <c r="V172" s="3">
        <v>0.35393893700000001</v>
      </c>
      <c r="W172" s="3">
        <v>0.84687141200000005</v>
      </c>
      <c r="X172" s="3">
        <v>5.5149532710000004</v>
      </c>
      <c r="Y172" s="3">
        <v>11.220560750000001</v>
      </c>
      <c r="Z172" s="3">
        <v>2.3995829209999999</v>
      </c>
      <c r="AA172" s="3">
        <v>7.8135124E-2</v>
      </c>
      <c r="AB172" s="3">
        <v>5.9296933669999996</v>
      </c>
      <c r="AC172" s="3">
        <v>6.5121495329999997</v>
      </c>
      <c r="AD172" s="3">
        <v>6.8406275000000002E-2</v>
      </c>
      <c r="AE172" s="3">
        <v>0.34802276399999998</v>
      </c>
      <c r="AF172" s="4">
        <v>41075</v>
      </c>
      <c r="AG172" s="5">
        <f>YEAR(AF172)</f>
        <v>2012</v>
      </c>
      <c r="AH172" s="5" t="str">
        <f>"Q"&amp;ROUNDUP(MONTH(AF172)/3,0)</f>
        <v>Q2</v>
      </c>
      <c r="AI172" s="5">
        <f>INDEX(RatingLookup!$B$2:$B$11,MATCH(A172,RatingLookup!$A$2:$A$11,0))</f>
        <v>8</v>
      </c>
      <c r="AJ172" s="5" t="str">
        <f>INDEX(RatingLookup!$C$2:$C$11,MATCH(A172,RatingLookup!$A$2:$A$11,0))</f>
        <v>Investment Grade</v>
      </c>
    </row>
    <row r="173" spans="1:36" x14ac:dyDescent="0.3">
      <c r="A173" s="3" t="s">
        <v>36</v>
      </c>
      <c r="B173" s="3" t="s">
        <v>275</v>
      </c>
      <c r="C173" s="3" t="s">
        <v>276</v>
      </c>
      <c r="D173" s="3" t="s">
        <v>60</v>
      </c>
      <c r="E173" s="3" t="s">
        <v>248</v>
      </c>
      <c r="F173" s="3" t="s">
        <v>113</v>
      </c>
      <c r="G173" s="3">
        <v>0.77636819599999995</v>
      </c>
      <c r="H173" s="3">
        <v>0.52168461399999999</v>
      </c>
      <c r="I173" s="3">
        <v>0.31000147500000003</v>
      </c>
      <c r="J173" s="3">
        <v>8.9387351059999993</v>
      </c>
      <c r="K173" s="3">
        <v>4.9955702999999997E-2</v>
      </c>
      <c r="L173" s="3">
        <v>7.7943915000000003E-2</v>
      </c>
      <c r="M173" s="3">
        <v>0.97719177700000004</v>
      </c>
      <c r="N173" s="3">
        <v>8.3657271000000005E-2</v>
      </c>
      <c r="O173" s="3">
        <v>6.8319219E-2</v>
      </c>
      <c r="P173" s="3">
        <v>0.16035262</v>
      </c>
      <c r="Q173" s="3">
        <v>0.17724036200000001</v>
      </c>
      <c r="R173" s="3">
        <v>1.36759597</v>
      </c>
      <c r="S173" s="3">
        <v>28.082762120000002</v>
      </c>
      <c r="T173" s="3">
        <v>1.5942972609999999</v>
      </c>
      <c r="U173" s="3">
        <v>0.61453916099999994</v>
      </c>
      <c r="V173" s="3">
        <v>0.35908141999999998</v>
      </c>
      <c r="W173" s="3">
        <v>0.85045422800000003</v>
      </c>
      <c r="X173" s="3">
        <v>5.9250243429999996</v>
      </c>
      <c r="Y173" s="3">
        <v>11.13631938</v>
      </c>
      <c r="Z173" s="3">
        <v>2.5942972609999999</v>
      </c>
      <c r="AA173" s="3">
        <v>7.7943915000000003E-2</v>
      </c>
      <c r="AB173" s="3">
        <v>6.2427492190000002</v>
      </c>
      <c r="AC173" s="3">
        <v>6.9668938660000004</v>
      </c>
      <c r="AD173" s="3">
        <v>6.4682059E-2</v>
      </c>
      <c r="AE173" s="3">
        <v>0.36125429599999997</v>
      </c>
      <c r="AF173" s="4">
        <v>41199</v>
      </c>
      <c r="AG173" s="5">
        <f>YEAR(AF173)</f>
        <v>2012</v>
      </c>
      <c r="AH173" s="5" t="str">
        <f>"Q"&amp;ROUNDUP(MONTH(AF173)/3,0)</f>
        <v>Q4</v>
      </c>
      <c r="AI173" s="5">
        <f>INDEX(RatingLookup!$B$2:$B$11,MATCH(A173,RatingLookup!$A$2:$A$11,0))</f>
        <v>8</v>
      </c>
      <c r="AJ173" s="5" t="str">
        <f>INDEX(RatingLookup!$C$2:$C$11,MATCH(A173,RatingLookup!$A$2:$A$11,0))</f>
        <v>Investment Grade</v>
      </c>
    </row>
    <row r="174" spans="1:36" x14ac:dyDescent="0.3">
      <c r="A174" s="3" t="s">
        <v>36</v>
      </c>
      <c r="B174" s="3" t="s">
        <v>275</v>
      </c>
      <c r="C174" s="3" t="s">
        <v>276</v>
      </c>
      <c r="D174" s="3" t="s">
        <v>60</v>
      </c>
      <c r="E174" s="3" t="s">
        <v>277</v>
      </c>
      <c r="F174" s="3" t="s">
        <v>113</v>
      </c>
      <c r="G174" s="3">
        <v>0.73754021199999997</v>
      </c>
      <c r="H174" s="3">
        <v>0.45302811300000001</v>
      </c>
      <c r="I174" s="3">
        <v>0.254627255</v>
      </c>
      <c r="J174" s="3">
        <v>15.15460801</v>
      </c>
      <c r="K174" s="3">
        <v>3.7000261E-2</v>
      </c>
      <c r="L174" s="3">
        <v>6.5121223000000006E-2</v>
      </c>
      <c r="M174" s="3">
        <v>0.89684737199999998</v>
      </c>
      <c r="N174" s="3">
        <v>7.0149642999999998E-2</v>
      </c>
      <c r="O174" s="3">
        <v>5.2189292999999998E-2</v>
      </c>
      <c r="P174" s="3">
        <v>0.14939037699999999</v>
      </c>
      <c r="Q174" s="3">
        <v>0.172364715</v>
      </c>
      <c r="R174" s="3">
        <v>1.4105114780000001</v>
      </c>
      <c r="S174" s="3">
        <v>32.319893030000003</v>
      </c>
      <c r="T174" s="3">
        <v>2.3026834690000002</v>
      </c>
      <c r="U174" s="3">
        <v>0.69721591299999996</v>
      </c>
      <c r="V174" s="3">
        <v>0.42644902699999998</v>
      </c>
      <c r="W174" s="3">
        <v>0.84024640699999997</v>
      </c>
      <c r="X174" s="3">
        <v>8.5876180479999995</v>
      </c>
      <c r="Y174" s="3">
        <v>13.547743970000001</v>
      </c>
      <c r="Z174" s="3">
        <v>3.3026834690000002</v>
      </c>
      <c r="AA174" s="3">
        <v>6.5121223000000006E-2</v>
      </c>
      <c r="AB174" s="3">
        <v>10.297190499999999</v>
      </c>
      <c r="AC174" s="3">
        <v>10.22035677</v>
      </c>
      <c r="AD174" s="3">
        <v>6.1995965E-2</v>
      </c>
      <c r="AE174" s="3">
        <v>1.351175588</v>
      </c>
      <c r="AF174" s="4">
        <v>42205</v>
      </c>
      <c r="AG174" s="5">
        <f>YEAR(AF174)</f>
        <v>2015</v>
      </c>
      <c r="AH174" s="5" t="str">
        <f>"Q"&amp;ROUNDUP(MONTH(AF174)/3,0)</f>
        <v>Q3</v>
      </c>
      <c r="AI174" s="5">
        <f>INDEX(RatingLookup!$B$2:$B$11,MATCH(A174,RatingLookup!$A$2:$A$11,0))</f>
        <v>8</v>
      </c>
      <c r="AJ174" s="5" t="str">
        <f>INDEX(RatingLookup!$C$2:$C$11,MATCH(A174,RatingLookup!$A$2:$A$11,0))</f>
        <v>Investment Grade</v>
      </c>
    </row>
    <row r="175" spans="1:36" x14ac:dyDescent="0.3">
      <c r="A175" s="3" t="s">
        <v>36</v>
      </c>
      <c r="B175" s="3" t="s">
        <v>278</v>
      </c>
      <c r="C175" s="3" t="s">
        <v>279</v>
      </c>
      <c r="D175" s="3" t="s">
        <v>39</v>
      </c>
      <c r="E175" s="3" t="s">
        <v>280</v>
      </c>
      <c r="F175" s="3" t="s">
        <v>232</v>
      </c>
      <c r="G175" s="3">
        <v>1.6539774220000001</v>
      </c>
      <c r="H175" s="3">
        <v>0.38776581799999998</v>
      </c>
      <c r="I175" s="3">
        <v>0.60462063499999996</v>
      </c>
      <c r="J175" s="3">
        <v>101.4533888</v>
      </c>
      <c r="K175" s="3">
        <v>0.110676128</v>
      </c>
      <c r="L175" s="3">
        <v>0.16091672800000001</v>
      </c>
      <c r="M175" s="3">
        <v>1</v>
      </c>
      <c r="N175" s="3">
        <v>0.16939890699999999</v>
      </c>
      <c r="O175" s="3">
        <v>7.9917550000000004E-2</v>
      </c>
      <c r="P175" s="3">
        <v>0.14979880000000001</v>
      </c>
      <c r="Q175" s="3">
        <v>0.17015674</v>
      </c>
      <c r="R175" s="3">
        <v>0.72208480600000002</v>
      </c>
      <c r="S175" s="3">
        <v>14.807971009999999</v>
      </c>
      <c r="T175" s="3">
        <v>1.1291536049999999</v>
      </c>
      <c r="U175" s="3">
        <v>0.53032979999999996</v>
      </c>
      <c r="V175" s="3">
        <v>0.301064369</v>
      </c>
      <c r="W175" s="3">
        <v>0.70096942600000001</v>
      </c>
      <c r="X175" s="3">
        <v>1.712204007</v>
      </c>
      <c r="Y175" s="3">
        <v>-3.5173041889999999</v>
      </c>
      <c r="Z175" s="3">
        <v>2.1291536049999999</v>
      </c>
      <c r="AA175" s="3">
        <v>0.16091672800000001</v>
      </c>
      <c r="AB175" s="3">
        <v>10.7089076</v>
      </c>
      <c r="AC175" s="3">
        <v>2.4426229510000002</v>
      </c>
      <c r="AD175" s="3">
        <v>0.109371177</v>
      </c>
      <c r="AE175" s="3">
        <v>1.2896292E-2</v>
      </c>
      <c r="AF175" s="4">
        <v>41605</v>
      </c>
      <c r="AG175" s="5">
        <f>YEAR(AF175)</f>
        <v>2013</v>
      </c>
      <c r="AH175" s="5" t="str">
        <f>"Q"&amp;ROUNDUP(MONTH(AF175)/3,0)</f>
        <v>Q4</v>
      </c>
      <c r="AI175" s="5">
        <f>INDEX(RatingLookup!$B$2:$B$11,MATCH(A175,RatingLookup!$A$2:$A$11,0))</f>
        <v>8</v>
      </c>
      <c r="AJ175" s="5" t="str">
        <f>INDEX(RatingLookup!$C$2:$C$11,MATCH(A175,RatingLookup!$A$2:$A$11,0))</f>
        <v>Investment Grade</v>
      </c>
    </row>
    <row r="176" spans="1:36" x14ac:dyDescent="0.3">
      <c r="A176" s="3" t="s">
        <v>36</v>
      </c>
      <c r="B176" s="3" t="s">
        <v>278</v>
      </c>
      <c r="C176" s="3" t="s">
        <v>279</v>
      </c>
      <c r="D176" s="3" t="s">
        <v>39</v>
      </c>
      <c r="E176" s="3" t="s">
        <v>281</v>
      </c>
      <c r="F176" s="3" t="s">
        <v>232</v>
      </c>
      <c r="G176" s="3">
        <v>1.36030205</v>
      </c>
      <c r="H176" s="3">
        <v>0.21197410999999999</v>
      </c>
      <c r="I176" s="3">
        <v>0.37055016200000002</v>
      </c>
      <c r="J176" s="3">
        <v>100.72675099999999</v>
      </c>
      <c r="K176" s="3">
        <v>0.12402078599999999</v>
      </c>
      <c r="L176" s="3">
        <v>0.17893430499999999</v>
      </c>
      <c r="M176" s="3">
        <v>1</v>
      </c>
      <c r="N176" s="3">
        <v>0.18762118999999999</v>
      </c>
      <c r="O176" s="3">
        <v>8.7779973999999997E-2</v>
      </c>
      <c r="P176" s="3">
        <v>0.159015715</v>
      </c>
      <c r="Q176" s="3">
        <v>0.24219933399999999</v>
      </c>
      <c r="R176" s="3">
        <v>0.70778436499999997</v>
      </c>
      <c r="S176" s="3">
        <v>16.679172059999999</v>
      </c>
      <c r="T176" s="3">
        <v>1.75916389</v>
      </c>
      <c r="U176" s="3">
        <v>0.63757136599999997</v>
      </c>
      <c r="V176" s="3">
        <v>0.29085392300000001</v>
      </c>
      <c r="W176" s="3">
        <v>0.82786016900000003</v>
      </c>
      <c r="X176" s="3">
        <v>2.9435028249999999</v>
      </c>
      <c r="Y176" s="3">
        <v>-5.2203389830000004</v>
      </c>
      <c r="Z176" s="3">
        <v>2.75916389</v>
      </c>
      <c r="AA176" s="3">
        <v>0.17893430499999999</v>
      </c>
      <c r="AB176" s="3">
        <v>11.033859959999999</v>
      </c>
      <c r="AC176" s="3">
        <v>3.5555555559999998</v>
      </c>
      <c r="AD176" s="3">
        <v>0.14643605100000001</v>
      </c>
      <c r="AE176" s="3">
        <v>0</v>
      </c>
      <c r="AF176" s="4">
        <v>42307</v>
      </c>
      <c r="AG176" s="5">
        <f>YEAR(AF176)</f>
        <v>2015</v>
      </c>
      <c r="AH176" s="5" t="str">
        <f>"Q"&amp;ROUNDUP(MONTH(AF176)/3,0)</f>
        <v>Q4</v>
      </c>
      <c r="AI176" s="5">
        <f>INDEX(RatingLookup!$B$2:$B$11,MATCH(A176,RatingLookup!$A$2:$A$11,0))</f>
        <v>8</v>
      </c>
      <c r="AJ176" s="5" t="str">
        <f>INDEX(RatingLookup!$C$2:$C$11,MATCH(A176,RatingLookup!$A$2:$A$11,0))</f>
        <v>Investment Grade</v>
      </c>
    </row>
    <row r="177" spans="1:36" x14ac:dyDescent="0.3">
      <c r="A177" s="3" t="s">
        <v>36</v>
      </c>
      <c r="B177" s="3" t="s">
        <v>278</v>
      </c>
      <c r="C177" s="3" t="s">
        <v>279</v>
      </c>
      <c r="D177" s="3" t="s">
        <v>39</v>
      </c>
      <c r="E177" s="3" t="s">
        <v>282</v>
      </c>
      <c r="F177" s="3" t="s">
        <v>232</v>
      </c>
      <c r="G177" s="3">
        <v>1.6342780029999999</v>
      </c>
      <c r="H177" s="3">
        <v>0.23697705799999999</v>
      </c>
      <c r="I177" s="3">
        <v>0.52847503399999995</v>
      </c>
      <c r="J177" s="3">
        <v>97.851903329999999</v>
      </c>
      <c r="K177" s="3">
        <v>0.113118678</v>
      </c>
      <c r="L177" s="3">
        <v>0.15882943399999999</v>
      </c>
      <c r="M177" s="3">
        <v>1</v>
      </c>
      <c r="N177" s="3">
        <v>0.177669678</v>
      </c>
      <c r="O177" s="3">
        <v>8.2118834000000002E-2</v>
      </c>
      <c r="P177" s="3">
        <v>0.145525292</v>
      </c>
      <c r="Q177" s="3">
        <v>0.20538342900000001</v>
      </c>
      <c r="R177" s="3">
        <v>0.72595291500000003</v>
      </c>
      <c r="S177" s="3">
        <v>16.008652659999999</v>
      </c>
      <c r="T177" s="3">
        <v>1.5010514509999999</v>
      </c>
      <c r="U177" s="3">
        <v>0.60016816100000003</v>
      </c>
      <c r="V177" s="3">
        <v>0.28488089500000002</v>
      </c>
      <c r="W177" s="3">
        <v>0.82575757599999999</v>
      </c>
      <c r="X177" s="3">
        <v>3.2</v>
      </c>
      <c r="Y177" s="3">
        <v>-4.7596330279999997</v>
      </c>
      <c r="Z177" s="3">
        <v>2.5010514509999999</v>
      </c>
      <c r="AA177" s="3">
        <v>0.15882943399999999</v>
      </c>
      <c r="AB177" s="3">
        <v>11.429397549999999</v>
      </c>
      <c r="AC177" s="3">
        <v>3.8752293579999999</v>
      </c>
      <c r="AD177" s="3">
        <v>0.16307621</v>
      </c>
      <c r="AE177" s="3">
        <v>7.275624E-2</v>
      </c>
      <c r="AF177" s="4">
        <v>42159</v>
      </c>
      <c r="AG177" s="5">
        <f>YEAR(AF177)</f>
        <v>2015</v>
      </c>
      <c r="AH177" s="5" t="str">
        <f>"Q"&amp;ROUNDUP(MONTH(AF177)/3,0)</f>
        <v>Q2</v>
      </c>
      <c r="AI177" s="5">
        <f>INDEX(RatingLookup!$B$2:$B$11,MATCH(A177,RatingLookup!$A$2:$A$11,0))</f>
        <v>8</v>
      </c>
      <c r="AJ177" s="5" t="str">
        <f>INDEX(RatingLookup!$C$2:$C$11,MATCH(A177,RatingLookup!$A$2:$A$11,0))</f>
        <v>Investment Grade</v>
      </c>
    </row>
    <row r="178" spans="1:36" x14ac:dyDescent="0.3">
      <c r="A178" s="3" t="s">
        <v>36</v>
      </c>
      <c r="B178" s="3" t="s">
        <v>278</v>
      </c>
      <c r="C178" s="3" t="s">
        <v>279</v>
      </c>
      <c r="D178" s="3" t="s">
        <v>39</v>
      </c>
      <c r="E178" s="3" t="s">
        <v>283</v>
      </c>
      <c r="F178" s="3" t="s">
        <v>232</v>
      </c>
      <c r="G178" s="3">
        <v>1.6731200900000001</v>
      </c>
      <c r="H178" s="3">
        <v>-0.23007856300000001</v>
      </c>
      <c r="I178" s="3">
        <v>8.8103255000000005E-2</v>
      </c>
      <c r="J178" s="3">
        <v>87.484904389999997</v>
      </c>
      <c r="K178" s="3">
        <v>9.8624622999999995E-2</v>
      </c>
      <c r="L178" s="3">
        <v>0.14223415</v>
      </c>
      <c r="M178" s="3">
        <v>1</v>
      </c>
      <c r="N178" s="3">
        <v>0.15338812499999999</v>
      </c>
      <c r="O178" s="3">
        <v>7.2200393000000002E-2</v>
      </c>
      <c r="P178" s="3">
        <v>0.13329141799999999</v>
      </c>
      <c r="Q178" s="3">
        <v>0.17801998199999999</v>
      </c>
      <c r="R178" s="3">
        <v>0.73207269200000002</v>
      </c>
      <c r="S178" s="3">
        <v>14.739184180000001</v>
      </c>
      <c r="T178" s="3">
        <v>1.4656372989999999</v>
      </c>
      <c r="U178" s="3">
        <v>0.59442534400000002</v>
      </c>
      <c r="V178" s="3">
        <v>0.29009434000000001</v>
      </c>
      <c r="W178" s="3">
        <v>0.75794251099999999</v>
      </c>
      <c r="X178" s="3">
        <v>1.8419117650000001</v>
      </c>
      <c r="Y178" s="3">
        <v>-6.7610294120000001</v>
      </c>
      <c r="Z178" s="3">
        <v>2.4656372989999999</v>
      </c>
      <c r="AA178" s="3">
        <v>0.14223415</v>
      </c>
      <c r="AB178" s="3">
        <v>9.9350596880000008</v>
      </c>
      <c r="AC178" s="3">
        <v>2.4301470589999998</v>
      </c>
      <c r="AD178" s="3">
        <v>0.110868836</v>
      </c>
      <c r="AE178" s="3">
        <v>0</v>
      </c>
      <c r="AF178" s="4">
        <v>41337</v>
      </c>
      <c r="AG178" s="5">
        <f>YEAR(AF178)</f>
        <v>2013</v>
      </c>
      <c r="AH178" s="5" t="str">
        <f>"Q"&amp;ROUNDUP(MONTH(AF178)/3,0)</f>
        <v>Q1</v>
      </c>
      <c r="AI178" s="5">
        <f>INDEX(RatingLookup!$B$2:$B$11,MATCH(A178,RatingLookup!$A$2:$A$11,0))</f>
        <v>8</v>
      </c>
      <c r="AJ178" s="5" t="str">
        <f>INDEX(RatingLookup!$C$2:$C$11,MATCH(A178,RatingLookup!$A$2:$A$11,0))</f>
        <v>Investment Grade</v>
      </c>
    </row>
    <row r="179" spans="1:36" x14ac:dyDescent="0.3">
      <c r="A179" s="3" t="s">
        <v>49</v>
      </c>
      <c r="B179" s="3" t="s">
        <v>284</v>
      </c>
      <c r="C179" s="3" t="s">
        <v>285</v>
      </c>
      <c r="D179" s="3" t="s">
        <v>44</v>
      </c>
      <c r="E179" s="3" t="s">
        <v>46</v>
      </c>
      <c r="F179" s="3" t="s">
        <v>53</v>
      </c>
      <c r="G179" s="3">
        <v>1.3631750250000001</v>
      </c>
      <c r="H179" s="3">
        <v>0.744593379</v>
      </c>
      <c r="I179" s="3">
        <v>0.30030833800000001</v>
      </c>
      <c r="J179" s="3">
        <v>43.938066650000003</v>
      </c>
      <c r="K179" s="3">
        <v>7.3905734000000001E-2</v>
      </c>
      <c r="L179" s="3">
        <v>0.15851095800000001</v>
      </c>
      <c r="M179" s="3">
        <v>0.316169319</v>
      </c>
      <c r="N179" s="3">
        <v>0.138661063</v>
      </c>
      <c r="O179" s="3">
        <v>7.5190128999999994E-2</v>
      </c>
      <c r="P179" s="3">
        <v>0.23172910099999999</v>
      </c>
      <c r="Q179" s="3">
        <v>0.18386735400000001</v>
      </c>
      <c r="R179" s="3">
        <v>1.017378822</v>
      </c>
      <c r="S179" s="3">
        <v>2.5838931380000001</v>
      </c>
      <c r="T179" s="3">
        <v>1.425169916</v>
      </c>
      <c r="U179" s="3">
        <v>0.58280443500000001</v>
      </c>
      <c r="V179" s="3">
        <v>0.53374999999999995</v>
      </c>
      <c r="W179" s="3">
        <v>0.15484234199999999</v>
      </c>
      <c r="X179" s="3">
        <v>1.287430756</v>
      </c>
      <c r="Y179" s="3">
        <v>6.2669150020000002</v>
      </c>
      <c r="Z179" s="3">
        <v>2.4453655990000001</v>
      </c>
      <c r="AA179" s="3">
        <v>0.16279195399999999</v>
      </c>
      <c r="AB179" s="3">
        <v>3.9148575970000001</v>
      </c>
      <c r="AC179" s="3">
        <v>8.3144618999999995</v>
      </c>
      <c r="AD179" s="3">
        <v>0.117298109</v>
      </c>
      <c r="AE179" s="3">
        <v>5.156750883</v>
      </c>
      <c r="AF179" s="4">
        <v>41075</v>
      </c>
      <c r="AG179" s="5">
        <f>YEAR(AF179)</f>
        <v>2012</v>
      </c>
      <c r="AH179" s="5" t="str">
        <f>"Q"&amp;ROUNDUP(MONTH(AF179)/3,0)</f>
        <v>Q2</v>
      </c>
      <c r="AI179" s="5">
        <f>INDEX(RatingLookup!$B$2:$B$11,MATCH(A179,RatingLookup!$A$2:$A$11,0))</f>
        <v>9</v>
      </c>
      <c r="AJ179" s="5" t="str">
        <f>INDEX(RatingLookup!$C$2:$C$11,MATCH(A179,RatingLookup!$A$2:$A$11,0))</f>
        <v>Investment Grade</v>
      </c>
    </row>
    <row r="180" spans="1:36" x14ac:dyDescent="0.3">
      <c r="A180" s="3" t="s">
        <v>49</v>
      </c>
      <c r="B180" s="3" t="s">
        <v>284</v>
      </c>
      <c r="C180" s="3" t="s">
        <v>285</v>
      </c>
      <c r="D180" s="3" t="s">
        <v>286</v>
      </c>
      <c r="E180" s="3" t="s">
        <v>287</v>
      </c>
      <c r="F180" s="3" t="s">
        <v>53</v>
      </c>
      <c r="G180" s="3">
        <v>0.88259218299999997</v>
      </c>
      <c r="H180" s="3">
        <v>0.556147014</v>
      </c>
      <c r="I180" s="3">
        <v>0.14462154999999999</v>
      </c>
      <c r="J180" s="3">
        <v>36.783384169999998</v>
      </c>
      <c r="K180" s="3">
        <v>9.4578283999999999E-2</v>
      </c>
      <c r="L180" s="3">
        <v>0.18998026400000001</v>
      </c>
      <c r="M180" s="3">
        <v>1</v>
      </c>
      <c r="N180" s="3">
        <v>0.18998026400000001</v>
      </c>
      <c r="O180" s="3">
        <v>0.14502957599999999</v>
      </c>
      <c r="P180" s="3">
        <v>0.50070931100000005</v>
      </c>
      <c r="Q180" s="3">
        <v>0.158743412</v>
      </c>
      <c r="R180" s="3">
        <v>1.533434213</v>
      </c>
      <c r="S180" s="3">
        <v>3.379209613</v>
      </c>
      <c r="T180" s="3">
        <v>1.9296694270000001</v>
      </c>
      <c r="U180" s="3">
        <v>1.7629653709999999</v>
      </c>
      <c r="V180" s="3">
        <v>0</v>
      </c>
      <c r="W180" s="3">
        <v>0.54571260200000005</v>
      </c>
      <c r="X180" s="3">
        <v>17.009488659999999</v>
      </c>
      <c r="Y180" s="3">
        <v>10.417038890000001</v>
      </c>
      <c r="Z180" s="3">
        <v>1.0945588939999999</v>
      </c>
      <c r="AA180" s="3">
        <v>0.18998026400000001</v>
      </c>
      <c r="AB180" s="3">
        <v>1.264521588</v>
      </c>
      <c r="AC180" s="3">
        <v>31.169316200000001</v>
      </c>
      <c r="AD180" s="3">
        <v>0.15226965000000001</v>
      </c>
      <c r="AE180" s="3">
        <v>0</v>
      </c>
      <c r="AF180" s="4">
        <v>38580</v>
      </c>
      <c r="AG180" s="5">
        <f>YEAR(AF180)</f>
        <v>2005</v>
      </c>
      <c r="AH180" s="5" t="str">
        <f>"Q"&amp;ROUNDUP(MONTH(AF180)/3,0)</f>
        <v>Q3</v>
      </c>
      <c r="AI180" s="5">
        <f>INDEX(RatingLookup!$B$2:$B$11,MATCH(A180,RatingLookup!$A$2:$A$11,0))</f>
        <v>9</v>
      </c>
      <c r="AJ180" s="5" t="str">
        <f>INDEX(RatingLookup!$C$2:$C$11,MATCH(A180,RatingLookup!$A$2:$A$11,0))</f>
        <v>Investment Grade</v>
      </c>
    </row>
    <row r="181" spans="1:36" x14ac:dyDescent="0.3">
      <c r="A181" s="3" t="s">
        <v>36</v>
      </c>
      <c r="B181" s="3" t="s">
        <v>288</v>
      </c>
      <c r="C181" s="3" t="s">
        <v>289</v>
      </c>
      <c r="D181" s="3" t="s">
        <v>60</v>
      </c>
      <c r="E181" s="3" t="s">
        <v>46</v>
      </c>
      <c r="F181" s="3" t="s">
        <v>113</v>
      </c>
      <c r="G181" s="3">
        <v>1.780934733</v>
      </c>
      <c r="H181" s="3">
        <v>1.0963557749999999</v>
      </c>
      <c r="I181" s="3">
        <v>0.59810582700000003</v>
      </c>
      <c r="J181" s="3">
        <v>63.578780680000001</v>
      </c>
      <c r="K181" s="3">
        <v>0.16008061600000001</v>
      </c>
      <c r="L181" s="3">
        <v>0.20218815200000001</v>
      </c>
      <c r="M181" s="3">
        <v>0.50716187999999995</v>
      </c>
      <c r="N181" s="3">
        <v>0.20218815200000001</v>
      </c>
      <c r="O181" s="3">
        <v>0.116604624</v>
      </c>
      <c r="P181" s="3">
        <v>0.19759425999999999</v>
      </c>
      <c r="Q181" s="3">
        <v>0.33773728200000003</v>
      </c>
      <c r="R181" s="3">
        <v>0.72841189100000003</v>
      </c>
      <c r="S181" s="3">
        <v>2.5145701360000001</v>
      </c>
      <c r="T181" s="3">
        <v>1.8964312830000001</v>
      </c>
      <c r="U181" s="3">
        <v>0.65474754899999998</v>
      </c>
      <c r="V181" s="3">
        <v>0.19686721300000001</v>
      </c>
      <c r="W181" s="3">
        <v>0.65921192799999995</v>
      </c>
      <c r="X181" s="3">
        <v>3.263620387</v>
      </c>
      <c r="Y181" s="3">
        <v>5.1054481550000004</v>
      </c>
      <c r="Z181" s="3">
        <v>2.8964312830000001</v>
      </c>
      <c r="AA181" s="3">
        <v>0.20218815200000001</v>
      </c>
      <c r="AB181" s="3">
        <v>5.4977752229999997</v>
      </c>
      <c r="AC181" s="3">
        <v>4.9507908609999998</v>
      </c>
      <c r="AD181" s="3">
        <v>0.20276398200000001</v>
      </c>
      <c r="AE181" s="3">
        <v>1.5522557239999999</v>
      </c>
      <c r="AF181" s="4">
        <v>41075</v>
      </c>
      <c r="AG181" s="5">
        <f>YEAR(AF181)</f>
        <v>2012</v>
      </c>
      <c r="AH181" s="5" t="str">
        <f>"Q"&amp;ROUNDUP(MONTH(AF181)/3,0)</f>
        <v>Q2</v>
      </c>
      <c r="AI181" s="5">
        <f>INDEX(RatingLookup!$B$2:$B$11,MATCH(A181,RatingLookup!$A$2:$A$11,0))</f>
        <v>8</v>
      </c>
      <c r="AJ181" s="5" t="str">
        <f>INDEX(RatingLookup!$C$2:$C$11,MATCH(A181,RatingLookup!$A$2:$A$11,0))</f>
        <v>Investment Grade</v>
      </c>
    </row>
    <row r="182" spans="1:36" x14ac:dyDescent="0.3">
      <c r="A182" s="3" t="s">
        <v>36</v>
      </c>
      <c r="B182" s="3" t="s">
        <v>288</v>
      </c>
      <c r="C182" s="3" t="s">
        <v>289</v>
      </c>
      <c r="D182" s="3" t="s">
        <v>39</v>
      </c>
      <c r="E182" s="3" t="s">
        <v>290</v>
      </c>
      <c r="F182" s="3" t="s">
        <v>113</v>
      </c>
      <c r="G182" s="3">
        <v>1.713174446</v>
      </c>
      <c r="H182" s="3">
        <v>0.95100959900000004</v>
      </c>
      <c r="I182" s="3">
        <v>0.48411122099999998</v>
      </c>
      <c r="J182" s="3">
        <v>61.369743870000001</v>
      </c>
      <c r="K182" s="3">
        <v>0.149781057</v>
      </c>
      <c r="L182" s="3">
        <v>4.9367164999999998E-2</v>
      </c>
      <c r="M182" s="3">
        <v>0.48929278399999998</v>
      </c>
      <c r="N182" s="3">
        <v>0.149781057</v>
      </c>
      <c r="O182" s="3">
        <v>9.6346028E-2</v>
      </c>
      <c r="P182" s="3">
        <v>4.1408805E-2</v>
      </c>
      <c r="Q182" s="3">
        <v>0.30751231499999998</v>
      </c>
      <c r="R182" s="3">
        <v>0.64324574599999995</v>
      </c>
      <c r="S182" s="3">
        <v>1.916647505</v>
      </c>
      <c r="T182" s="3">
        <v>2.1917487680000001</v>
      </c>
      <c r="U182" s="3">
        <v>0.68669213299999998</v>
      </c>
      <c r="V182" s="3">
        <v>0.59902794699999995</v>
      </c>
      <c r="W182" s="3">
        <v>0.40964230200000001</v>
      </c>
      <c r="X182" s="3">
        <v>2.4298892990000001</v>
      </c>
      <c r="Y182" s="3">
        <v>5.4298892990000001</v>
      </c>
      <c r="Z182" s="3">
        <v>3.1917487680000001</v>
      </c>
      <c r="AA182" s="3">
        <v>4.9367164999999998E-2</v>
      </c>
      <c r="AB182" s="3">
        <v>7.471724729</v>
      </c>
      <c r="AC182" s="3">
        <v>5.9317343170000001</v>
      </c>
      <c r="AD182" s="3">
        <v>0.19284985900000001</v>
      </c>
      <c r="AE182" s="3">
        <v>1.96039604</v>
      </c>
      <c r="AF182" s="4">
        <v>42045</v>
      </c>
      <c r="AG182" s="5">
        <f>YEAR(AF182)</f>
        <v>2015</v>
      </c>
      <c r="AH182" s="5" t="str">
        <f>"Q"&amp;ROUNDUP(MONTH(AF182)/3,0)</f>
        <v>Q1</v>
      </c>
      <c r="AI182" s="5">
        <f>INDEX(RatingLookup!$B$2:$B$11,MATCH(A182,RatingLookup!$A$2:$A$11,0))</f>
        <v>8</v>
      </c>
      <c r="AJ182" s="5" t="str">
        <f>INDEX(RatingLookup!$C$2:$C$11,MATCH(A182,RatingLookup!$A$2:$A$11,0))</f>
        <v>Investment Grade</v>
      </c>
    </row>
    <row r="183" spans="1:36" x14ac:dyDescent="0.3">
      <c r="A183" s="3" t="s">
        <v>42</v>
      </c>
      <c r="B183" s="3" t="s">
        <v>288</v>
      </c>
      <c r="C183" s="3" t="s">
        <v>289</v>
      </c>
      <c r="D183" s="3" t="s">
        <v>39</v>
      </c>
      <c r="E183" s="3" t="s">
        <v>291</v>
      </c>
      <c r="F183" s="3" t="s">
        <v>113</v>
      </c>
      <c r="G183" s="3">
        <v>2.0514782610000002</v>
      </c>
      <c r="H183" s="3">
        <v>1.583652174</v>
      </c>
      <c r="I183" s="3">
        <v>0.38486956500000002</v>
      </c>
      <c r="J183" s="3">
        <v>63.384329860000001</v>
      </c>
      <c r="K183" s="3">
        <v>9.7110753999999994E-2</v>
      </c>
      <c r="L183" s="3">
        <v>4.2937400000000001E-2</v>
      </c>
      <c r="M183" s="3">
        <v>0.41593097899999998</v>
      </c>
      <c r="N183" s="3">
        <v>4.5044141000000003E-2</v>
      </c>
      <c r="O183" s="3">
        <v>4.6150179E-2</v>
      </c>
      <c r="P183" s="3">
        <v>2.8111658000000001E-2</v>
      </c>
      <c r="Q183" s="3">
        <v>0.10942799</v>
      </c>
      <c r="R183" s="3">
        <v>0.47523241999999999</v>
      </c>
      <c r="S183" s="3">
        <v>2.2726858189999999</v>
      </c>
      <c r="T183" s="3">
        <v>1.371128194</v>
      </c>
      <c r="U183" s="3">
        <v>0.57825983299999995</v>
      </c>
      <c r="V183" s="3">
        <v>8.1775701000000006E-2</v>
      </c>
      <c r="W183" s="3">
        <v>0.44687310299999999</v>
      </c>
      <c r="X183" s="3">
        <v>1.3504587159999999</v>
      </c>
      <c r="Y183" s="3">
        <v>13.53211009</v>
      </c>
      <c r="Z183" s="3">
        <v>2.3711281940000002</v>
      </c>
      <c r="AA183" s="3">
        <v>4.2937400000000001E-2</v>
      </c>
      <c r="AB183" s="3">
        <v>18.60844371</v>
      </c>
      <c r="AC183" s="3">
        <v>3.0220183490000001</v>
      </c>
      <c r="AD183" s="3">
        <v>0.16522873199999999</v>
      </c>
      <c r="AE183" s="3">
        <v>2.1837959489999998</v>
      </c>
      <c r="AF183" s="4">
        <v>42221</v>
      </c>
      <c r="AG183" s="5">
        <f>YEAR(AF183)</f>
        <v>2015</v>
      </c>
      <c r="AH183" s="5" t="str">
        <f>"Q"&amp;ROUNDUP(MONTH(AF183)/3,0)</f>
        <v>Q3</v>
      </c>
      <c r="AI183" s="5">
        <f>INDEX(RatingLookup!$B$2:$B$11,MATCH(A183,RatingLookup!$A$2:$A$11,0))</f>
        <v>7</v>
      </c>
      <c r="AJ183" s="5" t="str">
        <f>INDEX(RatingLookup!$C$2:$C$11,MATCH(A183,RatingLookup!$A$2:$A$11,0))</f>
        <v>Investment Grade</v>
      </c>
    </row>
    <row r="184" spans="1:36" x14ac:dyDescent="0.3">
      <c r="A184" s="3" t="s">
        <v>36</v>
      </c>
      <c r="B184" s="3" t="s">
        <v>288</v>
      </c>
      <c r="C184" s="3" t="s">
        <v>289</v>
      </c>
      <c r="D184" s="3" t="s">
        <v>39</v>
      </c>
      <c r="E184" s="3" t="s">
        <v>292</v>
      </c>
      <c r="F184" s="3" t="s">
        <v>113</v>
      </c>
      <c r="G184" s="3">
        <v>1.6938706400000001</v>
      </c>
      <c r="H184" s="3">
        <v>0.95868608200000005</v>
      </c>
      <c r="I184" s="3">
        <v>0.46274974600000002</v>
      </c>
      <c r="J184" s="3">
        <v>69.632020449999999</v>
      </c>
      <c r="K184" s="3">
        <v>0.13185660900000001</v>
      </c>
      <c r="L184" s="3">
        <v>0.18651287799999999</v>
      </c>
      <c r="M184" s="3">
        <v>0.49773903899999999</v>
      </c>
      <c r="N184" s="3">
        <v>0.13185660900000001</v>
      </c>
      <c r="O184" s="3">
        <v>7.7776489000000004E-2</v>
      </c>
      <c r="P184" s="3">
        <v>0.14256374299999999</v>
      </c>
      <c r="Q184" s="3">
        <v>0.237740754</v>
      </c>
      <c r="R184" s="3">
        <v>0.58985658500000004</v>
      </c>
      <c r="S184" s="3">
        <v>1.94828907</v>
      </c>
      <c r="T184" s="3">
        <v>2.0567174760000002</v>
      </c>
      <c r="U184" s="3">
        <v>0.67285167599999995</v>
      </c>
      <c r="V184" s="3">
        <v>0.188685875</v>
      </c>
      <c r="W184" s="3">
        <v>0.52313946200000006</v>
      </c>
      <c r="X184" s="3">
        <v>3.081031308</v>
      </c>
      <c r="Y184" s="3">
        <v>5.0662983429999997</v>
      </c>
      <c r="Z184" s="3">
        <v>3.0567174760000002</v>
      </c>
      <c r="AA184" s="3">
        <v>0.18651287799999999</v>
      </c>
      <c r="AB184" s="3">
        <v>9.4127301590000005</v>
      </c>
      <c r="AC184" s="3">
        <v>5.8895027620000002</v>
      </c>
      <c r="AD184" s="3">
        <v>0.20958123100000001</v>
      </c>
      <c r="AE184" s="3">
        <v>1.5750102749999999</v>
      </c>
      <c r="AF184" s="4">
        <v>41506</v>
      </c>
      <c r="AG184" s="5">
        <f>YEAR(AF184)</f>
        <v>2013</v>
      </c>
      <c r="AH184" s="5" t="str">
        <f>"Q"&amp;ROUNDUP(MONTH(AF184)/3,0)</f>
        <v>Q3</v>
      </c>
      <c r="AI184" s="5">
        <f>INDEX(RatingLookup!$B$2:$B$11,MATCH(A184,RatingLookup!$A$2:$A$11,0))</f>
        <v>8</v>
      </c>
      <c r="AJ184" s="5" t="str">
        <f>INDEX(RatingLookup!$C$2:$C$11,MATCH(A184,RatingLookup!$A$2:$A$11,0))</f>
        <v>Investment Grade</v>
      </c>
    </row>
    <row r="185" spans="1:36" x14ac:dyDescent="0.3">
      <c r="A185" s="3" t="s">
        <v>42</v>
      </c>
      <c r="B185" s="3" t="s">
        <v>288</v>
      </c>
      <c r="C185" s="3" t="s">
        <v>289</v>
      </c>
      <c r="D185" s="3" t="s">
        <v>60</v>
      </c>
      <c r="E185" s="3" t="s">
        <v>87</v>
      </c>
      <c r="F185" s="3" t="s">
        <v>113</v>
      </c>
      <c r="G185" s="3">
        <v>2.3957725949999999</v>
      </c>
      <c r="H185" s="3">
        <v>1.6403061219999999</v>
      </c>
      <c r="I185" s="3">
        <v>1.0207725949999999</v>
      </c>
      <c r="J185" s="3">
        <v>60.731575319999997</v>
      </c>
      <c r="K185" s="3">
        <v>0.488536849</v>
      </c>
      <c r="L185" s="3">
        <v>0.48745449200000002</v>
      </c>
      <c r="M185" s="3">
        <v>0.404408147</v>
      </c>
      <c r="N185" s="3">
        <v>7.1238807000000001E-2</v>
      </c>
      <c r="O185" s="3">
        <v>0.31937475900000001</v>
      </c>
      <c r="P185" s="3">
        <v>0.38697078600000001</v>
      </c>
      <c r="Q185" s="3">
        <v>0.59891435500000001</v>
      </c>
      <c r="R185" s="3">
        <v>0.65373729599999997</v>
      </c>
      <c r="S185" s="3">
        <v>2.3695500119999999</v>
      </c>
      <c r="T185" s="3">
        <v>0.87527141100000005</v>
      </c>
      <c r="U185" s="3">
        <v>0.46674385699999998</v>
      </c>
      <c r="V185" s="3">
        <v>-2.4222850000000001E-3</v>
      </c>
      <c r="W185" s="3">
        <v>0.565296252</v>
      </c>
      <c r="X185" s="3">
        <v>1.7124542119999999</v>
      </c>
      <c r="Y185" s="3">
        <v>5.1465201470000004</v>
      </c>
      <c r="Z185" s="3">
        <v>1.8752714109999999</v>
      </c>
      <c r="AA185" s="3">
        <v>0.48745449200000002</v>
      </c>
      <c r="AB185" s="3">
        <v>16.790288709999999</v>
      </c>
      <c r="AC185" s="3">
        <v>3.029304029</v>
      </c>
      <c r="AD185" s="3">
        <v>0.16274722</v>
      </c>
      <c r="AE185" s="3">
        <v>2.3173813170000002</v>
      </c>
      <c r="AF185" s="4">
        <v>42592</v>
      </c>
      <c r="AG185" s="5">
        <f>YEAR(AF185)</f>
        <v>2016</v>
      </c>
      <c r="AH185" s="5" t="str">
        <f>"Q"&amp;ROUNDUP(MONTH(AF185)/3,0)</f>
        <v>Q3</v>
      </c>
      <c r="AI185" s="5">
        <f>INDEX(RatingLookup!$B$2:$B$11,MATCH(A185,RatingLookup!$A$2:$A$11,0))</f>
        <v>7</v>
      </c>
      <c r="AJ185" s="5" t="str">
        <f>INDEX(RatingLookup!$C$2:$C$11,MATCH(A185,RatingLookup!$A$2:$A$11,0))</f>
        <v>Investment Grade</v>
      </c>
    </row>
    <row r="186" spans="1:36" x14ac:dyDescent="0.3">
      <c r="A186" s="3" t="s">
        <v>293</v>
      </c>
      <c r="B186" s="3" t="s">
        <v>294</v>
      </c>
      <c r="C186" s="3" t="s">
        <v>295</v>
      </c>
      <c r="D186" s="3" t="s">
        <v>44</v>
      </c>
      <c r="E186" s="3" t="s">
        <v>296</v>
      </c>
      <c r="F186" s="3" t="s">
        <v>59</v>
      </c>
      <c r="G186" s="3">
        <v>1.340914312</v>
      </c>
      <c r="H186" s="3">
        <v>0.52883069100000002</v>
      </c>
      <c r="I186" s="3">
        <v>0.24971284199999999</v>
      </c>
      <c r="J186" s="3">
        <v>21.114071670000001</v>
      </c>
      <c r="K186" s="3">
        <v>-0.232468335</v>
      </c>
      <c r="L186" s="3">
        <v>-9.1288229999999998E-2</v>
      </c>
      <c r="M186" s="3">
        <v>9.8702501999999998E-2</v>
      </c>
      <c r="N186" s="3">
        <v>-9.1288229999999998E-2</v>
      </c>
      <c r="O186" s="3">
        <v>-0.33069654999999998</v>
      </c>
      <c r="P186" s="3">
        <v>-0.24889450399999999</v>
      </c>
      <c r="Q186" s="3">
        <v>0.90936555900000005</v>
      </c>
      <c r="R186" s="3">
        <v>1.422544496</v>
      </c>
      <c r="S186" s="3">
        <v>7.8</v>
      </c>
      <c r="T186" s="3">
        <v>-3.7498489429999999</v>
      </c>
      <c r="U186" s="3">
        <v>1.3636563390000001</v>
      </c>
      <c r="V186" s="3">
        <v>-1.505922166</v>
      </c>
      <c r="W186" s="3">
        <v>0.47049180299999999</v>
      </c>
      <c r="X186" s="3">
        <v>4.1534008680000003</v>
      </c>
      <c r="Y186" s="3">
        <v>22.47467438</v>
      </c>
      <c r="Z186" s="3">
        <v>-2.7498489429999999</v>
      </c>
      <c r="AA186" s="3">
        <v>-9.1288229999999998E-2</v>
      </c>
      <c r="AB186" s="3">
        <v>-6.2660897909999997</v>
      </c>
      <c r="AC186" s="3">
        <v>8.8277858180000006</v>
      </c>
      <c r="AD186" s="3">
        <v>4.7111523000000002E-2</v>
      </c>
      <c r="AE186" s="3">
        <v>6.921708185</v>
      </c>
      <c r="AF186" s="4">
        <v>41127</v>
      </c>
      <c r="AG186" s="5">
        <f>YEAR(AF186)</f>
        <v>2012</v>
      </c>
      <c r="AH186" s="5" t="str">
        <f>"Q"&amp;ROUNDUP(MONTH(AF186)/3,0)</f>
        <v>Q3</v>
      </c>
      <c r="AI186" s="5">
        <f>INDEX(RatingLookup!$B$2:$B$11,MATCH(A186,RatingLookup!$A$2:$A$11,0))</f>
        <v>3</v>
      </c>
      <c r="AJ186" s="5" t="str">
        <f>INDEX(RatingLookup!$C$2:$C$11,MATCH(A186,RatingLookup!$A$2:$A$11,0))</f>
        <v>Speculative Grade</v>
      </c>
    </row>
    <row r="187" spans="1:36" x14ac:dyDescent="0.3">
      <c r="A187" s="3" t="s">
        <v>116</v>
      </c>
      <c r="B187" s="3" t="s">
        <v>294</v>
      </c>
      <c r="C187" s="3" t="s">
        <v>295</v>
      </c>
      <c r="D187" s="3" t="s">
        <v>39</v>
      </c>
      <c r="E187" s="3" t="s">
        <v>297</v>
      </c>
      <c r="F187" s="3" t="s">
        <v>59</v>
      </c>
      <c r="G187" s="3">
        <v>1.281154659</v>
      </c>
      <c r="H187" s="3">
        <v>0.54494250200000005</v>
      </c>
      <c r="I187" s="3">
        <v>0.177188453</v>
      </c>
      <c r="J187" s="3">
        <v>24.96566125</v>
      </c>
      <c r="K187" s="3">
        <v>-8.3341067000000005E-2</v>
      </c>
      <c r="L187" s="3">
        <v>-9.0394431999999997E-2</v>
      </c>
      <c r="M187" s="3">
        <v>9.4106729E-2</v>
      </c>
      <c r="N187" s="3">
        <v>-9.0394431999999997E-2</v>
      </c>
      <c r="O187" s="3">
        <v>-0.107997595</v>
      </c>
      <c r="P187" s="3">
        <v>-0.24025653699999999</v>
      </c>
      <c r="Q187" s="3">
        <v>0.24609481999999999</v>
      </c>
      <c r="R187" s="3">
        <v>1.2958508719999999</v>
      </c>
      <c r="S187" s="3">
        <v>6.1889718550000001</v>
      </c>
      <c r="T187" s="3">
        <v>-3.2787064950000002</v>
      </c>
      <c r="U187" s="3">
        <v>1.43884546</v>
      </c>
      <c r="V187" s="3">
        <v>0.175564682</v>
      </c>
      <c r="W187" s="3">
        <v>-0.67</v>
      </c>
      <c r="X187" s="3">
        <v>-0.83333333300000001</v>
      </c>
      <c r="Y187" s="3">
        <v>19.713930349999998</v>
      </c>
      <c r="Z187" s="3">
        <v>-2.2787064950000002</v>
      </c>
      <c r="AA187" s="3">
        <v>-9.0394431999999997E-2</v>
      </c>
      <c r="AB187" s="3">
        <v>-15.122552000000001</v>
      </c>
      <c r="AC187" s="3">
        <v>1.2437810949999999</v>
      </c>
      <c r="AD187" s="3">
        <v>9.2807419999999998E-3</v>
      </c>
      <c r="AE187" s="3">
        <v>6.4986684419999996</v>
      </c>
      <c r="AF187" s="4">
        <v>41624</v>
      </c>
      <c r="AG187" s="5">
        <f>YEAR(AF187)</f>
        <v>2013</v>
      </c>
      <c r="AH187" s="5" t="str">
        <f>"Q"&amp;ROUNDUP(MONTH(AF187)/3,0)</f>
        <v>Q4</v>
      </c>
      <c r="AI187" s="5">
        <f>INDEX(RatingLookup!$B$2:$B$11,MATCH(A187,RatingLookup!$A$2:$A$11,0))</f>
        <v>4</v>
      </c>
      <c r="AJ187" s="5" t="str">
        <f>INDEX(RatingLookup!$C$2:$C$11,MATCH(A187,RatingLookup!$A$2:$A$11,0))</f>
        <v>Speculative Grade</v>
      </c>
    </row>
    <row r="188" spans="1:36" x14ac:dyDescent="0.3">
      <c r="A188" s="3" t="s">
        <v>92</v>
      </c>
      <c r="B188" s="3" t="s">
        <v>294</v>
      </c>
      <c r="C188" s="3" t="s">
        <v>295</v>
      </c>
      <c r="D188" s="3" t="s">
        <v>44</v>
      </c>
      <c r="E188" s="3" t="s">
        <v>46</v>
      </c>
      <c r="F188" s="3" t="s">
        <v>59</v>
      </c>
      <c r="G188" s="3">
        <v>1.5079199670000001</v>
      </c>
      <c r="H188" s="3">
        <v>0.51604835299999996</v>
      </c>
      <c r="I188" s="3">
        <v>0.11233847399999999</v>
      </c>
      <c r="J188" s="3">
        <v>31.876701529999998</v>
      </c>
      <c r="K188" s="3">
        <v>0.123441754</v>
      </c>
      <c r="L188" s="3">
        <v>2.2925920999999998E-2</v>
      </c>
      <c r="M188" s="3">
        <v>0.193150881</v>
      </c>
      <c r="N188" s="3">
        <v>2.2925920999999998E-2</v>
      </c>
      <c r="O188" s="3">
        <v>0.14018387400000001</v>
      </c>
      <c r="P188" s="3">
        <v>4.2706526000000002E-2</v>
      </c>
      <c r="Q188" s="3">
        <v>-63.814814810000001</v>
      </c>
      <c r="R188" s="3">
        <v>1.1356276949999999</v>
      </c>
      <c r="S188" s="3">
        <v>8.8904458599999998</v>
      </c>
      <c r="T188" s="3">
        <v>-456.22222219999998</v>
      </c>
      <c r="U188" s="3">
        <v>1.002196729</v>
      </c>
      <c r="V188" s="3">
        <v>-4.5562500000000004</v>
      </c>
      <c r="W188" s="3">
        <v>0.48295454500000001</v>
      </c>
      <c r="X188" s="3">
        <v>5.8379120880000004</v>
      </c>
      <c r="Y188" s="3">
        <v>17.266483520000001</v>
      </c>
      <c r="Z188" s="3">
        <v>-455.22222219999998</v>
      </c>
      <c r="AA188" s="3">
        <v>2.2925920999999998E-2</v>
      </c>
      <c r="AB188" s="3">
        <v>10.15512139</v>
      </c>
      <c r="AC188" s="3">
        <v>12.08791209</v>
      </c>
      <c r="AD188" s="3">
        <v>6.3046281999999995E-2</v>
      </c>
      <c r="AE188" s="3">
        <v>5.3072573040000002</v>
      </c>
      <c r="AF188" s="4">
        <v>41075</v>
      </c>
      <c r="AG188" s="5">
        <f>YEAR(AF188)</f>
        <v>2012</v>
      </c>
      <c r="AH188" s="5" t="str">
        <f>"Q"&amp;ROUNDUP(MONTH(AF188)/3,0)</f>
        <v>Q2</v>
      </c>
      <c r="AI188" s="5">
        <f>INDEX(RatingLookup!$B$2:$B$11,MATCH(A188,RatingLookup!$A$2:$A$11,0))</f>
        <v>6</v>
      </c>
      <c r="AJ188" s="5" t="str">
        <f>INDEX(RatingLookup!$C$2:$C$11,MATCH(A188,RatingLookup!$A$2:$A$11,0))</f>
        <v>Speculative Grade</v>
      </c>
    </row>
    <row r="189" spans="1:36" x14ac:dyDescent="0.3">
      <c r="A189" s="3" t="s">
        <v>109</v>
      </c>
      <c r="B189" s="3" t="s">
        <v>294</v>
      </c>
      <c r="C189" s="3" t="s">
        <v>295</v>
      </c>
      <c r="D189" s="3" t="s">
        <v>39</v>
      </c>
      <c r="E189" s="3" t="s">
        <v>298</v>
      </c>
      <c r="F189" s="3" t="s">
        <v>59</v>
      </c>
      <c r="G189" s="3">
        <v>1.2201689550000001</v>
      </c>
      <c r="H189" s="3">
        <v>0.39598732800000003</v>
      </c>
      <c r="I189" s="3">
        <v>0.24076029600000001</v>
      </c>
      <c r="J189" s="3">
        <v>15.44230769</v>
      </c>
      <c r="K189" s="3">
        <v>-1.8145957000000001E-2</v>
      </c>
      <c r="L189" s="3">
        <v>-1.0157790999999999E-2</v>
      </c>
      <c r="M189" s="3">
        <v>0.14497041399999999</v>
      </c>
      <c r="N189" s="3">
        <v>-1.0157790999999999E-2</v>
      </c>
      <c r="O189" s="3">
        <v>-2.7495517000000001E-2</v>
      </c>
      <c r="P189" s="3">
        <v>-3.5468319999999998E-2</v>
      </c>
      <c r="Q189" s="3">
        <v>3.5610606000000003E-2</v>
      </c>
      <c r="R189" s="3">
        <v>1.5152420799999999</v>
      </c>
      <c r="S189" s="3">
        <v>7.5390334570000004</v>
      </c>
      <c r="T189" s="3">
        <v>-2.295142249</v>
      </c>
      <c r="U189" s="3">
        <v>1.772115959</v>
      </c>
      <c r="V189" s="3">
        <v>-0.49514563099999997</v>
      </c>
      <c r="W189" s="3">
        <v>-1.5869565219999999</v>
      </c>
      <c r="X189" s="3">
        <v>-0.89460784299999996</v>
      </c>
      <c r="Y189" s="3">
        <v>13.125</v>
      </c>
      <c r="Z189" s="3">
        <v>-1.295142249</v>
      </c>
      <c r="AA189" s="3">
        <v>-1.0157790999999999E-2</v>
      </c>
      <c r="AB189" s="3">
        <v>25.907051160000002</v>
      </c>
      <c r="AC189" s="3">
        <v>0.56372549000000005</v>
      </c>
      <c r="AD189" s="3">
        <v>4.5364890000000003E-3</v>
      </c>
      <c r="AE189" s="3">
        <v>6.6641045349999999</v>
      </c>
      <c r="AF189" s="4">
        <v>42264</v>
      </c>
      <c r="AG189" s="5">
        <f>YEAR(AF189)</f>
        <v>2015</v>
      </c>
      <c r="AH189" s="5" t="str">
        <f>"Q"&amp;ROUNDUP(MONTH(AF189)/3,0)</f>
        <v>Q3</v>
      </c>
      <c r="AI189" s="5">
        <f>INDEX(RatingLookup!$B$2:$B$11,MATCH(A189,RatingLookup!$A$2:$A$11,0))</f>
        <v>5</v>
      </c>
      <c r="AJ189" s="5" t="str">
        <f>INDEX(RatingLookup!$C$2:$C$11,MATCH(A189,RatingLookup!$A$2:$A$11,0))</f>
        <v>Speculative Grade</v>
      </c>
    </row>
    <row r="190" spans="1:36" x14ac:dyDescent="0.3">
      <c r="A190" s="3" t="s">
        <v>109</v>
      </c>
      <c r="B190" s="3" t="s">
        <v>294</v>
      </c>
      <c r="C190" s="3" t="s">
        <v>295</v>
      </c>
      <c r="D190" s="3" t="s">
        <v>39</v>
      </c>
      <c r="E190" s="3" t="s">
        <v>299</v>
      </c>
      <c r="F190" s="3" t="s">
        <v>59</v>
      </c>
      <c r="G190" s="3">
        <v>1.184826282</v>
      </c>
      <c r="H190" s="3">
        <v>0.39116048199999998</v>
      </c>
      <c r="I190" s="3">
        <v>0.11746632</v>
      </c>
      <c r="J190" s="3">
        <v>18.67897464</v>
      </c>
      <c r="K190" s="3">
        <v>-5.7282990999999998E-2</v>
      </c>
      <c r="L190" s="3">
        <v>-5.1452896999999997E-2</v>
      </c>
      <c r="M190" s="3">
        <v>0.117712382</v>
      </c>
      <c r="N190" s="3">
        <v>-5.1452896999999997E-2</v>
      </c>
      <c r="O190" s="3">
        <v>-8.3165390000000006E-2</v>
      </c>
      <c r="P190" s="3">
        <v>-0.17310087199999999</v>
      </c>
      <c r="Q190" s="3">
        <v>0.133003868</v>
      </c>
      <c r="R190" s="3">
        <v>1.451833938</v>
      </c>
      <c r="S190" s="3">
        <v>6.9180537769999999</v>
      </c>
      <c r="T190" s="3">
        <v>-2.5992694460000001</v>
      </c>
      <c r="U190" s="3">
        <v>1.625285503</v>
      </c>
      <c r="V190" s="3">
        <v>-4.676259E-2</v>
      </c>
      <c r="W190" s="3">
        <v>1.2619047619999999</v>
      </c>
      <c r="X190" s="3">
        <v>-5.2088452089999997</v>
      </c>
      <c r="Y190" s="3">
        <v>13.538083540000001</v>
      </c>
      <c r="Z190" s="3">
        <v>-1.5992694460000001</v>
      </c>
      <c r="AA190" s="3">
        <v>-5.1452896999999997E-2</v>
      </c>
      <c r="AB190" s="3">
        <v>-43.66354286</v>
      </c>
      <c r="AC190" s="3">
        <v>-4.1277641279999999</v>
      </c>
      <c r="AD190" s="3">
        <v>-3.1093836999999999E-2</v>
      </c>
      <c r="AE190" s="3">
        <v>6.0959079279999999</v>
      </c>
      <c r="AF190" s="4">
        <v>41829</v>
      </c>
      <c r="AG190" s="5">
        <f>YEAR(AF190)</f>
        <v>2014</v>
      </c>
      <c r="AH190" s="5" t="str">
        <f>"Q"&amp;ROUNDUP(MONTH(AF190)/3,0)</f>
        <v>Q3</v>
      </c>
      <c r="AI190" s="5">
        <f>INDEX(RatingLookup!$B$2:$B$11,MATCH(A190,RatingLookup!$A$2:$A$11,0))</f>
        <v>5</v>
      </c>
      <c r="AJ190" s="5" t="str">
        <f>INDEX(RatingLookup!$C$2:$C$11,MATCH(A190,RatingLookup!$A$2:$A$11,0))</f>
        <v>Speculative Grade</v>
      </c>
    </row>
    <row r="191" spans="1:36" x14ac:dyDescent="0.3">
      <c r="A191" s="3" t="s">
        <v>92</v>
      </c>
      <c r="B191" s="3" t="s">
        <v>300</v>
      </c>
      <c r="C191" s="3" t="s">
        <v>301</v>
      </c>
      <c r="D191" s="3" t="s">
        <v>47</v>
      </c>
      <c r="E191" s="3" t="s">
        <v>302</v>
      </c>
      <c r="F191" s="3" t="s">
        <v>219</v>
      </c>
      <c r="G191" s="3">
        <v>1.26543987</v>
      </c>
      <c r="H191" s="3">
        <v>0.78450829399999999</v>
      </c>
      <c r="I191" s="3">
        <v>0.36744668200000002</v>
      </c>
      <c r="J191" s="3">
        <v>53.458157800000002</v>
      </c>
      <c r="K191" s="3">
        <v>1.6149165E-2</v>
      </c>
      <c r="L191" s="3">
        <v>-1.2365424E-2</v>
      </c>
      <c r="M191" s="3">
        <v>0.33644094200000002</v>
      </c>
      <c r="N191" s="3">
        <v>7.8288344999999995E-2</v>
      </c>
      <c r="O191" s="3">
        <v>1.359725E-2</v>
      </c>
      <c r="P191" s="3">
        <v>-1.478223E-2</v>
      </c>
      <c r="Q191" s="3">
        <v>8.9410409999999996E-2</v>
      </c>
      <c r="R191" s="3">
        <v>0.84197849800000002</v>
      </c>
      <c r="S191" s="3">
        <v>6.7790215949999997</v>
      </c>
      <c r="T191" s="3">
        <v>5.5756245050000004</v>
      </c>
      <c r="U191" s="3">
        <v>0.84792319000000005</v>
      </c>
      <c r="V191" s="3">
        <v>-0.88328075699999997</v>
      </c>
      <c r="W191" s="3">
        <v>0.81434058899999995</v>
      </c>
      <c r="X191" s="3">
        <v>2.614594039</v>
      </c>
      <c r="Y191" s="3">
        <v>5.0996916749999999</v>
      </c>
      <c r="Z191" s="3">
        <v>6.5756245050000004</v>
      </c>
      <c r="AA191" s="3">
        <v>-1.2365424E-2</v>
      </c>
      <c r="AB191" s="3">
        <v>10.42891223</v>
      </c>
      <c r="AC191" s="3">
        <v>3.2106885919999999</v>
      </c>
      <c r="AD191" s="3">
        <v>8.1239923000000006E-2</v>
      </c>
      <c r="AE191" s="3">
        <v>9.7298379409999995</v>
      </c>
      <c r="AF191" s="4">
        <v>41618</v>
      </c>
      <c r="AG191" s="5">
        <f>YEAR(AF191)</f>
        <v>2013</v>
      </c>
      <c r="AH191" s="5" t="str">
        <f>"Q"&amp;ROUNDUP(MONTH(AF191)/3,0)</f>
        <v>Q4</v>
      </c>
      <c r="AI191" s="5">
        <f>INDEX(RatingLookup!$B$2:$B$11,MATCH(A191,RatingLookup!$A$2:$A$11,0))</f>
        <v>6</v>
      </c>
      <c r="AJ191" s="5" t="str">
        <f>INDEX(RatingLookup!$C$2:$C$11,MATCH(A191,RatingLookup!$A$2:$A$11,0))</f>
        <v>Speculative Grade</v>
      </c>
    </row>
    <row r="192" spans="1:36" x14ac:dyDescent="0.3">
      <c r="A192" s="3" t="s">
        <v>92</v>
      </c>
      <c r="B192" s="3" t="s">
        <v>300</v>
      </c>
      <c r="C192" s="3" t="s">
        <v>301</v>
      </c>
      <c r="D192" s="3" t="s">
        <v>47</v>
      </c>
      <c r="E192" s="3" t="s">
        <v>303</v>
      </c>
      <c r="F192" s="3" t="s">
        <v>219</v>
      </c>
      <c r="G192" s="3">
        <v>1.3688273550000001</v>
      </c>
      <c r="H192" s="3">
        <v>0.88432976699999999</v>
      </c>
      <c r="I192" s="3">
        <v>0.30325152100000002</v>
      </c>
      <c r="J192" s="3">
        <v>89.617791490000002</v>
      </c>
      <c r="K192" s="3">
        <v>2.6431952000000002E-2</v>
      </c>
      <c r="L192" s="3">
        <v>3.8309490000000002E-2</v>
      </c>
      <c r="M192" s="3">
        <v>0.29094648000000001</v>
      </c>
      <c r="N192" s="3">
        <v>7.9313585000000006E-2</v>
      </c>
      <c r="O192" s="3">
        <v>1.2968939000000001E-2</v>
      </c>
      <c r="P192" s="3">
        <v>2.3712856000000001E-2</v>
      </c>
      <c r="Q192" s="3">
        <v>5.0414200999999999E-2</v>
      </c>
      <c r="R192" s="3">
        <v>0.49065384000000001</v>
      </c>
      <c r="S192" s="3">
        <v>4.2666212840000002</v>
      </c>
      <c r="T192" s="3">
        <v>2.8873034660000001</v>
      </c>
      <c r="U192" s="3">
        <v>0.74275226800000005</v>
      </c>
      <c r="V192" s="3">
        <v>0.31004164699999998</v>
      </c>
      <c r="W192" s="3">
        <v>0.682478959</v>
      </c>
      <c r="X192" s="3">
        <v>1.6023952100000001</v>
      </c>
      <c r="Y192" s="3">
        <v>4.3281437130000002</v>
      </c>
      <c r="Z192" s="3">
        <v>3.8873034660000001</v>
      </c>
      <c r="AA192" s="3">
        <v>3.8309490000000002E-2</v>
      </c>
      <c r="AB192" s="3">
        <v>11.776550329999999</v>
      </c>
      <c r="AC192" s="3">
        <v>2.3479041920000001</v>
      </c>
      <c r="AD192" s="3">
        <v>6.9510185000000002E-2</v>
      </c>
      <c r="AE192" s="3">
        <v>6.4615508889999997</v>
      </c>
      <c r="AF192" s="4">
        <v>40767</v>
      </c>
      <c r="AG192" s="5">
        <f>YEAR(AF192)</f>
        <v>2011</v>
      </c>
      <c r="AH192" s="5" t="str">
        <f>"Q"&amp;ROUNDUP(MONTH(AF192)/3,0)</f>
        <v>Q3</v>
      </c>
      <c r="AI192" s="5">
        <f>INDEX(RatingLookup!$B$2:$B$11,MATCH(A192,RatingLookup!$A$2:$A$11,0))</f>
        <v>6</v>
      </c>
      <c r="AJ192" s="5" t="str">
        <f>INDEX(RatingLookup!$C$2:$C$11,MATCH(A192,RatingLookup!$A$2:$A$11,0))</f>
        <v>Speculative Grade</v>
      </c>
    </row>
    <row r="193" spans="1:36" x14ac:dyDescent="0.3">
      <c r="A193" s="3" t="s">
        <v>109</v>
      </c>
      <c r="B193" s="3" t="s">
        <v>300</v>
      </c>
      <c r="C193" s="3" t="s">
        <v>301</v>
      </c>
      <c r="D193" s="3" t="s">
        <v>60</v>
      </c>
      <c r="E193" s="3" t="s">
        <v>304</v>
      </c>
      <c r="F193" s="3" t="s">
        <v>219</v>
      </c>
      <c r="G193" s="3">
        <v>1.5550291759999999</v>
      </c>
      <c r="H193" s="3">
        <v>0.76538217099999994</v>
      </c>
      <c r="I193" s="3">
        <v>0.186377029</v>
      </c>
      <c r="J193" s="3">
        <v>47.197342110000001</v>
      </c>
      <c r="K193" s="3">
        <v>3.3301076999999998E-2</v>
      </c>
      <c r="L193" s="3">
        <v>-8.0252889999999997E-3</v>
      </c>
      <c r="M193" s="3">
        <v>0.346764725</v>
      </c>
      <c r="N193" s="3">
        <v>8.4330042999999993E-2</v>
      </c>
      <c r="O193" s="3">
        <v>3.2095204000000002E-2</v>
      </c>
      <c r="P193" s="3">
        <v>-9.8561199999999995E-3</v>
      </c>
      <c r="Q193" s="3">
        <v>0.22196422399999999</v>
      </c>
      <c r="R193" s="3">
        <v>0.96378875100000005</v>
      </c>
      <c r="S193" s="3">
        <v>7.8035642369999998</v>
      </c>
      <c r="T193" s="3">
        <v>5.9158066739999997</v>
      </c>
      <c r="U193" s="3">
        <v>0.85540370799999998</v>
      </c>
      <c r="V193" s="3">
        <v>-0.14630225099999999</v>
      </c>
      <c r="W193" s="3">
        <v>1.762258544</v>
      </c>
      <c r="X193" s="3">
        <v>-1.6942857140000001</v>
      </c>
      <c r="Y193" s="3">
        <v>1.536190476</v>
      </c>
      <c r="Z193" s="3">
        <v>6.9158066739999997</v>
      </c>
      <c r="AA193" s="3">
        <v>-8.0252889999999997E-3</v>
      </c>
      <c r="AB193" s="3">
        <v>13.46220302</v>
      </c>
      <c r="AC193" s="3">
        <v>-0.96142857100000001</v>
      </c>
      <c r="AD193" s="3">
        <v>-2.6049932000000001E-2</v>
      </c>
      <c r="AE193" s="3">
        <v>7.9268827310000001</v>
      </c>
      <c r="AF193" s="4">
        <v>42163</v>
      </c>
      <c r="AG193" s="5">
        <f>YEAR(AF193)</f>
        <v>2015</v>
      </c>
      <c r="AH193" s="5" t="str">
        <f>"Q"&amp;ROUNDUP(MONTH(AF193)/3,0)</f>
        <v>Q2</v>
      </c>
      <c r="AI193" s="5">
        <f>INDEX(RatingLookup!$B$2:$B$11,MATCH(A193,RatingLookup!$A$2:$A$11,0))</f>
        <v>5</v>
      </c>
      <c r="AJ193" s="5" t="str">
        <f>INDEX(RatingLookup!$C$2:$C$11,MATCH(A193,RatingLookup!$A$2:$A$11,0))</f>
        <v>Speculative Grade</v>
      </c>
    </row>
    <row r="194" spans="1:36" x14ac:dyDescent="0.3">
      <c r="A194" s="3" t="s">
        <v>42</v>
      </c>
      <c r="B194" s="3" t="s">
        <v>300</v>
      </c>
      <c r="C194" s="3" t="s">
        <v>301</v>
      </c>
      <c r="D194" s="3" t="s">
        <v>60</v>
      </c>
      <c r="E194" s="3" t="s">
        <v>305</v>
      </c>
      <c r="F194" s="3" t="s">
        <v>219</v>
      </c>
      <c r="G194" s="3">
        <v>1.2260527919999999</v>
      </c>
      <c r="H194" s="3">
        <v>0.61800675100000002</v>
      </c>
      <c r="I194" s="3">
        <v>0.19832881399999999</v>
      </c>
      <c r="J194" s="3">
        <v>39.36798692</v>
      </c>
      <c r="K194" s="3">
        <v>4.7699637000000003E-2</v>
      </c>
      <c r="L194" s="3">
        <v>6.0570290999999998E-2</v>
      </c>
      <c r="M194" s="3">
        <v>0.36785892100000001</v>
      </c>
      <c r="N194" s="3">
        <v>0.108568584</v>
      </c>
      <c r="O194" s="3">
        <v>4.5165634000000003E-2</v>
      </c>
      <c r="P194" s="3">
        <v>7.5797753999999995E-2</v>
      </c>
      <c r="Q194" s="3">
        <v>0.63631189499999996</v>
      </c>
      <c r="R194" s="3">
        <v>0.94687584199999997</v>
      </c>
      <c r="S194" s="3">
        <v>7.5550660790000004</v>
      </c>
      <c r="T194" s="3">
        <v>13.08840827</v>
      </c>
      <c r="U194" s="3">
        <v>0.929019661</v>
      </c>
      <c r="V194" s="3">
        <v>0.21249119499999999</v>
      </c>
      <c r="W194" s="3">
        <v>0.80985842699999999</v>
      </c>
      <c r="X194" s="3">
        <v>3.8435507599999998</v>
      </c>
      <c r="Y194" s="3">
        <v>1.757724375</v>
      </c>
      <c r="Z194" s="3">
        <v>14.08840827</v>
      </c>
      <c r="AA194" s="3">
        <v>6.0570290999999998E-2</v>
      </c>
      <c r="AB194" s="3">
        <v>12.547319549999999</v>
      </c>
      <c r="AC194" s="3">
        <v>4.7459538989999999</v>
      </c>
      <c r="AD194" s="3">
        <v>0.13762355100000001</v>
      </c>
      <c r="AE194" s="3">
        <v>6.5821116540000002</v>
      </c>
      <c r="AF194" s="4">
        <v>42529</v>
      </c>
      <c r="AG194" s="5">
        <f>YEAR(AF194)</f>
        <v>2016</v>
      </c>
      <c r="AH194" s="5" t="str">
        <f>"Q"&amp;ROUNDUP(MONTH(AF194)/3,0)</f>
        <v>Q2</v>
      </c>
      <c r="AI194" s="5">
        <f>INDEX(RatingLookup!$B$2:$B$11,MATCH(A194,RatingLookup!$A$2:$A$11,0))</f>
        <v>7</v>
      </c>
      <c r="AJ194" s="5" t="str">
        <f>INDEX(RatingLookup!$C$2:$C$11,MATCH(A194,RatingLookup!$A$2:$A$11,0))</f>
        <v>Investment Grade</v>
      </c>
    </row>
    <row r="195" spans="1:36" x14ac:dyDescent="0.3">
      <c r="A195" s="3" t="s">
        <v>92</v>
      </c>
      <c r="B195" s="3" t="s">
        <v>300</v>
      </c>
      <c r="C195" s="3" t="s">
        <v>301</v>
      </c>
      <c r="D195" s="3" t="s">
        <v>47</v>
      </c>
      <c r="E195" s="3" t="s">
        <v>306</v>
      </c>
      <c r="F195" s="3" t="s">
        <v>219</v>
      </c>
      <c r="G195" s="3">
        <v>1.409131726</v>
      </c>
      <c r="H195" s="3">
        <v>0.94812461100000001</v>
      </c>
      <c r="I195" s="3">
        <v>0.46667127200000003</v>
      </c>
      <c r="J195" s="3">
        <v>56.659094449999998</v>
      </c>
      <c r="K195" s="3">
        <v>5.6992049000000003E-2</v>
      </c>
      <c r="L195" s="3">
        <v>7.6479365999999993E-2</v>
      </c>
      <c r="M195" s="3">
        <v>0.27901383000000002</v>
      </c>
      <c r="N195" s="3">
        <v>0.119151021</v>
      </c>
      <c r="O195" s="3">
        <v>4.7394155E-2</v>
      </c>
      <c r="P195" s="3">
        <v>8.6899308999999994E-2</v>
      </c>
      <c r="Q195" s="3">
        <v>0.106421026</v>
      </c>
      <c r="R195" s="3">
        <v>0.83159239900000004</v>
      </c>
      <c r="S195" s="3">
        <v>4.7348940209999997</v>
      </c>
      <c r="T195" s="3">
        <v>1.245446228</v>
      </c>
      <c r="U195" s="3">
        <v>0.55465422099999995</v>
      </c>
      <c r="V195" s="3">
        <v>0.25480489200000001</v>
      </c>
      <c r="W195" s="3">
        <v>0.81867108300000002</v>
      </c>
      <c r="X195" s="3">
        <v>2.4984207199999999</v>
      </c>
      <c r="Y195" s="3">
        <v>4.2678458619999997</v>
      </c>
      <c r="Z195" s="3">
        <v>2.245446228</v>
      </c>
      <c r="AA195" s="3">
        <v>7.6479365999999993E-2</v>
      </c>
      <c r="AB195" s="3">
        <v>7.1553543529999999</v>
      </c>
      <c r="AC195" s="3">
        <v>3.0518003789999999</v>
      </c>
      <c r="AD195" s="3">
        <v>0.107592259</v>
      </c>
      <c r="AE195" s="3">
        <v>13.95387931</v>
      </c>
      <c r="AF195" s="4">
        <v>40695</v>
      </c>
      <c r="AG195" s="5">
        <f>YEAR(AF195)</f>
        <v>2011</v>
      </c>
      <c r="AH195" s="5" t="str">
        <f>"Q"&amp;ROUNDUP(MONTH(AF195)/3,0)</f>
        <v>Q2</v>
      </c>
      <c r="AI195" s="5">
        <f>INDEX(RatingLookup!$B$2:$B$11,MATCH(A195,RatingLookup!$A$2:$A$11,0))</f>
        <v>6</v>
      </c>
      <c r="AJ195" s="5" t="str">
        <f>INDEX(RatingLookup!$C$2:$C$11,MATCH(A195,RatingLookup!$A$2:$A$11,0))</f>
        <v>Speculative Grade</v>
      </c>
    </row>
    <row r="196" spans="1:36" x14ac:dyDescent="0.3">
      <c r="A196" s="3" t="s">
        <v>42</v>
      </c>
      <c r="B196" s="3" t="s">
        <v>307</v>
      </c>
      <c r="C196" s="3" t="s">
        <v>308</v>
      </c>
      <c r="D196" s="3" t="s">
        <v>60</v>
      </c>
      <c r="E196" s="3" t="s">
        <v>309</v>
      </c>
      <c r="F196" s="3" t="s">
        <v>113</v>
      </c>
      <c r="G196" s="3">
        <v>2.9849212700000001</v>
      </c>
      <c r="H196" s="3">
        <v>1.9105951430000001</v>
      </c>
      <c r="I196" s="3">
        <v>1.0406992260000001</v>
      </c>
      <c r="J196" s="3">
        <v>67.219475680000002</v>
      </c>
      <c r="K196" s="3">
        <v>0.124837561</v>
      </c>
      <c r="L196" s="3">
        <v>0.171676366</v>
      </c>
      <c r="M196" s="3">
        <v>0.41022091599999999</v>
      </c>
      <c r="N196" s="3">
        <v>0.161421549</v>
      </c>
      <c r="O196" s="3">
        <v>8.2585781999999996E-2</v>
      </c>
      <c r="P196" s="3">
        <v>8.8473072999999999E-2</v>
      </c>
      <c r="Q196" s="3">
        <v>0.18944525400000001</v>
      </c>
      <c r="R196" s="3">
        <v>0.66154593699999997</v>
      </c>
      <c r="S196" s="3">
        <v>5.1948928680000002</v>
      </c>
      <c r="T196" s="3">
        <v>1.2939209469999999</v>
      </c>
      <c r="U196" s="3">
        <v>0.56406518699999997</v>
      </c>
      <c r="V196" s="3">
        <v>0.272831989</v>
      </c>
      <c r="W196" s="3">
        <v>0.72896352499999995</v>
      </c>
      <c r="X196" s="3">
        <v>4.2928965129999996</v>
      </c>
      <c r="Y196" s="3">
        <v>8.2933613840000007</v>
      </c>
      <c r="Z196" s="3">
        <v>2.2939209470000002</v>
      </c>
      <c r="AA196" s="3">
        <v>0.115006498</v>
      </c>
      <c r="AB196" s="3">
        <v>14.65212801</v>
      </c>
      <c r="AC196" s="3">
        <v>5.8890415880000004</v>
      </c>
      <c r="AD196" s="3">
        <v>0.15644951700000001</v>
      </c>
      <c r="AE196" s="3">
        <v>5.9157068060000002</v>
      </c>
      <c r="AF196" s="4">
        <v>41583</v>
      </c>
      <c r="AG196" s="5">
        <f>YEAR(AF196)</f>
        <v>2013</v>
      </c>
      <c r="AH196" s="5" t="str">
        <f>"Q"&amp;ROUNDUP(MONTH(AF196)/3,0)</f>
        <v>Q4</v>
      </c>
      <c r="AI196" s="5">
        <f>INDEX(RatingLookup!$B$2:$B$11,MATCH(A196,RatingLookup!$A$2:$A$11,0))</f>
        <v>7</v>
      </c>
      <c r="AJ196" s="5" t="str">
        <f>INDEX(RatingLookup!$C$2:$C$11,MATCH(A196,RatingLookup!$A$2:$A$11,0))</f>
        <v>Investment Grade</v>
      </c>
    </row>
    <row r="197" spans="1:36" x14ac:dyDescent="0.3">
      <c r="A197" s="3" t="s">
        <v>42</v>
      </c>
      <c r="B197" s="3" t="s">
        <v>307</v>
      </c>
      <c r="C197" s="3" t="s">
        <v>308</v>
      </c>
      <c r="D197" s="3" t="s">
        <v>60</v>
      </c>
      <c r="E197" s="3" t="s">
        <v>310</v>
      </c>
      <c r="F197" s="3" t="s">
        <v>113</v>
      </c>
      <c r="G197" s="3">
        <v>2.751493795</v>
      </c>
      <c r="H197" s="3">
        <v>1.800367703</v>
      </c>
      <c r="I197" s="3">
        <v>0.92308870799999998</v>
      </c>
      <c r="J197" s="3">
        <v>65.863796800000003</v>
      </c>
      <c r="K197" s="3">
        <v>0.12655993900000001</v>
      </c>
      <c r="L197" s="3">
        <v>0.16406151499999999</v>
      </c>
      <c r="M197" s="3">
        <v>0.403378293</v>
      </c>
      <c r="N197" s="3">
        <v>0.21401109300000001</v>
      </c>
      <c r="O197" s="3">
        <v>9.9801192999999996E-2</v>
      </c>
      <c r="P197" s="3">
        <v>0.19977456800000001</v>
      </c>
      <c r="Q197" s="3">
        <v>0.216776422</v>
      </c>
      <c r="R197" s="3">
        <v>0.78856858799999996</v>
      </c>
      <c r="S197" s="3">
        <v>5.4861687410000002</v>
      </c>
      <c r="T197" s="3">
        <v>1.172082479</v>
      </c>
      <c r="U197" s="3">
        <v>0.53961232599999998</v>
      </c>
      <c r="V197" s="3">
        <v>0.22858240499999999</v>
      </c>
      <c r="W197" s="3">
        <v>0.534865602</v>
      </c>
      <c r="X197" s="3">
        <v>2.939433288</v>
      </c>
      <c r="Y197" s="3">
        <v>6.4494120749999997</v>
      </c>
      <c r="Z197" s="3">
        <v>2.1720824790000002</v>
      </c>
      <c r="AA197" s="3">
        <v>0.21224631299999999</v>
      </c>
      <c r="AB197" s="3">
        <v>14.61364519</v>
      </c>
      <c r="AC197" s="3">
        <v>5.4956483970000001</v>
      </c>
      <c r="AD197" s="3">
        <v>0.161792512</v>
      </c>
      <c r="AE197" s="3">
        <v>6.5480617710000004</v>
      </c>
      <c r="AF197" s="4">
        <v>41403</v>
      </c>
      <c r="AG197" s="5">
        <f>YEAR(AF197)</f>
        <v>2013</v>
      </c>
      <c r="AH197" s="5" t="str">
        <f>"Q"&amp;ROUNDUP(MONTH(AF197)/3,0)</f>
        <v>Q2</v>
      </c>
      <c r="AI197" s="5">
        <f>INDEX(RatingLookup!$B$2:$B$11,MATCH(A197,RatingLookup!$A$2:$A$11,0))</f>
        <v>7</v>
      </c>
      <c r="AJ197" s="5" t="str">
        <f>INDEX(RatingLookup!$C$2:$C$11,MATCH(A197,RatingLookup!$A$2:$A$11,0))</f>
        <v>Investment Grade</v>
      </c>
    </row>
    <row r="198" spans="1:36" x14ac:dyDescent="0.3">
      <c r="A198" s="3" t="s">
        <v>42</v>
      </c>
      <c r="B198" s="3" t="s">
        <v>307</v>
      </c>
      <c r="C198" s="3" t="s">
        <v>308</v>
      </c>
      <c r="D198" s="3" t="s">
        <v>47</v>
      </c>
      <c r="E198" s="3" t="s">
        <v>311</v>
      </c>
      <c r="F198" s="3" t="s">
        <v>113</v>
      </c>
      <c r="G198" s="3">
        <v>2.3735926310000002</v>
      </c>
      <c r="H198" s="3">
        <v>1.619521727</v>
      </c>
      <c r="I198" s="3">
        <v>0.74392853800000003</v>
      </c>
      <c r="J198" s="3">
        <v>84.050310280000005</v>
      </c>
      <c r="K198" s="3">
        <v>5.0556541000000003E-2</v>
      </c>
      <c r="L198" s="3">
        <v>5.0556541000000003E-2</v>
      </c>
      <c r="M198" s="3">
        <v>0.35650610700000002</v>
      </c>
      <c r="N198" s="3">
        <v>0.13962765999999999</v>
      </c>
      <c r="O198" s="3">
        <v>1.4790853E-2</v>
      </c>
      <c r="P198" s="3">
        <v>1.6032174E-2</v>
      </c>
      <c r="Q198" s="3">
        <v>2.3616974999999998E-2</v>
      </c>
      <c r="R198" s="3">
        <v>0.29256062599999999</v>
      </c>
      <c r="S198" s="3">
        <v>5.2068213869999997</v>
      </c>
      <c r="T198" s="3">
        <v>0.59672836500000004</v>
      </c>
      <c r="U198" s="3">
        <v>0.37371939900000001</v>
      </c>
      <c r="V198" s="3">
        <v>0.32781295700000002</v>
      </c>
      <c r="W198" s="3">
        <v>0.75255948100000003</v>
      </c>
      <c r="X198" s="3">
        <v>4.5343179840000003</v>
      </c>
      <c r="Y198" s="3">
        <v>6.9973935709999999</v>
      </c>
      <c r="Z198" s="3">
        <v>1.5967283649999999</v>
      </c>
      <c r="AA198" s="3">
        <v>5.0556541000000003E-2</v>
      </c>
      <c r="AB198" s="3">
        <v>21.75135976</v>
      </c>
      <c r="AC198" s="3">
        <v>6.025195482</v>
      </c>
      <c r="AD198" s="3">
        <v>0.17077915699999999</v>
      </c>
      <c r="AE198" s="3">
        <v>7.1729343950000004</v>
      </c>
      <c r="AF198" s="4">
        <v>42103</v>
      </c>
      <c r="AG198" s="5">
        <f>YEAR(AF198)</f>
        <v>2015</v>
      </c>
      <c r="AH198" s="5" t="str">
        <f>"Q"&amp;ROUNDUP(MONTH(AF198)/3,0)</f>
        <v>Q2</v>
      </c>
      <c r="AI198" s="5">
        <f>INDEX(RatingLookup!$B$2:$B$11,MATCH(A198,RatingLookup!$A$2:$A$11,0))</f>
        <v>7</v>
      </c>
      <c r="AJ198" s="5" t="str">
        <f>INDEX(RatingLookup!$C$2:$C$11,MATCH(A198,RatingLookup!$A$2:$A$11,0))</f>
        <v>Investment Grade</v>
      </c>
    </row>
    <row r="199" spans="1:36" x14ac:dyDescent="0.3">
      <c r="A199" s="3" t="s">
        <v>36</v>
      </c>
      <c r="B199" s="3" t="s">
        <v>312</v>
      </c>
      <c r="C199" s="3" t="s">
        <v>313</v>
      </c>
      <c r="D199" s="3" t="s">
        <v>39</v>
      </c>
      <c r="E199" s="3" t="s">
        <v>314</v>
      </c>
      <c r="F199" s="3" t="s">
        <v>79</v>
      </c>
      <c r="G199" s="3">
        <v>0.90973766099999998</v>
      </c>
      <c r="H199" s="3">
        <v>0.27123165900000001</v>
      </c>
      <c r="I199" s="3">
        <v>2.2232100000000002E-3</v>
      </c>
      <c r="J199" s="3">
        <v>25.507186520000001</v>
      </c>
      <c r="K199" s="3">
        <v>9.6811497999999996E-2</v>
      </c>
      <c r="L199" s="3">
        <v>0.160251115</v>
      </c>
      <c r="M199" s="3">
        <v>1</v>
      </c>
      <c r="N199" s="3">
        <v>0.20716999799999999</v>
      </c>
      <c r="O199" s="3">
        <v>2.5842299999999999E-2</v>
      </c>
      <c r="P199" s="3">
        <v>4.7486170000000001E-2</v>
      </c>
      <c r="Q199" s="3">
        <v>8.7293310999999998E-2</v>
      </c>
      <c r="R199" s="3">
        <v>0.26693420400000001</v>
      </c>
      <c r="S199" s="3">
        <v>0.34739439900000002</v>
      </c>
      <c r="T199" s="3">
        <v>2.3779234319999998</v>
      </c>
      <c r="U199" s="3">
        <v>0.70396013400000002</v>
      </c>
      <c r="V199" s="3">
        <v>0.388659794</v>
      </c>
      <c r="W199" s="3">
        <v>-0.15087040600000001</v>
      </c>
      <c r="X199" s="3">
        <v>-0.96455070099999995</v>
      </c>
      <c r="Y199" s="3">
        <v>0.77081615800000003</v>
      </c>
      <c r="Z199" s="3">
        <v>3.3779234319999998</v>
      </c>
      <c r="AA199" s="3">
        <v>0.160251115</v>
      </c>
      <c r="AB199" s="3">
        <v>8.3308795359999994</v>
      </c>
      <c r="AC199" s="3">
        <v>6.3932399010000003</v>
      </c>
      <c r="AD199" s="3">
        <v>0.25623657700000002</v>
      </c>
      <c r="AE199" s="3">
        <v>0</v>
      </c>
      <c r="AF199" s="4">
        <v>42158</v>
      </c>
      <c r="AG199" s="5">
        <f>YEAR(AF199)</f>
        <v>2015</v>
      </c>
      <c r="AH199" s="5" t="str">
        <f>"Q"&amp;ROUNDUP(MONTH(AF199)/3,0)</f>
        <v>Q2</v>
      </c>
      <c r="AI199" s="5">
        <f>INDEX(RatingLookup!$B$2:$B$11,MATCH(A199,RatingLookup!$A$2:$A$11,0))</f>
        <v>8</v>
      </c>
      <c r="AJ199" s="5" t="str">
        <f>INDEX(RatingLookup!$C$2:$C$11,MATCH(A199,RatingLookup!$A$2:$A$11,0))</f>
        <v>Investment Grade</v>
      </c>
    </row>
    <row r="200" spans="1:36" x14ac:dyDescent="0.3">
      <c r="A200" s="3" t="s">
        <v>36</v>
      </c>
      <c r="B200" s="3" t="s">
        <v>312</v>
      </c>
      <c r="C200" s="3" t="s">
        <v>313</v>
      </c>
      <c r="D200" s="3" t="s">
        <v>39</v>
      </c>
      <c r="E200" s="3" t="s">
        <v>315</v>
      </c>
      <c r="F200" s="3" t="s">
        <v>79</v>
      </c>
      <c r="G200" s="3">
        <v>0.91591017699999999</v>
      </c>
      <c r="H200" s="3">
        <v>0.41519350199999999</v>
      </c>
      <c r="I200" s="3">
        <v>0.13951266100000001</v>
      </c>
      <c r="J200" s="3">
        <v>23.224007870000001</v>
      </c>
      <c r="K200" s="3">
        <v>0.103312561</v>
      </c>
      <c r="L200" s="3">
        <v>0.15546080700000001</v>
      </c>
      <c r="M200" s="3">
        <v>1</v>
      </c>
      <c r="N200" s="3">
        <v>0.20646113499999999</v>
      </c>
      <c r="O200" s="3">
        <v>2.6649745999999998E-2</v>
      </c>
      <c r="P200" s="3">
        <v>4.3996844E-2</v>
      </c>
      <c r="Q200" s="3">
        <v>9.0699683000000003E-2</v>
      </c>
      <c r="R200" s="3">
        <v>0.25795262299999999</v>
      </c>
      <c r="S200" s="3">
        <v>0.324378956</v>
      </c>
      <c r="T200" s="3">
        <v>2.403397639</v>
      </c>
      <c r="U200" s="3">
        <v>0.70617597300000001</v>
      </c>
      <c r="V200" s="3">
        <v>0.38291139200000002</v>
      </c>
      <c r="W200" s="3">
        <v>4.9578582000000003E-2</v>
      </c>
      <c r="X200" s="3">
        <v>0.41220115400000001</v>
      </c>
      <c r="Y200" s="3">
        <v>1.982687552</v>
      </c>
      <c r="Z200" s="3">
        <v>3.403397639</v>
      </c>
      <c r="AA200" s="3">
        <v>0.15546080700000001</v>
      </c>
      <c r="AB200" s="3">
        <v>8.2972584690000009</v>
      </c>
      <c r="AC200" s="3">
        <v>8.3140972790000003</v>
      </c>
      <c r="AD200" s="3">
        <v>0.33076418499999999</v>
      </c>
      <c r="AE200" s="3">
        <v>1.12998713</v>
      </c>
      <c r="AF200" s="4">
        <v>42338</v>
      </c>
      <c r="AG200" s="5">
        <f>YEAR(AF200)</f>
        <v>2015</v>
      </c>
      <c r="AH200" s="5" t="str">
        <f>"Q"&amp;ROUNDUP(MONTH(AF200)/3,0)</f>
        <v>Q4</v>
      </c>
      <c r="AI200" s="5">
        <f>INDEX(RatingLookup!$B$2:$B$11,MATCH(A200,RatingLookup!$A$2:$A$11,0))</f>
        <v>8</v>
      </c>
      <c r="AJ200" s="5" t="str">
        <f>INDEX(RatingLookup!$C$2:$C$11,MATCH(A200,RatingLookup!$A$2:$A$11,0))</f>
        <v>Investment Grade</v>
      </c>
    </row>
    <row r="201" spans="1:36" x14ac:dyDescent="0.3">
      <c r="A201" s="3" t="s">
        <v>36</v>
      </c>
      <c r="B201" s="3" t="s">
        <v>312</v>
      </c>
      <c r="C201" s="3" t="s">
        <v>313</v>
      </c>
      <c r="D201" s="3" t="s">
        <v>39</v>
      </c>
      <c r="E201" s="3" t="s">
        <v>126</v>
      </c>
      <c r="F201" s="3" t="s">
        <v>79</v>
      </c>
      <c r="G201" s="3">
        <v>0.80130028399999997</v>
      </c>
      <c r="H201" s="3">
        <v>0.24095896</v>
      </c>
      <c r="I201" s="3">
        <v>1.2190167E-2</v>
      </c>
      <c r="J201" s="3">
        <v>25.25865022</v>
      </c>
      <c r="K201" s="3">
        <v>4.9503255000000003E-2</v>
      </c>
      <c r="L201" s="3">
        <v>8.8729016999999993E-2</v>
      </c>
      <c r="M201" s="3">
        <v>1</v>
      </c>
      <c r="N201" s="3">
        <v>0.20280918100000001</v>
      </c>
      <c r="O201" s="3">
        <v>1.3734435999999999E-2</v>
      </c>
      <c r="P201" s="3">
        <v>2.787794E-2</v>
      </c>
      <c r="Q201" s="3">
        <v>4.4162592000000001E-2</v>
      </c>
      <c r="R201" s="3">
        <v>0.27744510999999999</v>
      </c>
      <c r="S201" s="3">
        <v>0.36025917899999998</v>
      </c>
      <c r="T201" s="3">
        <v>2.2154645479999999</v>
      </c>
      <c r="U201" s="3">
        <v>0.68900294600000001</v>
      </c>
      <c r="V201" s="3">
        <v>0.60038610000000003</v>
      </c>
      <c r="W201" s="3">
        <v>0.18546958099999999</v>
      </c>
      <c r="X201" s="3">
        <v>1.2943116240000001</v>
      </c>
      <c r="Y201" s="3">
        <v>0.77906018099999996</v>
      </c>
      <c r="Z201" s="3">
        <v>3.2154645479999999</v>
      </c>
      <c r="AA201" s="3">
        <v>8.8729016999999993E-2</v>
      </c>
      <c r="AB201" s="3">
        <v>7.736388689</v>
      </c>
      <c r="AC201" s="3">
        <v>6.97856554</v>
      </c>
      <c r="AD201" s="3">
        <v>0.28999657400000001</v>
      </c>
      <c r="AE201" s="3">
        <v>0</v>
      </c>
      <c r="AF201" s="4">
        <v>41803</v>
      </c>
      <c r="AG201" s="5">
        <f>YEAR(AF201)</f>
        <v>2014</v>
      </c>
      <c r="AH201" s="5" t="str">
        <f>"Q"&amp;ROUNDUP(MONTH(AF201)/3,0)</f>
        <v>Q2</v>
      </c>
      <c r="AI201" s="5">
        <f>INDEX(RatingLookup!$B$2:$B$11,MATCH(A201,RatingLookup!$A$2:$A$11,0))</f>
        <v>8</v>
      </c>
      <c r="AJ201" s="5" t="str">
        <f>INDEX(RatingLookup!$C$2:$C$11,MATCH(A201,RatingLookup!$A$2:$A$11,0))</f>
        <v>Investment Grade</v>
      </c>
    </row>
    <row r="202" spans="1:36" x14ac:dyDescent="0.3">
      <c r="A202" s="3" t="s">
        <v>42</v>
      </c>
      <c r="B202" s="3" t="s">
        <v>312</v>
      </c>
      <c r="C202" s="3" t="s">
        <v>313</v>
      </c>
      <c r="D202" s="3" t="s">
        <v>60</v>
      </c>
      <c r="E202" s="3" t="s">
        <v>46</v>
      </c>
      <c r="F202" s="3" t="s">
        <v>79</v>
      </c>
      <c r="G202" s="3">
        <v>1.2857142859999999</v>
      </c>
      <c r="H202" s="3">
        <v>0.69243697500000001</v>
      </c>
      <c r="I202" s="3">
        <v>0.14285714299999999</v>
      </c>
      <c r="J202" s="3">
        <v>51.413467789999999</v>
      </c>
      <c r="K202" s="3">
        <v>8.4417697E-2</v>
      </c>
      <c r="L202" s="3">
        <v>0.12573194500000001</v>
      </c>
      <c r="M202" s="3">
        <v>0.287085231</v>
      </c>
      <c r="N202" s="3">
        <v>0.168022121</v>
      </c>
      <c r="O202" s="3">
        <v>2.1949672E-2</v>
      </c>
      <c r="P202" s="3">
        <v>5.3064959000000002E-2</v>
      </c>
      <c r="Q202" s="3">
        <v>6.5538578E-2</v>
      </c>
      <c r="R202" s="3">
        <v>0.26001268799999999</v>
      </c>
      <c r="S202" s="3">
        <v>0.33916257500000002</v>
      </c>
      <c r="T202" s="3">
        <v>1.9670412930000001</v>
      </c>
      <c r="U202" s="3">
        <v>0.65878621299999995</v>
      </c>
      <c r="V202" s="3">
        <v>0.32858990900000001</v>
      </c>
      <c r="W202" s="3">
        <v>0.49787007500000002</v>
      </c>
      <c r="X202" s="3">
        <v>3.859811004</v>
      </c>
      <c r="Y202" s="3">
        <v>1.5274118409999999</v>
      </c>
      <c r="Z202" s="3">
        <v>2.9858568000000001</v>
      </c>
      <c r="AA202" s="3">
        <v>0.188679245</v>
      </c>
      <c r="AB202" s="3">
        <v>8.4633839999999996</v>
      </c>
      <c r="AC202" s="3">
        <v>7.7526471289999996</v>
      </c>
      <c r="AD202" s="3">
        <v>0.305465192</v>
      </c>
      <c r="AE202" s="3">
        <v>6.3246753250000003</v>
      </c>
      <c r="AF202" s="4">
        <v>41075</v>
      </c>
      <c r="AG202" s="5">
        <f>YEAR(AF202)</f>
        <v>2012</v>
      </c>
      <c r="AH202" s="5" t="str">
        <f>"Q"&amp;ROUNDUP(MONTH(AF202)/3,0)</f>
        <v>Q2</v>
      </c>
      <c r="AI202" s="5">
        <f>INDEX(RatingLookup!$B$2:$B$11,MATCH(A202,RatingLookup!$A$2:$A$11,0))</f>
        <v>7</v>
      </c>
      <c r="AJ202" s="5" t="str">
        <f>INDEX(RatingLookup!$C$2:$C$11,MATCH(A202,RatingLookup!$A$2:$A$11,0))</f>
        <v>Investment Grade</v>
      </c>
    </row>
    <row r="203" spans="1:36" x14ac:dyDescent="0.3">
      <c r="A203" s="3" t="s">
        <v>49</v>
      </c>
      <c r="B203" s="3" t="s">
        <v>316</v>
      </c>
      <c r="C203" s="3" t="s">
        <v>317</v>
      </c>
      <c r="D203" s="3" t="s">
        <v>39</v>
      </c>
      <c r="E203" s="3" t="s">
        <v>318</v>
      </c>
      <c r="F203" s="3" t="s">
        <v>53</v>
      </c>
      <c r="G203" s="3">
        <v>1.257386476</v>
      </c>
      <c r="H203" s="3">
        <v>0.97765880100000002</v>
      </c>
      <c r="I203" s="3">
        <v>0.41284949399999998</v>
      </c>
      <c r="J203" s="3">
        <v>51.841179099999998</v>
      </c>
      <c r="K203" s="3">
        <v>0.157189946</v>
      </c>
      <c r="L203" s="3">
        <v>0.137978986</v>
      </c>
      <c r="M203" s="3">
        <v>1</v>
      </c>
      <c r="N203" s="3">
        <v>0.157189946</v>
      </c>
      <c r="O203" s="3">
        <v>7.7555757000000003E-2</v>
      </c>
      <c r="P203" s="3">
        <v>7.8083709000000001E-2</v>
      </c>
      <c r="Q203" s="3">
        <v>0.175772701</v>
      </c>
      <c r="R203" s="3">
        <v>0.493388787</v>
      </c>
      <c r="S203" s="3">
        <v>0.79981325599999997</v>
      </c>
      <c r="T203" s="3">
        <v>1.2664043</v>
      </c>
      <c r="U203" s="3">
        <v>0.558772457</v>
      </c>
      <c r="V203" s="3">
        <v>0.79743685499999994</v>
      </c>
      <c r="W203" s="3">
        <v>1</v>
      </c>
      <c r="X203" s="3">
        <v>13.06863001</v>
      </c>
      <c r="Y203" s="3">
        <v>5.2950413620000001</v>
      </c>
      <c r="Z203" s="3">
        <v>2.2664043</v>
      </c>
      <c r="AA203" s="3">
        <v>0.137978986</v>
      </c>
      <c r="AB203" s="3">
        <v>5.8078250300000001</v>
      </c>
      <c r="AC203" s="3">
        <v>13.06863001</v>
      </c>
      <c r="AD203" s="3">
        <v>0.27618115599999998</v>
      </c>
      <c r="AE203" s="3">
        <v>0</v>
      </c>
      <c r="AF203" s="4">
        <v>41793</v>
      </c>
      <c r="AG203" s="5">
        <f>YEAR(AF203)</f>
        <v>2014</v>
      </c>
      <c r="AH203" s="5" t="str">
        <f>"Q"&amp;ROUNDUP(MONTH(AF203)/3,0)</f>
        <v>Q2</v>
      </c>
      <c r="AI203" s="5">
        <f>INDEX(RatingLookup!$B$2:$B$11,MATCH(A203,RatingLookup!$A$2:$A$11,0))</f>
        <v>9</v>
      </c>
      <c r="AJ203" s="5" t="str">
        <f>INDEX(RatingLookup!$C$2:$C$11,MATCH(A203,RatingLookup!$A$2:$A$11,0))</f>
        <v>Investment Grade</v>
      </c>
    </row>
    <row r="204" spans="1:36" x14ac:dyDescent="0.3">
      <c r="A204" s="3" t="s">
        <v>42</v>
      </c>
      <c r="B204" s="3" t="s">
        <v>316</v>
      </c>
      <c r="C204" s="3" t="s">
        <v>317</v>
      </c>
      <c r="D204" s="3" t="s">
        <v>39</v>
      </c>
      <c r="E204" s="3" t="s">
        <v>177</v>
      </c>
      <c r="F204" s="3" t="s">
        <v>53</v>
      </c>
      <c r="G204" s="3">
        <v>0.94954623999999999</v>
      </c>
      <c r="H204" s="3">
        <v>2.935609334</v>
      </c>
      <c r="I204" s="3">
        <v>0.25583405399999998</v>
      </c>
      <c r="J204" s="3">
        <v>50.900598029999998</v>
      </c>
      <c r="K204" s="3">
        <v>-0.14313883999999999</v>
      </c>
      <c r="L204" s="3">
        <v>-0.141296266</v>
      </c>
      <c r="M204" s="3">
        <v>0.77320187500000004</v>
      </c>
      <c r="N204" s="3">
        <v>-0.14313883999999999</v>
      </c>
      <c r="O204" s="3">
        <v>-4.5422839E-2</v>
      </c>
      <c r="P204" s="3">
        <v>-4.9542095000000001E-2</v>
      </c>
      <c r="Q204" s="3">
        <v>-0.111362608</v>
      </c>
      <c r="R204" s="3">
        <v>0.31733412700000002</v>
      </c>
      <c r="S204" s="3">
        <v>0.46556602400000002</v>
      </c>
      <c r="T204" s="3">
        <v>1.4516875410000001</v>
      </c>
      <c r="U204" s="3">
        <v>0.59211768099999995</v>
      </c>
      <c r="V204" s="3">
        <v>0.65614275899999996</v>
      </c>
      <c r="W204" s="3">
        <v>-0.32725831999999999</v>
      </c>
      <c r="X204" s="3">
        <v>-1.99529921</v>
      </c>
      <c r="Y204" s="3">
        <v>18.405387149999999</v>
      </c>
      <c r="Z204" s="3">
        <v>2.4516875410000001</v>
      </c>
      <c r="AA204" s="3">
        <v>-0.141296266</v>
      </c>
      <c r="AB204" s="3">
        <v>15.16460929</v>
      </c>
      <c r="AC204" s="3">
        <v>6.097015989</v>
      </c>
      <c r="AD204" s="3">
        <v>0.244771295</v>
      </c>
      <c r="AE204" s="3">
        <v>1.4332992849999999</v>
      </c>
      <c r="AF204" s="4">
        <v>42317</v>
      </c>
      <c r="AG204" s="5">
        <f>YEAR(AF204)</f>
        <v>2015</v>
      </c>
      <c r="AH204" s="5" t="str">
        <f>"Q"&amp;ROUNDUP(MONTH(AF204)/3,0)</f>
        <v>Q4</v>
      </c>
      <c r="AI204" s="5">
        <f>INDEX(RatingLookup!$B$2:$B$11,MATCH(A204,RatingLookup!$A$2:$A$11,0))</f>
        <v>7</v>
      </c>
      <c r="AJ204" s="5" t="str">
        <f>INDEX(RatingLookup!$C$2:$C$11,MATCH(A204,RatingLookup!$A$2:$A$11,0))</f>
        <v>Investment Grade</v>
      </c>
    </row>
    <row r="205" spans="1:36" x14ac:dyDescent="0.3">
      <c r="A205" s="3" t="s">
        <v>49</v>
      </c>
      <c r="B205" s="3" t="s">
        <v>316</v>
      </c>
      <c r="C205" s="3" t="s">
        <v>317</v>
      </c>
      <c r="D205" s="3" t="s">
        <v>39</v>
      </c>
      <c r="E205" s="3" t="s">
        <v>319</v>
      </c>
      <c r="F205" s="3" t="s">
        <v>53</v>
      </c>
      <c r="G205" s="3">
        <v>1.3060587669999999</v>
      </c>
      <c r="H205" s="3">
        <v>3.1266360409999998</v>
      </c>
      <c r="I205" s="3">
        <v>0.438762243</v>
      </c>
      <c r="J205" s="3">
        <v>43.885206330000003</v>
      </c>
      <c r="K205" s="3">
        <v>0.12372786700000001</v>
      </c>
      <c r="L205" s="3">
        <v>0.104598591</v>
      </c>
      <c r="M205" s="3">
        <v>0.83952663100000002</v>
      </c>
      <c r="N205" s="3">
        <v>0.12372786700000001</v>
      </c>
      <c r="O205" s="3">
        <v>5.8941642000000002E-2</v>
      </c>
      <c r="P205" s="3">
        <v>5.5303709E-2</v>
      </c>
      <c r="Q205" s="3">
        <v>0.132322629</v>
      </c>
      <c r="R205" s="3">
        <v>0.47638129699999998</v>
      </c>
      <c r="S205" s="3">
        <v>0.73587031400000003</v>
      </c>
      <c r="T205" s="3">
        <v>1.2449769799999999</v>
      </c>
      <c r="U205" s="3">
        <v>0.55456113399999996</v>
      </c>
      <c r="V205" s="3">
        <v>0.61701394899999995</v>
      </c>
      <c r="W205" s="3">
        <v>-2.0914252000000001E-2</v>
      </c>
      <c r="X205" s="3">
        <v>-0.28286828400000003</v>
      </c>
      <c r="Y205" s="3">
        <v>23.758511299999999</v>
      </c>
      <c r="Z205" s="3">
        <v>2.2449769800000001</v>
      </c>
      <c r="AA205" s="3">
        <v>0.104598591</v>
      </c>
      <c r="AB205" s="3">
        <v>6.2790978089999996</v>
      </c>
      <c r="AC205" s="3">
        <v>13.525144969999999</v>
      </c>
      <c r="AD205" s="3">
        <v>0.30143919899999999</v>
      </c>
      <c r="AE205" s="3">
        <v>1.1161363070000001</v>
      </c>
      <c r="AF205" s="4">
        <v>41960</v>
      </c>
      <c r="AG205" s="5">
        <f>YEAR(AF205)</f>
        <v>2014</v>
      </c>
      <c r="AH205" s="5" t="str">
        <f>"Q"&amp;ROUNDUP(MONTH(AF205)/3,0)</f>
        <v>Q4</v>
      </c>
      <c r="AI205" s="5">
        <f>INDEX(RatingLookup!$B$2:$B$11,MATCH(A205,RatingLookup!$A$2:$A$11,0))</f>
        <v>9</v>
      </c>
      <c r="AJ205" s="5" t="str">
        <f>INDEX(RatingLookup!$C$2:$C$11,MATCH(A205,RatingLookup!$A$2:$A$11,0))</f>
        <v>Investment Grade</v>
      </c>
    </row>
    <row r="206" spans="1:36" x14ac:dyDescent="0.3">
      <c r="A206" s="3" t="s">
        <v>36</v>
      </c>
      <c r="B206" s="3" t="s">
        <v>316</v>
      </c>
      <c r="C206" s="3" t="s">
        <v>317</v>
      </c>
      <c r="D206" s="3" t="s">
        <v>60</v>
      </c>
      <c r="E206" s="3" t="s">
        <v>46</v>
      </c>
      <c r="F206" s="3" t="s">
        <v>53</v>
      </c>
      <c r="G206" s="3">
        <v>1.076599686</v>
      </c>
      <c r="H206" s="3">
        <v>0.74850363399999997</v>
      </c>
      <c r="I206" s="3">
        <v>0.20592845900000001</v>
      </c>
      <c r="J206" s="3">
        <v>21.83919972</v>
      </c>
      <c r="K206" s="3">
        <v>5.0797955999999998E-2</v>
      </c>
      <c r="L206" s="3">
        <v>9.3683749999999996E-2</v>
      </c>
      <c r="M206" s="3">
        <v>1</v>
      </c>
      <c r="N206" s="3">
        <v>5.0797955999999998E-2</v>
      </c>
      <c r="O206" s="3">
        <v>8.1159042000000001E-2</v>
      </c>
      <c r="P206" s="3">
        <v>0.18324251799999999</v>
      </c>
      <c r="Q206" s="3">
        <v>0.190666013</v>
      </c>
      <c r="R206" s="3">
        <v>1.597683221</v>
      </c>
      <c r="S206" s="3">
        <v>2.9082086010000001</v>
      </c>
      <c r="T206" s="3">
        <v>1.3492886049999999</v>
      </c>
      <c r="U206" s="3">
        <v>0.57433922900000001</v>
      </c>
      <c r="V206" s="3">
        <v>0.45777196399999998</v>
      </c>
      <c r="W206" s="3">
        <v>1</v>
      </c>
      <c r="X206" s="3">
        <v>14.28763631</v>
      </c>
      <c r="Y206" s="3">
        <v>4.6260640640000004</v>
      </c>
      <c r="Z206" s="3">
        <v>2.3492886049999999</v>
      </c>
      <c r="AA206" s="3">
        <v>9.3683749999999996E-2</v>
      </c>
      <c r="AB206" s="3">
        <v>4.3633325310000002</v>
      </c>
      <c r="AC206" s="3">
        <v>14.28763631</v>
      </c>
      <c r="AD206" s="3">
        <v>8.0249005999999998E-2</v>
      </c>
      <c r="AE206" s="3">
        <v>0</v>
      </c>
      <c r="AF206" s="4">
        <v>41075</v>
      </c>
      <c r="AG206" s="5">
        <f>YEAR(AF206)</f>
        <v>2012</v>
      </c>
      <c r="AH206" s="5" t="str">
        <f>"Q"&amp;ROUNDUP(MONTH(AF206)/3,0)</f>
        <v>Q2</v>
      </c>
      <c r="AI206" s="5">
        <f>INDEX(RatingLookup!$B$2:$B$11,MATCH(A206,RatingLookup!$A$2:$A$11,0))</f>
        <v>8</v>
      </c>
      <c r="AJ206" s="5" t="str">
        <f>INDEX(RatingLookup!$C$2:$C$11,MATCH(A206,RatingLookup!$A$2:$A$11,0))</f>
        <v>Investment Grade</v>
      </c>
    </row>
    <row r="207" spans="1:36" x14ac:dyDescent="0.3">
      <c r="A207" s="3" t="s">
        <v>36</v>
      </c>
      <c r="B207" s="3" t="s">
        <v>316</v>
      </c>
      <c r="C207" s="3" t="s">
        <v>317</v>
      </c>
      <c r="D207" s="3" t="s">
        <v>39</v>
      </c>
      <c r="E207" s="3" t="s">
        <v>320</v>
      </c>
      <c r="F207" s="3" t="s">
        <v>53</v>
      </c>
      <c r="G207" s="3">
        <v>1.3752794820000001</v>
      </c>
      <c r="H207" s="3">
        <v>2.0659290260000001</v>
      </c>
      <c r="I207" s="3">
        <v>0.207418449</v>
      </c>
      <c r="J207" s="3">
        <v>52.562495970000001</v>
      </c>
      <c r="K207" s="3">
        <v>0.135926714</v>
      </c>
      <c r="L207" s="3">
        <v>0.12065350599999999</v>
      </c>
      <c r="M207" s="3">
        <v>1</v>
      </c>
      <c r="N207" s="3">
        <v>0.135926714</v>
      </c>
      <c r="O207" s="3">
        <v>7.1945640000000005E-2</v>
      </c>
      <c r="P207" s="3">
        <v>7.5034352999999998E-2</v>
      </c>
      <c r="Q207" s="3">
        <v>0.17563090000000001</v>
      </c>
      <c r="R207" s="3">
        <v>0.52929727500000001</v>
      </c>
      <c r="S207" s="3">
        <v>0.92181436999999999</v>
      </c>
      <c r="T207" s="3">
        <v>1.4411611479999999</v>
      </c>
      <c r="U207" s="3">
        <v>0.59035887499999995</v>
      </c>
      <c r="V207" s="3">
        <v>1.061622778</v>
      </c>
      <c r="W207" s="3">
        <v>1</v>
      </c>
      <c r="X207" s="3">
        <v>11.19312686</v>
      </c>
      <c r="Y207" s="3">
        <v>21.793714260000002</v>
      </c>
      <c r="Z207" s="3">
        <v>2.4411611479999999</v>
      </c>
      <c r="AA207" s="3">
        <v>0.12065350599999999</v>
      </c>
      <c r="AB207" s="3">
        <v>6.2693683980000001</v>
      </c>
      <c r="AC207" s="3">
        <v>11.19312686</v>
      </c>
      <c r="AD207" s="3">
        <v>0.22453390100000001</v>
      </c>
      <c r="AE207" s="3">
        <v>0</v>
      </c>
      <c r="AF207" s="4">
        <v>41395</v>
      </c>
      <c r="AG207" s="5">
        <f>YEAR(AF207)</f>
        <v>2013</v>
      </c>
      <c r="AH207" s="5" t="str">
        <f>"Q"&amp;ROUNDUP(MONTH(AF207)/3,0)</f>
        <v>Q2</v>
      </c>
      <c r="AI207" s="5">
        <f>INDEX(RatingLookup!$B$2:$B$11,MATCH(A207,RatingLookup!$A$2:$A$11,0))</f>
        <v>8</v>
      </c>
      <c r="AJ207" s="5" t="str">
        <f>INDEX(RatingLookup!$C$2:$C$11,MATCH(A207,RatingLookup!$A$2:$A$11,0))</f>
        <v>Investment Grade</v>
      </c>
    </row>
    <row r="208" spans="1:36" x14ac:dyDescent="0.3">
      <c r="A208" s="3" t="s">
        <v>92</v>
      </c>
      <c r="B208" s="3" t="s">
        <v>321</v>
      </c>
      <c r="C208" s="3" t="s">
        <v>322</v>
      </c>
      <c r="D208" s="3" t="s">
        <v>39</v>
      </c>
      <c r="E208" s="3" t="s">
        <v>323</v>
      </c>
      <c r="F208" s="3" t="s">
        <v>53</v>
      </c>
      <c r="G208" s="3">
        <v>0.61398047099999997</v>
      </c>
      <c r="H208" s="3">
        <v>0.13400790000000001</v>
      </c>
      <c r="I208" s="3">
        <v>1.8049493999999999E-2</v>
      </c>
      <c r="J208" s="3">
        <v>11.35329087</v>
      </c>
      <c r="K208" s="3">
        <v>0.16272401</v>
      </c>
      <c r="L208" s="3">
        <v>0.25520365099999998</v>
      </c>
      <c r="M208" s="3">
        <v>1</v>
      </c>
      <c r="N208" s="3">
        <v>0.25520365099999998</v>
      </c>
      <c r="O208" s="3">
        <v>3.4744773999999999E-2</v>
      </c>
      <c r="P208" s="3">
        <v>5.7801575000000001E-2</v>
      </c>
      <c r="Q208" s="3">
        <v>7.7261957000000006E-2</v>
      </c>
      <c r="R208" s="3">
        <v>0.21351965000000001</v>
      </c>
      <c r="S208" s="3">
        <v>0.25551273699999999</v>
      </c>
      <c r="T208" s="3">
        <v>1.2237000899999999</v>
      </c>
      <c r="U208" s="3">
        <v>0.55029906900000003</v>
      </c>
      <c r="V208" s="3">
        <v>0.362375852</v>
      </c>
      <c r="W208" s="3">
        <v>1</v>
      </c>
      <c r="X208" s="3">
        <v>3.712427623</v>
      </c>
      <c r="Y208" s="3">
        <v>3.3237968E-2</v>
      </c>
      <c r="Z208" s="3">
        <v>2.2237000899999999</v>
      </c>
      <c r="AA208" s="3">
        <v>0.25520365099999998</v>
      </c>
      <c r="AB208" s="3">
        <v>7.8522772659999998</v>
      </c>
      <c r="AC208" s="3">
        <v>3.712427623</v>
      </c>
      <c r="AD208" s="3">
        <v>0.54077326999999997</v>
      </c>
      <c r="AE208" s="3">
        <v>0</v>
      </c>
      <c r="AF208" s="4">
        <v>41509</v>
      </c>
      <c r="AG208" s="5">
        <f>YEAR(AF208)</f>
        <v>2013</v>
      </c>
      <c r="AH208" s="5" t="str">
        <f>"Q"&amp;ROUNDUP(MONTH(AF208)/3,0)</f>
        <v>Q3</v>
      </c>
      <c r="AI208" s="5">
        <f>INDEX(RatingLookup!$B$2:$B$11,MATCH(A208,RatingLookup!$A$2:$A$11,0))</f>
        <v>6</v>
      </c>
      <c r="AJ208" s="5" t="str">
        <f>INDEX(RatingLookup!$C$2:$C$11,MATCH(A208,RatingLookup!$A$2:$A$11,0))</f>
        <v>Speculative Grade</v>
      </c>
    </row>
    <row r="209" spans="1:36" x14ac:dyDescent="0.3">
      <c r="A209" s="3" t="s">
        <v>92</v>
      </c>
      <c r="B209" s="3" t="s">
        <v>321</v>
      </c>
      <c r="C209" s="3" t="s">
        <v>322</v>
      </c>
      <c r="D209" s="3" t="s">
        <v>47</v>
      </c>
      <c r="E209" s="3" t="s">
        <v>324</v>
      </c>
      <c r="F209" s="3" t="s">
        <v>53</v>
      </c>
      <c r="G209" s="3">
        <v>0.92411297100000001</v>
      </c>
      <c r="H209" s="3">
        <v>0.659681246</v>
      </c>
      <c r="I209" s="3">
        <v>7.538571E-3</v>
      </c>
      <c r="J209" s="3">
        <v>29.144331090000001</v>
      </c>
      <c r="K209" s="3">
        <v>-3.487267407</v>
      </c>
      <c r="L209" s="3">
        <v>-5.0303619709999996</v>
      </c>
      <c r="M209" s="3">
        <v>1</v>
      </c>
      <c r="N209" s="3">
        <v>-5.0303619709999996</v>
      </c>
      <c r="O209" s="3">
        <v>-0.74080715900000005</v>
      </c>
      <c r="P209" s="3">
        <v>-1.1404722970000001</v>
      </c>
      <c r="Q209" s="3">
        <v>-3.5114147349999998</v>
      </c>
      <c r="R209" s="3">
        <v>0.21243199099999999</v>
      </c>
      <c r="S209" s="3">
        <v>0.23392944199999999</v>
      </c>
      <c r="T209" s="3">
        <v>3.739984883</v>
      </c>
      <c r="U209" s="3">
        <v>0.78902886299999997</v>
      </c>
      <c r="V209" s="3">
        <v>0.306756168</v>
      </c>
      <c r="W209" s="3">
        <v>1</v>
      </c>
      <c r="X209" s="3">
        <v>2.4779215720000001</v>
      </c>
      <c r="Y209" s="3">
        <v>0.41759508299999998</v>
      </c>
      <c r="Z209" s="3">
        <v>4.739984883</v>
      </c>
      <c r="AA209" s="3">
        <v>-5.0303619709999996</v>
      </c>
      <c r="AB209" s="3">
        <v>-0.66577913499999997</v>
      </c>
      <c r="AC209" s="3">
        <v>2.4779215720000001</v>
      </c>
      <c r="AD209" s="3">
        <v>0.68728649100000005</v>
      </c>
      <c r="AE209" s="3">
        <v>0</v>
      </c>
      <c r="AF209" s="4">
        <v>42409</v>
      </c>
      <c r="AG209" s="5">
        <f>YEAR(AF209)</f>
        <v>2016</v>
      </c>
      <c r="AH209" s="5" t="str">
        <f>"Q"&amp;ROUNDUP(MONTH(AF209)/3,0)</f>
        <v>Q1</v>
      </c>
      <c r="AI209" s="5">
        <f>INDEX(RatingLookup!$B$2:$B$11,MATCH(A209,RatingLookup!$A$2:$A$11,0))</f>
        <v>6</v>
      </c>
      <c r="AJ209" s="5" t="str">
        <f>INDEX(RatingLookup!$C$2:$C$11,MATCH(A209,RatingLookup!$A$2:$A$11,0))</f>
        <v>Speculative Grade</v>
      </c>
    </row>
    <row r="210" spans="1:36" x14ac:dyDescent="0.3">
      <c r="A210" s="3" t="s">
        <v>92</v>
      </c>
      <c r="B210" s="3" t="s">
        <v>321</v>
      </c>
      <c r="C210" s="3" t="s">
        <v>322</v>
      </c>
      <c r="D210" s="3" t="s">
        <v>39</v>
      </c>
      <c r="E210" s="3" t="s">
        <v>325</v>
      </c>
      <c r="F210" s="3" t="s">
        <v>53</v>
      </c>
      <c r="G210" s="3">
        <v>1.269564538</v>
      </c>
      <c r="H210" s="3">
        <v>0.281363796</v>
      </c>
      <c r="I210" s="3">
        <v>3.6169498000000001E-2</v>
      </c>
      <c r="J210" s="3">
        <v>23.525154969999999</v>
      </c>
      <c r="K210" s="3">
        <v>0.26095995999999999</v>
      </c>
      <c r="L210" s="3">
        <v>0.41990592199999999</v>
      </c>
      <c r="M210" s="3">
        <v>1</v>
      </c>
      <c r="N210" s="3">
        <v>0.41990592199999999</v>
      </c>
      <c r="O210" s="3">
        <v>4.9929359E-2</v>
      </c>
      <c r="P210" s="3">
        <v>8.4594997000000005E-2</v>
      </c>
      <c r="Q210" s="3">
        <v>0.11141427800000001</v>
      </c>
      <c r="R210" s="3">
        <v>0.191329579</v>
      </c>
      <c r="S210" s="3">
        <v>0.23523450600000001</v>
      </c>
      <c r="T210" s="3">
        <v>1.231438171</v>
      </c>
      <c r="U210" s="3">
        <v>0.55185852199999996</v>
      </c>
      <c r="V210" s="3">
        <v>0.37852755399999999</v>
      </c>
      <c r="W210" s="3">
        <v>1</v>
      </c>
      <c r="X210" s="3">
        <v>3.5041781049999998</v>
      </c>
      <c r="Y210" s="3">
        <v>6.6348197999999997E-2</v>
      </c>
      <c r="Z210" s="3">
        <v>2.2314381710000002</v>
      </c>
      <c r="AA210" s="3">
        <v>0.41990592199999999</v>
      </c>
      <c r="AB210" s="3">
        <v>3.6562532339999998</v>
      </c>
      <c r="AC210" s="3">
        <v>3.5041781049999998</v>
      </c>
      <c r="AD210" s="3">
        <v>0.50214458299999998</v>
      </c>
      <c r="AE210" s="3">
        <v>0</v>
      </c>
      <c r="AF210" s="4">
        <v>41878</v>
      </c>
      <c r="AG210" s="5">
        <f>YEAR(AF210)</f>
        <v>2014</v>
      </c>
      <c r="AH210" s="5" t="str">
        <f>"Q"&amp;ROUNDUP(MONTH(AF210)/3,0)</f>
        <v>Q3</v>
      </c>
      <c r="AI210" s="5">
        <f>INDEX(RatingLookup!$B$2:$B$11,MATCH(A210,RatingLookup!$A$2:$A$11,0))</f>
        <v>6</v>
      </c>
      <c r="AJ210" s="5" t="str">
        <f>INDEX(RatingLookup!$C$2:$C$11,MATCH(A210,RatingLookup!$A$2:$A$11,0))</f>
        <v>Speculative Grade</v>
      </c>
    </row>
    <row r="211" spans="1:36" x14ac:dyDescent="0.3">
      <c r="A211" s="3" t="s">
        <v>109</v>
      </c>
      <c r="B211" s="3" t="s">
        <v>321</v>
      </c>
      <c r="C211" s="3" t="s">
        <v>322</v>
      </c>
      <c r="D211" s="3" t="s">
        <v>60</v>
      </c>
      <c r="E211" s="3" t="s">
        <v>46</v>
      </c>
      <c r="F211" s="3" t="s">
        <v>53</v>
      </c>
      <c r="G211" s="3">
        <v>1.0345488279999999</v>
      </c>
      <c r="H211" s="3">
        <v>0.34863527100000002</v>
      </c>
      <c r="I211" s="3">
        <v>2.8268459999999999E-2</v>
      </c>
      <c r="J211" s="3">
        <v>3437.3376469999998</v>
      </c>
      <c r="K211" s="3">
        <v>32.83318062</v>
      </c>
      <c r="L211" s="3">
        <v>52.917477949999999</v>
      </c>
      <c r="M211" s="3">
        <v>1</v>
      </c>
      <c r="N211" s="3">
        <v>52.917477949999999</v>
      </c>
      <c r="O211" s="3">
        <v>5.6295084000000002E-2</v>
      </c>
      <c r="P211" s="3">
        <v>9.7031373000000004E-2</v>
      </c>
      <c r="Q211" s="3">
        <v>0.119282896</v>
      </c>
      <c r="R211" s="3">
        <v>1.7145789999999999E-3</v>
      </c>
      <c r="S211" s="3">
        <v>2.1795830000000001E-3</v>
      </c>
      <c r="T211" s="3">
        <v>1.1188865569999999</v>
      </c>
      <c r="U211" s="3">
        <v>0.52805401699999999</v>
      </c>
      <c r="V211" s="3">
        <v>8.9270540000000002E-3</v>
      </c>
      <c r="W211" s="3">
        <v>1</v>
      </c>
      <c r="X211" s="3">
        <v>3.0422828979999998</v>
      </c>
      <c r="Y211" s="3">
        <v>0.166896872</v>
      </c>
      <c r="Z211" s="3">
        <v>2.1188865570000002</v>
      </c>
      <c r="AA211" s="3">
        <v>52.917477949999999</v>
      </c>
      <c r="AB211" s="3">
        <v>7.4691309400000003</v>
      </c>
      <c r="AC211" s="3">
        <v>3.0422828979999998</v>
      </c>
      <c r="AD211" s="3">
        <v>68.996334899999994</v>
      </c>
      <c r="AE211" s="3">
        <v>0</v>
      </c>
      <c r="AF211" s="4">
        <v>41075</v>
      </c>
      <c r="AG211" s="5">
        <f>YEAR(AF211)</f>
        <v>2012</v>
      </c>
      <c r="AH211" s="5" t="str">
        <f>"Q"&amp;ROUNDUP(MONTH(AF211)/3,0)</f>
        <v>Q2</v>
      </c>
      <c r="AI211" s="5">
        <f>INDEX(RatingLookup!$B$2:$B$11,MATCH(A211,RatingLookup!$A$2:$A$11,0))</f>
        <v>5</v>
      </c>
      <c r="AJ211" s="5" t="str">
        <f>INDEX(RatingLookup!$C$2:$C$11,MATCH(A211,RatingLookup!$A$2:$A$11,0))</f>
        <v>Speculative Grade</v>
      </c>
    </row>
    <row r="212" spans="1:36" x14ac:dyDescent="0.3">
      <c r="A212" s="3" t="s">
        <v>109</v>
      </c>
      <c r="B212" s="3" t="s">
        <v>321</v>
      </c>
      <c r="C212" s="3" t="s">
        <v>322</v>
      </c>
      <c r="D212" s="3" t="s">
        <v>60</v>
      </c>
      <c r="E212" s="3" t="s">
        <v>326</v>
      </c>
      <c r="F212" s="3" t="s">
        <v>53</v>
      </c>
      <c r="G212" s="3">
        <v>2.5027602889999998</v>
      </c>
      <c r="H212" s="3">
        <v>0.292790155</v>
      </c>
      <c r="I212" s="3">
        <v>0.159811233</v>
      </c>
      <c r="J212" s="3">
        <v>1484.687128</v>
      </c>
      <c r="K212" s="3">
        <v>26.069869000000001</v>
      </c>
      <c r="L212" s="3">
        <v>26.0733426</v>
      </c>
      <c r="M212" s="3">
        <v>1</v>
      </c>
      <c r="N212" s="3">
        <v>26.069869000000001</v>
      </c>
      <c r="O212" s="3">
        <v>4.7162570000000001E-2</v>
      </c>
      <c r="P212" s="3">
        <v>4.9931953000000001E-2</v>
      </c>
      <c r="Q212" s="3">
        <v>0.10271190600000001</v>
      </c>
      <c r="R212" s="3">
        <v>1.8090840000000001E-3</v>
      </c>
      <c r="S212" s="3">
        <v>2.4949519999999999E-3</v>
      </c>
      <c r="T212" s="3">
        <v>1.1778267330000001</v>
      </c>
      <c r="U212" s="3">
        <v>0.54082664800000002</v>
      </c>
      <c r="V212" s="3">
        <v>0.63090611500000005</v>
      </c>
      <c r="W212" s="3">
        <v>1</v>
      </c>
      <c r="X212" s="3">
        <v>3.6627016779999999</v>
      </c>
      <c r="Y212" s="3">
        <v>0.255736556</v>
      </c>
      <c r="Z212" s="3">
        <v>2.1778267329999998</v>
      </c>
      <c r="AA212" s="3">
        <v>26.0733426</v>
      </c>
      <c r="AB212" s="3">
        <v>9.7182452060000006</v>
      </c>
      <c r="AC212" s="3">
        <v>3.6627016779999999</v>
      </c>
      <c r="AD212" s="3">
        <v>70.012455340000002</v>
      </c>
      <c r="AE212" s="3">
        <v>0</v>
      </c>
      <c r="AF212" s="4">
        <v>41296</v>
      </c>
      <c r="AG212" s="5">
        <f>YEAR(AF212)</f>
        <v>2013</v>
      </c>
      <c r="AH212" s="5" t="str">
        <f>"Q"&amp;ROUNDUP(MONTH(AF212)/3,0)</f>
        <v>Q1</v>
      </c>
      <c r="AI212" s="5">
        <f>INDEX(RatingLookup!$B$2:$B$11,MATCH(A212,RatingLookup!$A$2:$A$11,0))</f>
        <v>5</v>
      </c>
      <c r="AJ212" s="5" t="str">
        <f>INDEX(RatingLookup!$C$2:$C$11,MATCH(A212,RatingLookup!$A$2:$A$11,0))</f>
        <v>Speculative Grade</v>
      </c>
    </row>
    <row r="213" spans="1:36" x14ac:dyDescent="0.3">
      <c r="A213" s="3" t="s">
        <v>36</v>
      </c>
      <c r="B213" s="3" t="s">
        <v>327</v>
      </c>
      <c r="C213" s="3" t="s">
        <v>328</v>
      </c>
      <c r="D213" s="3" t="s">
        <v>39</v>
      </c>
      <c r="E213" s="3" t="s">
        <v>329</v>
      </c>
      <c r="F213" s="3" t="s">
        <v>79</v>
      </c>
      <c r="G213" s="3">
        <v>0.87590967900000005</v>
      </c>
      <c r="H213" s="3">
        <v>0.807503203</v>
      </c>
      <c r="I213" s="3">
        <v>8.0095930000000006E-3</v>
      </c>
      <c r="J213" s="3">
        <v>35.582194309999998</v>
      </c>
      <c r="K213" s="3">
        <v>0.11137941799999999</v>
      </c>
      <c r="L213" s="3">
        <v>0.179258581</v>
      </c>
      <c r="M213" s="3">
        <v>1</v>
      </c>
      <c r="N213" s="3">
        <v>0.22177276800000001</v>
      </c>
      <c r="O213" s="3">
        <v>2.8973023000000001E-2</v>
      </c>
      <c r="P213" s="3">
        <v>5.1683369999999999E-2</v>
      </c>
      <c r="Q213" s="3">
        <v>8.5585935000000002E-2</v>
      </c>
      <c r="R213" s="3">
        <v>0.260129059</v>
      </c>
      <c r="S213" s="3">
        <v>3.99892E-4</v>
      </c>
      <c r="T213" s="3">
        <v>1.9539870450000001</v>
      </c>
      <c r="U213" s="3">
        <v>0.66147447999999998</v>
      </c>
      <c r="V213" s="3">
        <v>0.37866618600000002</v>
      </c>
      <c r="W213" s="3">
        <v>-0.210750514</v>
      </c>
      <c r="X213" s="3">
        <v>-0.94572682200000002</v>
      </c>
      <c r="Y213" s="3">
        <v>5.1641807120000003</v>
      </c>
      <c r="Z213" s="3">
        <v>2.9539870449999999</v>
      </c>
      <c r="AA213" s="3">
        <v>0.179258581</v>
      </c>
      <c r="AB213" s="3">
        <v>10.635977110000001</v>
      </c>
      <c r="AC213" s="3">
        <v>4.487423572</v>
      </c>
      <c r="AD213" s="3">
        <v>0.17901395000000001</v>
      </c>
      <c r="AE213" s="3">
        <v>3.7928042419999999</v>
      </c>
      <c r="AF213" s="4">
        <v>42318</v>
      </c>
      <c r="AG213" s="5">
        <f>YEAR(AF213)</f>
        <v>2015</v>
      </c>
      <c r="AH213" s="5" t="str">
        <f>"Q"&amp;ROUNDUP(MONTH(AF213)/3,0)</f>
        <v>Q4</v>
      </c>
      <c r="AI213" s="5">
        <f>INDEX(RatingLookup!$B$2:$B$11,MATCH(A213,RatingLookup!$A$2:$A$11,0))</f>
        <v>8</v>
      </c>
      <c r="AJ213" s="5" t="str">
        <f>INDEX(RatingLookup!$C$2:$C$11,MATCH(A213,RatingLookup!$A$2:$A$11,0))</f>
        <v>Investment Grade</v>
      </c>
    </row>
    <row r="214" spans="1:36" x14ac:dyDescent="0.3">
      <c r="A214" s="3" t="s">
        <v>36</v>
      </c>
      <c r="B214" s="3" t="s">
        <v>330</v>
      </c>
      <c r="C214" s="3" t="s">
        <v>331</v>
      </c>
      <c r="D214" s="3" t="s">
        <v>39</v>
      </c>
      <c r="E214" s="3" t="s">
        <v>332</v>
      </c>
      <c r="F214" s="3" t="s">
        <v>79</v>
      </c>
      <c r="G214" s="3">
        <v>0.88056964299999996</v>
      </c>
      <c r="H214" s="3">
        <v>0.298923683</v>
      </c>
      <c r="I214" s="3">
        <v>2.9318390999999999E-2</v>
      </c>
      <c r="J214" s="3">
        <v>24.885051860000001</v>
      </c>
      <c r="K214" s="3">
        <v>8.6875014E-2</v>
      </c>
      <c r="L214" s="3">
        <v>0.13121578</v>
      </c>
      <c r="M214" s="3">
        <v>1</v>
      </c>
      <c r="N214" s="3">
        <v>0.16926873100000001</v>
      </c>
      <c r="O214" s="3">
        <v>2.7965325999999999E-2</v>
      </c>
      <c r="P214" s="3">
        <v>4.7341103000000002E-2</v>
      </c>
      <c r="Q214" s="3">
        <v>9.9125961999999998E-2</v>
      </c>
      <c r="R214" s="3">
        <v>0.32190297800000001</v>
      </c>
      <c r="S214" s="3">
        <v>0.41784149599999998</v>
      </c>
      <c r="T214" s="3">
        <v>2.5446024700000001</v>
      </c>
      <c r="U214" s="3">
        <v>0.71788091700000001</v>
      </c>
      <c r="V214" s="3">
        <v>0.33792251099999998</v>
      </c>
      <c r="W214" s="3">
        <v>-0.31396195700000001</v>
      </c>
      <c r="X214" s="3">
        <v>-1635.422609</v>
      </c>
      <c r="Y214" s="3">
        <v>702.02570990000004</v>
      </c>
      <c r="Z214" s="3">
        <v>3.5446024700000001</v>
      </c>
      <c r="AA214" s="3">
        <v>0.13121578</v>
      </c>
      <c r="AB214" s="3">
        <v>3.757128486</v>
      </c>
      <c r="AC214" s="3">
        <v>5208.9833550000003</v>
      </c>
      <c r="AD214" s="3">
        <v>0.23674342300000001</v>
      </c>
      <c r="AE214" s="3">
        <v>0.88490356299999995</v>
      </c>
      <c r="AF214" s="4">
        <v>41794</v>
      </c>
      <c r="AG214" s="5">
        <f>YEAR(AF214)</f>
        <v>2014</v>
      </c>
      <c r="AH214" s="5" t="str">
        <f>"Q"&amp;ROUNDUP(MONTH(AF214)/3,0)</f>
        <v>Q2</v>
      </c>
      <c r="AI214" s="5">
        <f>INDEX(RatingLookup!$B$2:$B$11,MATCH(A214,RatingLookup!$A$2:$A$11,0))</f>
        <v>8</v>
      </c>
      <c r="AJ214" s="5" t="str">
        <f>INDEX(RatingLookup!$C$2:$C$11,MATCH(A214,RatingLookup!$A$2:$A$11,0))</f>
        <v>Investment Grade</v>
      </c>
    </row>
    <row r="215" spans="1:36" x14ac:dyDescent="0.3">
      <c r="A215" s="3" t="s">
        <v>36</v>
      </c>
      <c r="B215" s="3" t="s">
        <v>330</v>
      </c>
      <c r="C215" s="3" t="s">
        <v>331</v>
      </c>
      <c r="D215" s="3" t="s">
        <v>39</v>
      </c>
      <c r="E215" s="3" t="s">
        <v>333</v>
      </c>
      <c r="F215" s="3" t="s">
        <v>79</v>
      </c>
      <c r="G215" s="3">
        <v>0.71715919299999997</v>
      </c>
      <c r="H215" s="3">
        <v>0.21219122200000001</v>
      </c>
      <c r="I215" s="3">
        <v>2.0929962E-2</v>
      </c>
      <c r="J215" s="3">
        <v>23.990342040000002</v>
      </c>
      <c r="K215" s="3">
        <v>8.9299854999999997E-2</v>
      </c>
      <c r="L215" s="3">
        <v>0.13852836299999999</v>
      </c>
      <c r="M215" s="3">
        <v>1</v>
      </c>
      <c r="N215" s="3">
        <v>0.18146079600000001</v>
      </c>
      <c r="O215" s="3">
        <v>2.5208601000000001E-2</v>
      </c>
      <c r="P215" s="3">
        <v>4.3640338000000001E-2</v>
      </c>
      <c r="Q215" s="3">
        <v>9.2867882999999998E-2</v>
      </c>
      <c r="R215" s="3">
        <v>0.28229162899999999</v>
      </c>
      <c r="S215" s="3">
        <v>0.35328265800000003</v>
      </c>
      <c r="T215" s="3">
        <v>2.6839760130000001</v>
      </c>
      <c r="U215" s="3">
        <v>0.72855415000000001</v>
      </c>
      <c r="V215" s="3">
        <v>0.355367718</v>
      </c>
      <c r="W215" s="3">
        <v>-0.21730171400000001</v>
      </c>
      <c r="X215" s="3">
        <v>-1294.92209</v>
      </c>
      <c r="Y215" s="3">
        <v>268.88066989999999</v>
      </c>
      <c r="Z215" s="3">
        <v>3.6839760130000001</v>
      </c>
      <c r="AA215" s="3">
        <v>0.13852836299999999</v>
      </c>
      <c r="AB215" s="3">
        <v>4.0189543739999998</v>
      </c>
      <c r="AC215" s="3">
        <v>5959.0974619999997</v>
      </c>
      <c r="AD215" s="3">
        <v>0.27446531299999999</v>
      </c>
      <c r="AE215" s="3">
        <v>0.97921709300000004</v>
      </c>
      <c r="AF215" s="4">
        <v>42271</v>
      </c>
      <c r="AG215" s="5">
        <f>YEAR(AF215)</f>
        <v>2015</v>
      </c>
      <c r="AH215" s="5" t="str">
        <f>"Q"&amp;ROUNDUP(MONTH(AF215)/3,0)</f>
        <v>Q3</v>
      </c>
      <c r="AI215" s="5">
        <f>INDEX(RatingLookup!$B$2:$B$11,MATCH(A215,RatingLookup!$A$2:$A$11,0))</f>
        <v>8</v>
      </c>
      <c r="AJ215" s="5" t="str">
        <f>INDEX(RatingLookup!$C$2:$C$11,MATCH(A215,RatingLookup!$A$2:$A$11,0))</f>
        <v>Investment Grade</v>
      </c>
    </row>
    <row r="216" spans="1:36" x14ac:dyDescent="0.3">
      <c r="A216" s="3" t="s">
        <v>36</v>
      </c>
      <c r="B216" s="3" t="s">
        <v>330</v>
      </c>
      <c r="C216" s="3" t="s">
        <v>331</v>
      </c>
      <c r="D216" s="3" t="s">
        <v>39</v>
      </c>
      <c r="E216" s="3" t="s">
        <v>334</v>
      </c>
      <c r="F216" s="3" t="s">
        <v>79</v>
      </c>
      <c r="G216" s="3">
        <v>0.82773066799999995</v>
      </c>
      <c r="H216" s="3">
        <v>0.28423948999999998</v>
      </c>
      <c r="I216" s="3">
        <v>1.9585773000000001E-2</v>
      </c>
      <c r="J216" s="3">
        <v>25.814753119999999</v>
      </c>
      <c r="K216" s="3">
        <v>8.7394678000000003E-2</v>
      </c>
      <c r="L216" s="3">
        <v>0.13221830800000001</v>
      </c>
      <c r="M216" s="3">
        <v>1</v>
      </c>
      <c r="N216" s="3">
        <v>0.16670438900000001</v>
      </c>
      <c r="O216" s="3">
        <v>2.763432E-2</v>
      </c>
      <c r="P216" s="3">
        <v>4.6973728999999999E-2</v>
      </c>
      <c r="Q216" s="3">
        <v>9.9986079000000005E-2</v>
      </c>
      <c r="R216" s="3">
        <v>0.31620140899999999</v>
      </c>
      <c r="S216" s="3">
        <v>0.40637650400000003</v>
      </c>
      <c r="T216" s="3">
        <v>2.6181848479999998</v>
      </c>
      <c r="U216" s="3">
        <v>0.72361832199999998</v>
      </c>
      <c r="V216" s="3">
        <v>0.339012284</v>
      </c>
      <c r="W216" s="3">
        <v>-0.20829267700000001</v>
      </c>
      <c r="X216" s="3">
        <v>-1094.774803</v>
      </c>
      <c r="Y216" s="3">
        <v>652.59691929999997</v>
      </c>
      <c r="Z216" s="3">
        <v>3.6181848479999998</v>
      </c>
      <c r="AA216" s="3">
        <v>0.13221830800000001</v>
      </c>
      <c r="AB216" s="3">
        <v>3.7667738119999998</v>
      </c>
      <c r="AC216" s="3">
        <v>5255.9447609999997</v>
      </c>
      <c r="AD216" s="3">
        <v>0.226609739</v>
      </c>
      <c r="AE216" s="3">
        <v>1.199338281</v>
      </c>
      <c r="AF216" s="4">
        <v>42024</v>
      </c>
      <c r="AG216" s="5">
        <f>YEAR(AF216)</f>
        <v>2015</v>
      </c>
      <c r="AH216" s="5" t="str">
        <f>"Q"&amp;ROUNDUP(MONTH(AF216)/3,0)</f>
        <v>Q1</v>
      </c>
      <c r="AI216" s="5">
        <f>INDEX(RatingLookup!$B$2:$B$11,MATCH(A216,RatingLookup!$A$2:$A$11,0))</f>
        <v>8</v>
      </c>
      <c r="AJ216" s="5" t="str">
        <f>INDEX(RatingLookup!$C$2:$C$11,MATCH(A216,RatingLookup!$A$2:$A$11,0))</f>
        <v>Investment Grade</v>
      </c>
    </row>
    <row r="217" spans="1:36" x14ac:dyDescent="0.3">
      <c r="A217" s="3" t="s">
        <v>42</v>
      </c>
      <c r="B217" s="3" t="s">
        <v>330</v>
      </c>
      <c r="C217" s="3" t="s">
        <v>331</v>
      </c>
      <c r="D217" s="3" t="s">
        <v>60</v>
      </c>
      <c r="E217" s="3" t="s">
        <v>46</v>
      </c>
      <c r="F217" s="3" t="s">
        <v>79</v>
      </c>
      <c r="G217" s="3">
        <v>0.83111285400000001</v>
      </c>
      <c r="H217" s="3">
        <v>0.63459127500000001</v>
      </c>
      <c r="I217" s="3">
        <v>1.6910031999999998E-2</v>
      </c>
      <c r="J217" s="3">
        <v>25.799599619999999</v>
      </c>
      <c r="K217" s="3">
        <v>7.8947927000000001E-2</v>
      </c>
      <c r="L217" s="3">
        <v>0.122920532</v>
      </c>
      <c r="M217" s="3">
        <v>1</v>
      </c>
      <c r="N217" s="3">
        <v>0.167211681</v>
      </c>
      <c r="O217" s="3">
        <v>2.8516947000000001E-2</v>
      </c>
      <c r="P217" s="3">
        <v>5.0550341999999998E-2</v>
      </c>
      <c r="Q217" s="3">
        <v>9.9169107000000006E-2</v>
      </c>
      <c r="R217" s="3">
        <v>0.36121210799999998</v>
      </c>
      <c r="S217" s="3">
        <v>0.47665168299999999</v>
      </c>
      <c r="T217" s="3">
        <v>2.4775499230000002</v>
      </c>
      <c r="U217" s="3">
        <v>0.71244122399999998</v>
      </c>
      <c r="V217" s="3">
        <v>0.357577747</v>
      </c>
      <c r="W217" s="3">
        <v>8.3123329999999995E-2</v>
      </c>
      <c r="X217" s="3">
        <v>412.24520089999999</v>
      </c>
      <c r="Y217" s="3">
        <v>3142.4256610000002</v>
      </c>
      <c r="Z217" s="3">
        <v>3.4775499230000002</v>
      </c>
      <c r="AA217" s="3">
        <v>0.122920532</v>
      </c>
      <c r="AB217" s="3">
        <v>3.520178434</v>
      </c>
      <c r="AC217" s="3">
        <v>4959.4403750000001</v>
      </c>
      <c r="AD217" s="3">
        <v>0.22576949099999999</v>
      </c>
      <c r="AE217" s="3">
        <v>1.3239221000000001</v>
      </c>
      <c r="AF217" s="4">
        <v>41075</v>
      </c>
      <c r="AG217" s="5">
        <f>YEAR(AF217)</f>
        <v>2012</v>
      </c>
      <c r="AH217" s="5" t="str">
        <f>"Q"&amp;ROUNDUP(MONTH(AF217)/3,0)</f>
        <v>Q2</v>
      </c>
      <c r="AI217" s="5">
        <f>INDEX(RatingLookup!$B$2:$B$11,MATCH(A217,RatingLookup!$A$2:$A$11,0))</f>
        <v>7</v>
      </c>
      <c r="AJ217" s="5" t="str">
        <f>INDEX(RatingLookup!$C$2:$C$11,MATCH(A217,RatingLookup!$A$2:$A$11,0))</f>
        <v>Investment Grade</v>
      </c>
    </row>
    <row r="218" spans="1:36" x14ac:dyDescent="0.3">
      <c r="A218" s="3" t="s">
        <v>42</v>
      </c>
      <c r="B218" s="3" t="s">
        <v>330</v>
      </c>
      <c r="C218" s="3" t="s">
        <v>331</v>
      </c>
      <c r="D218" s="3" t="s">
        <v>60</v>
      </c>
      <c r="E218" s="3" t="s">
        <v>335</v>
      </c>
      <c r="F218" s="3" t="s">
        <v>79</v>
      </c>
      <c r="G218" s="3">
        <v>0.89379426399999995</v>
      </c>
      <c r="H218" s="3">
        <v>0.82334827899999996</v>
      </c>
      <c r="I218" s="3">
        <v>2.8028925E-2</v>
      </c>
      <c r="J218" s="3">
        <v>25.876877910000001</v>
      </c>
      <c r="K218" s="3">
        <v>8.9376883000000004E-2</v>
      </c>
      <c r="L218" s="3">
        <v>0.133824265</v>
      </c>
      <c r="M218" s="3">
        <v>1</v>
      </c>
      <c r="N218" s="3">
        <v>0.17996078900000001</v>
      </c>
      <c r="O218" s="3">
        <v>2.9069013000000001E-2</v>
      </c>
      <c r="P218" s="3">
        <v>4.8057743999999999E-2</v>
      </c>
      <c r="Q218" s="3">
        <v>0.102008243</v>
      </c>
      <c r="R218" s="3">
        <v>0.32524084399999997</v>
      </c>
      <c r="S218" s="3">
        <v>0.42538850700000003</v>
      </c>
      <c r="T218" s="3">
        <v>2.5091746439999998</v>
      </c>
      <c r="U218" s="3">
        <v>0.71503270699999999</v>
      </c>
      <c r="V218" s="3">
        <v>0.332154593</v>
      </c>
      <c r="W218" s="3">
        <v>-0.28205577100000001</v>
      </c>
      <c r="X218" s="3">
        <v>-1158.9550300000001</v>
      </c>
      <c r="Y218" s="3">
        <v>3484.713025</v>
      </c>
      <c r="Z218" s="3">
        <v>3.5091746439999998</v>
      </c>
      <c r="AA218" s="3">
        <v>0.133824265</v>
      </c>
      <c r="AB218" s="3">
        <v>3.592518562</v>
      </c>
      <c r="AC218" s="3">
        <v>4108.9569769999998</v>
      </c>
      <c r="AD218" s="3">
        <v>0.197937585</v>
      </c>
      <c r="AE218" s="3">
        <v>0.94881935299999998</v>
      </c>
      <c r="AF218" s="4">
        <v>41400</v>
      </c>
      <c r="AG218" s="5">
        <f>YEAR(AF218)</f>
        <v>2013</v>
      </c>
      <c r="AH218" s="5" t="str">
        <f>"Q"&amp;ROUNDUP(MONTH(AF218)/3,0)</f>
        <v>Q2</v>
      </c>
      <c r="AI218" s="5">
        <f>INDEX(RatingLookup!$B$2:$B$11,MATCH(A218,RatingLookup!$A$2:$A$11,0))</f>
        <v>7</v>
      </c>
      <c r="AJ218" s="5" t="str">
        <f>INDEX(RatingLookup!$C$2:$C$11,MATCH(A218,RatingLookup!$A$2:$A$11,0))</f>
        <v>Investment Grade</v>
      </c>
    </row>
    <row r="219" spans="1:36" x14ac:dyDescent="0.3">
      <c r="A219" s="3" t="s">
        <v>36</v>
      </c>
      <c r="B219" s="3" t="s">
        <v>330</v>
      </c>
      <c r="C219" s="3" t="s">
        <v>331</v>
      </c>
      <c r="D219" s="3" t="s">
        <v>60</v>
      </c>
      <c r="E219" s="3" t="s">
        <v>134</v>
      </c>
      <c r="F219" s="3" t="s">
        <v>79</v>
      </c>
      <c r="G219" s="3">
        <v>0.87528283399999995</v>
      </c>
      <c r="H219" s="3">
        <v>0.269337671</v>
      </c>
      <c r="I219" s="3">
        <v>2.6016286E-2</v>
      </c>
      <c r="J219" s="3">
        <v>25.510716290000001</v>
      </c>
      <c r="K219" s="3">
        <v>0.101142261</v>
      </c>
      <c r="L219" s="3">
        <v>0.153471529</v>
      </c>
      <c r="M219" s="3">
        <v>1</v>
      </c>
      <c r="N219" s="3">
        <v>0.19932213400000001</v>
      </c>
      <c r="O219" s="3">
        <v>2.7296111000000001E-2</v>
      </c>
      <c r="P219" s="3">
        <v>4.4966379000000001E-2</v>
      </c>
      <c r="Q219" s="3">
        <v>0.10193216500000001</v>
      </c>
      <c r="R219" s="3">
        <v>0.26987839299999999</v>
      </c>
      <c r="S219" s="3">
        <v>0.33819513299999998</v>
      </c>
      <c r="T219" s="3">
        <v>2.7343109409999999</v>
      </c>
      <c r="U219" s="3">
        <v>0.73221298000000001</v>
      </c>
      <c r="V219" s="3">
        <v>0.34097052900000002</v>
      </c>
      <c r="W219" s="3">
        <v>-6.6589478999999993E-2</v>
      </c>
      <c r="X219" s="3">
        <v>-399.47601580000003</v>
      </c>
      <c r="Y219" s="3">
        <v>193.1272774</v>
      </c>
      <c r="Z219" s="3">
        <v>3.7343109409999999</v>
      </c>
      <c r="AA219" s="3">
        <v>0.153471529</v>
      </c>
      <c r="AB219" s="3">
        <v>3.9377907849999998</v>
      </c>
      <c r="AC219" s="3">
        <v>5999.0860739999998</v>
      </c>
      <c r="AD219" s="3">
        <v>0.274810569</v>
      </c>
      <c r="AE219" s="3">
        <v>0.73568819399999996</v>
      </c>
      <c r="AF219" s="4">
        <v>42703</v>
      </c>
      <c r="AG219" s="5">
        <f>YEAR(AF219)</f>
        <v>2016</v>
      </c>
      <c r="AH219" s="5" t="str">
        <f>"Q"&amp;ROUNDUP(MONTH(AF219)/3,0)</f>
        <v>Q4</v>
      </c>
      <c r="AI219" s="5">
        <f>INDEX(RatingLookup!$B$2:$B$11,MATCH(A219,RatingLookup!$A$2:$A$11,0))</f>
        <v>8</v>
      </c>
      <c r="AJ219" s="5" t="str">
        <f>INDEX(RatingLookup!$C$2:$C$11,MATCH(A219,RatingLookup!$A$2:$A$11,0))</f>
        <v>Investment Grade</v>
      </c>
    </row>
    <row r="220" spans="1:36" x14ac:dyDescent="0.3">
      <c r="A220" s="3" t="s">
        <v>92</v>
      </c>
      <c r="B220" s="3" t="s">
        <v>336</v>
      </c>
      <c r="C220" s="3" t="s">
        <v>49</v>
      </c>
      <c r="D220" s="3" t="s">
        <v>39</v>
      </c>
      <c r="E220" s="3" t="s">
        <v>247</v>
      </c>
      <c r="F220" s="3" t="s">
        <v>219</v>
      </c>
      <c r="G220" s="3">
        <v>1.0673876870000001</v>
      </c>
      <c r="H220" s="3">
        <v>0.44134775399999998</v>
      </c>
      <c r="I220" s="3">
        <v>0.23169717100000001</v>
      </c>
      <c r="J220" s="3">
        <v>16.426466649999998</v>
      </c>
      <c r="K220" s="3">
        <v>-7.7060452000000002E-2</v>
      </c>
      <c r="L220" s="3">
        <v>-4.1164390000000002E-2</v>
      </c>
      <c r="M220" s="3">
        <v>0.19287436399999999</v>
      </c>
      <c r="N220" s="3">
        <v>-5.9826769999999996E-3</v>
      </c>
      <c r="O220" s="3">
        <v>-5.2580271999999997E-2</v>
      </c>
      <c r="P220" s="3">
        <v>-1.3634092E-2</v>
      </c>
      <c r="Q220" s="3">
        <v>-9.1400126999999998E-2</v>
      </c>
      <c r="R220" s="3">
        <v>0.68232498600000002</v>
      </c>
      <c r="S220" s="3">
        <v>1.1926517569999999</v>
      </c>
      <c r="T220" s="3">
        <v>0.518957848</v>
      </c>
      <c r="U220" s="3">
        <v>0.29854383699999998</v>
      </c>
      <c r="V220" s="3">
        <v>-0.87201735400000002</v>
      </c>
      <c r="W220" s="3">
        <v>0.55314285699999999</v>
      </c>
      <c r="X220" s="3">
        <v>2.646699108</v>
      </c>
      <c r="Y220" s="3">
        <v>3.0458913289999998</v>
      </c>
      <c r="Z220" s="3">
        <v>1.738296971</v>
      </c>
      <c r="AA220" s="3">
        <v>-1.7055094E-2</v>
      </c>
      <c r="AB220" s="3">
        <v>4.8758404899999999</v>
      </c>
      <c r="AC220" s="3">
        <v>4.7848382640000002</v>
      </c>
      <c r="AD220" s="3">
        <v>7.8131976000000006E-2</v>
      </c>
      <c r="AE220" s="3">
        <v>6.5547498190000004</v>
      </c>
      <c r="AF220" s="4">
        <v>42291</v>
      </c>
      <c r="AG220" s="5">
        <f>YEAR(AF220)</f>
        <v>2015</v>
      </c>
      <c r="AH220" s="5" t="str">
        <f>"Q"&amp;ROUNDUP(MONTH(AF220)/3,0)</f>
        <v>Q4</v>
      </c>
      <c r="AI220" s="5">
        <f>INDEX(RatingLookup!$B$2:$B$11,MATCH(A220,RatingLookup!$A$2:$A$11,0))</f>
        <v>6</v>
      </c>
      <c r="AJ220" s="5" t="str">
        <f>INDEX(RatingLookup!$C$2:$C$11,MATCH(A220,RatingLookup!$A$2:$A$11,0))</f>
        <v>Speculative Grade</v>
      </c>
    </row>
    <row r="221" spans="1:36" x14ac:dyDescent="0.3">
      <c r="A221" s="3" t="s">
        <v>49</v>
      </c>
      <c r="B221" s="3" t="s">
        <v>337</v>
      </c>
      <c r="C221" s="3" t="s">
        <v>338</v>
      </c>
      <c r="D221" s="3" t="s">
        <v>39</v>
      </c>
      <c r="E221" s="3" t="s">
        <v>339</v>
      </c>
      <c r="F221" s="3" t="s">
        <v>113</v>
      </c>
      <c r="G221" s="3">
        <v>2.4070872209999998</v>
      </c>
      <c r="H221" s="3">
        <v>0.58011640799999997</v>
      </c>
      <c r="I221" s="3">
        <v>9.3426345999999993E-2</v>
      </c>
      <c r="J221" s="3">
        <v>66.208611200000007</v>
      </c>
      <c r="K221" s="3">
        <v>0.42654699099999999</v>
      </c>
      <c r="L221" s="3">
        <v>0.30466811399999999</v>
      </c>
      <c r="M221" s="3">
        <v>0.81416718399999999</v>
      </c>
      <c r="N221" s="3">
        <v>0.30466811399999999</v>
      </c>
      <c r="O221" s="3">
        <v>0.127849344</v>
      </c>
      <c r="P221" s="3">
        <v>0.105664437</v>
      </c>
      <c r="Q221" s="3">
        <v>0.28834838200000001</v>
      </c>
      <c r="R221" s="3">
        <v>0.29973097199999998</v>
      </c>
      <c r="S221" s="3">
        <v>4.1610066950000002</v>
      </c>
      <c r="T221" s="3">
        <v>1.2553763090000001</v>
      </c>
      <c r="U221" s="3">
        <v>0.55661501099999999</v>
      </c>
      <c r="V221" s="3">
        <v>0.27398829200000002</v>
      </c>
      <c r="W221" s="3">
        <v>0.91753447799999999</v>
      </c>
      <c r="X221" s="3">
        <v>2.392484955</v>
      </c>
      <c r="Y221" s="3">
        <v>0.61617496000000005</v>
      </c>
      <c r="Z221" s="3">
        <v>2.2553763089999999</v>
      </c>
      <c r="AA221" s="3">
        <v>0.30466811399999999</v>
      </c>
      <c r="AB221" s="3">
        <v>10.861233840000001</v>
      </c>
      <c r="AC221" s="3">
        <v>2.607515045</v>
      </c>
      <c r="AD221" s="3">
        <v>0.34438973299999998</v>
      </c>
      <c r="AE221" s="3">
        <v>2.964131107</v>
      </c>
      <c r="AF221" s="4">
        <v>41627</v>
      </c>
      <c r="AG221" s="5">
        <f>YEAR(AF221)</f>
        <v>2013</v>
      </c>
      <c r="AH221" s="5" t="str">
        <f>"Q"&amp;ROUNDUP(MONTH(AF221)/3,0)</f>
        <v>Q4</v>
      </c>
      <c r="AI221" s="5">
        <f>INDEX(RatingLookup!$B$2:$B$11,MATCH(A221,RatingLookup!$A$2:$A$11,0))</f>
        <v>9</v>
      </c>
      <c r="AJ221" s="5" t="str">
        <f>INDEX(RatingLookup!$C$2:$C$11,MATCH(A221,RatingLookup!$A$2:$A$11,0))</f>
        <v>Investment Grade</v>
      </c>
    </row>
    <row r="222" spans="1:36" x14ac:dyDescent="0.3">
      <c r="A222" s="3" t="s">
        <v>36</v>
      </c>
      <c r="B222" s="3" t="s">
        <v>337</v>
      </c>
      <c r="C222" s="3" t="s">
        <v>338</v>
      </c>
      <c r="D222" s="3" t="s">
        <v>39</v>
      </c>
      <c r="E222" s="3" t="s">
        <v>340</v>
      </c>
      <c r="F222" s="3" t="s">
        <v>113</v>
      </c>
      <c r="G222" s="3">
        <v>1.4899826519999999</v>
      </c>
      <c r="H222" s="3">
        <v>1.0703085139999999</v>
      </c>
      <c r="I222" s="3">
        <v>0.12384775000000001</v>
      </c>
      <c r="J222" s="3">
        <v>61.088616399999999</v>
      </c>
      <c r="K222" s="3">
        <v>0.14247405399999999</v>
      </c>
      <c r="L222" s="3">
        <v>0.18351722600000001</v>
      </c>
      <c r="M222" s="3">
        <v>0.80250148399999999</v>
      </c>
      <c r="N222" s="3">
        <v>0.18351722600000001</v>
      </c>
      <c r="O222" s="3">
        <v>4.1562163999999999E-2</v>
      </c>
      <c r="P222" s="3">
        <v>6.4935065E-2</v>
      </c>
      <c r="Q222" s="3">
        <v>0.107540173</v>
      </c>
      <c r="R222" s="3">
        <v>0.29171742499999997</v>
      </c>
      <c r="S222" s="3">
        <v>3.5486706379999999</v>
      </c>
      <c r="T222" s="3">
        <v>1.5874536459999999</v>
      </c>
      <c r="U222" s="3">
        <v>0.61351964599999997</v>
      </c>
      <c r="V222" s="3">
        <v>0.22197434499999999</v>
      </c>
      <c r="W222" s="3">
        <v>0.89691290000000001</v>
      </c>
      <c r="X222" s="3">
        <v>2.1075129530000001</v>
      </c>
      <c r="Y222" s="3">
        <v>3.7710492229999999</v>
      </c>
      <c r="Z222" s="3">
        <v>2.5874536460000002</v>
      </c>
      <c r="AA222" s="3">
        <v>0.18351722600000001</v>
      </c>
      <c r="AB222" s="3">
        <v>15.380487179999999</v>
      </c>
      <c r="AC222" s="3">
        <v>2.3497409330000001</v>
      </c>
      <c r="AD222" s="3">
        <v>0.29706659000000002</v>
      </c>
      <c r="AE222" s="3">
        <v>2.6651933699999999</v>
      </c>
      <c r="AF222" s="4">
        <v>42306</v>
      </c>
      <c r="AG222" s="5">
        <f>YEAR(AF222)</f>
        <v>2015</v>
      </c>
      <c r="AH222" s="5" t="str">
        <f>"Q"&amp;ROUNDUP(MONTH(AF222)/3,0)</f>
        <v>Q4</v>
      </c>
      <c r="AI222" s="5">
        <f>INDEX(RatingLookup!$B$2:$B$11,MATCH(A222,RatingLookup!$A$2:$A$11,0))</f>
        <v>8</v>
      </c>
      <c r="AJ222" s="5" t="str">
        <f>INDEX(RatingLookup!$C$2:$C$11,MATCH(A222,RatingLookup!$A$2:$A$11,0))</f>
        <v>Investment Grade</v>
      </c>
    </row>
    <row r="223" spans="1:36" x14ac:dyDescent="0.3">
      <c r="A223" s="3" t="s">
        <v>49</v>
      </c>
      <c r="B223" s="3" t="s">
        <v>337</v>
      </c>
      <c r="C223" s="3" t="s">
        <v>338</v>
      </c>
      <c r="D223" s="3" t="s">
        <v>39</v>
      </c>
      <c r="E223" s="3" t="s">
        <v>341</v>
      </c>
      <c r="F223" s="3" t="s">
        <v>113</v>
      </c>
      <c r="G223" s="3">
        <v>2.667560446</v>
      </c>
      <c r="H223" s="3">
        <v>2.0706855900000001</v>
      </c>
      <c r="I223" s="3">
        <v>0.154546715</v>
      </c>
      <c r="J223" s="3">
        <v>63.787622220000003</v>
      </c>
      <c r="K223" s="3">
        <v>0.184154823</v>
      </c>
      <c r="L223" s="3">
        <v>0.24674931999999999</v>
      </c>
      <c r="M223" s="3">
        <v>0.80693478500000004</v>
      </c>
      <c r="N223" s="3">
        <v>0.24674931999999999</v>
      </c>
      <c r="O223" s="3">
        <v>5.3965760000000002E-2</v>
      </c>
      <c r="P223" s="3">
        <v>8.2902676999999994E-2</v>
      </c>
      <c r="Q223" s="3">
        <v>0.12811881999999999</v>
      </c>
      <c r="R223" s="3">
        <v>0.29304559499999999</v>
      </c>
      <c r="S223" s="3">
        <v>4.2173950009999999</v>
      </c>
      <c r="T223" s="3">
        <v>1.3740760999999999</v>
      </c>
      <c r="U223" s="3">
        <v>0.57878351100000003</v>
      </c>
      <c r="V223" s="3">
        <v>0.25490196100000001</v>
      </c>
      <c r="W223" s="3">
        <v>0.90623704299999996</v>
      </c>
      <c r="X223" s="3">
        <v>2.410967539</v>
      </c>
      <c r="Y223" s="3">
        <v>5.6920895050000002</v>
      </c>
      <c r="Z223" s="3">
        <v>2.3740760999999999</v>
      </c>
      <c r="AA223" s="3">
        <v>0.24674931999999999</v>
      </c>
      <c r="AB223" s="3">
        <v>12.91114924</v>
      </c>
      <c r="AC223" s="3">
        <v>2.6604160100000001</v>
      </c>
      <c r="AD223" s="3">
        <v>0.340348755</v>
      </c>
      <c r="AE223" s="3">
        <v>2.784011628</v>
      </c>
      <c r="AF223" s="4">
        <v>41898</v>
      </c>
      <c r="AG223" s="5">
        <f>YEAR(AF223)</f>
        <v>2014</v>
      </c>
      <c r="AH223" s="5" t="str">
        <f>"Q"&amp;ROUNDUP(MONTH(AF223)/3,0)</f>
        <v>Q3</v>
      </c>
      <c r="AI223" s="5">
        <f>INDEX(RatingLookup!$B$2:$B$11,MATCH(A223,RatingLookup!$A$2:$A$11,0))</f>
        <v>9</v>
      </c>
      <c r="AJ223" s="5" t="str">
        <f>INDEX(RatingLookup!$C$2:$C$11,MATCH(A223,RatingLookup!$A$2:$A$11,0))</f>
        <v>Investment Grade</v>
      </c>
    </row>
    <row r="224" spans="1:36" x14ac:dyDescent="0.3">
      <c r="A224" s="3" t="s">
        <v>36</v>
      </c>
      <c r="B224" s="3" t="s">
        <v>337</v>
      </c>
      <c r="C224" s="3" t="s">
        <v>338</v>
      </c>
      <c r="D224" s="3" t="s">
        <v>60</v>
      </c>
      <c r="E224" s="3" t="s">
        <v>46</v>
      </c>
      <c r="F224" s="3" t="s">
        <v>113</v>
      </c>
      <c r="G224" s="3">
        <v>2.0566461220000001</v>
      </c>
      <c r="H224" s="3">
        <v>1.43809897</v>
      </c>
      <c r="I224" s="3">
        <v>0.126082155</v>
      </c>
      <c r="J224" s="3">
        <v>73.665850950000006</v>
      </c>
      <c r="K224" s="3">
        <v>0.14844642199999999</v>
      </c>
      <c r="L224" s="3">
        <v>0.18927697399999999</v>
      </c>
      <c r="M224" s="3">
        <v>0.77626993</v>
      </c>
      <c r="N224" s="3">
        <v>0.18927697399999999</v>
      </c>
      <c r="O224" s="3">
        <v>5.3238794999999998E-2</v>
      </c>
      <c r="P224" s="3">
        <v>7.9795914999999995E-2</v>
      </c>
      <c r="Q224" s="3">
        <v>0.121778805</v>
      </c>
      <c r="R224" s="3">
        <v>0.35863980200000001</v>
      </c>
      <c r="S224" s="3">
        <v>3.9806942969999999</v>
      </c>
      <c r="T224" s="3">
        <v>1.2874072270000001</v>
      </c>
      <c r="U224" s="3">
        <v>0.56282379999999999</v>
      </c>
      <c r="V224" s="3">
        <v>0.31523272200000002</v>
      </c>
      <c r="W224" s="3">
        <v>0.91798418999999998</v>
      </c>
      <c r="X224" s="3">
        <v>2.3768709220000002</v>
      </c>
      <c r="Y224" s="3">
        <v>3.4230523220000002</v>
      </c>
      <c r="Z224" s="3">
        <v>2.2874072270000001</v>
      </c>
      <c r="AA224" s="3">
        <v>0.18927697399999999</v>
      </c>
      <c r="AB224" s="3">
        <v>9.1834431799999994</v>
      </c>
      <c r="AC224" s="3">
        <v>2.5892286040000001</v>
      </c>
      <c r="AD224" s="3">
        <v>0.30018539100000002</v>
      </c>
      <c r="AE224" s="3">
        <v>3.9324817520000002</v>
      </c>
      <c r="AF224" s="4">
        <v>41075</v>
      </c>
      <c r="AG224" s="5">
        <f>YEAR(AF224)</f>
        <v>2012</v>
      </c>
      <c r="AH224" s="5" t="str">
        <f>"Q"&amp;ROUNDUP(MONTH(AF224)/3,0)</f>
        <v>Q2</v>
      </c>
      <c r="AI224" s="5">
        <f>INDEX(RatingLookup!$B$2:$B$11,MATCH(A224,RatingLookup!$A$2:$A$11,0))</f>
        <v>8</v>
      </c>
      <c r="AJ224" s="5" t="str">
        <f>INDEX(RatingLookup!$C$2:$C$11,MATCH(A224,RatingLookup!$A$2:$A$11,0))</f>
        <v>Investment Grade</v>
      </c>
    </row>
    <row r="225" spans="1:36" x14ac:dyDescent="0.3">
      <c r="A225" s="3" t="s">
        <v>42</v>
      </c>
      <c r="B225" s="3" t="s">
        <v>342</v>
      </c>
      <c r="C225" s="3" t="s">
        <v>343</v>
      </c>
      <c r="D225" s="3" t="s">
        <v>39</v>
      </c>
      <c r="E225" s="3" t="s">
        <v>344</v>
      </c>
      <c r="F225" s="3" t="s">
        <v>215</v>
      </c>
      <c r="G225" s="3">
        <v>1.2740233999999999</v>
      </c>
      <c r="H225" s="3">
        <v>0.76305428600000003</v>
      </c>
      <c r="I225" s="3">
        <v>0.40749813200000001</v>
      </c>
      <c r="J225" s="3">
        <v>44.316161600000001</v>
      </c>
      <c r="K225" s="3">
        <v>3.6913981999999998E-2</v>
      </c>
      <c r="L225" s="3">
        <v>8.2728049999999997E-2</v>
      </c>
      <c r="M225" s="3">
        <v>0.97274435999999997</v>
      </c>
      <c r="N225" s="3">
        <v>3.6913981999999998E-2</v>
      </c>
      <c r="O225" s="3">
        <v>2.1089792E-2</v>
      </c>
      <c r="P225" s="3">
        <v>7.0431531000000006E-2</v>
      </c>
      <c r="Q225" s="3">
        <v>0.75813548600000003</v>
      </c>
      <c r="R225" s="3">
        <v>0.57132257900000005</v>
      </c>
      <c r="S225" s="3">
        <v>15.78245796</v>
      </c>
      <c r="T225" s="3">
        <v>34.947983839999999</v>
      </c>
      <c r="U225" s="3">
        <v>0.97218202799999998</v>
      </c>
      <c r="V225" s="3">
        <v>0.25950304299999999</v>
      </c>
      <c r="W225" s="3">
        <v>0.77991882499999998</v>
      </c>
      <c r="X225" s="3">
        <v>2.4170543709999999</v>
      </c>
      <c r="Y225" s="3">
        <v>6.1012528890000004</v>
      </c>
      <c r="Z225" s="3">
        <v>35.947983839999999</v>
      </c>
      <c r="AA225" s="3">
        <v>8.2728049999999997E-2</v>
      </c>
      <c r="AB225" s="3">
        <v>21.606004609999999</v>
      </c>
      <c r="AC225" s="3">
        <v>3.0991101809999999</v>
      </c>
      <c r="AD225" s="3">
        <v>0.161478224</v>
      </c>
      <c r="AE225" s="3">
        <v>6.4127540999999996E-2</v>
      </c>
      <c r="AF225" s="4">
        <v>41787</v>
      </c>
      <c r="AG225" s="5">
        <f>YEAR(AF225)</f>
        <v>2014</v>
      </c>
      <c r="AH225" s="5" t="str">
        <f>"Q"&amp;ROUNDUP(MONTH(AF225)/3,0)</f>
        <v>Q2</v>
      </c>
      <c r="AI225" s="5">
        <f>INDEX(RatingLookup!$B$2:$B$11,MATCH(A225,RatingLookup!$A$2:$A$11,0))</f>
        <v>7</v>
      </c>
      <c r="AJ225" s="5" t="str">
        <f>INDEX(RatingLookup!$C$2:$C$11,MATCH(A225,RatingLookup!$A$2:$A$11,0))</f>
        <v>Investment Grade</v>
      </c>
    </row>
    <row r="226" spans="1:36" x14ac:dyDescent="0.3">
      <c r="A226" s="3" t="s">
        <v>42</v>
      </c>
      <c r="B226" s="3" t="s">
        <v>342</v>
      </c>
      <c r="C226" s="3" t="s">
        <v>343</v>
      </c>
      <c r="D226" s="3" t="s">
        <v>39</v>
      </c>
      <c r="E226" s="3" t="s">
        <v>345</v>
      </c>
      <c r="F226" s="3" t="s">
        <v>215</v>
      </c>
      <c r="G226" s="3">
        <v>1.1692337150000001</v>
      </c>
      <c r="H226" s="3">
        <v>0.64601717400000003</v>
      </c>
      <c r="I226" s="3">
        <v>0.45714415200000003</v>
      </c>
      <c r="J226" s="3">
        <v>39.516903550000002</v>
      </c>
      <c r="K226" s="3">
        <v>8.7336032999999993E-2</v>
      </c>
      <c r="L226" s="3">
        <v>0.112834109</v>
      </c>
      <c r="M226" s="3">
        <v>0.97452887700000002</v>
      </c>
      <c r="N226" s="3">
        <v>0.112834109</v>
      </c>
      <c r="O226" s="3">
        <v>5.1460191000000002E-2</v>
      </c>
      <c r="P226" s="3">
        <v>0.10453059000000001</v>
      </c>
      <c r="Q226" s="3">
        <v>4.3199497789999999</v>
      </c>
      <c r="R226" s="3">
        <v>0.58922061199999998</v>
      </c>
      <c r="S226" s="3">
        <v>13.404505929999999</v>
      </c>
      <c r="T226" s="3">
        <v>82.947410660000003</v>
      </c>
      <c r="U226" s="3">
        <v>0.98808777999999997</v>
      </c>
      <c r="V226" s="3">
        <v>0.26163276099999999</v>
      </c>
      <c r="W226" s="3">
        <v>0.724563175</v>
      </c>
      <c r="X226" s="3">
        <v>2.3514297599999998</v>
      </c>
      <c r="Y226" s="3">
        <v>5.5015347139999999</v>
      </c>
      <c r="Z226" s="3">
        <v>83.947410660000003</v>
      </c>
      <c r="AA226" s="3">
        <v>0.112834109</v>
      </c>
      <c r="AB226" s="3">
        <v>11.15017887</v>
      </c>
      <c r="AC226" s="3">
        <v>3.2453067450000002</v>
      </c>
      <c r="AD226" s="3">
        <v>0.17153612800000001</v>
      </c>
      <c r="AE226" s="3">
        <v>6.2446952E-2</v>
      </c>
      <c r="AF226" s="4">
        <v>41961</v>
      </c>
      <c r="AG226" s="5">
        <f>YEAR(AF226)</f>
        <v>2014</v>
      </c>
      <c r="AH226" s="5" t="str">
        <f>"Q"&amp;ROUNDUP(MONTH(AF226)/3,0)</f>
        <v>Q4</v>
      </c>
      <c r="AI226" s="5">
        <f>INDEX(RatingLookup!$B$2:$B$11,MATCH(A226,RatingLookup!$A$2:$A$11,0))</f>
        <v>7</v>
      </c>
      <c r="AJ226" s="5" t="str">
        <f>INDEX(RatingLookup!$C$2:$C$11,MATCH(A226,RatingLookup!$A$2:$A$11,0))</f>
        <v>Investment Grade</v>
      </c>
    </row>
    <row r="227" spans="1:36" x14ac:dyDescent="0.3">
      <c r="A227" s="3" t="s">
        <v>42</v>
      </c>
      <c r="B227" s="3" t="s">
        <v>342</v>
      </c>
      <c r="C227" s="3" t="s">
        <v>343</v>
      </c>
      <c r="D227" s="3" t="s">
        <v>47</v>
      </c>
      <c r="E227" s="3" t="s">
        <v>169</v>
      </c>
      <c r="F227" s="3" t="s">
        <v>215</v>
      </c>
      <c r="G227" s="3">
        <v>1.116470522</v>
      </c>
      <c r="H227" s="3">
        <v>0.70357593600000001</v>
      </c>
      <c r="I227" s="3">
        <v>0.31743630699999997</v>
      </c>
      <c r="J227" s="3">
        <v>54.202780779999998</v>
      </c>
      <c r="K227" s="3">
        <v>9.0775211999999994E-2</v>
      </c>
      <c r="L227" s="3">
        <v>9.2640009999999995E-2</v>
      </c>
      <c r="M227" s="3">
        <v>0.976477233</v>
      </c>
      <c r="N227" s="3">
        <v>9.0775211999999994E-2</v>
      </c>
      <c r="O227" s="3">
        <v>5.6637299000000002E-2</v>
      </c>
      <c r="P227" s="3">
        <v>9.1174254999999996E-2</v>
      </c>
      <c r="Q227" s="3">
        <v>4.0238540729999999</v>
      </c>
      <c r="R227" s="3">
        <v>0.623929136</v>
      </c>
      <c r="S227" s="3">
        <v>12.72524048</v>
      </c>
      <c r="T227" s="3">
        <v>70.046008799999996</v>
      </c>
      <c r="U227" s="3">
        <v>0.98592461399999998</v>
      </c>
      <c r="V227" s="3">
        <v>0.33084383299999998</v>
      </c>
      <c r="W227" s="3">
        <v>0.73252164500000005</v>
      </c>
      <c r="X227" s="3">
        <v>2.4133160999999999</v>
      </c>
      <c r="Y227" s="3">
        <v>6.4672412159999997</v>
      </c>
      <c r="Z227" s="3">
        <v>71.046008799999996</v>
      </c>
      <c r="AA227" s="3">
        <v>9.2640009999999995E-2</v>
      </c>
      <c r="AB227" s="3">
        <v>7.8558726390000002</v>
      </c>
      <c r="AC227" s="3">
        <v>3.2945321349999999</v>
      </c>
      <c r="AD227" s="3">
        <v>0.134621937</v>
      </c>
      <c r="AE227" s="3">
        <v>6.3759862E-2</v>
      </c>
      <c r="AF227" s="4">
        <v>41240</v>
      </c>
      <c r="AG227" s="5">
        <f>YEAR(AF227)</f>
        <v>2012</v>
      </c>
      <c r="AH227" s="5" t="str">
        <f>"Q"&amp;ROUNDUP(MONTH(AF227)/3,0)</f>
        <v>Q4</v>
      </c>
      <c r="AI227" s="5">
        <f>INDEX(RatingLookup!$B$2:$B$11,MATCH(A227,RatingLookup!$A$2:$A$11,0))</f>
        <v>7</v>
      </c>
      <c r="AJ227" s="5" t="str">
        <f>INDEX(RatingLookup!$C$2:$C$11,MATCH(A227,RatingLookup!$A$2:$A$11,0))</f>
        <v>Investment Grade</v>
      </c>
    </row>
    <row r="228" spans="1:36" x14ac:dyDescent="0.3">
      <c r="A228" s="3" t="s">
        <v>42</v>
      </c>
      <c r="B228" s="3" t="s">
        <v>342</v>
      </c>
      <c r="C228" s="3" t="s">
        <v>343</v>
      </c>
      <c r="D228" s="3" t="s">
        <v>39</v>
      </c>
      <c r="E228" s="3" t="s">
        <v>298</v>
      </c>
      <c r="F228" s="3" t="s">
        <v>215</v>
      </c>
      <c r="G228" s="3">
        <v>1.017883321</v>
      </c>
      <c r="H228" s="3">
        <v>0.53746274199999999</v>
      </c>
      <c r="I228" s="3">
        <v>0.28545082999999999</v>
      </c>
      <c r="J228" s="3">
        <v>46.652195599999999</v>
      </c>
      <c r="K228" s="3">
        <v>0.114012342</v>
      </c>
      <c r="L228" s="3">
        <v>0.170714018</v>
      </c>
      <c r="M228" s="3">
        <v>0.97647104900000004</v>
      </c>
      <c r="N228" s="3">
        <v>0.170714018</v>
      </c>
      <c r="O228" s="3">
        <v>6.6424421999999997E-2</v>
      </c>
      <c r="P228" s="3">
        <v>0.15814607999999999</v>
      </c>
      <c r="Q228" s="3">
        <v>2.2825689200000001</v>
      </c>
      <c r="R228" s="3">
        <v>0.582607298</v>
      </c>
      <c r="S228" s="3">
        <v>10.83971547</v>
      </c>
      <c r="T228" s="3">
        <v>33.36339882</v>
      </c>
      <c r="U228" s="3">
        <v>0.97089926999999998</v>
      </c>
      <c r="V228" s="3">
        <v>0.31069127800000002</v>
      </c>
      <c r="W228" s="3">
        <v>0.67680451699999999</v>
      </c>
      <c r="X228" s="3">
        <v>1.742987965</v>
      </c>
      <c r="Y228" s="3">
        <v>3.8410588739999998</v>
      </c>
      <c r="Z228" s="3">
        <v>34.36339882</v>
      </c>
      <c r="AA228" s="3">
        <v>0.170714018</v>
      </c>
      <c r="AB228" s="3">
        <v>7.9465824209999996</v>
      </c>
      <c r="AC228" s="3">
        <v>2.5753196389999999</v>
      </c>
      <c r="AD228" s="3">
        <v>0.14383185300000001</v>
      </c>
      <c r="AE228" s="3">
        <v>5.8127998E-2</v>
      </c>
      <c r="AF228" s="4">
        <v>42264</v>
      </c>
      <c r="AG228" s="5">
        <f>YEAR(AF228)</f>
        <v>2015</v>
      </c>
      <c r="AH228" s="5" t="str">
        <f>"Q"&amp;ROUNDUP(MONTH(AF228)/3,0)</f>
        <v>Q3</v>
      </c>
      <c r="AI228" s="5">
        <f>INDEX(RatingLookup!$B$2:$B$11,MATCH(A228,RatingLookup!$A$2:$A$11,0))</f>
        <v>7</v>
      </c>
      <c r="AJ228" s="5" t="str">
        <f>INDEX(RatingLookup!$C$2:$C$11,MATCH(A228,RatingLookup!$A$2:$A$11,0))</f>
        <v>Investment Grade</v>
      </c>
    </row>
    <row r="229" spans="1:36" x14ac:dyDescent="0.3">
      <c r="A229" s="3" t="s">
        <v>42</v>
      </c>
      <c r="B229" s="3" t="s">
        <v>342</v>
      </c>
      <c r="C229" s="3" t="s">
        <v>343</v>
      </c>
      <c r="D229" s="3" t="s">
        <v>60</v>
      </c>
      <c r="E229" s="3" t="s">
        <v>46</v>
      </c>
      <c r="F229" s="3" t="s">
        <v>215</v>
      </c>
      <c r="G229" s="3">
        <v>1.0543348960000001</v>
      </c>
      <c r="H229" s="3">
        <v>0.51517144000000004</v>
      </c>
      <c r="I229" s="3">
        <v>0.27693279999999998</v>
      </c>
      <c r="J229" s="3">
        <v>50.042866830000001</v>
      </c>
      <c r="K229" s="3">
        <v>0.116991861</v>
      </c>
      <c r="L229" s="3">
        <v>7.8492429000000002E-2</v>
      </c>
      <c r="M229" s="3">
        <v>0.97625509300000002</v>
      </c>
      <c r="N229" s="3">
        <v>7.8492429000000002E-2</v>
      </c>
      <c r="O229" s="3">
        <v>7.5791348999999994E-2</v>
      </c>
      <c r="P229" s="3">
        <v>8.1950775000000003E-2</v>
      </c>
      <c r="Q229" s="3">
        <v>-15.838506130000001</v>
      </c>
      <c r="R229" s="3">
        <v>0.64783437200000005</v>
      </c>
      <c r="S229" s="3">
        <v>13.059572530000001</v>
      </c>
      <c r="T229" s="3">
        <v>-209.97511929999999</v>
      </c>
      <c r="U229" s="3">
        <v>1.0047852589999999</v>
      </c>
      <c r="V229" s="3">
        <v>0.10762019</v>
      </c>
      <c r="W229" s="3">
        <v>0.83049208200000002</v>
      </c>
      <c r="X229" s="3">
        <v>3.7836822200000002</v>
      </c>
      <c r="Y229" s="3">
        <v>4.3035261619999998</v>
      </c>
      <c r="Z229" s="3">
        <v>-208.97511929999999</v>
      </c>
      <c r="AA229" s="3">
        <v>7.8492429000000002E-2</v>
      </c>
      <c r="AB229" s="3">
        <v>10.573115939999999</v>
      </c>
      <c r="AC229" s="3">
        <v>4.5559521920000003</v>
      </c>
      <c r="AD229" s="3">
        <v>0.17434587600000001</v>
      </c>
      <c r="AE229" s="3">
        <v>6.8094204000000005E-2</v>
      </c>
      <c r="AF229" s="4">
        <v>41075</v>
      </c>
      <c r="AG229" s="5">
        <f>YEAR(AF229)</f>
        <v>2012</v>
      </c>
      <c r="AH229" s="5" t="str">
        <f>"Q"&amp;ROUNDUP(MONTH(AF229)/3,0)</f>
        <v>Q2</v>
      </c>
      <c r="AI229" s="5">
        <f>INDEX(RatingLookup!$B$2:$B$11,MATCH(A229,RatingLookup!$A$2:$A$11,0))</f>
        <v>7</v>
      </c>
      <c r="AJ229" s="5" t="str">
        <f>INDEX(RatingLookup!$C$2:$C$11,MATCH(A229,RatingLookup!$A$2:$A$11,0))</f>
        <v>Investment Grade</v>
      </c>
    </row>
    <row r="230" spans="1:36" x14ac:dyDescent="0.3">
      <c r="A230" s="3" t="s">
        <v>42</v>
      </c>
      <c r="B230" s="3" t="s">
        <v>342</v>
      </c>
      <c r="C230" s="3" t="s">
        <v>343</v>
      </c>
      <c r="D230" s="3" t="s">
        <v>47</v>
      </c>
      <c r="E230" s="3" t="s">
        <v>250</v>
      </c>
      <c r="F230" s="3" t="s">
        <v>215</v>
      </c>
      <c r="G230" s="3">
        <v>0.99895343700000006</v>
      </c>
      <c r="H230" s="3">
        <v>0.540679982</v>
      </c>
      <c r="I230" s="3">
        <v>0.328456676</v>
      </c>
      <c r="J230" s="3">
        <v>48.807777610000002</v>
      </c>
      <c r="K230" s="3">
        <v>2.7242905000000001E-2</v>
      </c>
      <c r="L230" s="3">
        <v>7.2321907000000005E-2</v>
      </c>
      <c r="M230" s="3">
        <v>0.97767846000000003</v>
      </c>
      <c r="N230" s="3">
        <v>7.2321907000000005E-2</v>
      </c>
      <c r="O230" s="3">
        <v>1.5899072E-2</v>
      </c>
      <c r="P230" s="3">
        <v>7.0200603E-2</v>
      </c>
      <c r="Q230" s="3">
        <v>-0.89528265500000004</v>
      </c>
      <c r="R230" s="3">
        <v>0.58360414299999996</v>
      </c>
      <c r="S230" s="3">
        <v>10.828170739999999</v>
      </c>
      <c r="T230" s="3">
        <v>-57.31037044</v>
      </c>
      <c r="U230" s="3">
        <v>1.0177587180000001</v>
      </c>
      <c r="V230" s="3">
        <v>0.53504485099999999</v>
      </c>
      <c r="W230" s="3">
        <v>0.67223635199999998</v>
      </c>
      <c r="X230" s="3">
        <v>1.7550932450000001</v>
      </c>
      <c r="Y230" s="3">
        <v>4.2723669160000002</v>
      </c>
      <c r="Z230" s="3">
        <v>-56.31037044</v>
      </c>
      <c r="AA230" s="3">
        <v>7.2321907000000005E-2</v>
      </c>
      <c r="AB230" s="3">
        <v>13.06584937</v>
      </c>
      <c r="AC230" s="3">
        <v>2.6108276359999998</v>
      </c>
      <c r="AD230" s="3">
        <v>0.14404262300000001</v>
      </c>
      <c r="AE230" s="3">
        <v>5.5148524999999997E-2</v>
      </c>
      <c r="AF230" s="4">
        <v>42657</v>
      </c>
      <c r="AG230" s="5">
        <f>YEAR(AF230)</f>
        <v>2016</v>
      </c>
      <c r="AH230" s="5" t="str">
        <f>"Q"&amp;ROUNDUP(MONTH(AF230)/3,0)</f>
        <v>Q4</v>
      </c>
      <c r="AI230" s="5">
        <f>INDEX(RatingLookup!$B$2:$B$11,MATCH(A230,RatingLookup!$A$2:$A$11,0))</f>
        <v>7</v>
      </c>
      <c r="AJ230" s="5" t="str">
        <f>INDEX(RatingLookup!$C$2:$C$11,MATCH(A230,RatingLookup!$A$2:$A$11,0))</f>
        <v>Investment Grade</v>
      </c>
    </row>
    <row r="231" spans="1:36" x14ac:dyDescent="0.3">
      <c r="A231" s="3" t="s">
        <v>42</v>
      </c>
      <c r="B231" s="3" t="s">
        <v>342</v>
      </c>
      <c r="C231" s="3" t="s">
        <v>343</v>
      </c>
      <c r="D231" s="3" t="s">
        <v>47</v>
      </c>
      <c r="E231" s="3" t="s">
        <v>346</v>
      </c>
      <c r="F231" s="3" t="s">
        <v>215</v>
      </c>
      <c r="G231" s="3">
        <v>1.1780489270000001</v>
      </c>
      <c r="H231" s="3">
        <v>0.51187255200000004</v>
      </c>
      <c r="I231" s="3">
        <v>0.18968005299999999</v>
      </c>
      <c r="J231" s="3">
        <v>53.293223689999998</v>
      </c>
      <c r="K231" s="3">
        <v>5.3892223000000003E-2</v>
      </c>
      <c r="L231" s="3">
        <v>9.8534925999999995E-2</v>
      </c>
      <c r="M231" s="3">
        <v>0.50632302200000001</v>
      </c>
      <c r="N231" s="3">
        <v>9.8534925999999995E-2</v>
      </c>
      <c r="O231" s="3">
        <v>3.4625557000000001E-2</v>
      </c>
      <c r="P231" s="3">
        <v>9.0753261000000002E-2</v>
      </c>
      <c r="Q231" s="3">
        <v>-3.027293153</v>
      </c>
      <c r="R231" s="3">
        <v>0.64249635500000002</v>
      </c>
      <c r="S231" s="3">
        <v>12.72037815</v>
      </c>
      <c r="T231" s="3">
        <v>-88.429442640000005</v>
      </c>
      <c r="U231" s="3">
        <v>1.011437795</v>
      </c>
      <c r="V231" s="3">
        <v>0.38492116199999998</v>
      </c>
      <c r="W231" s="3">
        <v>0.87420794400000001</v>
      </c>
      <c r="X231" s="3">
        <v>4.0411277480000001</v>
      </c>
      <c r="Y231" s="3">
        <v>2.5002524660000001</v>
      </c>
      <c r="Z231" s="3">
        <v>-87.429442640000005</v>
      </c>
      <c r="AA231" s="3">
        <v>9.8534925999999995E-2</v>
      </c>
      <c r="AB231" s="3">
        <v>10.455327390000001</v>
      </c>
      <c r="AC231" s="3">
        <v>4.6226161350000003</v>
      </c>
      <c r="AD231" s="3">
        <v>0.17549611500000001</v>
      </c>
      <c r="AE231" s="3">
        <v>7.7503983999999998E-2</v>
      </c>
      <c r="AF231" s="4">
        <v>40451</v>
      </c>
      <c r="AG231" s="5">
        <f>YEAR(AF231)</f>
        <v>2010</v>
      </c>
      <c r="AH231" s="5" t="str">
        <f>"Q"&amp;ROUNDUP(MONTH(AF231)/3,0)</f>
        <v>Q3</v>
      </c>
      <c r="AI231" s="5">
        <f>INDEX(RatingLookup!$B$2:$B$11,MATCH(A231,RatingLookup!$A$2:$A$11,0))</f>
        <v>7</v>
      </c>
      <c r="AJ231" s="5" t="str">
        <f>INDEX(RatingLookup!$C$2:$C$11,MATCH(A231,RatingLookup!$A$2:$A$11,0))</f>
        <v>Investment Grade</v>
      </c>
    </row>
    <row r="232" spans="1:36" x14ac:dyDescent="0.3">
      <c r="A232" s="3" t="s">
        <v>36</v>
      </c>
      <c r="B232" s="3" t="s">
        <v>347</v>
      </c>
      <c r="C232" s="3" t="s">
        <v>348</v>
      </c>
      <c r="D232" s="3" t="s">
        <v>39</v>
      </c>
      <c r="E232" s="3" t="s">
        <v>349</v>
      </c>
      <c r="F232" s="3" t="s">
        <v>219</v>
      </c>
      <c r="G232" s="3">
        <v>1.7031914889999999</v>
      </c>
      <c r="H232" s="3">
        <v>1.4419803600000001</v>
      </c>
      <c r="I232" s="3">
        <v>1.0166121109999999</v>
      </c>
      <c r="J232" s="3">
        <v>37.729838030000003</v>
      </c>
      <c r="K232" s="3">
        <v>0.13693773100000001</v>
      </c>
      <c r="L232" s="3">
        <v>0.200990265</v>
      </c>
      <c r="M232" s="3">
        <v>0.28856159799999997</v>
      </c>
      <c r="N232" s="3">
        <v>0.249853139</v>
      </c>
      <c r="O232" s="3">
        <v>6.0532149E-2</v>
      </c>
      <c r="P232" s="3">
        <v>0.106990074</v>
      </c>
      <c r="Q232" s="3">
        <v>0.14101760799999999</v>
      </c>
      <c r="R232" s="3">
        <v>0.44204141800000002</v>
      </c>
      <c r="S232" s="3">
        <v>0.69386982699999999</v>
      </c>
      <c r="T232" s="3">
        <v>1.150113428</v>
      </c>
      <c r="U232" s="3">
        <v>0.49368896499999998</v>
      </c>
      <c r="V232" s="3">
        <v>0.31868476000000001</v>
      </c>
      <c r="W232" s="3">
        <v>0.61352505999999996</v>
      </c>
      <c r="X232" s="3">
        <v>8.2616773079999994</v>
      </c>
      <c r="Y232" s="3">
        <v>8.9057177099999993</v>
      </c>
      <c r="Z232" s="3">
        <v>2.3296316300000002</v>
      </c>
      <c r="AA232" s="3">
        <v>0.214606412</v>
      </c>
      <c r="AB232" s="3">
        <v>5.2463069769999997</v>
      </c>
      <c r="AC232" s="3">
        <v>13.465916630000001</v>
      </c>
      <c r="AD232" s="3">
        <v>0.40269385699999999</v>
      </c>
      <c r="AE232" s="3">
        <v>4.0816080890000004</v>
      </c>
      <c r="AF232" s="4">
        <v>42067</v>
      </c>
      <c r="AG232" s="5">
        <f>YEAR(AF232)</f>
        <v>2015</v>
      </c>
      <c r="AH232" s="5" t="str">
        <f>"Q"&amp;ROUNDUP(MONTH(AF232)/3,0)</f>
        <v>Q1</v>
      </c>
      <c r="AI232" s="5">
        <f>INDEX(RatingLookup!$B$2:$B$11,MATCH(A232,RatingLookup!$A$2:$A$11,0))</f>
        <v>8</v>
      </c>
      <c r="AJ232" s="5" t="str">
        <f>INDEX(RatingLookup!$C$2:$C$11,MATCH(A232,RatingLookup!$A$2:$A$11,0))</f>
        <v>Investment Grade</v>
      </c>
    </row>
    <row r="233" spans="1:36" x14ac:dyDescent="0.3">
      <c r="A233" s="3" t="s">
        <v>36</v>
      </c>
      <c r="B233" s="3" t="s">
        <v>347</v>
      </c>
      <c r="C233" s="3" t="s">
        <v>348</v>
      </c>
      <c r="D233" s="3" t="s">
        <v>47</v>
      </c>
      <c r="E233" s="3" t="s">
        <v>350</v>
      </c>
      <c r="F233" s="3" t="s">
        <v>219</v>
      </c>
      <c r="G233" s="3">
        <v>1.5191120840000001</v>
      </c>
      <c r="H233" s="3">
        <v>1.326995819</v>
      </c>
      <c r="I233" s="3">
        <v>0.93231136800000003</v>
      </c>
      <c r="J233" s="3">
        <v>39.215309079999997</v>
      </c>
      <c r="K233" s="3">
        <v>-2.4864337E-2</v>
      </c>
      <c r="L233" s="3">
        <v>3.6463870000000001E-3</v>
      </c>
      <c r="M233" s="3">
        <v>0.19839788699999999</v>
      </c>
      <c r="N233" s="3">
        <v>0.101955267</v>
      </c>
      <c r="O233" s="3">
        <v>-9.4578660000000005E-3</v>
      </c>
      <c r="P233" s="3">
        <v>1.075836E-2</v>
      </c>
      <c r="Q233" s="3">
        <v>-2.3186697999999999E-2</v>
      </c>
      <c r="R233" s="3">
        <v>0.38037875100000001</v>
      </c>
      <c r="S233" s="3">
        <v>0.57043418400000001</v>
      </c>
      <c r="T233" s="3">
        <v>1.270074165</v>
      </c>
      <c r="U233" s="3">
        <v>0.51806386800000004</v>
      </c>
      <c r="V233" s="3">
        <v>7.8188976380000001</v>
      </c>
      <c r="W233" s="3">
        <v>0.62735542600000005</v>
      </c>
      <c r="X233" s="3">
        <v>5.4189157659999996</v>
      </c>
      <c r="Y233" s="3">
        <v>6.7273411799999998</v>
      </c>
      <c r="Z233" s="3">
        <v>2.4515783560000002</v>
      </c>
      <c r="AA233" s="3">
        <v>2.5180166E-2</v>
      </c>
      <c r="AB233" s="3">
        <v>11.20347786</v>
      </c>
      <c r="AC233" s="3">
        <v>8.6377124429999999</v>
      </c>
      <c r="AD233" s="3">
        <v>0.35349852100000001</v>
      </c>
      <c r="AE233" s="3">
        <v>4.0351206819999996</v>
      </c>
      <c r="AF233" s="4">
        <v>42401</v>
      </c>
      <c r="AG233" s="5">
        <f>YEAR(AF233)</f>
        <v>2016</v>
      </c>
      <c r="AH233" s="5" t="str">
        <f>"Q"&amp;ROUNDUP(MONTH(AF233)/3,0)</f>
        <v>Q1</v>
      </c>
      <c r="AI233" s="5">
        <f>INDEX(RatingLookup!$B$2:$B$11,MATCH(A233,RatingLookup!$A$2:$A$11,0))</f>
        <v>8</v>
      </c>
      <c r="AJ233" s="5" t="str">
        <f>INDEX(RatingLookup!$C$2:$C$11,MATCH(A233,RatingLookup!$A$2:$A$11,0))</f>
        <v>Investment Grade</v>
      </c>
    </row>
    <row r="234" spans="1:36" x14ac:dyDescent="0.3">
      <c r="A234" s="3" t="s">
        <v>36</v>
      </c>
      <c r="B234" s="3" t="s">
        <v>347</v>
      </c>
      <c r="C234" s="3" t="s">
        <v>348</v>
      </c>
      <c r="D234" s="3" t="s">
        <v>39</v>
      </c>
      <c r="E234" s="3" t="s">
        <v>351</v>
      </c>
      <c r="F234" s="3" t="s">
        <v>219</v>
      </c>
      <c r="G234" s="3">
        <v>1.4042132979999999</v>
      </c>
      <c r="H234" s="3">
        <v>1.167412772</v>
      </c>
      <c r="I234" s="3">
        <v>0.67254772900000004</v>
      </c>
      <c r="J234" s="3">
        <v>48.553966109999998</v>
      </c>
      <c r="K234" s="3">
        <v>7.1622598999999995E-2</v>
      </c>
      <c r="L234" s="3">
        <v>0.119032264</v>
      </c>
      <c r="M234" s="3">
        <v>0.294444119</v>
      </c>
      <c r="N234" s="3">
        <v>0.14519942899999999</v>
      </c>
      <c r="O234" s="3">
        <v>3.3010583000000003E-2</v>
      </c>
      <c r="P234" s="3">
        <v>6.8847497999999993E-2</v>
      </c>
      <c r="Q234" s="3">
        <v>7.9871856000000005E-2</v>
      </c>
      <c r="R234" s="3">
        <v>0.46089619500000001</v>
      </c>
      <c r="S234" s="3">
        <v>0.72247871600000002</v>
      </c>
      <c r="T234" s="3">
        <v>1.253606765</v>
      </c>
      <c r="U234" s="3">
        <v>0.51810853400000001</v>
      </c>
      <c r="V234" s="3">
        <v>0.39829256299999999</v>
      </c>
      <c r="W234" s="3">
        <v>0.35418011999999999</v>
      </c>
      <c r="X234" s="3">
        <v>5.0021907700000003</v>
      </c>
      <c r="Y234" s="3">
        <v>7.6653487169999996</v>
      </c>
      <c r="Z234" s="3">
        <v>2.4195833150000001</v>
      </c>
      <c r="AA234" s="3">
        <v>0.12894021999999999</v>
      </c>
      <c r="AB234" s="3">
        <v>8.1641858949999992</v>
      </c>
      <c r="AC234" s="3">
        <v>14.123296270000001</v>
      </c>
      <c r="AD234" s="3">
        <v>0.39340642199999998</v>
      </c>
      <c r="AE234" s="3">
        <v>4.0222816400000001</v>
      </c>
      <c r="AF234" s="4">
        <v>41736</v>
      </c>
      <c r="AG234" s="5">
        <f>YEAR(AF234)</f>
        <v>2014</v>
      </c>
      <c r="AH234" s="5" t="str">
        <f>"Q"&amp;ROUNDUP(MONTH(AF234)/3,0)</f>
        <v>Q2</v>
      </c>
      <c r="AI234" s="5">
        <f>INDEX(RatingLookup!$B$2:$B$11,MATCH(A234,RatingLookup!$A$2:$A$11,0))</f>
        <v>8</v>
      </c>
      <c r="AJ234" s="5" t="str">
        <f>INDEX(RatingLookup!$C$2:$C$11,MATCH(A234,RatingLookup!$A$2:$A$11,0))</f>
        <v>Investment Grade</v>
      </c>
    </row>
    <row r="235" spans="1:36" x14ac:dyDescent="0.3">
      <c r="A235" s="3" t="s">
        <v>36</v>
      </c>
      <c r="B235" s="3" t="s">
        <v>347</v>
      </c>
      <c r="C235" s="3" t="s">
        <v>348</v>
      </c>
      <c r="D235" s="3" t="s">
        <v>60</v>
      </c>
      <c r="E235" s="3" t="s">
        <v>46</v>
      </c>
      <c r="F235" s="3" t="s">
        <v>219</v>
      </c>
      <c r="G235" s="3">
        <v>1.46656114</v>
      </c>
      <c r="H235" s="3">
        <v>1.2359846990000001</v>
      </c>
      <c r="I235" s="3">
        <v>0.64384645799999995</v>
      </c>
      <c r="J235" s="3">
        <v>48.856415929999997</v>
      </c>
      <c r="K235" s="3">
        <v>9.6400073000000003E-2</v>
      </c>
      <c r="L235" s="3">
        <v>0.20332402599999999</v>
      </c>
      <c r="M235" s="3">
        <v>0.40268301099999998</v>
      </c>
      <c r="N235" s="3">
        <v>0.231905368</v>
      </c>
      <c r="O235" s="3">
        <v>4.8563486000000003E-2</v>
      </c>
      <c r="P235" s="3">
        <v>0.121944947</v>
      </c>
      <c r="Q235" s="3">
        <v>0.111783751</v>
      </c>
      <c r="R235" s="3">
        <v>0.50377022400000004</v>
      </c>
      <c r="S235" s="3">
        <v>0.91184224400000002</v>
      </c>
      <c r="T235" s="3">
        <v>1.173738961</v>
      </c>
      <c r="U235" s="3">
        <v>0.509920767</v>
      </c>
      <c r="V235" s="3">
        <v>0.52587958099999998</v>
      </c>
      <c r="W235" s="3">
        <v>0.54460502</v>
      </c>
      <c r="X235" s="3">
        <v>9.8338534549999999</v>
      </c>
      <c r="Y235" s="3">
        <v>6.9574709400000003</v>
      </c>
      <c r="Z235" s="3">
        <v>2.3018065480000001</v>
      </c>
      <c r="AA235" s="3">
        <v>0.211518446</v>
      </c>
      <c r="AB235" s="3">
        <v>5.4804674760000003</v>
      </c>
      <c r="AC235" s="3">
        <v>18.056854220000002</v>
      </c>
      <c r="AD235" s="3">
        <v>0.45612846699999998</v>
      </c>
      <c r="AE235" s="3">
        <v>3.5136054419999998</v>
      </c>
      <c r="AF235" s="4">
        <v>41075</v>
      </c>
      <c r="AG235" s="5">
        <f>YEAR(AF235)</f>
        <v>2012</v>
      </c>
      <c r="AH235" s="5" t="str">
        <f>"Q"&amp;ROUNDUP(MONTH(AF235)/3,0)</f>
        <v>Q2</v>
      </c>
      <c r="AI235" s="5">
        <f>INDEX(RatingLookup!$B$2:$B$11,MATCH(A235,RatingLookup!$A$2:$A$11,0))</f>
        <v>8</v>
      </c>
      <c r="AJ235" s="5" t="str">
        <f>INDEX(RatingLookup!$C$2:$C$11,MATCH(A235,RatingLookup!$A$2:$A$11,0))</f>
        <v>Investment Grade</v>
      </c>
    </row>
    <row r="236" spans="1:36" x14ac:dyDescent="0.3">
      <c r="A236" s="3" t="s">
        <v>42</v>
      </c>
      <c r="B236" s="3" t="s">
        <v>352</v>
      </c>
      <c r="C236" s="3" t="s">
        <v>353</v>
      </c>
      <c r="D236" s="3" t="s">
        <v>39</v>
      </c>
      <c r="E236" s="3" t="s">
        <v>354</v>
      </c>
      <c r="F236" s="3" t="s">
        <v>79</v>
      </c>
      <c r="G236" s="3">
        <v>0.59349012199999995</v>
      </c>
      <c r="H236" s="3">
        <v>0.52037629399999996</v>
      </c>
      <c r="I236" s="3">
        <v>5.8325490000000002E-3</v>
      </c>
      <c r="J236" s="3">
        <v>51.786405260000002</v>
      </c>
      <c r="K236" s="3">
        <v>6.1589062E-2</v>
      </c>
      <c r="L236" s="3">
        <v>7.306849E-2</v>
      </c>
      <c r="M236" s="3">
        <v>0.64665290900000005</v>
      </c>
      <c r="N236" s="3">
        <v>0.171954942</v>
      </c>
      <c r="O236" s="3">
        <v>1.6378448E-2</v>
      </c>
      <c r="P236" s="3">
        <v>2.2912031999999999E-2</v>
      </c>
      <c r="Q236" s="3">
        <v>7.4541434000000004E-2</v>
      </c>
      <c r="R236" s="3">
        <v>0.265931113</v>
      </c>
      <c r="S236" s="3">
        <v>0.38409710200000002</v>
      </c>
      <c r="T236" s="3">
        <v>3.551190321</v>
      </c>
      <c r="U236" s="3">
        <v>0.78027726200000003</v>
      </c>
      <c r="V236" s="3">
        <v>0.41571050300000001</v>
      </c>
      <c r="W236" s="3">
        <v>6.5966501999999996E-2</v>
      </c>
      <c r="X236" s="3">
        <v>0.30244283199999999</v>
      </c>
      <c r="Y236" s="3">
        <v>2.275087649</v>
      </c>
      <c r="Z236" s="3">
        <v>4.551190321</v>
      </c>
      <c r="AA236" s="3">
        <v>7.306849E-2</v>
      </c>
      <c r="AB236" s="3">
        <v>9.7843536830000009</v>
      </c>
      <c r="AC236" s="3">
        <v>4.584794144</v>
      </c>
      <c r="AD236" s="3">
        <v>0.31316909599999998</v>
      </c>
      <c r="AE236" s="3">
        <v>3.7925703739999999</v>
      </c>
      <c r="AF236" s="4">
        <v>42222</v>
      </c>
      <c r="AG236" s="5">
        <f>YEAR(AF236)</f>
        <v>2015</v>
      </c>
      <c r="AH236" s="5" t="str">
        <f>"Q"&amp;ROUNDUP(MONTH(AF236)/3,0)</f>
        <v>Q3</v>
      </c>
      <c r="AI236" s="5">
        <f>INDEX(RatingLookup!$B$2:$B$11,MATCH(A236,RatingLookup!$A$2:$A$11,0))</f>
        <v>7</v>
      </c>
      <c r="AJ236" s="5" t="str">
        <f>INDEX(RatingLookup!$C$2:$C$11,MATCH(A236,RatingLookup!$A$2:$A$11,0))</f>
        <v>Investment Grade</v>
      </c>
    </row>
    <row r="237" spans="1:36" x14ac:dyDescent="0.3">
      <c r="A237" s="3" t="s">
        <v>355</v>
      </c>
      <c r="B237" s="3" t="s">
        <v>356</v>
      </c>
      <c r="C237" s="3" t="s">
        <v>357</v>
      </c>
      <c r="D237" s="3" t="s">
        <v>47</v>
      </c>
      <c r="E237" s="3" t="s">
        <v>358</v>
      </c>
      <c r="F237" s="3" t="s">
        <v>96</v>
      </c>
      <c r="G237" s="3">
        <v>2.7117620329999998</v>
      </c>
      <c r="H237" s="3">
        <v>2.5258037789999999</v>
      </c>
      <c r="I237" s="3">
        <v>0.101665019</v>
      </c>
      <c r="J237" s="3">
        <v>81.984225870000003</v>
      </c>
      <c r="K237" s="3">
        <v>0.28083854600000002</v>
      </c>
      <c r="L237" s="3">
        <v>8.5730066999999993E-2</v>
      </c>
      <c r="M237" s="3">
        <v>0.73989389699999997</v>
      </c>
      <c r="N237" s="3">
        <v>0.34379375499999998</v>
      </c>
      <c r="O237" s="3">
        <v>0.153498887</v>
      </c>
      <c r="P237" s="3">
        <v>6.3553430999999994E-2</v>
      </c>
      <c r="Q237" s="3">
        <v>0.27694315000000003</v>
      </c>
      <c r="R237" s="3">
        <v>0.54657342900000006</v>
      </c>
      <c r="S237" s="3">
        <v>7.7919127210000001</v>
      </c>
      <c r="T237" s="3">
        <v>0.80420297900000004</v>
      </c>
      <c r="U237" s="3">
        <v>0.44573863800000002</v>
      </c>
      <c r="V237" s="3">
        <v>0.77749475599999995</v>
      </c>
      <c r="W237" s="3">
        <v>0.85235667500000001</v>
      </c>
      <c r="X237" s="3">
        <v>2.9344477609999999</v>
      </c>
      <c r="Y237" s="3">
        <v>9.1966567159999997</v>
      </c>
      <c r="Z237" s="3">
        <v>1.804202979</v>
      </c>
      <c r="AA237" s="3">
        <v>8.5730066999999993E-2</v>
      </c>
      <c r="AB237" s="3">
        <v>9.1267652940000001</v>
      </c>
      <c r="AC237" s="3">
        <v>3.4427462690000001</v>
      </c>
      <c r="AD237" s="3">
        <v>0.37037084599999998</v>
      </c>
      <c r="AE237" s="3">
        <v>4.1940762219999996</v>
      </c>
      <c r="AF237" s="4">
        <v>41612</v>
      </c>
      <c r="AG237" s="5">
        <f>YEAR(AF237)</f>
        <v>2013</v>
      </c>
      <c r="AH237" s="5" t="str">
        <f>"Q"&amp;ROUNDUP(MONTH(AF237)/3,0)</f>
        <v>Q4</v>
      </c>
      <c r="AI237" s="5">
        <f>INDEX(RatingLookup!$B$2:$B$11,MATCH(A237,RatingLookup!$A$2:$A$11,0))</f>
        <v>10</v>
      </c>
      <c r="AJ237" s="5" t="str">
        <f>INDEX(RatingLookup!$C$2:$C$11,MATCH(A237,RatingLookup!$A$2:$A$11,0))</f>
        <v>Investment Grade</v>
      </c>
    </row>
    <row r="238" spans="1:36" x14ac:dyDescent="0.3">
      <c r="A238" s="3" t="s">
        <v>355</v>
      </c>
      <c r="B238" s="3" t="s">
        <v>356</v>
      </c>
      <c r="C238" s="3" t="s">
        <v>357</v>
      </c>
      <c r="D238" s="3" t="s">
        <v>47</v>
      </c>
      <c r="E238" s="3" t="s">
        <v>359</v>
      </c>
      <c r="F238" s="3" t="s">
        <v>96</v>
      </c>
      <c r="G238" s="3">
        <v>2.5013438159999999</v>
      </c>
      <c r="H238" s="3">
        <v>2.2951983629999999</v>
      </c>
      <c r="I238" s="3">
        <v>0.112218701</v>
      </c>
      <c r="J238" s="3">
        <v>69.848471900000007</v>
      </c>
      <c r="K238" s="3">
        <v>0.130294935</v>
      </c>
      <c r="L238" s="3">
        <v>7.8681342000000001E-2</v>
      </c>
      <c r="M238" s="3">
        <v>0.64695447699999997</v>
      </c>
      <c r="N238" s="3">
        <v>0.194069246</v>
      </c>
      <c r="O238" s="3">
        <v>6.9190741E-2</v>
      </c>
      <c r="P238" s="3">
        <v>5.8267716999999997E-2</v>
      </c>
      <c r="Q238" s="3">
        <v>0.152254536</v>
      </c>
      <c r="R238" s="3">
        <v>0.53103170399999999</v>
      </c>
      <c r="S238" s="3">
        <v>6.3525897770000004</v>
      </c>
      <c r="T238" s="3">
        <v>1.200504477</v>
      </c>
      <c r="U238" s="3">
        <v>0.54555875200000004</v>
      </c>
      <c r="V238" s="3">
        <v>0.85753089800000004</v>
      </c>
      <c r="W238" s="3">
        <v>0.79559834900000004</v>
      </c>
      <c r="X238" s="3">
        <v>2.8293995349999999</v>
      </c>
      <c r="Y238" s="3">
        <v>11.8045738</v>
      </c>
      <c r="Z238" s="3">
        <v>2.200504477</v>
      </c>
      <c r="AA238" s="3">
        <v>7.8681342000000001E-2</v>
      </c>
      <c r="AB238" s="3">
        <v>16.918888800000001</v>
      </c>
      <c r="AC238" s="3">
        <v>3.5563164970000001</v>
      </c>
      <c r="AD238" s="3">
        <v>0.31075016</v>
      </c>
      <c r="AE238" s="3">
        <v>5.0125929300000003</v>
      </c>
      <c r="AF238" s="4">
        <v>42234</v>
      </c>
      <c r="AG238" s="5">
        <f>YEAR(AF238)</f>
        <v>2015</v>
      </c>
      <c r="AH238" s="5" t="str">
        <f>"Q"&amp;ROUNDUP(MONTH(AF238)/3,0)</f>
        <v>Q3</v>
      </c>
      <c r="AI238" s="5">
        <f>INDEX(RatingLookup!$B$2:$B$11,MATCH(A238,RatingLookup!$A$2:$A$11,0))</f>
        <v>10</v>
      </c>
      <c r="AJ238" s="5" t="str">
        <f>INDEX(RatingLookup!$C$2:$C$11,MATCH(A238,RatingLookup!$A$2:$A$11,0))</f>
        <v>Investment Grade</v>
      </c>
    </row>
    <row r="239" spans="1:36" x14ac:dyDescent="0.3">
      <c r="A239" s="3" t="s">
        <v>355</v>
      </c>
      <c r="B239" s="3" t="s">
        <v>356</v>
      </c>
      <c r="C239" s="3" t="s">
        <v>357</v>
      </c>
      <c r="D239" s="3" t="s">
        <v>47</v>
      </c>
      <c r="E239" s="3" t="s">
        <v>360</v>
      </c>
      <c r="F239" s="3" t="s">
        <v>96</v>
      </c>
      <c r="G239" s="3">
        <v>2.5040219179999998</v>
      </c>
      <c r="H239" s="3">
        <v>2.3069150679999999</v>
      </c>
      <c r="I239" s="3">
        <v>0.190005479</v>
      </c>
      <c r="J239" s="3">
        <v>82.152637819999995</v>
      </c>
      <c r="K239" s="3">
        <v>0.25421210799999999</v>
      </c>
      <c r="L239" s="3">
        <v>8.2077091000000005E-2</v>
      </c>
      <c r="M239" s="3">
        <v>0.68981838699999998</v>
      </c>
      <c r="N239" s="3">
        <v>0.31968260900000001</v>
      </c>
      <c r="O239" s="3">
        <v>0.12805132699999999</v>
      </c>
      <c r="P239" s="3">
        <v>5.6224805000000003E-2</v>
      </c>
      <c r="Q239" s="3">
        <v>0.245856723</v>
      </c>
      <c r="R239" s="3">
        <v>0.50371844300000002</v>
      </c>
      <c r="S239" s="3">
        <v>6.6738144650000004</v>
      </c>
      <c r="T239" s="3">
        <v>0.91998574399999999</v>
      </c>
      <c r="U239" s="3">
        <v>0.47916279899999997</v>
      </c>
      <c r="V239" s="3">
        <v>0.80622983000000004</v>
      </c>
      <c r="W239" s="3">
        <v>0.82982222100000003</v>
      </c>
      <c r="X239" s="3">
        <v>3.2227979269999998</v>
      </c>
      <c r="Y239" s="3">
        <v>10.327629829999999</v>
      </c>
      <c r="Z239" s="3">
        <v>1.9199857440000001</v>
      </c>
      <c r="AA239" s="3">
        <v>8.2077091000000005E-2</v>
      </c>
      <c r="AB239" s="3">
        <v>11.33257772</v>
      </c>
      <c r="AC239" s="3">
        <v>3.88372093</v>
      </c>
      <c r="AD239" s="3">
        <v>0.371183767</v>
      </c>
      <c r="AE239" s="3">
        <v>3.6240581270000001</v>
      </c>
      <c r="AF239" s="4">
        <v>41871</v>
      </c>
      <c r="AG239" s="5">
        <f>YEAR(AF239)</f>
        <v>2014</v>
      </c>
      <c r="AH239" s="5" t="str">
        <f>"Q"&amp;ROUNDUP(MONTH(AF239)/3,0)</f>
        <v>Q3</v>
      </c>
      <c r="AI239" s="5">
        <f>INDEX(RatingLookup!$B$2:$B$11,MATCH(A239,RatingLookup!$A$2:$A$11,0))</f>
        <v>10</v>
      </c>
      <c r="AJ239" s="5" t="str">
        <f>INDEX(RatingLookup!$C$2:$C$11,MATCH(A239,RatingLookup!$A$2:$A$11,0))</f>
        <v>Investment Grade</v>
      </c>
    </row>
    <row r="240" spans="1:36" x14ac:dyDescent="0.3">
      <c r="A240" s="3" t="s">
        <v>355</v>
      </c>
      <c r="B240" s="3" t="s">
        <v>356</v>
      </c>
      <c r="C240" s="3" t="s">
        <v>357</v>
      </c>
      <c r="D240" s="3" t="s">
        <v>60</v>
      </c>
      <c r="E240" s="3" t="s">
        <v>320</v>
      </c>
      <c r="F240" s="3" t="s">
        <v>96</v>
      </c>
      <c r="G240" s="3">
        <v>2.6029123840000001</v>
      </c>
      <c r="H240" s="3">
        <v>2.4112824279999998</v>
      </c>
      <c r="I240" s="3">
        <v>0.212249143</v>
      </c>
      <c r="J240" s="3">
        <v>78.126229260000002</v>
      </c>
      <c r="K240" s="3">
        <v>0.230294481</v>
      </c>
      <c r="L240" s="3">
        <v>2.1702861E-2</v>
      </c>
      <c r="M240" s="3">
        <v>0.76221803200000005</v>
      </c>
      <c r="N240" s="3">
        <v>0.29519959800000001</v>
      </c>
      <c r="O240" s="3">
        <v>0.140000495</v>
      </c>
      <c r="P240" s="3">
        <v>1.8062155999999999E-2</v>
      </c>
      <c r="Q240" s="3">
        <v>0.25583533000000003</v>
      </c>
      <c r="R240" s="3">
        <v>0.60791945300000005</v>
      </c>
      <c r="S240" s="3">
        <v>8.9155883419999995</v>
      </c>
      <c r="T240" s="3">
        <v>0.82738875599999995</v>
      </c>
      <c r="U240" s="3">
        <v>0.452771066</v>
      </c>
      <c r="V240" s="3">
        <v>3.305625</v>
      </c>
      <c r="W240" s="3">
        <v>0.92711692899999998</v>
      </c>
      <c r="X240" s="3">
        <v>3.4922582179999999</v>
      </c>
      <c r="Y240" s="3">
        <v>7.5083373030000002</v>
      </c>
      <c r="Z240" s="3">
        <v>1.8273887559999999</v>
      </c>
      <c r="AA240" s="3">
        <v>2.1702861E-2</v>
      </c>
      <c r="AB240" s="3">
        <v>10.26540396</v>
      </c>
      <c r="AC240" s="3">
        <v>3.766793711</v>
      </c>
      <c r="AD240" s="3">
        <v>0.42898417</v>
      </c>
      <c r="AE240" s="3">
        <v>4.1988023950000004</v>
      </c>
      <c r="AF240" s="4">
        <v>41395</v>
      </c>
      <c r="AG240" s="5">
        <f>YEAR(AF240)</f>
        <v>2013</v>
      </c>
      <c r="AH240" s="5" t="str">
        <f>"Q"&amp;ROUNDUP(MONTH(AF240)/3,0)</f>
        <v>Q2</v>
      </c>
      <c r="AI240" s="5">
        <f>INDEX(RatingLookup!$B$2:$B$11,MATCH(A240,RatingLookup!$A$2:$A$11,0))</f>
        <v>10</v>
      </c>
      <c r="AJ240" s="5" t="str">
        <f>INDEX(RatingLookup!$C$2:$C$11,MATCH(A240,RatingLookup!$A$2:$A$11,0))</f>
        <v>Investment Grade</v>
      </c>
    </row>
    <row r="241" spans="1:36" x14ac:dyDescent="0.3">
      <c r="A241" s="3" t="s">
        <v>355</v>
      </c>
      <c r="B241" s="3" t="s">
        <v>356</v>
      </c>
      <c r="C241" s="3" t="s">
        <v>357</v>
      </c>
      <c r="D241" s="3" t="s">
        <v>47</v>
      </c>
      <c r="E241" s="3" t="s">
        <v>361</v>
      </c>
      <c r="F241" s="3" t="s">
        <v>96</v>
      </c>
      <c r="G241" s="3">
        <v>2.3528817160000002</v>
      </c>
      <c r="H241" s="3">
        <v>2.215694863</v>
      </c>
      <c r="I241" s="3">
        <v>0.109675354</v>
      </c>
      <c r="J241" s="3">
        <v>78.189228790000001</v>
      </c>
      <c r="K241" s="3">
        <v>0.196882325</v>
      </c>
      <c r="L241" s="3">
        <v>-3.8091890000000002E-3</v>
      </c>
      <c r="M241" s="3">
        <v>0.61579934400000003</v>
      </c>
      <c r="N241" s="3">
        <v>0.23654477300000001</v>
      </c>
      <c r="O241" s="3">
        <v>8.6724420999999996E-2</v>
      </c>
      <c r="P241" s="3">
        <v>-2.4192889999999998E-3</v>
      </c>
      <c r="Q241" s="3">
        <v>0.23331527699999999</v>
      </c>
      <c r="R241" s="3">
        <v>0.440488606</v>
      </c>
      <c r="S241" s="3">
        <v>4.6480714750000001</v>
      </c>
      <c r="T241" s="3">
        <v>1.690306541</v>
      </c>
      <c r="U241" s="3">
        <v>0.62829514600000003</v>
      </c>
      <c r="V241" s="3">
        <v>-9.0861538460000002</v>
      </c>
      <c r="W241" s="3">
        <v>0.74964741199999996</v>
      </c>
      <c r="X241" s="3">
        <v>3.1523028389999999</v>
      </c>
      <c r="Y241" s="3">
        <v>14.288958989999999</v>
      </c>
      <c r="Z241" s="3">
        <v>2.690306541</v>
      </c>
      <c r="AA241" s="3">
        <v>-3.8091890000000002E-3</v>
      </c>
      <c r="AB241" s="3">
        <v>18.518355469999999</v>
      </c>
      <c r="AC241" s="3">
        <v>4.2050473190000002</v>
      </c>
      <c r="AD241" s="3">
        <v>0.39058837299999999</v>
      </c>
      <c r="AE241" s="3">
        <v>4.7521020590000003</v>
      </c>
      <c r="AF241" s="4">
        <v>42597</v>
      </c>
      <c r="AG241" s="5">
        <f>YEAR(AF241)</f>
        <v>2016</v>
      </c>
      <c r="AH241" s="5" t="str">
        <f>"Q"&amp;ROUNDUP(MONTH(AF241)/3,0)</f>
        <v>Q3</v>
      </c>
      <c r="AI241" s="5">
        <f>INDEX(RatingLookup!$B$2:$B$11,MATCH(A241,RatingLookup!$A$2:$A$11,0))</f>
        <v>10</v>
      </c>
      <c r="AJ241" s="5" t="str">
        <f>INDEX(RatingLookup!$C$2:$C$11,MATCH(A241,RatingLookup!$A$2:$A$11,0))</f>
        <v>Investment Grade</v>
      </c>
    </row>
    <row r="242" spans="1:36" x14ac:dyDescent="0.3">
      <c r="A242" s="3" t="s">
        <v>92</v>
      </c>
      <c r="B242" s="3" t="s">
        <v>362</v>
      </c>
      <c r="C242" s="3" t="s">
        <v>363</v>
      </c>
      <c r="D242" s="3" t="s">
        <v>60</v>
      </c>
      <c r="E242" s="3" t="s">
        <v>364</v>
      </c>
      <c r="F242" s="3" t="s">
        <v>59</v>
      </c>
      <c r="G242" s="3">
        <v>1.2734965979999999</v>
      </c>
      <c r="H242" s="3">
        <v>0.56702333299999996</v>
      </c>
      <c r="I242" s="3">
        <v>0.28848876000000001</v>
      </c>
      <c r="J242" s="3">
        <v>21.24986372</v>
      </c>
      <c r="K242" s="3">
        <v>2.5325628999999999E-2</v>
      </c>
      <c r="L242" s="3">
        <v>2.7230342000000001E-2</v>
      </c>
      <c r="M242" s="3">
        <v>0.11445593799999999</v>
      </c>
      <c r="N242" s="3">
        <v>9.8121579999999996E-3</v>
      </c>
      <c r="O242" s="3">
        <v>2.2225723999999999E-2</v>
      </c>
      <c r="P242" s="3">
        <v>3.7918840000000002E-2</v>
      </c>
      <c r="Q242" s="3">
        <v>0.111374341</v>
      </c>
      <c r="R242" s="3">
        <v>0.87759811300000001</v>
      </c>
      <c r="S242" s="3">
        <v>5.6204808420000001</v>
      </c>
      <c r="T242" s="3">
        <v>4.0110556449999999</v>
      </c>
      <c r="U242" s="3">
        <v>0.80044124999999999</v>
      </c>
      <c r="V242" s="3">
        <v>5.3697597999999999E-2</v>
      </c>
      <c r="W242" s="3">
        <v>0.294989063</v>
      </c>
      <c r="X242" s="3">
        <v>1.8485981309999999</v>
      </c>
      <c r="Y242" s="3">
        <v>17.555140189999999</v>
      </c>
      <c r="Z242" s="3">
        <v>5.0110556449999999</v>
      </c>
      <c r="AA242" s="3">
        <v>2.7230342000000001E-2</v>
      </c>
      <c r="AB242" s="3">
        <v>4.7838976420000003</v>
      </c>
      <c r="AC242" s="3">
        <v>6.266666667</v>
      </c>
      <c r="AD242" s="3">
        <v>6.4503716000000003E-2</v>
      </c>
      <c r="AE242" s="3">
        <v>6.129078077</v>
      </c>
      <c r="AF242" s="4">
        <v>41947</v>
      </c>
      <c r="AG242" s="5">
        <f>YEAR(AF242)</f>
        <v>2014</v>
      </c>
      <c r="AH242" s="5" t="str">
        <f>"Q"&amp;ROUNDUP(MONTH(AF242)/3,0)</f>
        <v>Q4</v>
      </c>
      <c r="AI242" s="5">
        <f>INDEX(RatingLookup!$B$2:$B$11,MATCH(A242,RatingLookup!$A$2:$A$11,0))</f>
        <v>6</v>
      </c>
      <c r="AJ242" s="5" t="str">
        <f>INDEX(RatingLookup!$C$2:$C$11,MATCH(A242,RatingLookup!$A$2:$A$11,0))</f>
        <v>Speculative Grade</v>
      </c>
    </row>
    <row r="243" spans="1:36" x14ac:dyDescent="0.3">
      <c r="A243" s="3" t="s">
        <v>42</v>
      </c>
      <c r="B243" s="3" t="s">
        <v>362</v>
      </c>
      <c r="C243" s="3" t="s">
        <v>363</v>
      </c>
      <c r="D243" s="3" t="s">
        <v>47</v>
      </c>
      <c r="E243" s="3" t="s">
        <v>365</v>
      </c>
      <c r="F243" s="3" t="s">
        <v>59</v>
      </c>
      <c r="G243" s="3">
        <v>1.09152604</v>
      </c>
      <c r="H243" s="3">
        <v>0.44409929199999998</v>
      </c>
      <c r="I243" s="3">
        <v>0.21322027299999999</v>
      </c>
      <c r="J243" s="3">
        <v>19.972990889999998</v>
      </c>
      <c r="K243" s="3">
        <v>6.3581348999999995E-2</v>
      </c>
      <c r="L243" s="3">
        <v>5.0657670000000002E-2</v>
      </c>
      <c r="M243" s="3">
        <v>0.15775552000000001</v>
      </c>
      <c r="N243" s="3">
        <v>3.2141825999999998E-2</v>
      </c>
      <c r="O243" s="3">
        <v>4.9799506E-2</v>
      </c>
      <c r="P243" s="3">
        <v>6.2720432000000007E-2</v>
      </c>
      <c r="Q243" s="3">
        <v>0.242958541</v>
      </c>
      <c r="R243" s="3">
        <v>0.78324079800000002</v>
      </c>
      <c r="S243" s="3">
        <v>4.8786704670000001</v>
      </c>
      <c r="T243" s="3">
        <v>3.8787339169999999</v>
      </c>
      <c r="U243" s="3">
        <v>0.79502878899999996</v>
      </c>
      <c r="V243" s="3">
        <v>-0.245789065</v>
      </c>
      <c r="W243" s="3">
        <v>0.34262815200000002</v>
      </c>
      <c r="X243" s="3">
        <v>2.5876418659999998</v>
      </c>
      <c r="Y243" s="3">
        <v>14.75472888</v>
      </c>
      <c r="Z243" s="3">
        <v>4.8787339169999999</v>
      </c>
      <c r="AA243" s="3">
        <v>5.0657670000000002E-2</v>
      </c>
      <c r="AB243" s="3">
        <v>3.0967181049999999</v>
      </c>
      <c r="AC243" s="3">
        <v>7.5523329129999999</v>
      </c>
      <c r="AD243" s="3">
        <v>7.8618498999999994E-2</v>
      </c>
      <c r="AE243" s="3">
        <v>5.3329315929999996</v>
      </c>
      <c r="AF243" s="4">
        <v>42275</v>
      </c>
      <c r="AG243" s="5">
        <f>YEAR(AF243)</f>
        <v>2015</v>
      </c>
      <c r="AH243" s="5" t="str">
        <f>"Q"&amp;ROUNDUP(MONTH(AF243)/3,0)</f>
        <v>Q3</v>
      </c>
      <c r="AI243" s="5">
        <f>INDEX(RatingLookup!$B$2:$B$11,MATCH(A243,RatingLookup!$A$2:$A$11,0))</f>
        <v>7</v>
      </c>
      <c r="AJ243" s="5" t="str">
        <f>INDEX(RatingLookup!$C$2:$C$11,MATCH(A243,RatingLookup!$A$2:$A$11,0))</f>
        <v>Investment Grade</v>
      </c>
    </row>
    <row r="244" spans="1:36" x14ac:dyDescent="0.3">
      <c r="A244" s="3" t="s">
        <v>42</v>
      </c>
      <c r="B244" s="3" t="s">
        <v>362</v>
      </c>
      <c r="C244" s="3" t="s">
        <v>363</v>
      </c>
      <c r="D244" s="3" t="s">
        <v>39</v>
      </c>
      <c r="E244" s="3" t="s">
        <v>366</v>
      </c>
      <c r="F244" s="3" t="s">
        <v>59</v>
      </c>
      <c r="G244" s="3">
        <v>1.305854643</v>
      </c>
      <c r="H244" s="3">
        <v>0.60129462300000003</v>
      </c>
      <c r="I244" s="3">
        <v>0.320787669</v>
      </c>
      <c r="J244" s="3">
        <v>20.043332240000002</v>
      </c>
      <c r="K244" s="3">
        <v>3.4395568000000001E-2</v>
      </c>
      <c r="L244" s="3">
        <v>4.7983941000000002E-2</v>
      </c>
      <c r="M244" s="3">
        <v>0.13190758399999999</v>
      </c>
      <c r="N244" s="3">
        <v>3.3012281999999997E-2</v>
      </c>
      <c r="O244" s="3">
        <v>3.2138220000000002E-2</v>
      </c>
      <c r="P244" s="3">
        <v>7.1758456999999998E-2</v>
      </c>
      <c r="Q244" s="3">
        <v>0.12547233999999999</v>
      </c>
      <c r="R244" s="3">
        <v>0.93437094200000004</v>
      </c>
      <c r="S244" s="3">
        <v>6.0086983419999997</v>
      </c>
      <c r="T244" s="3">
        <v>2.9041472060000002</v>
      </c>
      <c r="U244" s="3">
        <v>0.74386211700000004</v>
      </c>
      <c r="V244" s="3">
        <v>0.28519710399999998</v>
      </c>
      <c r="W244" s="3">
        <v>0.40102929500000001</v>
      </c>
      <c r="X244" s="3">
        <v>3.6360373300000002</v>
      </c>
      <c r="Y244" s="3">
        <v>20.813352479999999</v>
      </c>
      <c r="Z244" s="3">
        <v>3.9041472060000002</v>
      </c>
      <c r="AA244" s="3">
        <v>4.7983941000000002E-2</v>
      </c>
      <c r="AB244" s="3">
        <v>2.8928285410000001</v>
      </c>
      <c r="AC244" s="3">
        <v>9.0667623830000004</v>
      </c>
      <c r="AD244" s="3">
        <v>8.1260013000000006E-2</v>
      </c>
      <c r="AE244" s="3">
        <v>5.7120782349999999</v>
      </c>
      <c r="AF244" s="4">
        <v>41801</v>
      </c>
      <c r="AG244" s="5">
        <f>YEAR(AF244)</f>
        <v>2014</v>
      </c>
      <c r="AH244" s="5" t="str">
        <f>"Q"&amp;ROUNDUP(MONTH(AF244)/3,0)</f>
        <v>Q2</v>
      </c>
      <c r="AI244" s="5">
        <f>INDEX(RatingLookup!$B$2:$B$11,MATCH(A244,RatingLookup!$A$2:$A$11,0))</f>
        <v>7</v>
      </c>
      <c r="AJ244" s="5" t="str">
        <f>INDEX(RatingLookup!$C$2:$C$11,MATCH(A244,RatingLookup!$A$2:$A$11,0))</f>
        <v>Investment Grade</v>
      </c>
    </row>
    <row r="245" spans="1:36" x14ac:dyDescent="0.3">
      <c r="A245" s="3" t="s">
        <v>92</v>
      </c>
      <c r="B245" s="3" t="s">
        <v>367</v>
      </c>
      <c r="C245" s="3" t="s">
        <v>368</v>
      </c>
      <c r="D245" s="3" t="s">
        <v>44</v>
      </c>
      <c r="E245" s="3" t="s">
        <v>46</v>
      </c>
      <c r="F245" s="3" t="s">
        <v>96</v>
      </c>
      <c r="G245" s="3">
        <v>2.077002255</v>
      </c>
      <c r="H245" s="3">
        <v>1.306918875</v>
      </c>
      <c r="I245" s="3">
        <v>0.50580265999999996</v>
      </c>
      <c r="J245" s="3">
        <v>56.06348423</v>
      </c>
      <c r="K245" s="3">
        <v>1.0438157E-2</v>
      </c>
      <c r="L245" s="3">
        <v>6.3819109999999997E-3</v>
      </c>
      <c r="M245" s="3">
        <v>7.7297671999999998E-2</v>
      </c>
      <c r="N245" s="3">
        <v>3.2109027999999998E-2</v>
      </c>
      <c r="O245" s="3">
        <v>2.0547869999999999E-2</v>
      </c>
      <c r="P245" s="3">
        <v>2.0179226000000001E-2</v>
      </c>
      <c r="Q245" s="3">
        <v>8.9442542999999999E-2</v>
      </c>
      <c r="R245" s="3">
        <v>1.9685343319999999</v>
      </c>
      <c r="S245" s="3">
        <v>11.226738109999999</v>
      </c>
      <c r="T245" s="3">
        <v>3.3528864390000002</v>
      </c>
      <c r="U245" s="3">
        <v>0.77026738100000003</v>
      </c>
      <c r="V245" s="3">
        <v>0.72671824600000001</v>
      </c>
      <c r="W245" s="3">
        <v>0.54205901899999998</v>
      </c>
      <c r="X245" s="3">
        <v>1.5848403760000001</v>
      </c>
      <c r="Y245" s="3">
        <v>7.9692326839999996</v>
      </c>
      <c r="Z245" s="3">
        <v>4.3528864389999997</v>
      </c>
      <c r="AA245" s="3">
        <v>6.3819109999999997E-3</v>
      </c>
      <c r="AB245" s="3">
        <v>4.2939824929999997</v>
      </c>
      <c r="AC245" s="3">
        <v>2.9237413650000001</v>
      </c>
      <c r="AD245" s="3">
        <v>3.5579123999999997E-2</v>
      </c>
      <c r="AE245" s="3">
        <v>6.1910298020000001</v>
      </c>
      <c r="AF245" s="4">
        <v>41075</v>
      </c>
      <c r="AG245" s="5">
        <f>YEAR(AF245)</f>
        <v>2012</v>
      </c>
      <c r="AH245" s="5" t="str">
        <f>"Q"&amp;ROUNDUP(MONTH(AF245)/3,0)</f>
        <v>Q2</v>
      </c>
      <c r="AI245" s="5">
        <f>INDEX(RatingLookup!$B$2:$B$11,MATCH(A245,RatingLookup!$A$2:$A$11,0))</f>
        <v>6</v>
      </c>
      <c r="AJ245" s="5" t="str">
        <f>INDEX(RatingLookup!$C$2:$C$11,MATCH(A245,RatingLookup!$A$2:$A$11,0))</f>
        <v>Speculative Grade</v>
      </c>
    </row>
    <row r="246" spans="1:36" x14ac:dyDescent="0.3">
      <c r="A246" s="3" t="s">
        <v>92</v>
      </c>
      <c r="B246" s="3" t="s">
        <v>367</v>
      </c>
      <c r="C246" s="3" t="s">
        <v>368</v>
      </c>
      <c r="D246" s="3" t="s">
        <v>44</v>
      </c>
      <c r="E246" s="3" t="s">
        <v>369</v>
      </c>
      <c r="F246" s="3" t="s">
        <v>96</v>
      </c>
      <c r="G246" s="3">
        <v>1.90751074</v>
      </c>
      <c r="H246" s="3">
        <v>1.1571189959999999</v>
      </c>
      <c r="I246" s="3">
        <v>0.335877174</v>
      </c>
      <c r="J246" s="3">
        <v>59.993953230000002</v>
      </c>
      <c r="K246" s="3">
        <v>2.9578881000000001E-2</v>
      </c>
      <c r="L246" s="3">
        <v>-1.2387310000000001E-3</v>
      </c>
      <c r="M246" s="3">
        <v>7.1517826000000007E-2</v>
      </c>
      <c r="N246" s="3">
        <v>2.2564002E-2</v>
      </c>
      <c r="O246" s="3">
        <v>5.6895888999999998E-2</v>
      </c>
      <c r="P246" s="3">
        <v>-3.8742680000000002E-3</v>
      </c>
      <c r="Q246" s="3">
        <v>0.187007214</v>
      </c>
      <c r="R246" s="3">
        <v>1.923530819</v>
      </c>
      <c r="S246" s="3">
        <v>10.70198203</v>
      </c>
      <c r="T246" s="3">
        <v>2.286831759</v>
      </c>
      <c r="U246" s="3">
        <v>0.695755648</v>
      </c>
      <c r="V246" s="3">
        <v>17.26165872</v>
      </c>
      <c r="W246" s="3">
        <v>0.63497560500000005</v>
      </c>
      <c r="X246" s="3">
        <v>1.682766596</v>
      </c>
      <c r="Y246" s="3">
        <v>5.0393435359999996</v>
      </c>
      <c r="Z246" s="3">
        <v>3.286831759</v>
      </c>
      <c r="AA246" s="3">
        <v>-1.2387310000000001E-3</v>
      </c>
      <c r="AB246" s="3">
        <v>4.8540319959999998</v>
      </c>
      <c r="AC246" s="3">
        <v>2.650127946</v>
      </c>
      <c r="AD246" s="3">
        <v>3.5352239000000001E-2</v>
      </c>
      <c r="AE246" s="3">
        <v>6.0331969409999999</v>
      </c>
      <c r="AF246" s="4">
        <v>41109</v>
      </c>
      <c r="AG246" s="5">
        <f>YEAR(AF246)</f>
        <v>2012</v>
      </c>
      <c r="AH246" s="5" t="str">
        <f>"Q"&amp;ROUNDUP(MONTH(AF246)/3,0)</f>
        <v>Q3</v>
      </c>
      <c r="AI246" s="5">
        <f>INDEX(RatingLookup!$B$2:$B$11,MATCH(A246,RatingLookup!$A$2:$A$11,0))</f>
        <v>6</v>
      </c>
      <c r="AJ246" s="5" t="str">
        <f>INDEX(RatingLookup!$C$2:$C$11,MATCH(A246,RatingLookup!$A$2:$A$11,0))</f>
        <v>Speculative Grade</v>
      </c>
    </row>
    <row r="247" spans="1:36" x14ac:dyDescent="0.3">
      <c r="A247" s="3" t="s">
        <v>92</v>
      </c>
      <c r="B247" s="3" t="s">
        <v>367</v>
      </c>
      <c r="C247" s="3" t="s">
        <v>368</v>
      </c>
      <c r="D247" s="3" t="s">
        <v>47</v>
      </c>
      <c r="E247" s="3" t="s">
        <v>370</v>
      </c>
      <c r="F247" s="3" t="s">
        <v>96</v>
      </c>
      <c r="G247" s="3">
        <v>1.6953648240000001</v>
      </c>
      <c r="H247" s="3">
        <v>0.97909385999999998</v>
      </c>
      <c r="I247" s="3">
        <v>0.28423500800000001</v>
      </c>
      <c r="J247" s="3">
        <v>54.834635849999998</v>
      </c>
      <c r="K247" s="3">
        <v>2.8982063999999998E-2</v>
      </c>
      <c r="L247" s="3">
        <v>3.1570943999999997E-2</v>
      </c>
      <c r="M247" s="3">
        <v>7.9350043999999995E-2</v>
      </c>
      <c r="N247" s="3">
        <v>3.4682721999999999E-2</v>
      </c>
      <c r="O247" s="3">
        <v>5.1814206000000002E-2</v>
      </c>
      <c r="P247" s="3">
        <v>9.2005743000000001E-2</v>
      </c>
      <c r="Q247" s="3">
        <v>0.116683843</v>
      </c>
      <c r="R247" s="3">
        <v>1.7878025129999999</v>
      </c>
      <c r="S247" s="3">
        <v>10.495431760000001</v>
      </c>
      <c r="T247" s="3">
        <v>1.251966234</v>
      </c>
      <c r="U247" s="3">
        <v>0.55594360799999998</v>
      </c>
      <c r="V247" s="3">
        <v>8.2001984E-2</v>
      </c>
      <c r="W247" s="3">
        <v>0.69137384800000001</v>
      </c>
      <c r="X247" s="3">
        <v>3.5917117209999998</v>
      </c>
      <c r="Y247" s="3">
        <v>5.3038591630000003</v>
      </c>
      <c r="Z247" s="3">
        <v>2.2519662340000002</v>
      </c>
      <c r="AA247" s="3">
        <v>3.1570943999999997E-2</v>
      </c>
      <c r="AB247" s="3">
        <v>6.3574929830000002</v>
      </c>
      <c r="AC247" s="3">
        <v>5.1950355549999996</v>
      </c>
      <c r="AD247" s="3">
        <v>6.0192115999999997E-2</v>
      </c>
      <c r="AE247" s="3">
        <v>5.3221949190000002</v>
      </c>
      <c r="AF247" s="4">
        <v>42650</v>
      </c>
      <c r="AG247" s="5">
        <f>YEAR(AF247)</f>
        <v>2016</v>
      </c>
      <c r="AH247" s="5" t="str">
        <f>"Q"&amp;ROUNDUP(MONTH(AF247)/3,0)</f>
        <v>Q4</v>
      </c>
      <c r="AI247" s="5">
        <f>INDEX(RatingLookup!$B$2:$B$11,MATCH(A247,RatingLookup!$A$2:$A$11,0))</f>
        <v>6</v>
      </c>
      <c r="AJ247" s="5" t="str">
        <f>INDEX(RatingLookup!$C$2:$C$11,MATCH(A247,RatingLookup!$A$2:$A$11,0))</f>
        <v>Speculative Grade</v>
      </c>
    </row>
    <row r="248" spans="1:36" x14ac:dyDescent="0.3">
      <c r="A248" s="3" t="s">
        <v>92</v>
      </c>
      <c r="B248" s="3" t="s">
        <v>367</v>
      </c>
      <c r="C248" s="3" t="s">
        <v>368</v>
      </c>
      <c r="D248" s="3" t="s">
        <v>47</v>
      </c>
      <c r="E248" s="3" t="s">
        <v>371</v>
      </c>
      <c r="F248" s="3" t="s">
        <v>96</v>
      </c>
      <c r="G248" s="3">
        <v>1.5976239409999999</v>
      </c>
      <c r="H248" s="3">
        <v>0.94470115799999999</v>
      </c>
      <c r="I248" s="3">
        <v>0.30414949899999999</v>
      </c>
      <c r="J248" s="3">
        <v>57.522490359999999</v>
      </c>
      <c r="K248" s="3">
        <v>3.1723514000000001E-2</v>
      </c>
      <c r="L248" s="3">
        <v>1.4957267E-2</v>
      </c>
      <c r="M248" s="3">
        <v>7.8563905000000003E-2</v>
      </c>
      <c r="N248" s="3">
        <v>3.2128495E-2</v>
      </c>
      <c r="O248" s="3">
        <v>5.9510927999999998E-2</v>
      </c>
      <c r="P248" s="3">
        <v>5.2256047E-2</v>
      </c>
      <c r="Q248" s="3">
        <v>0.158142538</v>
      </c>
      <c r="R248" s="3">
        <v>1.875924854</v>
      </c>
      <c r="S248" s="3">
        <v>11.038950939999999</v>
      </c>
      <c r="T248" s="3">
        <v>1.657369732</v>
      </c>
      <c r="U248" s="3">
        <v>0.62368804499999997</v>
      </c>
      <c r="V248" s="3">
        <v>-0.381084541</v>
      </c>
      <c r="W248" s="3">
        <v>0.77387420200000001</v>
      </c>
      <c r="X248" s="3">
        <v>2.8703904819999999</v>
      </c>
      <c r="Y248" s="3">
        <v>5.6692972289999997</v>
      </c>
      <c r="Z248" s="3">
        <v>2.6573697319999998</v>
      </c>
      <c r="AA248" s="3">
        <v>1.4957267E-2</v>
      </c>
      <c r="AB248" s="3">
        <v>5.65602494</v>
      </c>
      <c r="AC248" s="3">
        <v>3.7091176749999999</v>
      </c>
      <c r="AD248" s="3">
        <v>4.9457241999999998E-2</v>
      </c>
      <c r="AE248" s="3">
        <v>5.0242120640000003</v>
      </c>
      <c r="AF248" s="4">
        <v>41942</v>
      </c>
      <c r="AG248" s="5">
        <f>YEAR(AF248)</f>
        <v>2014</v>
      </c>
      <c r="AH248" s="5" t="str">
        <f>"Q"&amp;ROUNDUP(MONTH(AF248)/3,0)</f>
        <v>Q4</v>
      </c>
      <c r="AI248" s="5">
        <f>INDEX(RatingLookup!$B$2:$B$11,MATCH(A248,RatingLookup!$A$2:$A$11,0))</f>
        <v>6</v>
      </c>
      <c r="AJ248" s="5" t="str">
        <f>INDEX(RatingLookup!$C$2:$C$11,MATCH(A248,RatingLookup!$A$2:$A$11,0))</f>
        <v>Speculative Grade</v>
      </c>
    </row>
    <row r="249" spans="1:36" x14ac:dyDescent="0.3">
      <c r="A249" s="3" t="s">
        <v>92</v>
      </c>
      <c r="B249" s="3" t="s">
        <v>367</v>
      </c>
      <c r="C249" s="3" t="s">
        <v>368</v>
      </c>
      <c r="D249" s="3" t="s">
        <v>60</v>
      </c>
      <c r="E249" s="3" t="s">
        <v>372</v>
      </c>
      <c r="F249" s="3" t="s">
        <v>96</v>
      </c>
      <c r="G249" s="3">
        <v>1.8269198259999999</v>
      </c>
      <c r="H249" s="3">
        <v>1.1177568360000001</v>
      </c>
      <c r="I249" s="3">
        <v>0.333858447</v>
      </c>
      <c r="J249" s="3">
        <v>58.281327210000001</v>
      </c>
      <c r="K249" s="3">
        <v>1.3410399999999999E-2</v>
      </c>
      <c r="L249" s="3">
        <v>5.9437699999999999E-4</v>
      </c>
      <c r="M249" s="3">
        <v>7.2132508999999997E-2</v>
      </c>
      <c r="N249" s="3">
        <v>2.6639461999999999E-2</v>
      </c>
      <c r="O249" s="3">
        <v>2.6486991000000001E-2</v>
      </c>
      <c r="P249" s="3">
        <v>1.9657659999999999E-3</v>
      </c>
      <c r="Q249" s="3">
        <v>7.2694776000000003E-2</v>
      </c>
      <c r="R249" s="3">
        <v>1.975108216</v>
      </c>
      <c r="S249" s="3">
        <v>10.954573809999999</v>
      </c>
      <c r="T249" s="3">
        <v>1.7445463569999999</v>
      </c>
      <c r="U249" s="3">
        <v>0.63564106099999995</v>
      </c>
      <c r="V249" s="3">
        <v>6.8396360530000004</v>
      </c>
      <c r="W249" s="3">
        <v>0.761080125</v>
      </c>
      <c r="X249" s="3">
        <v>2.9207692490000001</v>
      </c>
      <c r="Y249" s="3">
        <v>4.8773209069999997</v>
      </c>
      <c r="Z249" s="3">
        <v>2.7445463569999999</v>
      </c>
      <c r="AA249" s="3">
        <v>5.9437699999999999E-4</v>
      </c>
      <c r="AB249" s="3">
        <v>6.3179227280000001</v>
      </c>
      <c r="AC249" s="3">
        <v>3.837663278</v>
      </c>
      <c r="AD249" s="3">
        <v>5.3723566E-2</v>
      </c>
      <c r="AE249" s="3">
        <v>5.7400688769999997</v>
      </c>
      <c r="AF249" s="4">
        <v>41779</v>
      </c>
      <c r="AG249" s="5">
        <f>YEAR(AF249)</f>
        <v>2014</v>
      </c>
      <c r="AH249" s="5" t="str">
        <f>"Q"&amp;ROUNDUP(MONTH(AF249)/3,0)</f>
        <v>Q2</v>
      </c>
      <c r="AI249" s="5">
        <f>INDEX(RatingLookup!$B$2:$B$11,MATCH(A249,RatingLookup!$A$2:$A$11,0))</f>
        <v>6</v>
      </c>
      <c r="AJ249" s="5" t="str">
        <f>INDEX(RatingLookup!$C$2:$C$11,MATCH(A249,RatingLookup!$A$2:$A$11,0))</f>
        <v>Speculative Grade</v>
      </c>
    </row>
    <row r="250" spans="1:36" x14ac:dyDescent="0.3">
      <c r="A250" s="3" t="s">
        <v>92</v>
      </c>
      <c r="B250" s="3" t="s">
        <v>367</v>
      </c>
      <c r="C250" s="3" t="s">
        <v>368</v>
      </c>
      <c r="D250" s="3" t="s">
        <v>60</v>
      </c>
      <c r="E250" s="3" t="s">
        <v>373</v>
      </c>
      <c r="F250" s="3" t="s">
        <v>96</v>
      </c>
      <c r="G250" s="3">
        <v>1.736918505</v>
      </c>
      <c r="H250" s="3">
        <v>0.97729032599999999</v>
      </c>
      <c r="I250" s="3">
        <v>0.29861353099999999</v>
      </c>
      <c r="J250" s="3">
        <v>53.648957629999998</v>
      </c>
      <c r="K250" s="3">
        <v>5.9182457000000001E-2</v>
      </c>
      <c r="L250" s="3">
        <v>2.7640108E-2</v>
      </c>
      <c r="M250" s="3">
        <v>7.5904446E-2</v>
      </c>
      <c r="N250" s="3">
        <v>3.1861274000000002E-2</v>
      </c>
      <c r="O250" s="3">
        <v>0.107996705</v>
      </c>
      <c r="P250" s="3">
        <v>8.3396798999999994E-2</v>
      </c>
      <c r="Q250" s="3">
        <v>0.24812114099999999</v>
      </c>
      <c r="R250" s="3">
        <v>1.8248094050000001</v>
      </c>
      <c r="S250" s="3">
        <v>10.78887321</v>
      </c>
      <c r="T250" s="3">
        <v>1.297488081</v>
      </c>
      <c r="U250" s="3">
        <v>0.56474202900000003</v>
      </c>
      <c r="V250" s="3">
        <v>-1.14118041</v>
      </c>
      <c r="W250" s="3">
        <v>0.31904103</v>
      </c>
      <c r="X250" s="3">
        <v>0.681989293</v>
      </c>
      <c r="Y250" s="3">
        <v>5.0386589749999997</v>
      </c>
      <c r="Z250" s="3">
        <v>2.297488081</v>
      </c>
      <c r="AA250" s="3">
        <v>2.7640108E-2</v>
      </c>
      <c r="AB250" s="3">
        <v>6.0620001449999998</v>
      </c>
      <c r="AC250" s="3">
        <v>2.1376225280000001</v>
      </c>
      <c r="AD250" s="3">
        <v>2.7436642000000001E-2</v>
      </c>
      <c r="AE250" s="3">
        <v>5.6897074630000004</v>
      </c>
      <c r="AF250" s="4">
        <v>42530</v>
      </c>
      <c r="AG250" s="5">
        <f>YEAR(AF250)</f>
        <v>2016</v>
      </c>
      <c r="AH250" s="5" t="str">
        <f>"Q"&amp;ROUNDUP(MONTH(AF250)/3,0)</f>
        <v>Q2</v>
      </c>
      <c r="AI250" s="5">
        <f>INDEX(RatingLookup!$B$2:$B$11,MATCH(A250,RatingLookup!$A$2:$A$11,0))</f>
        <v>6</v>
      </c>
      <c r="AJ250" s="5" t="str">
        <f>INDEX(RatingLookup!$C$2:$C$11,MATCH(A250,RatingLookup!$A$2:$A$11,0))</f>
        <v>Speculative Grade</v>
      </c>
    </row>
    <row r="251" spans="1:36" x14ac:dyDescent="0.3">
      <c r="A251" s="3" t="s">
        <v>36</v>
      </c>
      <c r="B251" s="3" t="s">
        <v>374</v>
      </c>
      <c r="C251" s="3" t="s">
        <v>375</v>
      </c>
      <c r="D251" s="3" t="s">
        <v>47</v>
      </c>
      <c r="E251" s="3" t="s">
        <v>376</v>
      </c>
      <c r="F251" s="3" t="s">
        <v>174</v>
      </c>
      <c r="G251" s="3">
        <v>0.238829186</v>
      </c>
      <c r="H251" s="3">
        <v>8.5265836999999997E-2</v>
      </c>
      <c r="I251" s="3">
        <v>8.5265836999999997E-2</v>
      </c>
      <c r="J251" s="3">
        <v>0</v>
      </c>
      <c r="K251" s="3">
        <v>0.16956495199999999</v>
      </c>
      <c r="L251" s="3">
        <v>0.172554762</v>
      </c>
      <c r="M251" s="3">
        <v>0.427481848</v>
      </c>
      <c r="N251" s="3">
        <v>0.18738178</v>
      </c>
      <c r="O251" s="3">
        <v>7.1373536000000001E-2</v>
      </c>
      <c r="P251" s="3">
        <v>9.6378357999999997E-2</v>
      </c>
      <c r="Q251" s="3">
        <v>0.122980927</v>
      </c>
      <c r="R251" s="3">
        <v>0.420921512</v>
      </c>
      <c r="S251" s="3">
        <v>0.50538098600000003</v>
      </c>
      <c r="T251" s="3">
        <v>0.72306058299999998</v>
      </c>
      <c r="U251" s="3">
        <v>0.41963735400000002</v>
      </c>
      <c r="V251" s="3">
        <v>1.7326733E-2</v>
      </c>
      <c r="W251" s="3">
        <v>0.40358395000000002</v>
      </c>
      <c r="X251" s="3">
        <v>2.7812080539999999</v>
      </c>
      <c r="Y251" s="3">
        <v>0.80939597299999999</v>
      </c>
      <c r="Z251" s="3">
        <v>1.7230605830000001</v>
      </c>
      <c r="AA251" s="3">
        <v>0.18738178</v>
      </c>
      <c r="AB251" s="3">
        <v>9.8105011439999998</v>
      </c>
      <c r="AC251" s="3">
        <v>6.891275168</v>
      </c>
      <c r="AD251" s="3">
        <v>0.31325889299999998</v>
      </c>
      <c r="AE251" s="3">
        <v>13.1598878</v>
      </c>
      <c r="AF251" s="4">
        <v>42656</v>
      </c>
      <c r="AG251" s="5">
        <f>YEAR(AF251)</f>
        <v>2016</v>
      </c>
      <c r="AH251" s="5" t="str">
        <f>"Q"&amp;ROUNDUP(MONTH(AF251)/3,0)</f>
        <v>Q4</v>
      </c>
      <c r="AI251" s="5">
        <f>INDEX(RatingLookup!$B$2:$B$11,MATCH(A251,RatingLookup!$A$2:$A$11,0))</f>
        <v>8</v>
      </c>
      <c r="AJ251" s="5" t="str">
        <f>INDEX(RatingLookup!$C$2:$C$11,MATCH(A251,RatingLookup!$A$2:$A$11,0))</f>
        <v>Investment Grade</v>
      </c>
    </row>
    <row r="252" spans="1:36" x14ac:dyDescent="0.3">
      <c r="A252" s="3" t="s">
        <v>42</v>
      </c>
      <c r="B252" s="3" t="s">
        <v>377</v>
      </c>
      <c r="C252" s="3" t="s">
        <v>378</v>
      </c>
      <c r="D252" s="3" t="s">
        <v>60</v>
      </c>
      <c r="E252" s="3" t="s">
        <v>379</v>
      </c>
      <c r="F252" s="3" t="s">
        <v>219</v>
      </c>
      <c r="G252" s="3">
        <v>2.4109105180000001</v>
      </c>
      <c r="H252" s="3">
        <v>1.3439952900000001</v>
      </c>
      <c r="I252" s="3">
        <v>0.53610674999999997</v>
      </c>
      <c r="J252" s="3">
        <v>29.939142709999999</v>
      </c>
      <c r="K252" s="3">
        <v>6.2797671999999999E-2</v>
      </c>
      <c r="L252" s="3">
        <v>9.2278180000000001E-2</v>
      </c>
      <c r="M252" s="3">
        <v>0.12694037699999999</v>
      </c>
      <c r="N252" s="3">
        <v>0.103104604</v>
      </c>
      <c r="O252" s="3">
        <v>0.11758877</v>
      </c>
      <c r="P252" s="3">
        <v>0.21883497199999999</v>
      </c>
      <c r="Q252" s="3">
        <v>0.255678248</v>
      </c>
      <c r="R252" s="3">
        <v>1.8725020640000001</v>
      </c>
      <c r="S252" s="3">
        <v>5.8929313929999996</v>
      </c>
      <c r="T252" s="3">
        <v>1.1743424010000001</v>
      </c>
      <c r="U252" s="3">
        <v>0.54009083400000002</v>
      </c>
      <c r="V252" s="3">
        <v>0.31708482700000001</v>
      </c>
      <c r="W252" s="3">
        <v>0.77856695200000003</v>
      </c>
      <c r="X252" s="3">
        <v>6.5043630019999998</v>
      </c>
      <c r="Y252" s="3">
        <v>5.4607329839999998</v>
      </c>
      <c r="Z252" s="3">
        <v>2.1743424010000001</v>
      </c>
      <c r="AA252" s="3">
        <v>9.2278180000000001E-2</v>
      </c>
      <c r="AB252" s="3">
        <v>6.630909731</v>
      </c>
      <c r="AC252" s="3">
        <v>8.3542757420000004</v>
      </c>
      <c r="AD252" s="3">
        <v>0.105552126</v>
      </c>
      <c r="AE252" s="3">
        <v>16.227459020000001</v>
      </c>
      <c r="AF252" s="4">
        <v>41423</v>
      </c>
      <c r="AG252" s="5">
        <f>YEAR(AF252)</f>
        <v>2013</v>
      </c>
      <c r="AH252" s="5" t="str">
        <f>"Q"&amp;ROUNDUP(MONTH(AF252)/3,0)</f>
        <v>Q2</v>
      </c>
      <c r="AI252" s="5">
        <f>INDEX(RatingLookup!$B$2:$B$11,MATCH(A252,RatingLookup!$A$2:$A$11,0))</f>
        <v>7</v>
      </c>
      <c r="AJ252" s="5" t="str">
        <f>INDEX(RatingLookup!$C$2:$C$11,MATCH(A252,RatingLookup!$A$2:$A$11,0))</f>
        <v>Investment Grade</v>
      </c>
    </row>
    <row r="253" spans="1:36" x14ac:dyDescent="0.3">
      <c r="A253" s="3" t="s">
        <v>42</v>
      </c>
      <c r="B253" s="3" t="s">
        <v>377</v>
      </c>
      <c r="C253" s="3" t="s">
        <v>378</v>
      </c>
      <c r="D253" s="3" t="s">
        <v>47</v>
      </c>
      <c r="E253" s="3" t="s">
        <v>380</v>
      </c>
      <c r="F253" s="3" t="s">
        <v>219</v>
      </c>
      <c r="G253" s="3">
        <v>2.1418061430000002</v>
      </c>
      <c r="H253" s="3">
        <v>1.0759610079999999</v>
      </c>
      <c r="I253" s="3">
        <v>0.18962663199999999</v>
      </c>
      <c r="J253" s="3">
        <v>25.81761972</v>
      </c>
      <c r="K253" s="3">
        <v>9.1519032E-2</v>
      </c>
      <c r="L253" s="3">
        <v>0.125241186</v>
      </c>
      <c r="M253" s="3">
        <v>0.146224347</v>
      </c>
      <c r="N253" s="3">
        <v>0.125767409</v>
      </c>
      <c r="O253" s="3">
        <v>0.17188979900000001</v>
      </c>
      <c r="P253" s="3">
        <v>0.30308818799999998</v>
      </c>
      <c r="Q253" s="3">
        <v>0.50204474399999999</v>
      </c>
      <c r="R253" s="3">
        <v>1.8781863860000001</v>
      </c>
      <c r="S253" s="3">
        <v>5.2075816399999999</v>
      </c>
      <c r="T253" s="3">
        <v>1.9207361080000001</v>
      </c>
      <c r="U253" s="3">
        <v>0.65762055799999997</v>
      </c>
      <c r="V253" s="3">
        <v>0.26960784300000001</v>
      </c>
      <c r="W253" s="3">
        <v>0.75214947099999996</v>
      </c>
      <c r="X253" s="3">
        <v>8.7818532820000001</v>
      </c>
      <c r="Y253" s="3">
        <v>5.0656370659999999</v>
      </c>
      <c r="Z253" s="3">
        <v>2.9207361079999998</v>
      </c>
      <c r="AA253" s="3">
        <v>0.125241186</v>
      </c>
      <c r="AB253" s="3">
        <v>6.8927852400000003</v>
      </c>
      <c r="AC253" s="3">
        <v>11.675675679999999</v>
      </c>
      <c r="AD253" s="3">
        <v>0.132608314</v>
      </c>
      <c r="AE253" s="3">
        <v>17.391246089999999</v>
      </c>
      <c r="AF253" s="4">
        <v>41926</v>
      </c>
      <c r="AG253" s="5">
        <f>YEAR(AF253)</f>
        <v>2014</v>
      </c>
      <c r="AH253" s="5" t="str">
        <f>"Q"&amp;ROUNDUP(MONTH(AF253)/3,0)</f>
        <v>Q4</v>
      </c>
      <c r="AI253" s="5">
        <f>INDEX(RatingLookup!$B$2:$B$11,MATCH(A253,RatingLookup!$A$2:$A$11,0))</f>
        <v>7</v>
      </c>
      <c r="AJ253" s="5" t="str">
        <f>INDEX(RatingLookup!$C$2:$C$11,MATCH(A253,RatingLookup!$A$2:$A$11,0))</f>
        <v>Investment Grade</v>
      </c>
    </row>
    <row r="254" spans="1:36" x14ac:dyDescent="0.3">
      <c r="A254" s="3" t="s">
        <v>42</v>
      </c>
      <c r="B254" s="3" t="s">
        <v>377</v>
      </c>
      <c r="C254" s="3" t="s">
        <v>378</v>
      </c>
      <c r="D254" s="3" t="s">
        <v>60</v>
      </c>
      <c r="E254" s="3" t="s">
        <v>381</v>
      </c>
      <c r="F254" s="3" t="s">
        <v>219</v>
      </c>
      <c r="G254" s="3">
        <v>2.6495462789999999</v>
      </c>
      <c r="H254" s="3">
        <v>1.57876588</v>
      </c>
      <c r="I254" s="3">
        <v>0.80762250499999999</v>
      </c>
      <c r="J254" s="3">
        <v>31.710317280000002</v>
      </c>
      <c r="K254" s="3">
        <v>8.7535744999999998E-2</v>
      </c>
      <c r="L254" s="3">
        <v>0.113385684</v>
      </c>
      <c r="M254" s="3">
        <v>0.13894058400000001</v>
      </c>
      <c r="N254" s="3">
        <v>0.115791385</v>
      </c>
      <c r="O254" s="3">
        <v>0.14129240200000001</v>
      </c>
      <c r="P254" s="3">
        <v>0.229300532</v>
      </c>
      <c r="Q254" s="3">
        <v>0.30910402300000001</v>
      </c>
      <c r="R254" s="3">
        <v>1.614110924</v>
      </c>
      <c r="S254" s="3">
        <v>5.2101217929999999</v>
      </c>
      <c r="T254" s="3">
        <v>1.1876903350000001</v>
      </c>
      <c r="U254" s="3">
        <v>0.54289691600000001</v>
      </c>
      <c r="V254" s="3">
        <v>0.22738190599999999</v>
      </c>
      <c r="W254" s="3">
        <v>0.67714581200000001</v>
      </c>
      <c r="X254" s="3">
        <v>5.7844522969999996</v>
      </c>
      <c r="Y254" s="3">
        <v>8.6060070670000002</v>
      </c>
      <c r="Z254" s="3">
        <v>2.1876903350000001</v>
      </c>
      <c r="AA254" s="3">
        <v>0.113385684</v>
      </c>
      <c r="AB254" s="3">
        <v>7.4070572920000002</v>
      </c>
      <c r="AC254" s="3">
        <v>8.5424028270000001</v>
      </c>
      <c r="AD254" s="3">
        <v>0.10973174199999999</v>
      </c>
      <c r="AE254" s="3">
        <v>13.444365700000001</v>
      </c>
      <c r="AF254" s="4">
        <v>41494</v>
      </c>
      <c r="AG254" s="5">
        <f>YEAR(AF254)</f>
        <v>2013</v>
      </c>
      <c r="AH254" s="5" t="str">
        <f>"Q"&amp;ROUNDUP(MONTH(AF254)/3,0)</f>
        <v>Q3</v>
      </c>
      <c r="AI254" s="5">
        <f>INDEX(RatingLookup!$B$2:$B$11,MATCH(A254,RatingLookup!$A$2:$A$11,0))</f>
        <v>7</v>
      </c>
      <c r="AJ254" s="5" t="str">
        <f>INDEX(RatingLookup!$C$2:$C$11,MATCH(A254,RatingLookup!$A$2:$A$11,0))</f>
        <v>Investment Grade</v>
      </c>
    </row>
    <row r="255" spans="1:36" x14ac:dyDescent="0.3">
      <c r="A255" s="3" t="s">
        <v>42</v>
      </c>
      <c r="B255" s="3" t="s">
        <v>377</v>
      </c>
      <c r="C255" s="3" t="s">
        <v>378</v>
      </c>
      <c r="D255" s="3" t="s">
        <v>47</v>
      </c>
      <c r="E255" s="3" t="s">
        <v>106</v>
      </c>
      <c r="F255" s="3" t="s">
        <v>219</v>
      </c>
      <c r="G255" s="3">
        <v>2.250862267</v>
      </c>
      <c r="H255" s="3">
        <v>1.0004598760000001</v>
      </c>
      <c r="I255" s="3">
        <v>0.21246263500000001</v>
      </c>
      <c r="J255" s="3">
        <v>26.34779288</v>
      </c>
      <c r="K255" s="3">
        <v>0.13673438199999999</v>
      </c>
      <c r="L255" s="3">
        <v>0.18967465999999999</v>
      </c>
      <c r="M255" s="3">
        <v>0.215426913</v>
      </c>
      <c r="N255" s="3">
        <v>0.18701695400000001</v>
      </c>
      <c r="O255" s="3">
        <v>0.196686734</v>
      </c>
      <c r="P255" s="3">
        <v>0.33729900000000002</v>
      </c>
      <c r="Q255" s="3">
        <v>0.68335877899999997</v>
      </c>
      <c r="R255" s="3">
        <v>1.438458496</v>
      </c>
      <c r="S255" s="3">
        <v>3.6408630849999999</v>
      </c>
      <c r="T255" s="3">
        <v>2.474351145</v>
      </c>
      <c r="U255" s="3">
        <v>0.71217647299999998</v>
      </c>
      <c r="V255" s="3">
        <v>0.27862779799999998</v>
      </c>
      <c r="W255" s="3">
        <v>0.75350907199999995</v>
      </c>
      <c r="X255" s="3">
        <v>9.4666666670000001</v>
      </c>
      <c r="Y255" s="3">
        <v>4.2752688169999997</v>
      </c>
      <c r="Z255" s="3">
        <v>3.474351145</v>
      </c>
      <c r="AA255" s="3">
        <v>0.18967465999999999</v>
      </c>
      <c r="AB255" s="3">
        <v>5.9856715380000001</v>
      </c>
      <c r="AC255" s="3">
        <v>12.56344086</v>
      </c>
      <c r="AD255" s="3">
        <v>0.17846341800000001</v>
      </c>
      <c r="AE255" s="3">
        <v>15.785494780000001</v>
      </c>
      <c r="AF255" s="4">
        <v>42390</v>
      </c>
      <c r="AG255" s="5">
        <f>YEAR(AF255)</f>
        <v>2016</v>
      </c>
      <c r="AH255" s="5" t="str">
        <f>"Q"&amp;ROUNDUP(MONTH(AF255)/3,0)</f>
        <v>Q1</v>
      </c>
      <c r="AI255" s="5">
        <f>INDEX(RatingLookup!$B$2:$B$11,MATCH(A255,RatingLookup!$A$2:$A$11,0))</f>
        <v>7</v>
      </c>
      <c r="AJ255" s="5" t="str">
        <f>INDEX(RatingLookup!$C$2:$C$11,MATCH(A255,RatingLookup!$A$2:$A$11,0))</f>
        <v>Investment Grade</v>
      </c>
    </row>
    <row r="256" spans="1:36" x14ac:dyDescent="0.3">
      <c r="A256" s="3" t="s">
        <v>92</v>
      </c>
      <c r="B256" s="3" t="s">
        <v>377</v>
      </c>
      <c r="C256" s="3" t="s">
        <v>378</v>
      </c>
      <c r="D256" s="3" t="s">
        <v>60</v>
      </c>
      <c r="E256" s="3" t="s">
        <v>46</v>
      </c>
      <c r="F256" s="3" t="s">
        <v>219</v>
      </c>
      <c r="G256" s="3">
        <v>2.2787963329999998</v>
      </c>
      <c r="H256" s="3">
        <v>1.0081705860000001</v>
      </c>
      <c r="I256" s="3">
        <v>0.21223595100000001</v>
      </c>
      <c r="J256" s="3">
        <v>25.618301169999999</v>
      </c>
      <c r="K256" s="3">
        <v>4.2069167999999997E-2</v>
      </c>
      <c r="L256" s="3">
        <v>6.2466934000000002E-2</v>
      </c>
      <c r="M256" s="3">
        <v>0.100362496</v>
      </c>
      <c r="N256" s="3">
        <v>7.8338395000000005E-2</v>
      </c>
      <c r="O256" s="3">
        <v>9.4005867000000007E-2</v>
      </c>
      <c r="P256" s="3">
        <v>0.17889007400000001</v>
      </c>
      <c r="Q256" s="3">
        <v>0.20268101599999999</v>
      </c>
      <c r="R256" s="3">
        <v>2.2345549280000001</v>
      </c>
      <c r="S256" s="3">
        <v>6.9596345289999997</v>
      </c>
      <c r="T256" s="3">
        <v>1.1560464459999999</v>
      </c>
      <c r="U256" s="3">
        <v>0.53618809899999997</v>
      </c>
      <c r="V256" s="3">
        <v>0.32873274800000002</v>
      </c>
      <c r="W256" s="3">
        <v>0.63401882200000004</v>
      </c>
      <c r="X256" s="3">
        <v>3.202464789</v>
      </c>
      <c r="Y256" s="3">
        <v>2.600352113</v>
      </c>
      <c r="Z256" s="3">
        <v>2.1560464459999999</v>
      </c>
      <c r="AA256" s="3">
        <v>6.2466934000000002E-2</v>
      </c>
      <c r="AB256" s="3">
        <v>5.4473805200000003</v>
      </c>
      <c r="AC256" s="3">
        <v>5.0510563380000004</v>
      </c>
      <c r="AD256" s="3">
        <v>5.6216321999999999E-2</v>
      </c>
      <c r="AE256" s="3">
        <v>17.920765029999998</v>
      </c>
      <c r="AF256" s="4">
        <v>41075</v>
      </c>
      <c r="AG256" s="5">
        <f>YEAR(AF256)</f>
        <v>2012</v>
      </c>
      <c r="AH256" s="5" t="str">
        <f>"Q"&amp;ROUNDUP(MONTH(AF256)/3,0)</f>
        <v>Q2</v>
      </c>
      <c r="AI256" s="5">
        <f>INDEX(RatingLookup!$B$2:$B$11,MATCH(A256,RatingLookup!$A$2:$A$11,0))</f>
        <v>6</v>
      </c>
      <c r="AJ256" s="5" t="str">
        <f>INDEX(RatingLookup!$C$2:$C$11,MATCH(A256,RatingLookup!$A$2:$A$11,0))</f>
        <v>Speculative Grade</v>
      </c>
    </row>
    <row r="257" spans="1:36" x14ac:dyDescent="0.3">
      <c r="A257" s="3" t="s">
        <v>36</v>
      </c>
      <c r="B257" s="3" t="s">
        <v>382</v>
      </c>
      <c r="C257" s="3" t="s">
        <v>383</v>
      </c>
      <c r="D257" s="3" t="s">
        <v>39</v>
      </c>
      <c r="E257" s="3" t="s">
        <v>384</v>
      </c>
      <c r="F257" s="3" t="s">
        <v>66</v>
      </c>
      <c r="G257" s="3">
        <v>2.973647712</v>
      </c>
      <c r="H257" s="3">
        <v>1.908460472</v>
      </c>
      <c r="I257" s="3">
        <v>0.80443827999999995</v>
      </c>
      <c r="J257" s="3">
        <v>46.370456820000001</v>
      </c>
      <c r="K257" s="3">
        <v>5.9186395000000003E-2</v>
      </c>
      <c r="L257" s="3">
        <v>8.6695565000000002E-2</v>
      </c>
      <c r="M257" s="3">
        <v>0.18589529799999999</v>
      </c>
      <c r="N257" s="3">
        <v>9.6865621999999998E-2</v>
      </c>
      <c r="O257" s="3">
        <v>6.9730897999999999E-2</v>
      </c>
      <c r="P257" s="3">
        <v>0.118993135</v>
      </c>
      <c r="Q257" s="3">
        <v>0.16306844300000001</v>
      </c>
      <c r="R257" s="3">
        <v>1.178157533</v>
      </c>
      <c r="S257" s="3">
        <v>2.8933912199999998</v>
      </c>
      <c r="T257" s="3">
        <v>1.3385392739999999</v>
      </c>
      <c r="U257" s="3">
        <v>0.57238263599999994</v>
      </c>
      <c r="V257" s="3">
        <v>0.30192307699999998</v>
      </c>
      <c r="W257" s="3">
        <v>0.62243502100000003</v>
      </c>
      <c r="X257" s="3">
        <v>6.1820652169999999</v>
      </c>
      <c r="Y257" s="3">
        <v>8.3423913039999995</v>
      </c>
      <c r="Z257" s="3">
        <v>2.3385392739999999</v>
      </c>
      <c r="AA257" s="3">
        <v>8.6695565000000002E-2</v>
      </c>
      <c r="AB257" s="3">
        <v>9.2552886599999997</v>
      </c>
      <c r="AC257" s="3">
        <v>9.9320652169999999</v>
      </c>
      <c r="AD257" s="3">
        <v>0.121873958</v>
      </c>
      <c r="AE257" s="3">
        <v>10.58837209</v>
      </c>
      <c r="AF257" s="4">
        <v>42151</v>
      </c>
      <c r="AG257" s="5">
        <f>YEAR(AF257)</f>
        <v>2015</v>
      </c>
      <c r="AH257" s="5" t="str">
        <f>"Q"&amp;ROUNDUP(MONTH(AF257)/3,0)</f>
        <v>Q2</v>
      </c>
      <c r="AI257" s="5">
        <f>INDEX(RatingLookup!$B$2:$B$11,MATCH(A257,RatingLookup!$A$2:$A$11,0))</f>
        <v>8</v>
      </c>
      <c r="AJ257" s="5" t="str">
        <f>INDEX(RatingLookup!$C$2:$C$11,MATCH(A257,RatingLookup!$A$2:$A$11,0))</f>
        <v>Investment Grade</v>
      </c>
    </row>
    <row r="258" spans="1:36" x14ac:dyDescent="0.3">
      <c r="A258" s="3" t="s">
        <v>36</v>
      </c>
      <c r="B258" s="3" t="s">
        <v>382</v>
      </c>
      <c r="C258" s="3" t="s">
        <v>383</v>
      </c>
      <c r="D258" s="3" t="s">
        <v>39</v>
      </c>
      <c r="E258" s="3" t="s">
        <v>263</v>
      </c>
      <c r="F258" s="3" t="s">
        <v>66</v>
      </c>
      <c r="G258" s="3">
        <v>2.6280323449999998</v>
      </c>
      <c r="H258" s="3">
        <v>1.637466307</v>
      </c>
      <c r="I258" s="3">
        <v>0.58490565999999999</v>
      </c>
      <c r="J258" s="3">
        <v>50.324675319999997</v>
      </c>
      <c r="K258" s="3">
        <v>7.1517523999999999E-2</v>
      </c>
      <c r="L258" s="3">
        <v>0.106564668</v>
      </c>
      <c r="M258" s="3">
        <v>0.220957125</v>
      </c>
      <c r="N258" s="3">
        <v>0.11741683</v>
      </c>
      <c r="O258" s="3">
        <v>7.9227433999999999E-2</v>
      </c>
      <c r="P258" s="3">
        <v>0.13827331500000001</v>
      </c>
      <c r="Q258" s="3">
        <v>0.1875</v>
      </c>
      <c r="R258" s="3">
        <v>1.1078044929999999</v>
      </c>
      <c r="S258" s="3">
        <v>2.826043238</v>
      </c>
      <c r="T258" s="3">
        <v>1.366604478</v>
      </c>
      <c r="U258" s="3">
        <v>0.57745368500000005</v>
      </c>
      <c r="V258" s="3">
        <v>0.312186978</v>
      </c>
      <c r="W258" s="3">
        <v>0.591836735</v>
      </c>
      <c r="X258" s="3">
        <v>5.6703910610000001</v>
      </c>
      <c r="Y258" s="3">
        <v>6.145251397</v>
      </c>
      <c r="Z258" s="3">
        <v>2.3666044780000002</v>
      </c>
      <c r="AA258" s="3">
        <v>0.106564668</v>
      </c>
      <c r="AB258" s="3">
        <v>10.08846838</v>
      </c>
      <c r="AC258" s="3">
        <v>9.5810055869999999</v>
      </c>
      <c r="AD258" s="3">
        <v>0.122042341</v>
      </c>
      <c r="AE258" s="3">
        <v>10.35224586</v>
      </c>
      <c r="AF258" s="4">
        <v>42339</v>
      </c>
      <c r="AG258" s="5">
        <f>YEAR(AF258)</f>
        <v>2015</v>
      </c>
      <c r="AH258" s="5" t="str">
        <f>"Q"&amp;ROUNDUP(MONTH(AF258)/3,0)</f>
        <v>Q4</v>
      </c>
      <c r="AI258" s="5">
        <f>INDEX(RatingLookup!$B$2:$B$11,MATCH(A258,RatingLookup!$A$2:$A$11,0))</f>
        <v>8</v>
      </c>
      <c r="AJ258" s="5" t="str">
        <f>INDEX(RatingLookup!$C$2:$C$11,MATCH(A258,RatingLookup!$A$2:$A$11,0))</f>
        <v>Investment Grade</v>
      </c>
    </row>
    <row r="259" spans="1:36" x14ac:dyDescent="0.3">
      <c r="A259" s="3" t="s">
        <v>36</v>
      </c>
      <c r="B259" s="3" t="s">
        <v>382</v>
      </c>
      <c r="C259" s="3" t="s">
        <v>383</v>
      </c>
      <c r="D259" s="3" t="s">
        <v>39</v>
      </c>
      <c r="E259" s="3" t="s">
        <v>121</v>
      </c>
      <c r="F259" s="3" t="s">
        <v>66</v>
      </c>
      <c r="G259" s="3">
        <v>2.7</v>
      </c>
      <c r="H259" s="3">
        <v>1.72804878</v>
      </c>
      <c r="I259" s="3">
        <v>0.7</v>
      </c>
      <c r="J259" s="3">
        <v>45.645573429999999</v>
      </c>
      <c r="K259" s="3">
        <v>5.9522020000000002E-2</v>
      </c>
      <c r="L259" s="3">
        <v>8.2218548000000002E-2</v>
      </c>
      <c r="M259" s="3">
        <v>0.169998497</v>
      </c>
      <c r="N259" s="3">
        <v>9.2138885000000004E-2</v>
      </c>
      <c r="O259" s="3">
        <v>7.3880597000000006E-2</v>
      </c>
      <c r="P259" s="3">
        <v>0.12048458099999999</v>
      </c>
      <c r="Q259" s="3">
        <v>0.16472545799999999</v>
      </c>
      <c r="R259" s="3">
        <v>1.2412313429999999</v>
      </c>
      <c r="S259" s="3">
        <v>3.0858070500000001</v>
      </c>
      <c r="T259" s="3">
        <v>1.229617304</v>
      </c>
      <c r="U259" s="3">
        <v>0.551492537</v>
      </c>
      <c r="V259" s="3">
        <v>0.26325411300000001</v>
      </c>
      <c r="W259" s="3">
        <v>0.51857835200000002</v>
      </c>
      <c r="X259" s="3">
        <v>4.1688311689999997</v>
      </c>
      <c r="Y259" s="3">
        <v>7.5974025970000003</v>
      </c>
      <c r="Z259" s="3">
        <v>2.229617304</v>
      </c>
      <c r="AA259" s="3">
        <v>8.2218548000000002E-2</v>
      </c>
      <c r="AB259" s="3">
        <v>7.4454275089999999</v>
      </c>
      <c r="AC259" s="3">
        <v>8.0389610390000001</v>
      </c>
      <c r="AD259" s="3">
        <v>9.3040734E-2</v>
      </c>
      <c r="AE259" s="3">
        <v>11.347161570000001</v>
      </c>
      <c r="AF259" s="4">
        <v>41613</v>
      </c>
      <c r="AG259" s="5">
        <f>YEAR(AF259)</f>
        <v>2013</v>
      </c>
      <c r="AH259" s="5" t="str">
        <f>"Q"&amp;ROUNDUP(MONTH(AF259)/3,0)</f>
        <v>Q4</v>
      </c>
      <c r="AI259" s="5">
        <f>INDEX(RatingLookup!$B$2:$B$11,MATCH(A259,RatingLookup!$A$2:$A$11,0))</f>
        <v>8</v>
      </c>
      <c r="AJ259" s="5" t="str">
        <f>INDEX(RatingLookup!$C$2:$C$11,MATCH(A259,RatingLookup!$A$2:$A$11,0))</f>
        <v>Investment Grade</v>
      </c>
    </row>
    <row r="260" spans="1:36" x14ac:dyDescent="0.3">
      <c r="A260" s="3" t="s">
        <v>42</v>
      </c>
      <c r="B260" s="3" t="s">
        <v>382</v>
      </c>
      <c r="C260" s="3" t="s">
        <v>383</v>
      </c>
      <c r="D260" s="3" t="s">
        <v>60</v>
      </c>
      <c r="E260" s="3" t="s">
        <v>46</v>
      </c>
      <c r="F260" s="3" t="s">
        <v>66</v>
      </c>
      <c r="G260" s="3">
        <v>2.269978402</v>
      </c>
      <c r="H260" s="3">
        <v>1.347732181</v>
      </c>
      <c r="I260" s="3">
        <v>0.43304535599999999</v>
      </c>
      <c r="J260" s="3">
        <v>49.124457309999997</v>
      </c>
      <c r="K260" s="3">
        <v>6.6891782999999996E-2</v>
      </c>
      <c r="L260" s="3">
        <v>9.5352951000000005E-2</v>
      </c>
      <c r="M260" s="3">
        <v>0.181058048</v>
      </c>
      <c r="N260" s="3">
        <v>0.10789516</v>
      </c>
      <c r="O260" s="3">
        <v>7.8239609000000002E-2</v>
      </c>
      <c r="P260" s="3">
        <v>0.13504896399999999</v>
      </c>
      <c r="Q260" s="3">
        <v>0.19771863100000001</v>
      </c>
      <c r="R260" s="3">
        <v>1.1696445360000001</v>
      </c>
      <c r="S260" s="3">
        <v>2.8845083489999999</v>
      </c>
      <c r="T260" s="3">
        <v>1.527091255</v>
      </c>
      <c r="U260" s="3">
        <v>0.60428813199999998</v>
      </c>
      <c r="V260" s="3">
        <v>0.28667790900000001</v>
      </c>
      <c r="W260" s="3">
        <v>0.123333333</v>
      </c>
      <c r="X260" s="3">
        <v>0.48429319399999998</v>
      </c>
      <c r="Y260" s="3">
        <v>5.3795811520000001</v>
      </c>
      <c r="Z260" s="3">
        <v>2.5270912550000002</v>
      </c>
      <c r="AA260" s="3">
        <v>9.5352951000000005E-2</v>
      </c>
      <c r="AB260" s="3">
        <v>6.5435283450000004</v>
      </c>
      <c r="AC260" s="3">
        <v>3.9267015710000002</v>
      </c>
      <c r="AD260" s="3">
        <v>4.8239267000000002E-2</v>
      </c>
      <c r="AE260" s="3">
        <v>9.6275992440000007</v>
      </c>
      <c r="AF260" s="4">
        <v>41075</v>
      </c>
      <c r="AG260" s="5">
        <f>YEAR(AF260)</f>
        <v>2012</v>
      </c>
      <c r="AH260" s="5" t="str">
        <f>"Q"&amp;ROUNDUP(MONTH(AF260)/3,0)</f>
        <v>Q2</v>
      </c>
      <c r="AI260" s="5">
        <f>INDEX(RatingLookup!$B$2:$B$11,MATCH(A260,RatingLookup!$A$2:$A$11,0))</f>
        <v>7</v>
      </c>
      <c r="AJ260" s="5" t="str">
        <f>INDEX(RatingLookup!$C$2:$C$11,MATCH(A260,RatingLookup!$A$2:$A$11,0))</f>
        <v>Investment Grade</v>
      </c>
    </row>
    <row r="261" spans="1:36" x14ac:dyDescent="0.3">
      <c r="A261" s="3" t="s">
        <v>42</v>
      </c>
      <c r="B261" s="3" t="s">
        <v>382</v>
      </c>
      <c r="C261" s="3" t="s">
        <v>383</v>
      </c>
      <c r="D261" s="3" t="s">
        <v>60</v>
      </c>
      <c r="E261" s="3" t="s">
        <v>385</v>
      </c>
      <c r="F261" s="3" t="s">
        <v>66</v>
      </c>
      <c r="G261" s="3">
        <v>2.5294748120000001</v>
      </c>
      <c r="H261" s="3">
        <v>1.545551983</v>
      </c>
      <c r="I261" s="3">
        <v>0.65273311899999997</v>
      </c>
      <c r="J261" s="3">
        <v>45.485303119999998</v>
      </c>
      <c r="K261" s="3">
        <v>6.5523576E-2</v>
      </c>
      <c r="L261" s="3">
        <v>9.2008572999999996E-2</v>
      </c>
      <c r="M261" s="3">
        <v>0.189528475</v>
      </c>
      <c r="N261" s="3">
        <v>0.10226576900000001</v>
      </c>
      <c r="O261" s="3">
        <v>7.6537911E-2</v>
      </c>
      <c r="P261" s="3">
        <v>0.128997639</v>
      </c>
      <c r="Q261" s="3">
        <v>0.17562576899999999</v>
      </c>
      <c r="R261" s="3">
        <v>1.168097282</v>
      </c>
      <c r="S261" s="3">
        <v>2.978568171</v>
      </c>
      <c r="T261" s="3">
        <v>1.2946245380000001</v>
      </c>
      <c r="U261" s="3">
        <v>0.56419885599999997</v>
      </c>
      <c r="V261" s="3">
        <v>0.277870216</v>
      </c>
      <c r="W261" s="3">
        <v>0.57240437200000005</v>
      </c>
      <c r="X261" s="3">
        <v>5.4771241829999999</v>
      </c>
      <c r="Y261" s="3">
        <v>8.2091503269999997</v>
      </c>
      <c r="Z261" s="3">
        <v>2.2946245379999999</v>
      </c>
      <c r="AA261" s="3">
        <v>9.2008572999999996E-2</v>
      </c>
      <c r="AB261" s="3">
        <v>7.1233447099999996</v>
      </c>
      <c r="AC261" s="3">
        <v>9.5686274509999993</v>
      </c>
      <c r="AD261" s="3">
        <v>0.112063686</v>
      </c>
      <c r="AE261" s="3">
        <v>8.9728813560000003</v>
      </c>
      <c r="AF261" s="4">
        <v>41170</v>
      </c>
      <c r="AG261" s="5">
        <f>YEAR(AF261)</f>
        <v>2012</v>
      </c>
      <c r="AH261" s="5" t="str">
        <f>"Q"&amp;ROUNDUP(MONTH(AF261)/3,0)</f>
        <v>Q3</v>
      </c>
      <c r="AI261" s="5">
        <f>INDEX(RatingLookup!$B$2:$B$11,MATCH(A261,RatingLookup!$A$2:$A$11,0))</f>
        <v>7</v>
      </c>
      <c r="AJ261" s="5" t="str">
        <f>INDEX(RatingLookup!$C$2:$C$11,MATCH(A261,RatingLookup!$A$2:$A$11,0))</f>
        <v>Investment Grade</v>
      </c>
    </row>
    <row r="262" spans="1:36" x14ac:dyDescent="0.3">
      <c r="A262" s="3" t="s">
        <v>109</v>
      </c>
      <c r="B262" s="3" t="s">
        <v>386</v>
      </c>
      <c r="C262" s="3" t="s">
        <v>387</v>
      </c>
      <c r="D262" s="3" t="s">
        <v>47</v>
      </c>
      <c r="E262" s="3" t="s">
        <v>388</v>
      </c>
      <c r="F262" s="3" t="s">
        <v>53</v>
      </c>
      <c r="G262" s="3">
        <v>1.4578534270000001</v>
      </c>
      <c r="H262" s="3">
        <v>0.63653498900000005</v>
      </c>
      <c r="I262" s="3">
        <v>1.876469E-3</v>
      </c>
      <c r="J262" s="3">
        <v>11.017531809999999</v>
      </c>
      <c r="K262" s="3">
        <v>4.1943400000000004E-3</v>
      </c>
      <c r="L262" s="3">
        <v>4.0127579999999999E-3</v>
      </c>
      <c r="M262" s="3">
        <v>5.7942567E-2</v>
      </c>
      <c r="N262" s="3">
        <v>1.1122118E-2</v>
      </c>
      <c r="O262" s="3">
        <v>1.6242222000000001E-2</v>
      </c>
      <c r="P262" s="3">
        <v>2.0005887E-2</v>
      </c>
      <c r="Q262" s="3">
        <v>6.6787179000000002E-2</v>
      </c>
      <c r="R262" s="3">
        <v>3.8724138639999999</v>
      </c>
      <c r="S262" s="3">
        <v>8.3004692270000007</v>
      </c>
      <c r="T262" s="3">
        <v>3.111948489</v>
      </c>
      <c r="U262" s="3">
        <v>0.75680629200000005</v>
      </c>
      <c r="V262" s="3">
        <v>-4.5251382999999999E-2</v>
      </c>
      <c r="W262" s="3">
        <v>-0.486657281</v>
      </c>
      <c r="X262" s="3">
        <v>-0.94533532200000003</v>
      </c>
      <c r="Y262" s="3">
        <v>2.0888495250000001</v>
      </c>
      <c r="Z262" s="3">
        <v>4.1119484890000004</v>
      </c>
      <c r="AA262" s="3">
        <v>4.0127579999999999E-3</v>
      </c>
      <c r="AB262" s="3">
        <v>5.336285137</v>
      </c>
      <c r="AC262" s="3">
        <v>1.942507303</v>
      </c>
      <c r="AD262" s="3">
        <v>6.059806E-3</v>
      </c>
      <c r="AE262" s="3">
        <v>31.987461360000001</v>
      </c>
      <c r="AF262" s="4">
        <v>42537</v>
      </c>
      <c r="AG262" s="5">
        <f>YEAR(AF262)</f>
        <v>2016</v>
      </c>
      <c r="AH262" s="5" t="str">
        <f>"Q"&amp;ROUNDUP(MONTH(AF262)/3,0)</f>
        <v>Q2</v>
      </c>
      <c r="AI262" s="5">
        <f>INDEX(RatingLookup!$B$2:$B$11,MATCH(A262,RatingLookup!$A$2:$A$11,0))</f>
        <v>5</v>
      </c>
      <c r="AJ262" s="5" t="str">
        <f>INDEX(RatingLookup!$C$2:$C$11,MATCH(A262,RatingLookup!$A$2:$A$11,0))</f>
        <v>Speculative Grade</v>
      </c>
    </row>
    <row r="263" spans="1:36" x14ac:dyDescent="0.3">
      <c r="A263" s="3" t="s">
        <v>109</v>
      </c>
      <c r="B263" s="3" t="s">
        <v>386</v>
      </c>
      <c r="C263" s="3" t="s">
        <v>387</v>
      </c>
      <c r="D263" s="3" t="s">
        <v>60</v>
      </c>
      <c r="E263" s="3" t="s">
        <v>65</v>
      </c>
      <c r="F263" s="3" t="s">
        <v>53</v>
      </c>
      <c r="G263" s="3">
        <v>1.3586363640000001</v>
      </c>
      <c r="H263" s="3">
        <v>0.77286354199999996</v>
      </c>
      <c r="I263" s="3">
        <v>7.4036279999999998E-3</v>
      </c>
      <c r="J263" s="3">
        <v>9.6741108859999994</v>
      </c>
      <c r="K263" s="3">
        <v>6.5296640000000001E-3</v>
      </c>
      <c r="L263" s="3">
        <v>6.8293750000000004E-3</v>
      </c>
      <c r="M263" s="3">
        <v>3.1419018E-2</v>
      </c>
      <c r="N263" s="3">
        <v>9.5951040000000001E-3</v>
      </c>
      <c r="O263" s="3">
        <v>5.5278564000000002E-2</v>
      </c>
      <c r="P263" s="3">
        <v>8.8513499999999995E-2</v>
      </c>
      <c r="Q263" s="3">
        <v>0.192126309</v>
      </c>
      <c r="R263" s="3">
        <v>8.4657591730000004</v>
      </c>
      <c r="S263" s="3">
        <v>20.931983599999999</v>
      </c>
      <c r="T263" s="3">
        <v>2.4756023589999998</v>
      </c>
      <c r="U263" s="3">
        <v>0.71228008899999995</v>
      </c>
      <c r="V263" s="3">
        <v>8.1649610000000001E-3</v>
      </c>
      <c r="W263" s="3">
        <v>0.72422891099999998</v>
      </c>
      <c r="X263" s="3">
        <v>9.1097009480000004</v>
      </c>
      <c r="Y263" s="3">
        <v>3.2481400439999999</v>
      </c>
      <c r="Z263" s="3">
        <v>3.4756023589999998</v>
      </c>
      <c r="AA263" s="3">
        <v>6.8293750000000004E-3</v>
      </c>
      <c r="AB263" s="3">
        <v>5.4966262290000003</v>
      </c>
      <c r="AC263" s="3">
        <v>12.578482859999999</v>
      </c>
      <c r="AD263" s="3">
        <v>1.9971216999999999E-2</v>
      </c>
      <c r="AE263" s="3">
        <v>36.633055130000002</v>
      </c>
      <c r="AF263" s="4">
        <v>42156</v>
      </c>
      <c r="AG263" s="5">
        <f>YEAR(AF263)</f>
        <v>2015</v>
      </c>
      <c r="AH263" s="5" t="str">
        <f>"Q"&amp;ROUNDUP(MONTH(AF263)/3,0)</f>
        <v>Q2</v>
      </c>
      <c r="AI263" s="5">
        <f>INDEX(RatingLookup!$B$2:$B$11,MATCH(A263,RatingLookup!$A$2:$A$11,0))</f>
        <v>5</v>
      </c>
      <c r="AJ263" s="5" t="str">
        <f>INDEX(RatingLookup!$C$2:$C$11,MATCH(A263,RatingLookup!$A$2:$A$11,0))</f>
        <v>Speculative Grade</v>
      </c>
    </row>
    <row r="264" spans="1:36" x14ac:dyDescent="0.3">
      <c r="A264" s="3" t="s">
        <v>109</v>
      </c>
      <c r="B264" s="3" t="s">
        <v>386</v>
      </c>
      <c r="C264" s="3" t="s">
        <v>387</v>
      </c>
      <c r="D264" s="3" t="s">
        <v>60</v>
      </c>
      <c r="E264" s="3" t="s">
        <v>389</v>
      </c>
      <c r="F264" s="3" t="s">
        <v>53</v>
      </c>
      <c r="G264" s="3">
        <v>1.413068647</v>
      </c>
      <c r="H264" s="3">
        <v>0.76253069200000001</v>
      </c>
      <c r="I264" s="3">
        <v>9.4769329999999999E-3</v>
      </c>
      <c r="J264" s="3">
        <v>12.789080820000001</v>
      </c>
      <c r="K264" s="3">
        <v>2.6021450000000002E-3</v>
      </c>
      <c r="L264" s="3">
        <v>2.1753879999999999E-3</v>
      </c>
      <c r="M264" s="3">
        <v>2.0716544999999999E-2</v>
      </c>
      <c r="N264" s="3">
        <v>4.3599140000000003E-3</v>
      </c>
      <c r="O264" s="3">
        <v>2.0995320000000001E-2</v>
      </c>
      <c r="P264" s="3">
        <v>2.9281616E-2</v>
      </c>
      <c r="Q264" s="3">
        <v>0.12276121800000001</v>
      </c>
      <c r="R264" s="3">
        <v>8.0684667789999995</v>
      </c>
      <c r="S264" s="3">
        <v>24.37622008</v>
      </c>
      <c r="T264" s="3">
        <v>4.8470752849999998</v>
      </c>
      <c r="U264" s="3">
        <v>0.82897432500000001</v>
      </c>
      <c r="V264" s="3">
        <v>1.9218585E-2</v>
      </c>
      <c r="W264" s="3">
        <v>0.73688893099999997</v>
      </c>
      <c r="X264" s="3">
        <v>6.8796882430000004</v>
      </c>
      <c r="Y264" s="3">
        <v>2.0207106000000001</v>
      </c>
      <c r="Z264" s="3">
        <v>5.8470752849999998</v>
      </c>
      <c r="AA264" s="3">
        <v>2.1753879999999999E-3</v>
      </c>
      <c r="AB264" s="3">
        <v>7.2605814210000004</v>
      </c>
      <c r="AC264" s="3">
        <v>9.3361264590000008</v>
      </c>
      <c r="AD264" s="3">
        <v>1.3024610000000001E-2</v>
      </c>
      <c r="AE264" s="3">
        <v>24.559355230000001</v>
      </c>
      <c r="AF264" s="4">
        <v>41806</v>
      </c>
      <c r="AG264" s="5">
        <f>YEAR(AF264)</f>
        <v>2014</v>
      </c>
      <c r="AH264" s="5" t="str">
        <f>"Q"&amp;ROUNDUP(MONTH(AF264)/3,0)</f>
        <v>Q2</v>
      </c>
      <c r="AI264" s="5">
        <f>INDEX(RatingLookup!$B$2:$B$11,MATCH(A264,RatingLookup!$A$2:$A$11,0))</f>
        <v>5</v>
      </c>
      <c r="AJ264" s="5" t="str">
        <f>INDEX(RatingLookup!$C$2:$C$11,MATCH(A264,RatingLookup!$A$2:$A$11,0))</f>
        <v>Speculative Grade</v>
      </c>
    </row>
    <row r="265" spans="1:36" x14ac:dyDescent="0.3">
      <c r="A265" s="3" t="s">
        <v>92</v>
      </c>
      <c r="B265" s="3" t="s">
        <v>390</v>
      </c>
      <c r="C265" s="3" t="s">
        <v>391</v>
      </c>
      <c r="D265" s="3" t="s">
        <v>47</v>
      </c>
      <c r="E265" s="3" t="s">
        <v>392</v>
      </c>
      <c r="F265" s="3" t="s">
        <v>59</v>
      </c>
      <c r="G265" s="3">
        <v>1.462121212</v>
      </c>
      <c r="H265" s="3">
        <v>1.182178932</v>
      </c>
      <c r="I265" s="3">
        <v>0.98412698399999998</v>
      </c>
      <c r="J265" s="3">
        <v>56.465331280000001</v>
      </c>
      <c r="K265" s="3">
        <v>0.70385207999999999</v>
      </c>
      <c r="L265" s="3">
        <v>2.1263482E-2</v>
      </c>
      <c r="M265" s="3">
        <v>0.132511556</v>
      </c>
      <c r="N265" s="3">
        <v>2.1263482E-2</v>
      </c>
      <c r="O265" s="3">
        <v>0.48782571600000002</v>
      </c>
      <c r="P265" s="3">
        <v>3.6125654E-2</v>
      </c>
      <c r="Q265" s="3">
        <v>2.1608325449999999</v>
      </c>
      <c r="R265" s="3">
        <v>0.69307987999999998</v>
      </c>
      <c r="S265" s="3">
        <v>9.2450142450000001</v>
      </c>
      <c r="T265" s="3">
        <v>3.4295175019999999</v>
      </c>
      <c r="U265" s="3">
        <v>0.77424177699999996</v>
      </c>
      <c r="V265" s="3">
        <v>0.39130434800000002</v>
      </c>
      <c r="W265" s="3">
        <v>0.44674556199999998</v>
      </c>
      <c r="X265" s="3">
        <v>3.569739953</v>
      </c>
      <c r="Y265" s="3">
        <v>65.602836879999998</v>
      </c>
      <c r="Z265" s="3">
        <v>4.4295175020000004</v>
      </c>
      <c r="AA265" s="3">
        <v>2.1263482E-2</v>
      </c>
      <c r="AB265" s="3">
        <v>2.0379159659999999</v>
      </c>
      <c r="AC265" s="3">
        <v>7.9905437350000001</v>
      </c>
      <c r="AD265" s="3">
        <v>0.104160247</v>
      </c>
      <c r="AE265" s="3">
        <v>5.8402489629999996</v>
      </c>
      <c r="AF265" s="4">
        <v>42444</v>
      </c>
      <c r="AG265" s="5">
        <f>YEAR(AF265)</f>
        <v>2016</v>
      </c>
      <c r="AH265" s="5" t="str">
        <f>"Q"&amp;ROUNDUP(MONTH(AF265)/3,0)</f>
        <v>Q1</v>
      </c>
      <c r="AI265" s="5">
        <f>INDEX(RatingLookup!$B$2:$B$11,MATCH(A265,RatingLookup!$A$2:$A$11,0))</f>
        <v>6</v>
      </c>
      <c r="AJ265" s="5" t="str">
        <f>INDEX(RatingLookup!$C$2:$C$11,MATCH(A265,RatingLookup!$A$2:$A$11,0))</f>
        <v>Speculative Grade</v>
      </c>
    </row>
    <row r="266" spans="1:36" x14ac:dyDescent="0.3">
      <c r="A266" s="3" t="s">
        <v>92</v>
      </c>
      <c r="B266" s="3" t="s">
        <v>390</v>
      </c>
      <c r="C266" s="3" t="s">
        <v>391</v>
      </c>
      <c r="D266" s="3" t="s">
        <v>47</v>
      </c>
      <c r="E266" s="3" t="s">
        <v>393</v>
      </c>
      <c r="F266" s="3" t="s">
        <v>59</v>
      </c>
      <c r="G266" s="3">
        <v>1.7106986900000001</v>
      </c>
      <c r="H266" s="3">
        <v>1.1910480349999999</v>
      </c>
      <c r="I266" s="3">
        <v>0.448689956</v>
      </c>
      <c r="J266" s="3">
        <v>65.66986283</v>
      </c>
      <c r="K266" s="3">
        <v>-3.9286189999999999E-2</v>
      </c>
      <c r="L266" s="3">
        <v>3.4758289999999997E-2</v>
      </c>
      <c r="M266" s="3">
        <v>0.10627247300000001</v>
      </c>
      <c r="N266" s="3">
        <v>3.4758289999999997E-2</v>
      </c>
      <c r="O266" s="3">
        <v>-5.5419876E-2</v>
      </c>
      <c r="P266" s="3">
        <v>7.4763678E-2</v>
      </c>
      <c r="Q266" s="3">
        <v>-0.34104046199999999</v>
      </c>
      <c r="R266" s="3">
        <v>1.4106706739999999</v>
      </c>
      <c r="S266" s="3">
        <v>5.2145833330000002</v>
      </c>
      <c r="T266" s="3">
        <v>5.1537572249999997</v>
      </c>
      <c r="U266" s="3">
        <v>0.83749765200000004</v>
      </c>
      <c r="V266" s="3">
        <v>0.47509578499999999</v>
      </c>
      <c r="W266" s="3">
        <v>-0.197183099</v>
      </c>
      <c r="X266" s="3">
        <v>-1.222707424</v>
      </c>
      <c r="Y266" s="3">
        <v>18.144104800000001</v>
      </c>
      <c r="Z266" s="3">
        <v>6.1537572249999997</v>
      </c>
      <c r="AA266" s="3">
        <v>3.4758289999999997E-2</v>
      </c>
      <c r="AB266" s="3">
        <v>8.6616007530000001</v>
      </c>
      <c r="AC266" s="3">
        <v>6.2008733620000003</v>
      </c>
      <c r="AD266" s="3">
        <v>3.7821280999999998E-2</v>
      </c>
      <c r="AE266" s="3">
        <v>5.6585160200000004</v>
      </c>
      <c r="AF266" s="4">
        <v>42086</v>
      </c>
      <c r="AG266" s="5">
        <f>YEAR(AF266)</f>
        <v>2015</v>
      </c>
      <c r="AH266" s="5" t="str">
        <f>"Q"&amp;ROUNDUP(MONTH(AF266)/3,0)</f>
        <v>Q1</v>
      </c>
      <c r="AI266" s="5">
        <f>INDEX(RatingLookup!$B$2:$B$11,MATCH(A266,RatingLookup!$A$2:$A$11,0))</f>
        <v>6</v>
      </c>
      <c r="AJ266" s="5" t="str">
        <f>INDEX(RatingLookup!$C$2:$C$11,MATCH(A266,RatingLookup!$A$2:$A$11,0))</f>
        <v>Speculative Grade</v>
      </c>
    </row>
    <row r="267" spans="1:36" x14ac:dyDescent="0.3">
      <c r="A267" s="3" t="s">
        <v>92</v>
      </c>
      <c r="B267" s="3" t="s">
        <v>390</v>
      </c>
      <c r="C267" s="3" t="s">
        <v>391</v>
      </c>
      <c r="D267" s="3" t="s">
        <v>47</v>
      </c>
      <c r="E267" s="3" t="s">
        <v>394</v>
      </c>
      <c r="F267" s="3" t="s">
        <v>59</v>
      </c>
      <c r="G267" s="3">
        <v>2.0826859049999999</v>
      </c>
      <c r="H267" s="3">
        <v>1.625416204</v>
      </c>
      <c r="I267" s="3">
        <v>0.93063262999999996</v>
      </c>
      <c r="J267" s="3">
        <v>60.203656410000001</v>
      </c>
      <c r="K267" s="3">
        <v>9.2754402E-2</v>
      </c>
      <c r="L267" s="3">
        <v>0.118564323</v>
      </c>
      <c r="M267" s="3">
        <v>9.1947842000000002E-2</v>
      </c>
      <c r="N267" s="3">
        <v>0.118564323</v>
      </c>
      <c r="O267" s="3">
        <v>0.114484818</v>
      </c>
      <c r="P267" s="3">
        <v>0.20875739600000001</v>
      </c>
      <c r="Q267" s="3">
        <v>0.359375</v>
      </c>
      <c r="R267" s="3">
        <v>1.2342790770000001</v>
      </c>
      <c r="S267" s="3">
        <v>5.2609618100000004</v>
      </c>
      <c r="T267" s="3">
        <v>2.1390625000000001</v>
      </c>
      <c r="U267" s="3">
        <v>0.68143354899999997</v>
      </c>
      <c r="V267" s="3">
        <v>0.121315193</v>
      </c>
      <c r="W267" s="3">
        <v>0.13782051300000001</v>
      </c>
      <c r="X267" s="3">
        <v>0.86</v>
      </c>
      <c r="Y267" s="3">
        <v>34.04</v>
      </c>
      <c r="Z267" s="3">
        <v>3.1390625000000001</v>
      </c>
      <c r="AA267" s="3">
        <v>0.118564323</v>
      </c>
      <c r="AB267" s="3">
        <v>2.7189685309999998</v>
      </c>
      <c r="AC267" s="3">
        <v>6.24</v>
      </c>
      <c r="AD267" s="3">
        <v>4.1941120999999998E-2</v>
      </c>
      <c r="AE267" s="3">
        <v>5.4829545450000001</v>
      </c>
      <c r="AF267" s="4">
        <v>41723</v>
      </c>
      <c r="AG267" s="5">
        <f>YEAR(AF267)</f>
        <v>2014</v>
      </c>
      <c r="AH267" s="5" t="str">
        <f>"Q"&amp;ROUNDUP(MONTH(AF267)/3,0)</f>
        <v>Q1</v>
      </c>
      <c r="AI267" s="5">
        <f>INDEX(RatingLookup!$B$2:$B$11,MATCH(A267,RatingLookup!$A$2:$A$11,0))</f>
        <v>6</v>
      </c>
      <c r="AJ267" s="5" t="str">
        <f>INDEX(RatingLookup!$C$2:$C$11,MATCH(A267,RatingLookup!$A$2:$A$11,0))</f>
        <v>Speculative Grade</v>
      </c>
    </row>
    <row r="268" spans="1:36" x14ac:dyDescent="0.3">
      <c r="A268" s="3" t="s">
        <v>109</v>
      </c>
      <c r="B268" s="3" t="s">
        <v>390</v>
      </c>
      <c r="C268" s="3" t="s">
        <v>391</v>
      </c>
      <c r="D268" s="3" t="s">
        <v>60</v>
      </c>
      <c r="E268" s="3" t="s">
        <v>46</v>
      </c>
      <c r="F268" s="3" t="s">
        <v>59</v>
      </c>
      <c r="G268" s="3">
        <v>1.6043673730000001</v>
      </c>
      <c r="H268" s="3">
        <v>1.1644187539999999</v>
      </c>
      <c r="I268" s="3">
        <v>0.46435452799999999</v>
      </c>
      <c r="J268" s="3">
        <v>48.397539459999997</v>
      </c>
      <c r="K268" s="3">
        <v>9.9415930000000003E-3</v>
      </c>
      <c r="L268" s="3">
        <v>3.4919845999999997E-2</v>
      </c>
      <c r="M268" s="3">
        <v>7.9905555000000003E-2</v>
      </c>
      <c r="N268" s="3">
        <v>2.0628806E-2</v>
      </c>
      <c r="O268" s="3">
        <v>1.6086869E-2</v>
      </c>
      <c r="P268" s="3">
        <v>8.2259952999999997E-2</v>
      </c>
      <c r="Q268" s="3">
        <v>6.1208875000000003E-2</v>
      </c>
      <c r="R268" s="3">
        <v>1.618137945</v>
      </c>
      <c r="S268" s="3">
        <v>5.6990084989999996</v>
      </c>
      <c r="T268" s="3">
        <v>2.80489671</v>
      </c>
      <c r="U268" s="3">
        <v>0.73718077599999998</v>
      </c>
      <c r="V268" s="3">
        <v>0.45195729499999998</v>
      </c>
      <c r="W268" s="3">
        <v>-0.47428571400000002</v>
      </c>
      <c r="X268" s="3">
        <v>-1.62109375</v>
      </c>
      <c r="Y268" s="3">
        <v>14.5703125</v>
      </c>
      <c r="Z268" s="3">
        <v>3.80489671</v>
      </c>
      <c r="AA268" s="3">
        <v>3.4919845999999997E-2</v>
      </c>
      <c r="AB268" s="3">
        <v>4.8669875520000003</v>
      </c>
      <c r="AC268" s="3">
        <v>3.41796875</v>
      </c>
      <c r="AD268" s="3">
        <v>2.1747235E-2</v>
      </c>
      <c r="AE268" s="3">
        <v>7.3745019919999999</v>
      </c>
      <c r="AF268" s="4">
        <v>41075</v>
      </c>
      <c r="AG268" s="5">
        <f>YEAR(AF268)</f>
        <v>2012</v>
      </c>
      <c r="AH268" s="5" t="str">
        <f>"Q"&amp;ROUNDUP(MONTH(AF268)/3,0)</f>
        <v>Q2</v>
      </c>
      <c r="AI268" s="5">
        <f>INDEX(RatingLookup!$B$2:$B$11,MATCH(A268,RatingLookup!$A$2:$A$11,0))</f>
        <v>5</v>
      </c>
      <c r="AJ268" s="5" t="str">
        <f>INDEX(RatingLookup!$C$2:$C$11,MATCH(A268,RatingLookup!$A$2:$A$11,0))</f>
        <v>Speculative Grade</v>
      </c>
    </row>
    <row r="269" spans="1:36" x14ac:dyDescent="0.3">
      <c r="A269" s="3" t="s">
        <v>42</v>
      </c>
      <c r="B269" s="3" t="s">
        <v>395</v>
      </c>
      <c r="C269" s="3" t="s">
        <v>396</v>
      </c>
      <c r="D269" s="3" t="s">
        <v>39</v>
      </c>
      <c r="E269" s="3" t="s">
        <v>397</v>
      </c>
      <c r="F269" s="3" t="s">
        <v>79</v>
      </c>
      <c r="G269" s="3">
        <v>0.692330259</v>
      </c>
      <c r="H269" s="3">
        <v>0.54010457599999995</v>
      </c>
      <c r="I269" s="3">
        <v>3.5714902E-2</v>
      </c>
      <c r="J269" s="3">
        <v>55.2985659</v>
      </c>
      <c r="K269" s="3">
        <v>8.1404463999999996E-2</v>
      </c>
      <c r="L269" s="3">
        <v>9.3791440000000004E-2</v>
      </c>
      <c r="M269" s="3">
        <v>0.58463567900000002</v>
      </c>
      <c r="N269" s="3">
        <v>0.14814221299999999</v>
      </c>
      <c r="O269" s="3">
        <v>2.529648E-2</v>
      </c>
      <c r="P269" s="3">
        <v>3.3301022E-2</v>
      </c>
      <c r="Q269" s="3">
        <v>9.1186316000000003E-2</v>
      </c>
      <c r="R269" s="3">
        <v>0.31075052600000003</v>
      </c>
      <c r="S269" s="3">
        <v>0.42916879800000002</v>
      </c>
      <c r="T269" s="3">
        <v>2.6047037359999998</v>
      </c>
      <c r="U269" s="3">
        <v>0.722584691</v>
      </c>
      <c r="V269" s="3">
        <v>0.13206937299999999</v>
      </c>
      <c r="W269" s="3">
        <v>-0.189648764</v>
      </c>
      <c r="X269" s="3">
        <v>-0.96311816900000002</v>
      </c>
      <c r="Y269" s="3">
        <v>1.9785894040000001</v>
      </c>
      <c r="Z269" s="3">
        <v>3.6047037359999998</v>
      </c>
      <c r="AA269" s="3">
        <v>9.3791440000000004E-2</v>
      </c>
      <c r="AB269" s="3">
        <v>9.9959240919999992</v>
      </c>
      <c r="AC269" s="3">
        <v>5.0784310289999999</v>
      </c>
      <c r="AD269" s="3">
        <v>0.167789356</v>
      </c>
      <c r="AE269" s="3">
        <v>5.1587938510000004</v>
      </c>
      <c r="AF269" s="4">
        <v>41508</v>
      </c>
      <c r="AG269" s="5">
        <f>YEAR(AF269)</f>
        <v>2013</v>
      </c>
      <c r="AH269" s="5" t="str">
        <f>"Q"&amp;ROUNDUP(MONTH(AF269)/3,0)</f>
        <v>Q3</v>
      </c>
      <c r="AI269" s="5">
        <f>INDEX(RatingLookup!$B$2:$B$11,MATCH(A269,RatingLookup!$A$2:$A$11,0))</f>
        <v>7</v>
      </c>
      <c r="AJ269" s="5" t="str">
        <f>INDEX(RatingLookup!$C$2:$C$11,MATCH(A269,RatingLookup!$A$2:$A$11,0))</f>
        <v>Investment Grade</v>
      </c>
    </row>
    <row r="270" spans="1:36" x14ac:dyDescent="0.3">
      <c r="A270" s="3" t="s">
        <v>36</v>
      </c>
      <c r="B270" s="3" t="s">
        <v>395</v>
      </c>
      <c r="C270" s="3" t="s">
        <v>396</v>
      </c>
      <c r="D270" s="3" t="s">
        <v>47</v>
      </c>
      <c r="E270" s="3" t="s">
        <v>398</v>
      </c>
      <c r="F270" s="3" t="s">
        <v>79</v>
      </c>
      <c r="G270" s="3">
        <v>0.57093276400000004</v>
      </c>
      <c r="H270" s="3">
        <v>0.45839285899999999</v>
      </c>
      <c r="I270" s="3">
        <v>3.3131462E-2</v>
      </c>
      <c r="J270" s="3">
        <v>49.52416582</v>
      </c>
      <c r="K270" s="3">
        <v>0.100165745</v>
      </c>
      <c r="L270" s="3">
        <v>9.1640293999999997E-2</v>
      </c>
      <c r="M270" s="3">
        <v>0.59946400499999997</v>
      </c>
      <c r="N270" s="3">
        <v>0.14774957799999999</v>
      </c>
      <c r="O270" s="3">
        <v>2.4263647999999999E-2</v>
      </c>
      <c r="P270" s="3">
        <v>2.5328024000000001E-2</v>
      </c>
      <c r="Q270" s="3">
        <v>8.1666928999999999E-2</v>
      </c>
      <c r="R270" s="3">
        <v>0.24223498299999999</v>
      </c>
      <c r="S270" s="3">
        <v>0.32061214300000002</v>
      </c>
      <c r="T270" s="3">
        <v>2.3658141960000001</v>
      </c>
      <c r="U270" s="3">
        <v>0.70289506700000004</v>
      </c>
      <c r="V270" s="3">
        <v>-9.3031681000000005E-2</v>
      </c>
      <c r="W270" s="3">
        <v>-8.1367307E-2</v>
      </c>
      <c r="X270" s="3">
        <v>-0.50664683499999996</v>
      </c>
      <c r="Y270" s="3">
        <v>2.9445283099999999</v>
      </c>
      <c r="Z270" s="3">
        <v>3.3658141960000001</v>
      </c>
      <c r="AA270" s="3">
        <v>9.1640293999999997E-2</v>
      </c>
      <c r="AB270" s="3">
        <v>12.915707490000001</v>
      </c>
      <c r="AC270" s="3">
        <v>6.2266634600000001</v>
      </c>
      <c r="AD270" s="3">
        <v>0.20752483899999999</v>
      </c>
      <c r="AE270" s="3">
        <v>5.8880565149999997</v>
      </c>
      <c r="AF270" s="4">
        <v>42094</v>
      </c>
      <c r="AG270" s="5">
        <f>YEAR(AF270)</f>
        <v>2015</v>
      </c>
      <c r="AH270" s="5" t="str">
        <f>"Q"&amp;ROUNDUP(MONTH(AF270)/3,0)</f>
        <v>Q1</v>
      </c>
      <c r="AI270" s="5">
        <f>INDEX(RatingLookup!$B$2:$B$11,MATCH(A270,RatingLookup!$A$2:$A$11,0))</f>
        <v>8</v>
      </c>
      <c r="AJ270" s="5" t="str">
        <f>INDEX(RatingLookup!$C$2:$C$11,MATCH(A270,RatingLookup!$A$2:$A$11,0))</f>
        <v>Investment Grade</v>
      </c>
    </row>
    <row r="271" spans="1:36" x14ac:dyDescent="0.3">
      <c r="A271" s="3" t="s">
        <v>36</v>
      </c>
      <c r="B271" s="3" t="s">
        <v>395</v>
      </c>
      <c r="C271" s="3" t="s">
        <v>396</v>
      </c>
      <c r="D271" s="3" t="s">
        <v>47</v>
      </c>
      <c r="E271" s="3" t="s">
        <v>399</v>
      </c>
      <c r="F271" s="3" t="s">
        <v>79</v>
      </c>
      <c r="G271" s="3">
        <v>0.996989825</v>
      </c>
      <c r="H271" s="3">
        <v>0.810757018</v>
      </c>
      <c r="I271" s="3">
        <v>2.050867E-2</v>
      </c>
      <c r="J271" s="3">
        <v>47.091940360000002</v>
      </c>
      <c r="K271" s="3">
        <v>6.9662921000000003E-2</v>
      </c>
      <c r="L271" s="3">
        <v>9.2855085000000004E-2</v>
      </c>
      <c r="M271" s="3">
        <v>1</v>
      </c>
      <c r="N271" s="3">
        <v>0.14640683500000001</v>
      </c>
      <c r="O271" s="3">
        <v>2.5472162999999999E-2</v>
      </c>
      <c r="P271" s="3">
        <v>3.7727622000000002E-2</v>
      </c>
      <c r="Q271" s="3">
        <v>9.4321061999999997E-2</v>
      </c>
      <c r="R271" s="3">
        <v>0.365648792</v>
      </c>
      <c r="S271" s="3">
        <v>0.524424958</v>
      </c>
      <c r="T271" s="3">
        <v>2.7029074280000001</v>
      </c>
      <c r="U271" s="3">
        <v>0.72994193900000004</v>
      </c>
      <c r="V271" s="3">
        <v>0.249767298</v>
      </c>
      <c r="W271" s="3">
        <v>-4.3180156999999997E-2</v>
      </c>
      <c r="X271" s="3">
        <v>-0.26120475300000001</v>
      </c>
      <c r="Y271" s="3">
        <v>2.849986184</v>
      </c>
      <c r="Z271" s="3">
        <v>3.7029074280000001</v>
      </c>
      <c r="AA271" s="3">
        <v>9.2855085000000004E-2</v>
      </c>
      <c r="AB271" s="3">
        <v>8.1357757020000001</v>
      </c>
      <c r="AC271" s="3">
        <v>6.0491848580000003</v>
      </c>
      <c r="AD271" s="3">
        <v>0.19709737799999999</v>
      </c>
      <c r="AE271" s="3">
        <v>7.0772234220000003</v>
      </c>
      <c r="AF271" s="4">
        <v>40626</v>
      </c>
      <c r="AG271" s="5">
        <f>YEAR(AF271)</f>
        <v>2011</v>
      </c>
      <c r="AH271" s="5" t="str">
        <f>"Q"&amp;ROUNDUP(MONTH(AF271)/3,0)</f>
        <v>Q1</v>
      </c>
      <c r="AI271" s="5">
        <f>INDEX(RatingLookup!$B$2:$B$11,MATCH(A271,RatingLookup!$A$2:$A$11,0))</f>
        <v>8</v>
      </c>
      <c r="AJ271" s="5" t="str">
        <f>INDEX(RatingLookup!$C$2:$C$11,MATCH(A271,RatingLookup!$A$2:$A$11,0))</f>
        <v>Investment Grade</v>
      </c>
    </row>
    <row r="272" spans="1:36" x14ac:dyDescent="0.3">
      <c r="A272" s="3" t="s">
        <v>36</v>
      </c>
      <c r="B272" s="3" t="s">
        <v>395</v>
      </c>
      <c r="C272" s="3" t="s">
        <v>396</v>
      </c>
      <c r="D272" s="3" t="s">
        <v>60</v>
      </c>
      <c r="E272" s="3" t="s">
        <v>46</v>
      </c>
      <c r="F272" s="3" t="s">
        <v>79</v>
      </c>
      <c r="G272" s="3">
        <v>0.60972068700000004</v>
      </c>
      <c r="H272" s="3">
        <v>0.46478651300000001</v>
      </c>
      <c r="I272" s="3">
        <v>1.2454985E-2</v>
      </c>
      <c r="J272" s="3">
        <v>48.07065772</v>
      </c>
      <c r="K272" s="3">
        <v>8.2837801000000003E-2</v>
      </c>
      <c r="L272" s="3">
        <v>9.1845995E-2</v>
      </c>
      <c r="M272" s="3">
        <v>0.55736872999999998</v>
      </c>
      <c r="N272" s="3">
        <v>0.148166678</v>
      </c>
      <c r="O272" s="3">
        <v>2.8829711000000001E-2</v>
      </c>
      <c r="P272" s="3">
        <v>3.7528470000000001E-2</v>
      </c>
      <c r="Q272" s="3">
        <v>0.107734498</v>
      </c>
      <c r="R272" s="3">
        <v>0.34802603300000001</v>
      </c>
      <c r="S272" s="3">
        <v>0.50482657500000006</v>
      </c>
      <c r="T272" s="3">
        <v>2.7369260350000002</v>
      </c>
      <c r="U272" s="3">
        <v>0.73240037700000005</v>
      </c>
      <c r="V272" s="3">
        <v>9.8079340000000001E-2</v>
      </c>
      <c r="W272" s="3">
        <v>0.19262310899999999</v>
      </c>
      <c r="X272" s="3">
        <v>1.2418342170000001</v>
      </c>
      <c r="Y272" s="3">
        <v>2.0427231020000001</v>
      </c>
      <c r="Z272" s="3">
        <v>3.7369260350000002</v>
      </c>
      <c r="AA272" s="3">
        <v>9.1845995E-2</v>
      </c>
      <c r="AB272" s="3">
        <v>8.0853756699999995</v>
      </c>
      <c r="AC272" s="3">
        <v>6.4469638439999999</v>
      </c>
      <c r="AD272" s="3">
        <v>0.209212971</v>
      </c>
      <c r="AE272" s="3">
        <v>6.4450250860000002</v>
      </c>
      <c r="AF272" s="4">
        <v>41075</v>
      </c>
      <c r="AG272" s="5">
        <f>YEAR(AF272)</f>
        <v>2012</v>
      </c>
      <c r="AH272" s="5" t="str">
        <f>"Q"&amp;ROUNDUP(MONTH(AF272)/3,0)</f>
        <v>Q2</v>
      </c>
      <c r="AI272" s="5">
        <f>INDEX(RatingLookup!$B$2:$B$11,MATCH(A272,RatingLookup!$A$2:$A$11,0))</f>
        <v>8</v>
      </c>
      <c r="AJ272" s="5" t="str">
        <f>INDEX(RatingLookup!$C$2:$C$11,MATCH(A272,RatingLookup!$A$2:$A$11,0))</f>
        <v>Investment Grade</v>
      </c>
    </row>
    <row r="273" spans="1:36" x14ac:dyDescent="0.3">
      <c r="A273" s="3" t="s">
        <v>42</v>
      </c>
      <c r="B273" s="3" t="s">
        <v>395</v>
      </c>
      <c r="C273" s="3" t="s">
        <v>396</v>
      </c>
      <c r="D273" s="3" t="s">
        <v>39</v>
      </c>
      <c r="E273" s="3" t="s">
        <v>400</v>
      </c>
      <c r="F273" s="3" t="s">
        <v>79</v>
      </c>
      <c r="G273" s="3">
        <v>0.50185574200000005</v>
      </c>
      <c r="H273" s="3">
        <v>0.39280812300000001</v>
      </c>
      <c r="I273" s="3">
        <v>2.0973388999999999E-2</v>
      </c>
      <c r="J273" s="3">
        <v>46.413321600000003</v>
      </c>
      <c r="K273" s="3">
        <v>0.124523696</v>
      </c>
      <c r="L273" s="3">
        <v>0.14925977900000001</v>
      </c>
      <c r="M273" s="3">
        <v>0.692938889</v>
      </c>
      <c r="N273" s="3">
        <v>0.21890489899999999</v>
      </c>
      <c r="O273" s="3">
        <v>2.8645447000000001E-2</v>
      </c>
      <c r="P273" s="3">
        <v>3.8502030999999999E-2</v>
      </c>
      <c r="Q273" s="3">
        <v>9.4495349000000006E-2</v>
      </c>
      <c r="R273" s="3">
        <v>0.23004012400000001</v>
      </c>
      <c r="S273" s="3">
        <v>0.29912533499999999</v>
      </c>
      <c r="T273" s="3">
        <v>2.2987912559999999</v>
      </c>
      <c r="U273" s="3">
        <v>0.69685866100000005</v>
      </c>
      <c r="V273" s="3">
        <v>0.16572503699999999</v>
      </c>
      <c r="W273" s="3">
        <v>0.165126627</v>
      </c>
      <c r="X273" s="3">
        <v>1.1863627379999999</v>
      </c>
      <c r="Y273" s="3">
        <v>1.479163649</v>
      </c>
      <c r="Z273" s="3">
        <v>3.2987912559999999</v>
      </c>
      <c r="AA273" s="3">
        <v>0.14925977900000001</v>
      </c>
      <c r="AB273" s="3">
        <v>10.691331050000001</v>
      </c>
      <c r="AC273" s="3">
        <v>7.1845635210000003</v>
      </c>
      <c r="AD273" s="3">
        <v>0.27984705599999998</v>
      </c>
      <c r="AE273" s="3">
        <v>5.0041470390000002</v>
      </c>
      <c r="AF273" s="4">
        <v>42215</v>
      </c>
      <c r="AG273" s="5">
        <f>YEAR(AF273)</f>
        <v>2015</v>
      </c>
      <c r="AH273" s="5" t="str">
        <f>"Q"&amp;ROUNDUP(MONTH(AF273)/3,0)</f>
        <v>Q3</v>
      </c>
      <c r="AI273" s="5">
        <f>INDEX(RatingLookup!$B$2:$B$11,MATCH(A273,RatingLookup!$A$2:$A$11,0))</f>
        <v>7</v>
      </c>
      <c r="AJ273" s="5" t="str">
        <f>INDEX(RatingLookup!$C$2:$C$11,MATCH(A273,RatingLookup!$A$2:$A$11,0))</f>
        <v>Investment Grade</v>
      </c>
    </row>
    <row r="274" spans="1:36" x14ac:dyDescent="0.3">
      <c r="A274" s="3" t="s">
        <v>36</v>
      </c>
      <c r="B274" s="3" t="s">
        <v>395</v>
      </c>
      <c r="C274" s="3" t="s">
        <v>396</v>
      </c>
      <c r="D274" s="3" t="s">
        <v>47</v>
      </c>
      <c r="E274" s="3" t="s">
        <v>401</v>
      </c>
      <c r="F274" s="3" t="s">
        <v>79</v>
      </c>
      <c r="G274" s="3">
        <v>0.67471981999999997</v>
      </c>
      <c r="H274" s="3">
        <v>0.52899958800000002</v>
      </c>
      <c r="I274" s="3">
        <v>2.1862375E-2</v>
      </c>
      <c r="J274" s="3">
        <v>49.001791019999999</v>
      </c>
      <c r="K274" s="3">
        <v>9.1938837999999995E-2</v>
      </c>
      <c r="L274" s="3">
        <v>0.108839044</v>
      </c>
      <c r="M274" s="3">
        <v>0.63055359899999996</v>
      </c>
      <c r="N274" s="3">
        <v>0.16554054700000001</v>
      </c>
      <c r="O274" s="3">
        <v>2.8232698000000001E-2</v>
      </c>
      <c r="P274" s="3">
        <v>3.8367825000000001E-2</v>
      </c>
      <c r="Q274" s="3">
        <v>0.105356133</v>
      </c>
      <c r="R274" s="3">
        <v>0.30708129899999997</v>
      </c>
      <c r="S274" s="3">
        <v>0.43945902199999998</v>
      </c>
      <c r="T274" s="3">
        <v>2.731706194</v>
      </c>
      <c r="U274" s="3">
        <v>0.73202606299999995</v>
      </c>
      <c r="V274" s="3">
        <v>0.155277051</v>
      </c>
      <c r="W274" s="3">
        <v>0.127228864</v>
      </c>
      <c r="X274" s="3">
        <v>0.86733328799999998</v>
      </c>
      <c r="Y274" s="3">
        <v>2.5501373539999999</v>
      </c>
      <c r="Z274" s="3">
        <v>3.731706194</v>
      </c>
      <c r="AA274" s="3">
        <v>0.108839044</v>
      </c>
      <c r="AB274" s="3">
        <v>8.4623358399999997</v>
      </c>
      <c r="AC274" s="3">
        <v>6.8171110019999999</v>
      </c>
      <c r="AD274" s="3">
        <v>0.234684802</v>
      </c>
      <c r="AE274" s="3">
        <v>4.7218255200000003</v>
      </c>
      <c r="AF274" s="4">
        <v>41327</v>
      </c>
      <c r="AG274" s="5">
        <f>YEAR(AF274)</f>
        <v>2013</v>
      </c>
      <c r="AH274" s="5" t="str">
        <f>"Q"&amp;ROUNDUP(MONTH(AF274)/3,0)</f>
        <v>Q1</v>
      </c>
      <c r="AI274" s="5">
        <f>INDEX(RatingLookup!$B$2:$B$11,MATCH(A274,RatingLookup!$A$2:$A$11,0))</f>
        <v>8</v>
      </c>
      <c r="AJ274" s="5" t="str">
        <f>INDEX(RatingLookup!$C$2:$C$11,MATCH(A274,RatingLookup!$A$2:$A$11,0))</f>
        <v>Investment Grade</v>
      </c>
    </row>
    <row r="275" spans="1:36" x14ac:dyDescent="0.3">
      <c r="A275" s="3" t="s">
        <v>42</v>
      </c>
      <c r="B275" s="3" t="s">
        <v>402</v>
      </c>
      <c r="C275" s="3" t="s">
        <v>403</v>
      </c>
      <c r="D275" s="3" t="s">
        <v>47</v>
      </c>
      <c r="E275" s="3" t="s">
        <v>404</v>
      </c>
      <c r="F275" s="3" t="s">
        <v>53</v>
      </c>
      <c r="G275" s="3">
        <v>1.4663670799999999</v>
      </c>
      <c r="H275" s="3">
        <v>1.05242032</v>
      </c>
      <c r="I275" s="3">
        <v>0.25288649099999999</v>
      </c>
      <c r="J275" s="3">
        <v>74.112972990000003</v>
      </c>
      <c r="K275" s="3">
        <v>-9.6437074999999997E-2</v>
      </c>
      <c r="L275" s="3">
        <v>-0.11063319200000001</v>
      </c>
      <c r="M275" s="3">
        <v>0.38634372900000002</v>
      </c>
      <c r="N275" s="3">
        <v>-0.11063319200000001</v>
      </c>
      <c r="O275" s="3">
        <v>-3.9073311999999999E-2</v>
      </c>
      <c r="P275" s="3">
        <v>-5.0113458E-2</v>
      </c>
      <c r="Q275" s="3">
        <v>-8.7018499999999999E-2</v>
      </c>
      <c r="R275" s="3">
        <v>0.40516899000000001</v>
      </c>
      <c r="S275" s="3">
        <v>0.54987846799999995</v>
      </c>
      <c r="T275" s="3">
        <v>1.2270571669999999</v>
      </c>
      <c r="U275" s="3">
        <v>0.55097695099999999</v>
      </c>
      <c r="V275" s="3">
        <v>0.22930988099999999</v>
      </c>
      <c r="W275" s="3">
        <v>-1.2316766E-2</v>
      </c>
      <c r="X275" s="3">
        <v>-3.7281522999999997E-2</v>
      </c>
      <c r="Y275" s="3">
        <v>0.97034087000000002</v>
      </c>
      <c r="Z275" s="3">
        <v>2.2270571669999999</v>
      </c>
      <c r="AA275" s="3">
        <v>-0.11063319200000001</v>
      </c>
      <c r="AB275" s="3">
        <v>9.9786710190000001</v>
      </c>
      <c r="AC275" s="3">
        <v>3.02689217</v>
      </c>
      <c r="AD275" s="3">
        <v>0.221650916</v>
      </c>
      <c r="AE275" s="3">
        <v>8.7190275899999996</v>
      </c>
      <c r="AF275" s="4">
        <v>42482</v>
      </c>
      <c r="AG275" s="5">
        <f>YEAR(AF275)</f>
        <v>2016</v>
      </c>
      <c r="AH275" s="5" t="str">
        <f>"Q"&amp;ROUNDUP(MONTH(AF275)/3,0)</f>
        <v>Q2</v>
      </c>
      <c r="AI275" s="5">
        <f>INDEX(RatingLookup!$B$2:$B$11,MATCH(A275,RatingLookup!$A$2:$A$11,0))</f>
        <v>7</v>
      </c>
      <c r="AJ275" s="5" t="str">
        <f>INDEX(RatingLookup!$C$2:$C$11,MATCH(A275,RatingLookup!$A$2:$A$11,0))</f>
        <v>Investment Grade</v>
      </c>
    </row>
    <row r="276" spans="1:36" x14ac:dyDescent="0.3">
      <c r="A276" s="3" t="s">
        <v>42</v>
      </c>
      <c r="B276" s="3" t="s">
        <v>402</v>
      </c>
      <c r="C276" s="3" t="s">
        <v>403</v>
      </c>
      <c r="D276" s="3" t="s">
        <v>39</v>
      </c>
      <c r="E276" s="3" t="s">
        <v>234</v>
      </c>
      <c r="F276" s="3" t="s">
        <v>53</v>
      </c>
      <c r="G276" s="3">
        <v>1.7492298120000001</v>
      </c>
      <c r="H276" s="3">
        <v>1.310178472</v>
      </c>
      <c r="I276" s="3">
        <v>0.31971738</v>
      </c>
      <c r="J276" s="3">
        <v>81.403962140000004</v>
      </c>
      <c r="K276" s="3">
        <v>-9.8565488000000007E-2</v>
      </c>
      <c r="L276" s="3">
        <v>-8.8859125999999997E-2</v>
      </c>
      <c r="M276" s="3">
        <v>0.33789924100000002</v>
      </c>
      <c r="N276" s="3">
        <v>-8.8859125999999997E-2</v>
      </c>
      <c r="O276" s="3">
        <v>-5.6453053000000003E-2</v>
      </c>
      <c r="P276" s="3">
        <v>-5.8629520999999997E-2</v>
      </c>
      <c r="Q276" s="3">
        <v>-0.13662885599999999</v>
      </c>
      <c r="R276" s="3">
        <v>0.572746651</v>
      </c>
      <c r="S276" s="3">
        <v>0.79126620400000003</v>
      </c>
      <c r="T276" s="3">
        <v>1.42022084</v>
      </c>
      <c r="U276" s="3">
        <v>0.58681456499999995</v>
      </c>
      <c r="V276" s="3">
        <v>-0.10364612199999999</v>
      </c>
      <c r="W276" s="3">
        <v>-2.2113338E-2</v>
      </c>
      <c r="X276" s="3">
        <v>-0.13555147300000001</v>
      </c>
      <c r="Y276" s="3">
        <v>1.844444674</v>
      </c>
      <c r="Z276" s="3">
        <v>2.4202208399999998</v>
      </c>
      <c r="AA276" s="3">
        <v>-8.8859125999999997E-2</v>
      </c>
      <c r="AB276" s="3">
        <v>13.136501279999999</v>
      </c>
      <c r="AC276" s="3">
        <v>6.1298513210000003</v>
      </c>
      <c r="AD276" s="3">
        <v>0.26188409899999998</v>
      </c>
      <c r="AE276" s="3">
        <v>5.775278825</v>
      </c>
      <c r="AF276" s="4">
        <v>41848</v>
      </c>
      <c r="AG276" s="5">
        <f>YEAR(AF276)</f>
        <v>2014</v>
      </c>
      <c r="AH276" s="5" t="str">
        <f>"Q"&amp;ROUNDUP(MONTH(AF276)/3,0)</f>
        <v>Q3</v>
      </c>
      <c r="AI276" s="5">
        <f>INDEX(RatingLookup!$B$2:$B$11,MATCH(A276,RatingLookup!$A$2:$A$11,0))</f>
        <v>7</v>
      </c>
      <c r="AJ276" s="5" t="str">
        <f>INDEX(RatingLookup!$C$2:$C$11,MATCH(A276,RatingLookup!$A$2:$A$11,0))</f>
        <v>Investment Grade</v>
      </c>
    </row>
    <row r="277" spans="1:36" x14ac:dyDescent="0.3">
      <c r="A277" s="3" t="s">
        <v>42</v>
      </c>
      <c r="B277" s="3" t="s">
        <v>402</v>
      </c>
      <c r="C277" s="3" t="s">
        <v>403</v>
      </c>
      <c r="D277" s="3" t="s">
        <v>39</v>
      </c>
      <c r="E277" s="3" t="s">
        <v>405</v>
      </c>
      <c r="F277" s="3" t="s">
        <v>53</v>
      </c>
      <c r="G277" s="3">
        <v>2.09987769</v>
      </c>
      <c r="H277" s="3">
        <v>1.453897443</v>
      </c>
      <c r="I277" s="3">
        <v>0.29732184299999997</v>
      </c>
      <c r="J277" s="3">
        <v>83.035102319999993</v>
      </c>
      <c r="K277" s="3">
        <v>2.2753846000000001E-2</v>
      </c>
      <c r="L277" s="3">
        <v>1.7256134999999999E-2</v>
      </c>
      <c r="M277" s="3">
        <v>0.352760356</v>
      </c>
      <c r="N277" s="3">
        <v>1.7256134999999999E-2</v>
      </c>
      <c r="O277" s="3">
        <v>1.1511857E-2</v>
      </c>
      <c r="P277" s="3">
        <v>9.7857870000000007E-3</v>
      </c>
      <c r="Q277" s="3">
        <v>2.3451162000000001E-2</v>
      </c>
      <c r="R277" s="3">
        <v>0.50593014999999997</v>
      </c>
      <c r="S277" s="3">
        <v>0.71553254300000002</v>
      </c>
      <c r="T277" s="3">
        <v>1.037131145</v>
      </c>
      <c r="U277" s="3">
        <v>0.50911358699999998</v>
      </c>
      <c r="V277" s="3">
        <v>-0.51979088200000001</v>
      </c>
      <c r="W277" s="3">
        <v>0.16923854699999999</v>
      </c>
      <c r="X277" s="3">
        <v>0.81588268500000005</v>
      </c>
      <c r="Y277" s="3">
        <v>1.723875016</v>
      </c>
      <c r="Z277" s="3">
        <v>2.037131145</v>
      </c>
      <c r="AA277" s="3">
        <v>1.7256134999999999E-2</v>
      </c>
      <c r="AB277" s="3">
        <v>7.0664983469999996</v>
      </c>
      <c r="AC277" s="3">
        <v>4.8209033860000003</v>
      </c>
      <c r="AD277" s="3">
        <v>0.23052983499999999</v>
      </c>
      <c r="AE277" s="3">
        <v>7.2992491460000002</v>
      </c>
      <c r="AF277" s="4">
        <v>41718</v>
      </c>
      <c r="AG277" s="5">
        <f>YEAR(AF277)</f>
        <v>2014</v>
      </c>
      <c r="AH277" s="5" t="str">
        <f>"Q"&amp;ROUNDUP(MONTH(AF277)/3,0)</f>
        <v>Q1</v>
      </c>
      <c r="AI277" s="5">
        <f>INDEX(RatingLookup!$B$2:$B$11,MATCH(A277,RatingLookup!$A$2:$A$11,0))</f>
        <v>7</v>
      </c>
      <c r="AJ277" s="5" t="str">
        <f>INDEX(RatingLookup!$C$2:$C$11,MATCH(A277,RatingLookup!$A$2:$A$11,0))</f>
        <v>Investment Grade</v>
      </c>
    </row>
    <row r="278" spans="1:36" x14ac:dyDescent="0.3">
      <c r="A278" s="3" t="s">
        <v>42</v>
      </c>
      <c r="B278" s="3" t="s">
        <v>402</v>
      </c>
      <c r="C278" s="3" t="s">
        <v>403</v>
      </c>
      <c r="D278" s="3" t="s">
        <v>47</v>
      </c>
      <c r="E278" s="3" t="s">
        <v>211</v>
      </c>
      <c r="F278" s="3" t="s">
        <v>53</v>
      </c>
      <c r="G278" s="3">
        <v>2.7666079109999999</v>
      </c>
      <c r="H278" s="3">
        <v>1.9082138360000001</v>
      </c>
      <c r="I278" s="3">
        <v>0.46355558499999999</v>
      </c>
      <c r="J278" s="3">
        <v>72.201462809999995</v>
      </c>
      <c r="K278" s="3">
        <v>2.3468386000000001E-2</v>
      </c>
      <c r="L278" s="3">
        <v>3.9298966999999997E-2</v>
      </c>
      <c r="M278" s="3">
        <v>0.358570259</v>
      </c>
      <c r="N278" s="3">
        <v>3.9298966999999997E-2</v>
      </c>
      <c r="O278" s="3">
        <v>1.2960945E-2</v>
      </c>
      <c r="P278" s="3">
        <v>2.3836479000000001E-2</v>
      </c>
      <c r="Q278" s="3">
        <v>2.7592255999999999E-2</v>
      </c>
      <c r="R278" s="3">
        <v>0.55227250699999997</v>
      </c>
      <c r="S278" s="3">
        <v>0.80228448100000005</v>
      </c>
      <c r="T278" s="3">
        <v>1.128876897</v>
      </c>
      <c r="U278" s="3">
        <v>0.53026875299999998</v>
      </c>
      <c r="V278" s="3">
        <v>0.11878419899999999</v>
      </c>
      <c r="W278" s="3">
        <v>2.8205579000000001E-2</v>
      </c>
      <c r="X278" s="3">
        <v>0.152008001</v>
      </c>
      <c r="Y278" s="3">
        <v>2.6837859740000001</v>
      </c>
      <c r="Z278" s="3">
        <v>2.128876897</v>
      </c>
      <c r="AA278" s="3">
        <v>3.9298966999999997E-2</v>
      </c>
      <c r="AB278" s="3">
        <v>6.478698574</v>
      </c>
      <c r="AC278" s="3">
        <v>5.3892883620000003</v>
      </c>
      <c r="AD278" s="3">
        <v>0.22357660500000001</v>
      </c>
      <c r="AE278" s="3">
        <v>8.9844291700000003</v>
      </c>
      <c r="AF278" s="4">
        <v>41355</v>
      </c>
      <c r="AG278" s="5">
        <f>YEAR(AF278)</f>
        <v>2013</v>
      </c>
      <c r="AH278" s="5" t="str">
        <f>"Q"&amp;ROUNDUP(MONTH(AF278)/3,0)</f>
        <v>Q1</v>
      </c>
      <c r="AI278" s="5">
        <f>INDEX(RatingLookup!$B$2:$B$11,MATCH(A278,RatingLookup!$A$2:$A$11,0))</f>
        <v>7</v>
      </c>
      <c r="AJ278" s="5" t="str">
        <f>INDEX(RatingLookup!$C$2:$C$11,MATCH(A278,RatingLookup!$A$2:$A$11,0))</f>
        <v>Investment Grade</v>
      </c>
    </row>
    <row r="279" spans="1:36" x14ac:dyDescent="0.3">
      <c r="A279" s="3" t="s">
        <v>92</v>
      </c>
      <c r="B279" s="3" t="s">
        <v>402</v>
      </c>
      <c r="C279" s="3" t="s">
        <v>403</v>
      </c>
      <c r="D279" s="3" t="s">
        <v>60</v>
      </c>
      <c r="E279" s="3" t="s">
        <v>214</v>
      </c>
      <c r="F279" s="3" t="s">
        <v>53</v>
      </c>
      <c r="G279" s="3">
        <v>1.4062430800000001</v>
      </c>
      <c r="H279" s="3">
        <v>0.977641757</v>
      </c>
      <c r="I279" s="3">
        <v>0.32130681999999999</v>
      </c>
      <c r="J279" s="3">
        <v>83.286797210000003</v>
      </c>
      <c r="K279" s="3">
        <v>-0.46221562700000002</v>
      </c>
      <c r="L279" s="3">
        <v>-0.53777449799999999</v>
      </c>
      <c r="M279" s="3">
        <v>0.396591046</v>
      </c>
      <c r="N279" s="3">
        <v>-0.53777449799999999</v>
      </c>
      <c r="O279" s="3">
        <v>-0.125777466</v>
      </c>
      <c r="P279" s="3">
        <v>-0.16266963000000001</v>
      </c>
      <c r="Q279" s="3">
        <v>-0.31713399199999998</v>
      </c>
      <c r="R279" s="3">
        <v>0.27211859300000002</v>
      </c>
      <c r="S279" s="3">
        <v>0.35545424799999997</v>
      </c>
      <c r="T279" s="3">
        <v>1.5213895799999999</v>
      </c>
      <c r="U279" s="3">
        <v>0.60339330000000002</v>
      </c>
      <c r="V279" s="3">
        <v>0.15594265800000001</v>
      </c>
      <c r="W279" s="3">
        <v>0.25653077099999999</v>
      </c>
      <c r="X279" s="3">
        <v>0.493534678</v>
      </c>
      <c r="Y279" s="3">
        <v>1.0677348769999999</v>
      </c>
      <c r="Z279" s="3">
        <v>2.5213895800000001</v>
      </c>
      <c r="AA279" s="3">
        <v>-0.53777449799999999</v>
      </c>
      <c r="AB279" s="3">
        <v>-24.106802510000001</v>
      </c>
      <c r="AC279" s="3">
        <v>1.9238810019999999</v>
      </c>
      <c r="AD279" s="3">
        <v>0.23875378799999999</v>
      </c>
      <c r="AE279" s="3">
        <v>5.0809137570000003</v>
      </c>
      <c r="AF279" s="4">
        <v>42706</v>
      </c>
      <c r="AG279" s="5">
        <f>YEAR(AF279)</f>
        <v>2016</v>
      </c>
      <c r="AH279" s="5" t="str">
        <f>"Q"&amp;ROUNDUP(MONTH(AF279)/3,0)</f>
        <v>Q4</v>
      </c>
      <c r="AI279" s="5">
        <f>INDEX(RatingLookup!$B$2:$B$11,MATCH(A279,RatingLookup!$A$2:$A$11,0))</f>
        <v>6</v>
      </c>
      <c r="AJ279" s="5" t="str">
        <f>INDEX(RatingLookup!$C$2:$C$11,MATCH(A279,RatingLookup!$A$2:$A$11,0))</f>
        <v>Speculative Grade</v>
      </c>
    </row>
    <row r="280" spans="1:36" x14ac:dyDescent="0.3">
      <c r="A280" s="3" t="s">
        <v>42</v>
      </c>
      <c r="B280" s="3" t="s">
        <v>402</v>
      </c>
      <c r="C280" s="3" t="s">
        <v>403</v>
      </c>
      <c r="D280" s="3" t="s">
        <v>60</v>
      </c>
      <c r="E280" s="3" t="s">
        <v>46</v>
      </c>
      <c r="F280" s="3" t="s">
        <v>53</v>
      </c>
      <c r="G280" s="3">
        <v>1.713291415</v>
      </c>
      <c r="H280" s="3">
        <v>1.173909136</v>
      </c>
      <c r="I280" s="3">
        <v>0.22111583400000001</v>
      </c>
      <c r="J280" s="3">
        <v>94.952020930000003</v>
      </c>
      <c r="K280" s="3">
        <v>4.0208727E-2</v>
      </c>
      <c r="L280" s="3">
        <v>8.0485271999999997E-2</v>
      </c>
      <c r="M280" s="3">
        <v>0.37693971900000001</v>
      </c>
      <c r="N280" s="3">
        <v>8.0485271999999997E-2</v>
      </c>
      <c r="O280" s="3">
        <v>1.8872085E-2</v>
      </c>
      <c r="P280" s="3">
        <v>4.3905267999999997E-2</v>
      </c>
      <c r="Q280" s="3">
        <v>4.3608995999999997E-2</v>
      </c>
      <c r="R280" s="3">
        <v>0.46935294999999999</v>
      </c>
      <c r="S280" s="3">
        <v>0.70224668800000001</v>
      </c>
      <c r="T280" s="3">
        <v>1.310767268</v>
      </c>
      <c r="U280" s="3">
        <v>0.56724330700000003</v>
      </c>
      <c r="V280" s="3">
        <v>0.292361753</v>
      </c>
      <c r="W280" s="3">
        <v>-0.40242720999999998</v>
      </c>
      <c r="X280" s="3">
        <v>-2.0414254770000002</v>
      </c>
      <c r="Y280" s="3">
        <v>1.878980071</v>
      </c>
      <c r="Z280" s="3">
        <v>2.3107672680000002</v>
      </c>
      <c r="AA280" s="3">
        <v>8.0485271999999997E-2</v>
      </c>
      <c r="AB280" s="3">
        <v>6.5930573729999997</v>
      </c>
      <c r="AC280" s="3">
        <v>5.0727819219999999</v>
      </c>
      <c r="AD280" s="3">
        <v>0.24033046899999999</v>
      </c>
      <c r="AE280" s="3">
        <v>4.8239534050000001</v>
      </c>
      <c r="AF280" s="4">
        <v>41075</v>
      </c>
      <c r="AG280" s="5">
        <f>YEAR(AF280)</f>
        <v>2012</v>
      </c>
      <c r="AH280" s="5" t="str">
        <f>"Q"&amp;ROUNDUP(MONTH(AF280)/3,0)</f>
        <v>Q2</v>
      </c>
      <c r="AI280" s="5">
        <f>INDEX(RatingLookup!$B$2:$B$11,MATCH(A280,RatingLookup!$A$2:$A$11,0))</f>
        <v>7</v>
      </c>
      <c r="AJ280" s="5" t="str">
        <f>INDEX(RatingLookup!$C$2:$C$11,MATCH(A280,RatingLookup!$A$2:$A$11,0))</f>
        <v>Investment Grade</v>
      </c>
    </row>
    <row r="281" spans="1:36" x14ac:dyDescent="0.3">
      <c r="A281" s="3" t="s">
        <v>42</v>
      </c>
      <c r="B281" s="3" t="s">
        <v>402</v>
      </c>
      <c r="C281" s="3" t="s">
        <v>403</v>
      </c>
      <c r="D281" s="3" t="s">
        <v>47</v>
      </c>
      <c r="E281" s="3" t="s">
        <v>406</v>
      </c>
      <c r="F281" s="3" t="s">
        <v>53</v>
      </c>
      <c r="G281" s="3">
        <v>1.212845459</v>
      </c>
      <c r="H281" s="3">
        <v>0.89014008700000002</v>
      </c>
      <c r="I281" s="3">
        <v>0.29785924499999999</v>
      </c>
      <c r="J281" s="3">
        <v>96.672348029999995</v>
      </c>
      <c r="K281" s="3">
        <v>2.2463314000000002E-2</v>
      </c>
      <c r="L281" s="3">
        <v>1.9462750000000001E-2</v>
      </c>
      <c r="M281" s="3">
        <v>0.42507911199999998</v>
      </c>
      <c r="N281" s="3">
        <v>1.9462750000000001E-2</v>
      </c>
      <c r="O281" s="3">
        <v>8.1307210000000005E-3</v>
      </c>
      <c r="P281" s="3">
        <v>8.6435279999999993E-3</v>
      </c>
      <c r="Q281" s="3">
        <v>1.7772545000000001E-2</v>
      </c>
      <c r="R281" s="3">
        <v>0.361955525</v>
      </c>
      <c r="S281" s="3">
        <v>0.53938758799999997</v>
      </c>
      <c r="T281" s="3">
        <v>1.1858511430000001</v>
      </c>
      <c r="U281" s="3">
        <v>0.542512306</v>
      </c>
      <c r="V281" s="3">
        <v>-0.30244009500000002</v>
      </c>
      <c r="W281" s="3">
        <v>0.15962922700000001</v>
      </c>
      <c r="X281" s="3">
        <v>0.61970927099999995</v>
      </c>
      <c r="Y281" s="3">
        <v>2.809763454</v>
      </c>
      <c r="Z281" s="3">
        <v>2.1858511429999998</v>
      </c>
      <c r="AA281" s="3">
        <v>1.9462750000000001E-2</v>
      </c>
      <c r="AB281" s="3">
        <v>11.444287790000001</v>
      </c>
      <c r="AC281" s="3">
        <v>3.8821792419999999</v>
      </c>
      <c r="AD281" s="3">
        <v>0.26259601399999999</v>
      </c>
      <c r="AE281" s="3">
        <v>6.8216290160000002</v>
      </c>
      <c r="AF281" s="4">
        <v>40605</v>
      </c>
      <c r="AG281" s="5">
        <f>YEAR(AF281)</f>
        <v>2011</v>
      </c>
      <c r="AH281" s="5" t="str">
        <f>"Q"&amp;ROUNDUP(MONTH(AF281)/3,0)</f>
        <v>Q1</v>
      </c>
      <c r="AI281" s="5">
        <f>INDEX(RatingLookup!$B$2:$B$11,MATCH(A281,RatingLookup!$A$2:$A$11,0))</f>
        <v>7</v>
      </c>
      <c r="AJ281" s="5" t="str">
        <f>INDEX(RatingLookup!$C$2:$C$11,MATCH(A281,RatingLookup!$A$2:$A$11,0))</f>
        <v>Investment Grade</v>
      </c>
    </row>
    <row r="282" spans="1:36" x14ac:dyDescent="0.3">
      <c r="A282" s="3" t="s">
        <v>109</v>
      </c>
      <c r="B282" s="3" t="s">
        <v>407</v>
      </c>
      <c r="C282" s="3" t="s">
        <v>408</v>
      </c>
      <c r="D282" s="3" t="s">
        <v>47</v>
      </c>
      <c r="E282" s="3" t="s">
        <v>409</v>
      </c>
      <c r="F282" s="3" t="s">
        <v>79</v>
      </c>
      <c r="G282" s="3">
        <v>1.973619416</v>
      </c>
      <c r="H282" s="3">
        <v>2.8053112910000002</v>
      </c>
      <c r="I282" s="3">
        <v>1.239348106</v>
      </c>
      <c r="J282" s="3">
        <v>34.613573879999997</v>
      </c>
      <c r="K282" s="3">
        <v>7.0565350999999998E-2</v>
      </c>
      <c r="L282" s="3">
        <v>0.111758309</v>
      </c>
      <c r="M282" s="3">
        <v>1</v>
      </c>
      <c r="N282" s="3">
        <v>0.16714182299999999</v>
      </c>
      <c r="O282" s="3">
        <v>2.2117649999999999E-2</v>
      </c>
      <c r="P282" s="3">
        <v>3.7723477999999998E-2</v>
      </c>
      <c r="Q282" s="3">
        <v>0.55237179000000003</v>
      </c>
      <c r="R282" s="3">
        <v>0.31343498600000003</v>
      </c>
      <c r="S282" s="3">
        <v>1.1271420219999999</v>
      </c>
      <c r="T282" s="3">
        <v>23.97425333</v>
      </c>
      <c r="U282" s="3">
        <v>0.95995876300000005</v>
      </c>
      <c r="V282" s="3">
        <v>0.35491429000000002</v>
      </c>
      <c r="W282" s="3">
        <v>0.67282461699999996</v>
      </c>
      <c r="X282" s="3">
        <v>2.8567223190000002</v>
      </c>
      <c r="Y282" s="3">
        <v>6.6459211219999998</v>
      </c>
      <c r="Z282" s="3">
        <v>24.97425333</v>
      </c>
      <c r="AA282" s="3">
        <v>0.111758309</v>
      </c>
      <c r="AB282" s="3">
        <v>8.8630756599999998</v>
      </c>
      <c r="AC282" s="3">
        <v>4.2458647389999999</v>
      </c>
      <c r="AD282" s="3">
        <v>0.34784095700000001</v>
      </c>
      <c r="AE282" s="3">
        <v>10.18532875</v>
      </c>
      <c r="AF282" s="4">
        <v>41043</v>
      </c>
      <c r="AG282" s="5">
        <f>YEAR(AF282)</f>
        <v>2012</v>
      </c>
      <c r="AH282" s="5" t="str">
        <f>"Q"&amp;ROUNDUP(MONTH(AF282)/3,0)</f>
        <v>Q2</v>
      </c>
      <c r="AI282" s="5">
        <f>INDEX(RatingLookup!$B$2:$B$11,MATCH(A282,RatingLookup!$A$2:$A$11,0))</f>
        <v>5</v>
      </c>
      <c r="AJ282" s="5" t="str">
        <f>INDEX(RatingLookup!$C$2:$C$11,MATCH(A282,RatingLookup!$A$2:$A$11,0))</f>
        <v>Speculative Grade</v>
      </c>
    </row>
    <row r="283" spans="1:36" x14ac:dyDescent="0.3">
      <c r="A283" s="3" t="s">
        <v>109</v>
      </c>
      <c r="B283" s="3" t="s">
        <v>407</v>
      </c>
      <c r="C283" s="3" t="s">
        <v>408</v>
      </c>
      <c r="D283" s="3" t="s">
        <v>47</v>
      </c>
      <c r="E283" s="3" t="s">
        <v>410</v>
      </c>
      <c r="F283" s="3" t="s">
        <v>79</v>
      </c>
      <c r="G283" s="3">
        <v>0.752713678</v>
      </c>
      <c r="H283" s="3">
        <v>1.291371023</v>
      </c>
      <c r="I283" s="3">
        <v>0.123833899</v>
      </c>
      <c r="J283" s="3">
        <v>42.471214029999999</v>
      </c>
      <c r="K283" s="3">
        <v>1.1202546000000001E-2</v>
      </c>
      <c r="L283" s="3">
        <v>1.5109533E-2</v>
      </c>
      <c r="M283" s="3">
        <v>1</v>
      </c>
      <c r="N283" s="3">
        <v>0.106062683</v>
      </c>
      <c r="O283" s="3">
        <v>3.1423620000000001E-3</v>
      </c>
      <c r="P283" s="3">
        <v>4.6084849999999998E-3</v>
      </c>
      <c r="Q283" s="3">
        <v>4.1438595000000002E-2</v>
      </c>
      <c r="R283" s="3">
        <v>0.28050431599999998</v>
      </c>
      <c r="S283" s="3">
        <v>0.55432398599999999</v>
      </c>
      <c r="T283" s="3">
        <v>12.1870835</v>
      </c>
      <c r="U283" s="3">
        <v>0.92416822099999996</v>
      </c>
      <c r="V283" s="3">
        <v>0.18877349800000001</v>
      </c>
      <c r="W283" s="3">
        <v>0.37430507600000001</v>
      </c>
      <c r="X283" s="3">
        <v>1.203130445</v>
      </c>
      <c r="Y283" s="3">
        <v>3.3288000289999999</v>
      </c>
      <c r="Z283" s="3">
        <v>13.1870835</v>
      </c>
      <c r="AA283" s="3">
        <v>1.5109533E-2</v>
      </c>
      <c r="AB283" s="3">
        <v>10.20490515</v>
      </c>
      <c r="AC283" s="3">
        <v>3.2143043759999999</v>
      </c>
      <c r="AD283" s="3">
        <v>0.24473788199999999</v>
      </c>
      <c r="AE283" s="3">
        <v>0</v>
      </c>
      <c r="AF283" s="4">
        <v>41417</v>
      </c>
      <c r="AG283" s="5">
        <f>YEAR(AF283)</f>
        <v>2013</v>
      </c>
      <c r="AH283" s="5" t="str">
        <f>"Q"&amp;ROUNDUP(MONTH(AF283)/3,0)</f>
        <v>Q2</v>
      </c>
      <c r="AI283" s="5">
        <f>INDEX(RatingLookup!$B$2:$B$11,MATCH(A283,RatingLookup!$A$2:$A$11,0))</f>
        <v>5</v>
      </c>
      <c r="AJ283" s="5" t="str">
        <f>INDEX(RatingLookup!$C$2:$C$11,MATCH(A283,RatingLookup!$A$2:$A$11,0))</f>
        <v>Speculative Grade</v>
      </c>
    </row>
    <row r="284" spans="1:36" x14ac:dyDescent="0.3">
      <c r="A284" s="3" t="s">
        <v>36</v>
      </c>
      <c r="B284" s="3" t="s">
        <v>411</v>
      </c>
      <c r="C284" s="3" t="s">
        <v>412</v>
      </c>
      <c r="D284" s="3" t="s">
        <v>47</v>
      </c>
      <c r="E284" s="3" t="s">
        <v>413</v>
      </c>
      <c r="F284" s="3" t="s">
        <v>96</v>
      </c>
      <c r="G284" s="3">
        <v>1.4443012340000001</v>
      </c>
      <c r="H284" s="3">
        <v>0.84956729900000005</v>
      </c>
      <c r="I284" s="3">
        <v>0.106241944</v>
      </c>
      <c r="J284" s="3">
        <v>78.545153580000004</v>
      </c>
      <c r="K284" s="3">
        <v>7.4612225000000004E-2</v>
      </c>
      <c r="L284" s="3">
        <v>7.6696708000000002E-2</v>
      </c>
      <c r="M284" s="3">
        <v>0.298142358</v>
      </c>
      <c r="N284" s="3">
        <v>7.6696708000000002E-2</v>
      </c>
      <c r="O284" s="3">
        <v>3.3948895E-2</v>
      </c>
      <c r="P284" s="3">
        <v>4.1128315999999998E-2</v>
      </c>
      <c r="Q284" s="3">
        <v>8.0670821000000004E-2</v>
      </c>
      <c r="R284" s="3">
        <v>0.45500446300000003</v>
      </c>
      <c r="S284" s="3">
        <v>4.2071189059999998</v>
      </c>
      <c r="T284" s="3">
        <v>1.3762428739999999</v>
      </c>
      <c r="U284" s="3">
        <v>0.57916759699999998</v>
      </c>
      <c r="V284" s="3">
        <v>2.4780176000000001E-2</v>
      </c>
      <c r="W284" s="3">
        <v>0.64362980800000003</v>
      </c>
      <c r="X284" s="3">
        <v>3.0793559519999998</v>
      </c>
      <c r="Y284" s="3">
        <v>3.1742380680000002</v>
      </c>
      <c r="Z284" s="3">
        <v>2.3762428739999999</v>
      </c>
      <c r="AA284" s="3">
        <v>7.6696708000000002E-2</v>
      </c>
      <c r="AB284" s="3">
        <v>15.849762030000001</v>
      </c>
      <c r="AC284" s="3">
        <v>4.7843588270000001</v>
      </c>
      <c r="AD284" s="3">
        <v>0.102017044</v>
      </c>
      <c r="AE284" s="3">
        <v>6.0926024480000001</v>
      </c>
      <c r="AF284" s="4">
        <v>41227</v>
      </c>
      <c r="AG284" s="5">
        <f>YEAR(AF284)</f>
        <v>2012</v>
      </c>
      <c r="AH284" s="5" t="str">
        <f>"Q"&amp;ROUNDUP(MONTH(AF284)/3,0)</f>
        <v>Q4</v>
      </c>
      <c r="AI284" s="5">
        <f>INDEX(RatingLookup!$B$2:$B$11,MATCH(A284,RatingLookup!$A$2:$A$11,0))</f>
        <v>8</v>
      </c>
      <c r="AJ284" s="5" t="str">
        <f>INDEX(RatingLookup!$C$2:$C$11,MATCH(A284,RatingLookup!$A$2:$A$11,0))</f>
        <v>Investment Grade</v>
      </c>
    </row>
    <row r="285" spans="1:36" x14ac:dyDescent="0.3">
      <c r="A285" s="3" t="s">
        <v>36</v>
      </c>
      <c r="B285" s="3" t="s">
        <v>411</v>
      </c>
      <c r="C285" s="3" t="s">
        <v>412</v>
      </c>
      <c r="D285" s="3" t="s">
        <v>39</v>
      </c>
      <c r="E285" s="3" t="s">
        <v>227</v>
      </c>
      <c r="F285" s="3" t="s">
        <v>96</v>
      </c>
      <c r="G285" s="3">
        <v>1.5126050419999999</v>
      </c>
      <c r="H285" s="3">
        <v>0.87637721800000001</v>
      </c>
      <c r="I285" s="3">
        <v>0.145845005</v>
      </c>
      <c r="J285" s="3">
        <v>59.349725079999999</v>
      </c>
      <c r="K285" s="3">
        <v>7.9505144E-2</v>
      </c>
      <c r="L285" s="3">
        <v>7.8086200999999994E-2</v>
      </c>
      <c r="M285" s="3">
        <v>0.30622561199999998</v>
      </c>
      <c r="N285" s="3">
        <v>7.8086200999999994E-2</v>
      </c>
      <c r="O285" s="3">
        <v>5.3476095000000001E-2</v>
      </c>
      <c r="P285" s="3">
        <v>6.2504436999999996E-2</v>
      </c>
      <c r="Q285" s="3">
        <v>0.113581655</v>
      </c>
      <c r="R285" s="3">
        <v>0.67261176899999997</v>
      </c>
      <c r="S285" s="3">
        <v>6.0138666670000003</v>
      </c>
      <c r="T285" s="3">
        <v>1.123970607</v>
      </c>
      <c r="U285" s="3">
        <v>0.52918369200000004</v>
      </c>
      <c r="V285" s="3">
        <v>-2.3850085E-2</v>
      </c>
      <c r="W285" s="3">
        <v>0.66347177800000001</v>
      </c>
      <c r="X285" s="3">
        <v>2.628137524</v>
      </c>
      <c r="Y285" s="3">
        <v>2.1641004009999998</v>
      </c>
      <c r="Z285" s="3">
        <v>2.123970607</v>
      </c>
      <c r="AA285" s="3">
        <v>7.8086200999999994E-2</v>
      </c>
      <c r="AB285" s="3">
        <v>13.907423100000001</v>
      </c>
      <c r="AC285" s="3">
        <v>3.961189622</v>
      </c>
      <c r="AD285" s="3">
        <v>8.3274211000000001E-2</v>
      </c>
      <c r="AE285" s="3">
        <v>8.0649484539999996</v>
      </c>
      <c r="AF285" s="4">
        <v>41955</v>
      </c>
      <c r="AG285" s="5">
        <f>YEAR(AF285)</f>
        <v>2014</v>
      </c>
      <c r="AH285" s="5" t="str">
        <f>"Q"&amp;ROUNDUP(MONTH(AF285)/3,0)</f>
        <v>Q4</v>
      </c>
      <c r="AI285" s="5">
        <f>INDEX(RatingLookup!$B$2:$B$11,MATCH(A285,RatingLookup!$A$2:$A$11,0))</f>
        <v>8</v>
      </c>
      <c r="AJ285" s="5" t="str">
        <f>INDEX(RatingLookup!$C$2:$C$11,MATCH(A285,RatingLookup!$A$2:$A$11,0))</f>
        <v>Investment Grade</v>
      </c>
    </row>
    <row r="286" spans="1:36" x14ac:dyDescent="0.3">
      <c r="A286" s="3" t="s">
        <v>36</v>
      </c>
      <c r="B286" s="3" t="s">
        <v>411</v>
      </c>
      <c r="C286" s="3" t="s">
        <v>412</v>
      </c>
      <c r="D286" s="3" t="s">
        <v>39</v>
      </c>
      <c r="E286" s="3" t="s">
        <v>309</v>
      </c>
      <c r="F286" s="3" t="s">
        <v>96</v>
      </c>
      <c r="G286" s="3">
        <v>1.7767602769999999</v>
      </c>
      <c r="H286" s="3">
        <v>1.0901505899999999</v>
      </c>
      <c r="I286" s="3">
        <v>0.18620268600000001</v>
      </c>
      <c r="J286" s="3">
        <v>60.39735099</v>
      </c>
      <c r="K286" s="3">
        <v>8.4414405999999997E-2</v>
      </c>
      <c r="L286" s="3">
        <v>8.4913363000000006E-2</v>
      </c>
      <c r="M286" s="3">
        <v>0.302866733</v>
      </c>
      <c r="N286" s="3">
        <v>8.4414405999999997E-2</v>
      </c>
      <c r="O286" s="3">
        <v>5.2435829000000003E-2</v>
      </c>
      <c r="P286" s="3">
        <v>6.1222486999999999E-2</v>
      </c>
      <c r="Q286" s="3">
        <v>0.110833184</v>
      </c>
      <c r="R286" s="3">
        <v>0.62117156500000004</v>
      </c>
      <c r="S286" s="3">
        <v>5.7516305770000002</v>
      </c>
      <c r="T286" s="3">
        <v>1.113691859</v>
      </c>
      <c r="U286" s="3">
        <v>0.52689414199999995</v>
      </c>
      <c r="V286" s="3">
        <v>5.8760679999999999E-3</v>
      </c>
      <c r="W286" s="3">
        <v>0.73129102800000001</v>
      </c>
      <c r="X286" s="3">
        <v>3.5290390710000001</v>
      </c>
      <c r="Y286" s="3">
        <v>3.6092925029999998</v>
      </c>
      <c r="Z286" s="3">
        <v>2.1136918589999998</v>
      </c>
      <c r="AA286" s="3">
        <v>8.4913363000000006E-2</v>
      </c>
      <c r="AB286" s="3">
        <v>15.261506300000001</v>
      </c>
      <c r="AC286" s="3">
        <v>4.8257655760000002</v>
      </c>
      <c r="AD286" s="3">
        <v>0.10364692</v>
      </c>
      <c r="AE286" s="3">
        <v>7.841326531</v>
      </c>
      <c r="AF286" s="4">
        <v>41583</v>
      </c>
      <c r="AG286" s="5">
        <f>YEAR(AF286)</f>
        <v>2013</v>
      </c>
      <c r="AH286" s="5" t="str">
        <f>"Q"&amp;ROUNDUP(MONTH(AF286)/3,0)</f>
        <v>Q4</v>
      </c>
      <c r="AI286" s="5">
        <f>INDEX(RatingLookup!$B$2:$B$11,MATCH(A286,RatingLookup!$A$2:$A$11,0))</f>
        <v>8</v>
      </c>
      <c r="AJ286" s="5" t="str">
        <f>INDEX(RatingLookup!$C$2:$C$11,MATCH(A286,RatingLookup!$A$2:$A$11,0))</f>
        <v>Investment Grade</v>
      </c>
    </row>
    <row r="287" spans="1:36" x14ac:dyDescent="0.3">
      <c r="A287" s="3" t="s">
        <v>36</v>
      </c>
      <c r="B287" s="3" t="s">
        <v>411</v>
      </c>
      <c r="C287" s="3" t="s">
        <v>412</v>
      </c>
      <c r="D287" s="3" t="s">
        <v>39</v>
      </c>
      <c r="E287" s="3" t="s">
        <v>414</v>
      </c>
      <c r="F287" s="3" t="s">
        <v>96</v>
      </c>
      <c r="G287" s="3">
        <v>1.4304864859999999</v>
      </c>
      <c r="H287" s="3">
        <v>0.84843243199999996</v>
      </c>
      <c r="I287" s="3">
        <v>5.7945945999999998E-2</v>
      </c>
      <c r="J287" s="3">
        <v>60.888755690000004</v>
      </c>
      <c r="K287" s="3">
        <v>9.4893310999999994E-2</v>
      </c>
      <c r="L287" s="3">
        <v>0.102853033</v>
      </c>
      <c r="M287" s="3">
        <v>0.31469671500000002</v>
      </c>
      <c r="N287" s="3">
        <v>0.102853033</v>
      </c>
      <c r="O287" s="3">
        <v>6.3774935000000005E-2</v>
      </c>
      <c r="P287" s="3">
        <v>8.1231538000000006E-2</v>
      </c>
      <c r="Q287" s="3">
        <v>0.130317398</v>
      </c>
      <c r="R287" s="3">
        <v>0.67206986599999996</v>
      </c>
      <c r="S287" s="3">
        <v>5.8499298739999999</v>
      </c>
      <c r="T287" s="3">
        <v>1.043395232</v>
      </c>
      <c r="U287" s="3">
        <v>0.51061841399999996</v>
      </c>
      <c r="V287" s="3">
        <v>7.6456875999999993E-2</v>
      </c>
      <c r="W287" s="3">
        <v>0.78658793800000004</v>
      </c>
      <c r="X287" s="3">
        <v>4.0064446829999998</v>
      </c>
      <c r="Y287" s="3">
        <v>0.955961332</v>
      </c>
      <c r="Z287" s="3">
        <v>2.043395232</v>
      </c>
      <c r="AA287" s="3">
        <v>0.102853033</v>
      </c>
      <c r="AB287" s="3">
        <v>10.184822479999999</v>
      </c>
      <c r="AC287" s="3">
        <v>5.0934479049999997</v>
      </c>
      <c r="AD287" s="3">
        <v>0.113689763</v>
      </c>
      <c r="AE287" s="3">
        <v>8.129692833</v>
      </c>
      <c r="AF287" s="4">
        <v>42227</v>
      </c>
      <c r="AG287" s="5">
        <f>YEAR(AF287)</f>
        <v>2015</v>
      </c>
      <c r="AH287" s="5" t="str">
        <f>"Q"&amp;ROUNDUP(MONTH(AF287)/3,0)</f>
        <v>Q3</v>
      </c>
      <c r="AI287" s="5">
        <f>INDEX(RatingLookup!$B$2:$B$11,MATCH(A287,RatingLookup!$A$2:$A$11,0))</f>
        <v>8</v>
      </c>
      <c r="AJ287" s="5" t="str">
        <f>INDEX(RatingLookup!$C$2:$C$11,MATCH(A287,RatingLookup!$A$2:$A$11,0))</f>
        <v>Investment Grade</v>
      </c>
    </row>
    <row r="288" spans="1:36" x14ac:dyDescent="0.3">
      <c r="A288" s="3" t="s">
        <v>36</v>
      </c>
      <c r="B288" s="3" t="s">
        <v>411</v>
      </c>
      <c r="C288" s="3" t="s">
        <v>412</v>
      </c>
      <c r="D288" s="3" t="s">
        <v>60</v>
      </c>
      <c r="E288" s="3" t="s">
        <v>46</v>
      </c>
      <c r="F288" s="3" t="s">
        <v>96</v>
      </c>
      <c r="G288" s="3">
        <v>1.6018696729999999</v>
      </c>
      <c r="H288" s="3">
        <v>0.97003024500000001</v>
      </c>
      <c r="I288" s="3">
        <v>0.10585647500000001</v>
      </c>
      <c r="J288" s="3">
        <v>55.583525450000003</v>
      </c>
      <c r="K288" s="3">
        <v>8.411739E-2</v>
      </c>
      <c r="L288" s="3">
        <v>9.6641535000000001E-2</v>
      </c>
      <c r="M288" s="3">
        <v>0.298336345</v>
      </c>
      <c r="N288" s="3">
        <v>0.101750888</v>
      </c>
      <c r="O288" s="3">
        <v>7.5532927E-2</v>
      </c>
      <c r="P288" s="3">
        <v>0.117237988</v>
      </c>
      <c r="Q288" s="3">
        <v>0.180747088</v>
      </c>
      <c r="R288" s="3">
        <v>0.89794662300000005</v>
      </c>
      <c r="S288" s="3">
        <v>6.1679477330000001</v>
      </c>
      <c r="T288" s="3">
        <v>1.3898781630000001</v>
      </c>
      <c r="U288" s="3">
        <v>0.58082023199999999</v>
      </c>
      <c r="V288" s="3">
        <v>0.12959381</v>
      </c>
      <c r="W288" s="3">
        <v>0.54487179500000005</v>
      </c>
      <c r="X288" s="3">
        <v>2.0347097550000002</v>
      </c>
      <c r="Y288" s="3">
        <v>3.2435667270000001</v>
      </c>
      <c r="Z288" s="3">
        <v>2.392957558</v>
      </c>
      <c r="AA288" s="3">
        <v>0.10399401799999999</v>
      </c>
      <c r="AB288" s="3">
        <v>8.2202148309999998</v>
      </c>
      <c r="AC288" s="3">
        <v>3.7342908440000002</v>
      </c>
      <c r="AD288" s="3">
        <v>7.7761854000000005E-2</v>
      </c>
      <c r="AE288" s="3">
        <v>7.552649229</v>
      </c>
      <c r="AF288" s="4">
        <v>41075</v>
      </c>
      <c r="AG288" s="5">
        <f>YEAR(AF288)</f>
        <v>2012</v>
      </c>
      <c r="AH288" s="5" t="str">
        <f>"Q"&amp;ROUNDUP(MONTH(AF288)/3,0)</f>
        <v>Q2</v>
      </c>
      <c r="AI288" s="5">
        <f>INDEX(RatingLookup!$B$2:$B$11,MATCH(A288,RatingLookup!$A$2:$A$11,0))</f>
        <v>8</v>
      </c>
      <c r="AJ288" s="5" t="str">
        <f>INDEX(RatingLookup!$C$2:$C$11,MATCH(A288,RatingLookup!$A$2:$A$11,0))</f>
        <v>Investment Grade</v>
      </c>
    </row>
    <row r="289" spans="1:36" x14ac:dyDescent="0.3">
      <c r="A289" s="3" t="s">
        <v>36</v>
      </c>
      <c r="B289" s="3" t="s">
        <v>411</v>
      </c>
      <c r="C289" s="3" t="s">
        <v>412</v>
      </c>
      <c r="D289" s="3" t="s">
        <v>47</v>
      </c>
      <c r="E289" s="3" t="s">
        <v>415</v>
      </c>
      <c r="F289" s="3" t="s">
        <v>96</v>
      </c>
      <c r="G289" s="3">
        <v>1.703062171</v>
      </c>
      <c r="H289" s="3">
        <v>1.0547479120000001</v>
      </c>
      <c r="I289" s="3">
        <v>0.103000309</v>
      </c>
      <c r="J289" s="3">
        <v>59.586948599999999</v>
      </c>
      <c r="K289" s="3">
        <v>6.7736055000000003E-2</v>
      </c>
      <c r="L289" s="3">
        <v>7.4954429000000003E-2</v>
      </c>
      <c r="M289" s="3">
        <v>0.297630332</v>
      </c>
      <c r="N289" s="3">
        <v>8.538097E-2</v>
      </c>
      <c r="O289" s="3">
        <v>5.3848829000000001E-2</v>
      </c>
      <c r="P289" s="3">
        <v>8.3030172999999999E-2</v>
      </c>
      <c r="Q289" s="3">
        <v>0.12618853599999999</v>
      </c>
      <c r="R289" s="3">
        <v>0.79498029199999998</v>
      </c>
      <c r="S289" s="3">
        <v>5.5369398470000002</v>
      </c>
      <c r="T289" s="3">
        <v>1.337815811</v>
      </c>
      <c r="U289" s="3">
        <v>0.57089033199999994</v>
      </c>
      <c r="V289" s="3">
        <v>9.6303501999999999E-2</v>
      </c>
      <c r="W289" s="3">
        <v>0.69266770700000002</v>
      </c>
      <c r="X289" s="3">
        <v>2.638146168</v>
      </c>
      <c r="Y289" s="3">
        <v>3.4789067139999998</v>
      </c>
      <c r="Z289" s="3">
        <v>2.3433849499999999</v>
      </c>
      <c r="AA289" s="3">
        <v>8.4870580000000001E-2</v>
      </c>
      <c r="AB289" s="3">
        <v>11.527620990000001</v>
      </c>
      <c r="AC289" s="3">
        <v>3.8086749850000001</v>
      </c>
      <c r="AD289" s="3">
        <v>9.3474297999999997E-2</v>
      </c>
      <c r="AE289" s="3">
        <v>6.8416193180000002</v>
      </c>
      <c r="AF289" s="4">
        <v>40568</v>
      </c>
      <c r="AG289" s="5">
        <f>YEAR(AF289)</f>
        <v>2011</v>
      </c>
      <c r="AH289" s="5" t="str">
        <f>"Q"&amp;ROUNDUP(MONTH(AF289)/3,0)</f>
        <v>Q1</v>
      </c>
      <c r="AI289" s="5">
        <f>INDEX(RatingLookup!$B$2:$B$11,MATCH(A289,RatingLookup!$A$2:$A$11,0))</f>
        <v>8</v>
      </c>
      <c r="AJ289" s="5" t="str">
        <f>INDEX(RatingLookup!$C$2:$C$11,MATCH(A289,RatingLookup!$A$2:$A$11,0))</f>
        <v>Investment Grade</v>
      </c>
    </row>
    <row r="290" spans="1:36" x14ac:dyDescent="0.3">
      <c r="A290" s="3" t="s">
        <v>42</v>
      </c>
      <c r="B290" s="3" t="s">
        <v>416</v>
      </c>
      <c r="C290" s="3" t="s">
        <v>417</v>
      </c>
      <c r="D290" s="3" t="s">
        <v>60</v>
      </c>
      <c r="E290" s="3" t="s">
        <v>242</v>
      </c>
      <c r="F290" s="3" t="s">
        <v>113</v>
      </c>
      <c r="G290" s="3">
        <v>1.654943257</v>
      </c>
      <c r="H290" s="3">
        <v>1.1431346490000001</v>
      </c>
      <c r="I290" s="3">
        <v>0.52141907799999998</v>
      </c>
      <c r="J290" s="3">
        <v>67.738123099999996</v>
      </c>
      <c r="K290" s="3">
        <v>0.232194399</v>
      </c>
      <c r="L290" s="3">
        <v>0.30751228600000002</v>
      </c>
      <c r="M290" s="3">
        <v>0.77248615300000001</v>
      </c>
      <c r="N290" s="3">
        <v>0.36601918999999999</v>
      </c>
      <c r="O290" s="3">
        <v>9.0061876999999999E-2</v>
      </c>
      <c r="P290" s="3">
        <v>0.13999076699999999</v>
      </c>
      <c r="Q290" s="3">
        <v>1.284081104</v>
      </c>
      <c r="R290" s="3">
        <v>0.387872736</v>
      </c>
      <c r="S290" s="3">
        <v>9.8456221199999998</v>
      </c>
      <c r="T290" s="3">
        <v>13.25776531</v>
      </c>
      <c r="U290" s="3">
        <v>0.92986278200000005</v>
      </c>
      <c r="V290" s="3">
        <v>0.244926433</v>
      </c>
      <c r="W290" s="3">
        <v>0.93196989100000005</v>
      </c>
      <c r="X290" s="3">
        <v>4.0456226879999999</v>
      </c>
      <c r="Y290" s="3">
        <v>3.9599260169999999</v>
      </c>
      <c r="Z290" s="3">
        <v>14.25776531</v>
      </c>
      <c r="AA290" s="3">
        <v>0.30751228600000002</v>
      </c>
      <c r="AB290" s="3">
        <v>12.237062330000001</v>
      </c>
      <c r="AC290" s="3">
        <v>4.340937115</v>
      </c>
      <c r="AD290" s="3">
        <v>0.27463140699999999</v>
      </c>
      <c r="AE290" s="3">
        <v>0.62192131399999995</v>
      </c>
      <c r="AF290" s="4">
        <v>42688</v>
      </c>
      <c r="AG290" s="5">
        <f>YEAR(AF290)</f>
        <v>2016</v>
      </c>
      <c r="AH290" s="5" t="str">
        <f>"Q"&amp;ROUNDUP(MONTH(AF290)/3,0)</f>
        <v>Q4</v>
      </c>
      <c r="AI290" s="5">
        <f>INDEX(RatingLookup!$B$2:$B$11,MATCH(A290,RatingLookup!$A$2:$A$11,0))</f>
        <v>7</v>
      </c>
      <c r="AJ290" s="5" t="str">
        <f>INDEX(RatingLookup!$C$2:$C$11,MATCH(A290,RatingLookup!$A$2:$A$11,0))</f>
        <v>Investment Grade</v>
      </c>
    </row>
    <row r="291" spans="1:36" x14ac:dyDescent="0.3">
      <c r="A291" s="3" t="s">
        <v>36</v>
      </c>
      <c r="B291" s="3" t="s">
        <v>416</v>
      </c>
      <c r="C291" s="3" t="s">
        <v>417</v>
      </c>
      <c r="D291" s="3" t="s">
        <v>47</v>
      </c>
      <c r="E291" s="3" t="s">
        <v>52</v>
      </c>
      <c r="F291" s="3" t="s">
        <v>113</v>
      </c>
      <c r="G291" s="3">
        <v>1.4112280699999999</v>
      </c>
      <c r="H291" s="3">
        <v>1.062192982</v>
      </c>
      <c r="I291" s="3">
        <v>0.73228070199999995</v>
      </c>
      <c r="J291" s="3">
        <v>68.300350699999996</v>
      </c>
      <c r="K291" s="3">
        <v>8.8877756000000002E-2</v>
      </c>
      <c r="L291" s="3">
        <v>0.118687375</v>
      </c>
      <c r="M291" s="3">
        <v>0.77825651299999998</v>
      </c>
      <c r="N291" s="3">
        <v>0.17089178399999999</v>
      </c>
      <c r="O291" s="3">
        <v>6.4399026999999998E-2</v>
      </c>
      <c r="P291" s="3">
        <v>0.14671455999999999</v>
      </c>
      <c r="Q291" s="3">
        <v>1.0183696900000001</v>
      </c>
      <c r="R291" s="3">
        <v>0.72457980899999996</v>
      </c>
      <c r="S291" s="3">
        <v>8.0321931590000002</v>
      </c>
      <c r="T291" s="3">
        <v>14.813432840000001</v>
      </c>
      <c r="U291" s="3">
        <v>0.93676262399999999</v>
      </c>
      <c r="V291" s="3">
        <v>0.25116082699999998</v>
      </c>
      <c r="W291" s="3">
        <v>0.82755705800000001</v>
      </c>
      <c r="X291" s="3">
        <v>1.84137931</v>
      </c>
      <c r="Y291" s="3">
        <v>5.2501567400000004</v>
      </c>
      <c r="Z291" s="3">
        <v>15.813432840000001</v>
      </c>
      <c r="AA291" s="3">
        <v>0.118687375</v>
      </c>
      <c r="AB291" s="3">
        <v>24.421312839999999</v>
      </c>
      <c r="AC291" s="3">
        <v>2.2250783699999999</v>
      </c>
      <c r="AD291" s="3">
        <v>0.177805611</v>
      </c>
      <c r="AE291" s="3">
        <v>0.63646822000000003</v>
      </c>
      <c r="AF291" s="4">
        <v>41838</v>
      </c>
      <c r="AG291" s="5">
        <f>YEAR(AF291)</f>
        <v>2014</v>
      </c>
      <c r="AH291" s="5" t="str">
        <f>"Q"&amp;ROUNDUP(MONTH(AF291)/3,0)</f>
        <v>Q3</v>
      </c>
      <c r="AI291" s="5">
        <f>INDEX(RatingLookup!$B$2:$B$11,MATCH(A291,RatingLookup!$A$2:$A$11,0))</f>
        <v>8</v>
      </c>
      <c r="AJ291" s="5" t="str">
        <f>INDEX(RatingLookup!$C$2:$C$11,MATCH(A291,RatingLookup!$A$2:$A$11,0))</f>
        <v>Investment Grade</v>
      </c>
    </row>
    <row r="292" spans="1:36" x14ac:dyDescent="0.3">
      <c r="A292" s="3" t="s">
        <v>42</v>
      </c>
      <c r="B292" s="3" t="s">
        <v>418</v>
      </c>
      <c r="C292" s="3" t="s">
        <v>419</v>
      </c>
      <c r="D292" s="3" t="s">
        <v>39</v>
      </c>
      <c r="E292" s="3" t="s">
        <v>291</v>
      </c>
      <c r="F292" s="3" t="s">
        <v>41</v>
      </c>
      <c r="G292" s="3">
        <v>1.2024658909999999</v>
      </c>
      <c r="H292" s="3">
        <v>0.80948804600000002</v>
      </c>
      <c r="I292" s="3">
        <v>0.14207034700000001</v>
      </c>
      <c r="J292" s="3">
        <v>55.243274409999998</v>
      </c>
      <c r="K292" s="3">
        <v>3.9318831999999998E-2</v>
      </c>
      <c r="L292" s="3">
        <v>5.7564412000000002E-2</v>
      </c>
      <c r="M292" s="3">
        <v>0.26084071800000003</v>
      </c>
      <c r="N292" s="3">
        <v>5.7564412000000002E-2</v>
      </c>
      <c r="O292" s="3">
        <v>5.7084536999999998E-2</v>
      </c>
      <c r="P292" s="3">
        <v>0.131914277</v>
      </c>
      <c r="Q292" s="3">
        <v>0.233380216</v>
      </c>
      <c r="R292" s="3">
        <v>1.451837072</v>
      </c>
      <c r="S292" s="3">
        <v>7.2321489769999996</v>
      </c>
      <c r="T292" s="3">
        <v>3.0883263009999999</v>
      </c>
      <c r="U292" s="3">
        <v>0.75540112800000003</v>
      </c>
      <c r="V292" s="3">
        <v>0.310922064</v>
      </c>
      <c r="W292" s="3">
        <v>0.604756815</v>
      </c>
      <c r="X292" s="3">
        <v>2.4125799570000002</v>
      </c>
      <c r="Y292" s="3">
        <v>3.574626866</v>
      </c>
      <c r="Z292" s="3">
        <v>4.0883263010000004</v>
      </c>
      <c r="AA292" s="3">
        <v>5.7564412000000002E-2</v>
      </c>
      <c r="AB292" s="3">
        <v>10.115123669999999</v>
      </c>
      <c r="AC292" s="3">
        <v>3.989339019</v>
      </c>
      <c r="AD292" s="3">
        <v>5.9112522000000001E-2</v>
      </c>
      <c r="AE292" s="3">
        <v>5.8650037599999996</v>
      </c>
      <c r="AF292" s="4">
        <v>42221</v>
      </c>
      <c r="AG292" s="5">
        <f>YEAR(AF292)</f>
        <v>2015</v>
      </c>
      <c r="AH292" s="5" t="str">
        <f>"Q"&amp;ROUNDUP(MONTH(AF292)/3,0)</f>
        <v>Q3</v>
      </c>
      <c r="AI292" s="5">
        <f>INDEX(RatingLookup!$B$2:$B$11,MATCH(A292,RatingLookup!$A$2:$A$11,0))</f>
        <v>7</v>
      </c>
      <c r="AJ292" s="5" t="str">
        <f>INDEX(RatingLookup!$C$2:$C$11,MATCH(A292,RatingLookup!$A$2:$A$11,0))</f>
        <v>Investment Grade</v>
      </c>
    </row>
    <row r="293" spans="1:36" x14ac:dyDescent="0.3">
      <c r="A293" s="3" t="s">
        <v>42</v>
      </c>
      <c r="B293" s="3" t="s">
        <v>418</v>
      </c>
      <c r="C293" s="3" t="s">
        <v>419</v>
      </c>
      <c r="D293" s="3" t="s">
        <v>39</v>
      </c>
      <c r="E293" s="3" t="s">
        <v>264</v>
      </c>
      <c r="F293" s="3" t="s">
        <v>41</v>
      </c>
      <c r="G293" s="3">
        <v>1.3459880319999999</v>
      </c>
      <c r="H293" s="3">
        <v>0.94768676399999996</v>
      </c>
      <c r="I293" s="3">
        <v>0.22624026799999999</v>
      </c>
      <c r="J293" s="3">
        <v>60.427117260000003</v>
      </c>
      <c r="K293" s="3">
        <v>3.5146579999999997E-2</v>
      </c>
      <c r="L293" s="3">
        <v>5.9136807999999999E-2</v>
      </c>
      <c r="M293" s="3">
        <v>0.26672638399999998</v>
      </c>
      <c r="N293" s="3">
        <v>3.5146579999999997E-2</v>
      </c>
      <c r="O293" s="3">
        <v>4.6805187999999998E-2</v>
      </c>
      <c r="P293" s="3">
        <v>0.11879600899999999</v>
      </c>
      <c r="Q293" s="3">
        <v>0.144618684</v>
      </c>
      <c r="R293" s="3">
        <v>1.3317138770000001</v>
      </c>
      <c r="S293" s="3">
        <v>6.6558265580000002</v>
      </c>
      <c r="T293" s="3">
        <v>2.0898002949999999</v>
      </c>
      <c r="U293" s="3">
        <v>0.676354487</v>
      </c>
      <c r="V293" s="3">
        <v>0.32718259399999999</v>
      </c>
      <c r="W293" s="3">
        <v>0.59637613199999995</v>
      </c>
      <c r="X293" s="3">
        <v>1.94004065</v>
      </c>
      <c r="Y293" s="3">
        <v>4.6371951219999996</v>
      </c>
      <c r="Z293" s="3">
        <v>3.0898002949999999</v>
      </c>
      <c r="AA293" s="3">
        <v>5.9136807999999999E-2</v>
      </c>
      <c r="AB293" s="3">
        <v>13.055765940000001</v>
      </c>
      <c r="AC293" s="3">
        <v>3.2530487799999999</v>
      </c>
      <c r="AD293" s="3">
        <v>5.2133550000000001E-2</v>
      </c>
      <c r="AE293" s="3">
        <v>5.0616076449999996</v>
      </c>
      <c r="AF293" s="4">
        <v>41771</v>
      </c>
      <c r="AG293" s="5">
        <f>YEAR(AF293)</f>
        <v>2014</v>
      </c>
      <c r="AH293" s="5" t="str">
        <f>"Q"&amp;ROUNDUP(MONTH(AF293)/3,0)</f>
        <v>Q2</v>
      </c>
      <c r="AI293" s="5">
        <f>INDEX(RatingLookup!$B$2:$B$11,MATCH(A293,RatingLookup!$A$2:$A$11,0))</f>
        <v>7</v>
      </c>
      <c r="AJ293" s="5" t="str">
        <f>INDEX(RatingLookup!$C$2:$C$11,MATCH(A293,RatingLookup!$A$2:$A$11,0))</f>
        <v>Investment Grade</v>
      </c>
    </row>
    <row r="294" spans="1:36" x14ac:dyDescent="0.3">
      <c r="A294" s="3" t="s">
        <v>42</v>
      </c>
      <c r="B294" s="3" t="s">
        <v>418</v>
      </c>
      <c r="C294" s="3" t="s">
        <v>419</v>
      </c>
      <c r="D294" s="3" t="s">
        <v>60</v>
      </c>
      <c r="E294" s="3" t="s">
        <v>420</v>
      </c>
      <c r="F294" s="3" t="s">
        <v>41</v>
      </c>
      <c r="G294" s="3">
        <v>1.1625451920000001</v>
      </c>
      <c r="H294" s="3">
        <v>0.872258376</v>
      </c>
      <c r="I294" s="3">
        <v>0.11347312599999999</v>
      </c>
      <c r="J294" s="3">
        <v>58.829610969999997</v>
      </c>
      <c r="K294" s="3">
        <v>3.5688249999999998E-2</v>
      </c>
      <c r="L294" s="3">
        <v>4.2332162999999999E-2</v>
      </c>
      <c r="M294" s="3">
        <v>0.26129962200000001</v>
      </c>
      <c r="N294" s="3">
        <v>4.2332162999999999E-2</v>
      </c>
      <c r="O294" s="3">
        <v>4.2191447999999999E-2</v>
      </c>
      <c r="P294" s="3">
        <v>8.4301175000000006E-2</v>
      </c>
      <c r="Q294" s="3">
        <v>0.136251502</v>
      </c>
      <c r="R294" s="3">
        <v>1.182222396</v>
      </c>
      <c r="S294" s="3">
        <v>5.9434761199999997</v>
      </c>
      <c r="T294" s="3">
        <v>2.2293630210000002</v>
      </c>
      <c r="U294" s="3">
        <v>0.69034141000000004</v>
      </c>
      <c r="V294" s="3">
        <v>0.33816046999999999</v>
      </c>
      <c r="W294" s="3">
        <v>0.81495909600000005</v>
      </c>
      <c r="X294" s="3">
        <v>4.0779727100000001</v>
      </c>
      <c r="Y294" s="3">
        <v>8.1549707599999994</v>
      </c>
      <c r="Z294" s="3">
        <v>3.2293630210000002</v>
      </c>
      <c r="AA294" s="3">
        <v>4.2332162999999999E-2</v>
      </c>
      <c r="AB294" s="3">
        <v>9.2697458519999998</v>
      </c>
      <c r="AC294" s="3">
        <v>5.0038986349999997</v>
      </c>
      <c r="AD294" s="3">
        <v>8.5061966000000003E-2</v>
      </c>
      <c r="AE294" s="3">
        <v>5.5433296030000001</v>
      </c>
      <c r="AF294" s="4">
        <v>41367</v>
      </c>
      <c r="AG294" s="5">
        <f>YEAR(AF294)</f>
        <v>2013</v>
      </c>
      <c r="AH294" s="5" t="str">
        <f>"Q"&amp;ROUNDUP(MONTH(AF294)/3,0)</f>
        <v>Q2</v>
      </c>
      <c r="AI294" s="5">
        <f>INDEX(RatingLookup!$B$2:$B$11,MATCH(A294,RatingLookup!$A$2:$A$11,0))</f>
        <v>7</v>
      </c>
      <c r="AJ294" s="5" t="str">
        <f>INDEX(RatingLookup!$C$2:$C$11,MATCH(A294,RatingLookup!$A$2:$A$11,0))</f>
        <v>Investment Grade</v>
      </c>
    </row>
    <row r="295" spans="1:36" x14ac:dyDescent="0.3">
      <c r="A295" s="3" t="s">
        <v>36</v>
      </c>
      <c r="B295" s="3" t="s">
        <v>421</v>
      </c>
      <c r="C295" s="3" t="s">
        <v>422</v>
      </c>
      <c r="D295" s="3" t="s">
        <v>39</v>
      </c>
      <c r="E295" s="3" t="s">
        <v>97</v>
      </c>
      <c r="F295" s="3" t="s">
        <v>232</v>
      </c>
      <c r="G295" s="3">
        <v>1.053883042</v>
      </c>
      <c r="H295" s="3">
        <v>0.238643932</v>
      </c>
      <c r="I295" s="3">
        <v>2.4910083999999999E-2</v>
      </c>
      <c r="J295" s="3">
        <v>85.303030300000003</v>
      </c>
      <c r="K295" s="3">
        <v>0.115981735</v>
      </c>
      <c r="L295" s="3">
        <v>0.146533831</v>
      </c>
      <c r="M295" s="3">
        <v>1</v>
      </c>
      <c r="N295" s="3">
        <v>0.16322125400000001</v>
      </c>
      <c r="O295" s="3">
        <v>4.6923284000000003E-2</v>
      </c>
      <c r="P295" s="3">
        <v>0.119596151</v>
      </c>
      <c r="Q295" s="3">
        <v>0.21260082199999999</v>
      </c>
      <c r="R295" s="3">
        <v>0.40457476799999997</v>
      </c>
      <c r="S295" s="3">
        <v>15.74509804</v>
      </c>
      <c r="T295" s="3">
        <v>3.530817227</v>
      </c>
      <c r="U295" s="3">
        <v>0.77928926499999995</v>
      </c>
      <c r="V295" s="3">
        <v>0.189235127</v>
      </c>
      <c r="W295" s="3">
        <v>0.84409257000000004</v>
      </c>
      <c r="X295" s="3">
        <v>4.69035533</v>
      </c>
      <c r="Y295" s="3">
        <v>2.5989847720000001</v>
      </c>
      <c r="Z295" s="3">
        <v>4.530817227</v>
      </c>
      <c r="AA295" s="3">
        <v>0.146533831</v>
      </c>
      <c r="AB295" s="3">
        <v>12.428818359999999</v>
      </c>
      <c r="AC295" s="3">
        <v>5.5566835870000002</v>
      </c>
      <c r="AD295" s="3">
        <v>0.13632212499999999</v>
      </c>
      <c r="AE295" s="3">
        <v>0</v>
      </c>
      <c r="AF295" s="4">
        <v>41969</v>
      </c>
      <c r="AG295" s="5">
        <f>YEAR(AF295)</f>
        <v>2014</v>
      </c>
      <c r="AH295" s="5" t="str">
        <f>"Q"&amp;ROUNDUP(MONTH(AF295)/3,0)</f>
        <v>Q4</v>
      </c>
      <c r="AI295" s="5">
        <f>INDEX(RatingLookup!$B$2:$B$11,MATCH(A295,RatingLookup!$A$2:$A$11,0))</f>
        <v>8</v>
      </c>
      <c r="AJ295" s="5" t="str">
        <f>INDEX(RatingLookup!$C$2:$C$11,MATCH(A295,RatingLookup!$A$2:$A$11,0))</f>
        <v>Investment Grade</v>
      </c>
    </row>
    <row r="296" spans="1:36" x14ac:dyDescent="0.3">
      <c r="A296" s="3" t="s">
        <v>36</v>
      </c>
      <c r="B296" s="3" t="s">
        <v>421</v>
      </c>
      <c r="C296" s="3" t="s">
        <v>422</v>
      </c>
      <c r="D296" s="3" t="s">
        <v>39</v>
      </c>
      <c r="E296" s="3" t="s">
        <v>177</v>
      </c>
      <c r="F296" s="3" t="s">
        <v>232</v>
      </c>
      <c r="G296" s="3">
        <v>1.0677059449999999</v>
      </c>
      <c r="H296" s="3">
        <v>0.265474553</v>
      </c>
      <c r="I296" s="3">
        <v>2.9344337000000002E-2</v>
      </c>
      <c r="J296" s="3">
        <v>85.422872799999993</v>
      </c>
      <c r="K296" s="3">
        <v>0.118558466</v>
      </c>
      <c r="L296" s="3">
        <v>0.144581407</v>
      </c>
      <c r="M296" s="3">
        <v>1</v>
      </c>
      <c r="N296" s="3">
        <v>0.15819209000000001</v>
      </c>
      <c r="O296" s="3">
        <v>5.09866E-2</v>
      </c>
      <c r="P296" s="3">
        <v>0.11997442799999999</v>
      </c>
      <c r="Q296" s="3">
        <v>0.22682607299999999</v>
      </c>
      <c r="R296" s="3">
        <v>0.43005448400000001</v>
      </c>
      <c r="S296" s="3">
        <v>15.27058824</v>
      </c>
      <c r="T296" s="3">
        <v>3.4487389450000001</v>
      </c>
      <c r="U296" s="3">
        <v>0.77521719899999997</v>
      </c>
      <c r="V296" s="3">
        <v>0.15808170499999999</v>
      </c>
      <c r="W296" s="3">
        <v>0.85564957699999999</v>
      </c>
      <c r="X296" s="3">
        <v>6.1217948719999997</v>
      </c>
      <c r="Y296" s="3">
        <v>2.6353276349999999</v>
      </c>
      <c r="Z296" s="3">
        <v>4.4487389449999997</v>
      </c>
      <c r="AA296" s="3">
        <v>0.144581407</v>
      </c>
      <c r="AB296" s="3">
        <v>12.553602679999999</v>
      </c>
      <c r="AC296" s="3">
        <v>7.1545584050000004</v>
      </c>
      <c r="AD296" s="3">
        <v>0.171973977</v>
      </c>
      <c r="AE296" s="3">
        <v>0</v>
      </c>
      <c r="AF296" s="4">
        <v>42317</v>
      </c>
      <c r="AG296" s="5">
        <f>YEAR(AF296)</f>
        <v>2015</v>
      </c>
      <c r="AH296" s="5" t="str">
        <f>"Q"&amp;ROUNDUP(MONTH(AF296)/3,0)</f>
        <v>Q4</v>
      </c>
      <c r="AI296" s="5">
        <f>INDEX(RatingLookup!$B$2:$B$11,MATCH(A296,RatingLookup!$A$2:$A$11,0))</f>
        <v>8</v>
      </c>
      <c r="AJ296" s="5" t="str">
        <f>INDEX(RatingLookup!$C$2:$C$11,MATCH(A296,RatingLookup!$A$2:$A$11,0))</f>
        <v>Investment Grade</v>
      </c>
    </row>
    <row r="297" spans="1:36" x14ac:dyDescent="0.3">
      <c r="A297" s="3" t="s">
        <v>42</v>
      </c>
      <c r="B297" s="3" t="s">
        <v>421</v>
      </c>
      <c r="C297" s="3" t="s">
        <v>422</v>
      </c>
      <c r="D297" s="3" t="s">
        <v>60</v>
      </c>
      <c r="E297" s="3" t="s">
        <v>46</v>
      </c>
      <c r="F297" s="3" t="s">
        <v>232</v>
      </c>
      <c r="G297" s="3">
        <v>1.1268168599999999</v>
      </c>
      <c r="H297" s="3">
        <v>0.30813953500000002</v>
      </c>
      <c r="I297" s="3">
        <v>1.9767442E-2</v>
      </c>
      <c r="J297" s="3">
        <v>102.9321343</v>
      </c>
      <c r="K297" s="3">
        <v>8.6736954000000005E-2</v>
      </c>
      <c r="L297" s="3">
        <v>0.12261894199999999</v>
      </c>
      <c r="M297" s="3">
        <v>1</v>
      </c>
      <c r="N297" s="3">
        <v>0.14228758699999999</v>
      </c>
      <c r="O297" s="3">
        <v>3.3128045000000002E-2</v>
      </c>
      <c r="P297" s="3">
        <v>8.7639310999999998E-2</v>
      </c>
      <c r="Q297" s="3">
        <v>0.121193365</v>
      </c>
      <c r="R297" s="3">
        <v>0.38193692499999998</v>
      </c>
      <c r="S297" s="3">
        <v>14.41507024</v>
      </c>
      <c r="T297" s="3">
        <v>2.6583312700000001</v>
      </c>
      <c r="U297" s="3">
        <v>0.72665132600000004</v>
      </c>
      <c r="V297" s="3">
        <v>0.27312138699999999</v>
      </c>
      <c r="W297" s="3">
        <v>0.76326129700000001</v>
      </c>
      <c r="X297" s="3">
        <v>2.3159463489999998</v>
      </c>
      <c r="Y297" s="3">
        <v>3.1505216100000002</v>
      </c>
      <c r="Z297" s="3">
        <v>3.6583312700000001</v>
      </c>
      <c r="AA297" s="3">
        <v>0.12261894199999999</v>
      </c>
      <c r="AB297" s="3">
        <v>9.2842481719999999</v>
      </c>
      <c r="AC297" s="3">
        <v>3.0342771979999998</v>
      </c>
      <c r="AD297" s="3">
        <v>9.0192256999999998E-2</v>
      </c>
      <c r="AE297" s="3">
        <v>0</v>
      </c>
      <c r="AF297" s="4">
        <v>41075</v>
      </c>
      <c r="AG297" s="5">
        <f>YEAR(AF297)</f>
        <v>2012</v>
      </c>
      <c r="AH297" s="5" t="str">
        <f>"Q"&amp;ROUNDUP(MONTH(AF297)/3,0)</f>
        <v>Q2</v>
      </c>
      <c r="AI297" s="5">
        <f>INDEX(RatingLookup!$B$2:$B$11,MATCH(A297,RatingLookup!$A$2:$A$11,0))</f>
        <v>7</v>
      </c>
      <c r="AJ297" s="5" t="str">
        <f>INDEX(RatingLookup!$C$2:$C$11,MATCH(A297,RatingLookup!$A$2:$A$11,0))</f>
        <v>Investment Grade</v>
      </c>
    </row>
    <row r="298" spans="1:36" x14ac:dyDescent="0.3">
      <c r="A298" s="3" t="s">
        <v>36</v>
      </c>
      <c r="B298" s="3" t="s">
        <v>421</v>
      </c>
      <c r="C298" s="3" t="s">
        <v>422</v>
      </c>
      <c r="D298" s="3" t="s">
        <v>39</v>
      </c>
      <c r="E298" s="3" t="s">
        <v>423</v>
      </c>
      <c r="F298" s="3" t="s">
        <v>232</v>
      </c>
      <c r="G298" s="3">
        <v>1.0596327299999999</v>
      </c>
      <c r="H298" s="3">
        <v>0.25280643699999999</v>
      </c>
      <c r="I298" s="3">
        <v>3.0951916999999999E-2</v>
      </c>
      <c r="J298" s="3">
        <v>89.465933140000004</v>
      </c>
      <c r="K298" s="3">
        <v>9.4202284999999997E-2</v>
      </c>
      <c r="L298" s="3">
        <v>0.13017350799999999</v>
      </c>
      <c r="M298" s="3">
        <v>1</v>
      </c>
      <c r="N298" s="3">
        <v>0.14143038499999999</v>
      </c>
      <c r="O298" s="3">
        <v>3.6792171999999998E-2</v>
      </c>
      <c r="P298" s="3">
        <v>0.103638814</v>
      </c>
      <c r="Q298" s="3">
        <v>0.13664825</v>
      </c>
      <c r="R298" s="3">
        <v>0.39056560099999998</v>
      </c>
      <c r="S298" s="3">
        <v>14.936788870000001</v>
      </c>
      <c r="T298" s="3">
        <v>2.714057704</v>
      </c>
      <c r="U298" s="3">
        <v>0.73075270199999998</v>
      </c>
      <c r="V298" s="3">
        <v>0.25357607300000001</v>
      </c>
      <c r="W298" s="3">
        <v>0.85976729900000004</v>
      </c>
      <c r="X298" s="3">
        <v>4.5086705199999999</v>
      </c>
      <c r="Y298" s="3">
        <v>3.211303789</v>
      </c>
      <c r="Z298" s="3">
        <v>3.714057704</v>
      </c>
      <c r="AA298" s="3">
        <v>0.13017350799999999</v>
      </c>
      <c r="AB298" s="3">
        <v>12.59949523</v>
      </c>
      <c r="AC298" s="3">
        <v>5.2440590880000002</v>
      </c>
      <c r="AD298" s="3">
        <v>0.13821413499999999</v>
      </c>
      <c r="AE298" s="3">
        <v>0</v>
      </c>
      <c r="AF298" s="4">
        <v>41684</v>
      </c>
      <c r="AG298" s="5">
        <f>YEAR(AF298)</f>
        <v>2014</v>
      </c>
      <c r="AH298" s="5" t="str">
        <f>"Q"&amp;ROUNDUP(MONTH(AF298)/3,0)</f>
        <v>Q1</v>
      </c>
      <c r="AI298" s="5">
        <f>INDEX(RatingLookup!$B$2:$B$11,MATCH(A298,RatingLookup!$A$2:$A$11,0))</f>
        <v>8</v>
      </c>
      <c r="AJ298" s="5" t="str">
        <f>INDEX(RatingLookup!$C$2:$C$11,MATCH(A298,RatingLookup!$A$2:$A$11,0))</f>
        <v>Investment Grade</v>
      </c>
    </row>
    <row r="299" spans="1:36" x14ac:dyDescent="0.3">
      <c r="A299" s="3" t="s">
        <v>49</v>
      </c>
      <c r="B299" s="3" t="s">
        <v>424</v>
      </c>
      <c r="C299" s="3" t="s">
        <v>425</v>
      </c>
      <c r="D299" s="3" t="s">
        <v>39</v>
      </c>
      <c r="E299" s="3" t="s">
        <v>426</v>
      </c>
      <c r="F299" s="3" t="s">
        <v>59</v>
      </c>
      <c r="G299" s="3">
        <v>0.60718908699999996</v>
      </c>
      <c r="H299" s="3">
        <v>0.36154535500000001</v>
      </c>
      <c r="I299" s="3">
        <v>0.17444986600000001</v>
      </c>
      <c r="J299" s="3">
        <v>39.193930909999999</v>
      </c>
      <c r="K299" s="3">
        <v>0.10106580599999999</v>
      </c>
      <c r="L299" s="3">
        <v>0.15667057200000001</v>
      </c>
      <c r="M299" s="3">
        <v>0.26659428000000002</v>
      </c>
      <c r="N299" s="3">
        <v>0.15667057200000001</v>
      </c>
      <c r="O299" s="3">
        <v>5.9424405E-2</v>
      </c>
      <c r="P299" s="3">
        <v>0.13903892500000001</v>
      </c>
      <c r="Q299" s="3">
        <v>0.344568924</v>
      </c>
      <c r="R299" s="3">
        <v>0.58797735299999998</v>
      </c>
      <c r="S299" s="3">
        <v>6.4026710570000001</v>
      </c>
      <c r="T299" s="3">
        <v>4.7981490500000001</v>
      </c>
      <c r="U299" s="3">
        <v>0.82748945799999996</v>
      </c>
      <c r="V299" s="3">
        <v>0.35473281099999998</v>
      </c>
      <c r="W299" s="3">
        <v>0.64413030100000002</v>
      </c>
      <c r="X299" s="3">
        <v>5.444155844</v>
      </c>
      <c r="Y299" s="3">
        <v>9.1012987009999993</v>
      </c>
      <c r="Z299" s="3">
        <v>5.7984413049999999</v>
      </c>
      <c r="AA299" s="3">
        <v>0.15667057200000001</v>
      </c>
      <c r="AB299" s="3">
        <v>8.9526498570000008</v>
      </c>
      <c r="AC299" s="3">
        <v>8.4519480520000005</v>
      </c>
      <c r="AD299" s="3">
        <v>9.2979398000000005E-2</v>
      </c>
      <c r="AE299" s="3">
        <v>2.8604702999999998</v>
      </c>
      <c r="AF299" s="4">
        <v>41500</v>
      </c>
      <c r="AG299" s="5">
        <f>YEAR(AF299)</f>
        <v>2013</v>
      </c>
      <c r="AH299" s="5" t="str">
        <f>"Q"&amp;ROUNDUP(MONTH(AF299)/3,0)</f>
        <v>Q3</v>
      </c>
      <c r="AI299" s="5">
        <f>INDEX(RatingLookup!$B$2:$B$11,MATCH(A299,RatingLookup!$A$2:$A$11,0))</f>
        <v>9</v>
      </c>
      <c r="AJ299" s="5" t="str">
        <f>INDEX(RatingLookup!$C$2:$C$11,MATCH(A299,RatingLookup!$A$2:$A$11,0))</f>
        <v>Investment Grade</v>
      </c>
    </row>
    <row r="300" spans="1:36" x14ac:dyDescent="0.3">
      <c r="A300" s="3" t="s">
        <v>36</v>
      </c>
      <c r="B300" s="3" t="s">
        <v>424</v>
      </c>
      <c r="C300" s="3" t="s">
        <v>425</v>
      </c>
      <c r="D300" s="3" t="s">
        <v>39</v>
      </c>
      <c r="E300" s="3" t="s">
        <v>427</v>
      </c>
      <c r="F300" s="3" t="s">
        <v>59</v>
      </c>
      <c r="G300" s="3">
        <v>0.582614089</v>
      </c>
      <c r="H300" s="3">
        <v>0.36508346699999999</v>
      </c>
      <c r="I300" s="3">
        <v>0.19572070899999999</v>
      </c>
      <c r="J300" s="3">
        <v>36.289593449999998</v>
      </c>
      <c r="K300" s="3">
        <v>9.5964806E-2</v>
      </c>
      <c r="L300" s="3">
        <v>0.145540049</v>
      </c>
      <c r="M300" s="3">
        <v>0.248331311</v>
      </c>
      <c r="N300" s="3">
        <v>0.145540049</v>
      </c>
      <c r="O300" s="3">
        <v>5.1568410000000002E-2</v>
      </c>
      <c r="P300" s="3">
        <v>0.11424964899999999</v>
      </c>
      <c r="Q300" s="3">
        <v>0.34903994700000002</v>
      </c>
      <c r="R300" s="3">
        <v>0.53736794099999996</v>
      </c>
      <c r="S300" s="3">
        <v>5.9099874479999999</v>
      </c>
      <c r="T300" s="3">
        <v>5.7680423750000003</v>
      </c>
      <c r="U300" s="3">
        <v>0.85219120900000001</v>
      </c>
      <c r="V300" s="3">
        <v>0.33896185099999998</v>
      </c>
      <c r="W300" s="3">
        <v>0.70269503499999997</v>
      </c>
      <c r="X300" s="3">
        <v>6.82369146</v>
      </c>
      <c r="Y300" s="3">
        <v>10.432506890000001</v>
      </c>
      <c r="Z300" s="3">
        <v>6.7684837780000002</v>
      </c>
      <c r="AA300" s="3">
        <v>0.145540049</v>
      </c>
      <c r="AB300" s="3">
        <v>9.8402523350000006</v>
      </c>
      <c r="AC300" s="3">
        <v>9.7107438019999996</v>
      </c>
      <c r="AD300" s="3">
        <v>0.106947816</v>
      </c>
      <c r="AE300" s="3">
        <v>2.896305822</v>
      </c>
      <c r="AF300" s="4">
        <v>42062</v>
      </c>
      <c r="AG300" s="5">
        <f>YEAR(AF300)</f>
        <v>2015</v>
      </c>
      <c r="AH300" s="5" t="str">
        <f>"Q"&amp;ROUNDUP(MONTH(AF300)/3,0)</f>
        <v>Q1</v>
      </c>
      <c r="AI300" s="5">
        <f>INDEX(RatingLookup!$B$2:$B$11,MATCH(A300,RatingLookup!$A$2:$A$11,0))</f>
        <v>8</v>
      </c>
      <c r="AJ300" s="5" t="str">
        <f>INDEX(RatingLookup!$C$2:$C$11,MATCH(A300,RatingLookup!$A$2:$A$11,0))</f>
        <v>Investment Grade</v>
      </c>
    </row>
    <row r="301" spans="1:36" x14ac:dyDescent="0.3">
      <c r="A301" s="3" t="s">
        <v>36</v>
      </c>
      <c r="B301" s="3" t="s">
        <v>424</v>
      </c>
      <c r="C301" s="3" t="s">
        <v>425</v>
      </c>
      <c r="D301" s="3" t="s">
        <v>60</v>
      </c>
      <c r="E301" s="3" t="s">
        <v>46</v>
      </c>
      <c r="F301" s="3" t="s">
        <v>59</v>
      </c>
      <c r="G301" s="3">
        <v>0.64582619600000002</v>
      </c>
      <c r="H301" s="3">
        <v>0.39631152200000003</v>
      </c>
      <c r="I301" s="3">
        <v>0.20823341300000001</v>
      </c>
      <c r="J301" s="3">
        <v>40.803298720000001</v>
      </c>
      <c r="K301" s="3">
        <v>9.5262336000000003E-2</v>
      </c>
      <c r="L301" s="3">
        <v>0.143283785</v>
      </c>
      <c r="M301" s="3">
        <v>0.25612570400000001</v>
      </c>
      <c r="N301" s="3">
        <v>0.143283785</v>
      </c>
      <c r="O301" s="3">
        <v>5.8228057999999999E-2</v>
      </c>
      <c r="P301" s="3">
        <v>0.13755579400000001</v>
      </c>
      <c r="Q301" s="3">
        <v>0.41279411799999999</v>
      </c>
      <c r="R301" s="3">
        <v>0.61123903199999996</v>
      </c>
      <c r="S301" s="3">
        <v>6.7706801470000002</v>
      </c>
      <c r="T301" s="3">
        <v>6.0870588239999996</v>
      </c>
      <c r="U301" s="3">
        <v>0.85863048900000005</v>
      </c>
      <c r="V301" s="3">
        <v>0.33704405500000001</v>
      </c>
      <c r="W301" s="3">
        <v>0.54600172000000002</v>
      </c>
      <c r="X301" s="3">
        <v>3.0455635490000001</v>
      </c>
      <c r="Y301" s="3">
        <v>8.7458033569999998</v>
      </c>
      <c r="Z301" s="3">
        <v>7.0892647059999998</v>
      </c>
      <c r="AA301" s="3">
        <v>0.143283785</v>
      </c>
      <c r="AB301" s="3">
        <v>10.36044587</v>
      </c>
      <c r="AC301" s="3">
        <v>5.57793765</v>
      </c>
      <c r="AD301" s="3">
        <v>7.8938438E-2</v>
      </c>
      <c r="AE301" s="3">
        <v>2.8086878519999998</v>
      </c>
      <c r="AF301" s="4">
        <v>41075</v>
      </c>
      <c r="AG301" s="5">
        <f>YEAR(AF301)</f>
        <v>2012</v>
      </c>
      <c r="AH301" s="5" t="str">
        <f>"Q"&amp;ROUNDUP(MONTH(AF301)/3,0)</f>
        <v>Q2</v>
      </c>
      <c r="AI301" s="5">
        <f>INDEX(RatingLookup!$B$2:$B$11,MATCH(A301,RatingLookup!$A$2:$A$11,0))</f>
        <v>8</v>
      </c>
      <c r="AJ301" s="5" t="str">
        <f>INDEX(RatingLookup!$C$2:$C$11,MATCH(A301,RatingLookup!$A$2:$A$11,0))</f>
        <v>Investment Grade</v>
      </c>
    </row>
    <row r="302" spans="1:36" x14ac:dyDescent="0.3">
      <c r="A302" s="3" t="s">
        <v>36</v>
      </c>
      <c r="B302" s="3" t="s">
        <v>428</v>
      </c>
      <c r="C302" s="3" t="s">
        <v>429</v>
      </c>
      <c r="D302" s="3" t="s">
        <v>39</v>
      </c>
      <c r="E302" s="3" t="s">
        <v>430</v>
      </c>
      <c r="F302" s="3" t="s">
        <v>96</v>
      </c>
      <c r="G302" s="3">
        <v>-0.92373245400000004</v>
      </c>
      <c r="H302" s="3">
        <v>-0.93513078199999999</v>
      </c>
      <c r="I302" s="3">
        <v>-0.19273605899999999</v>
      </c>
      <c r="J302" s="3">
        <v>306.42030030000001</v>
      </c>
      <c r="K302" s="3">
        <v>9.3434760000000006E-2</v>
      </c>
      <c r="L302" s="3">
        <v>0.119491018</v>
      </c>
      <c r="M302" s="3">
        <v>0.87300609799999995</v>
      </c>
      <c r="N302" s="3">
        <v>0.13074100699999999</v>
      </c>
      <c r="O302" s="3">
        <v>8.6068586000000002E-2</v>
      </c>
      <c r="P302" s="3">
        <v>6.4193076000000002E-2</v>
      </c>
      <c r="Q302" s="3">
        <v>0.14362475199999999</v>
      </c>
      <c r="R302" s="3">
        <v>0.92116238900000003</v>
      </c>
      <c r="S302" s="3">
        <v>14.92414239</v>
      </c>
      <c r="T302" s="3">
        <v>0.62516499800000003</v>
      </c>
      <c r="U302" s="3">
        <v>0.37463645400000001</v>
      </c>
      <c r="V302" s="3">
        <v>0.21806039499999999</v>
      </c>
      <c r="W302" s="3">
        <v>0.87761929900000002</v>
      </c>
      <c r="X302" s="3">
        <v>1.108595733</v>
      </c>
      <c r="Y302" s="3">
        <v>1.863007289</v>
      </c>
      <c r="Z302" s="3">
        <v>1.668724417</v>
      </c>
      <c r="AA302" s="3">
        <v>0.142277234</v>
      </c>
      <c r="AB302" s="3">
        <v>81.786472160000002</v>
      </c>
      <c r="AC302" s="3">
        <v>1.263185226</v>
      </c>
      <c r="AD302" s="3">
        <v>0.147776457</v>
      </c>
      <c r="AE302" s="3">
        <v>-0.11798789599999999</v>
      </c>
      <c r="AF302" s="4">
        <v>41900</v>
      </c>
      <c r="AG302" s="5">
        <f>YEAR(AF302)</f>
        <v>2014</v>
      </c>
      <c r="AH302" s="5" t="str">
        <f>"Q"&amp;ROUNDUP(MONTH(AF302)/3,0)</f>
        <v>Q3</v>
      </c>
      <c r="AI302" s="5">
        <f>INDEX(RatingLookup!$B$2:$B$11,MATCH(A302,RatingLookup!$A$2:$A$11,0))</f>
        <v>8</v>
      </c>
      <c r="AJ302" s="5" t="str">
        <f>INDEX(RatingLookup!$C$2:$C$11,MATCH(A302,RatingLookup!$A$2:$A$11,0))</f>
        <v>Investment Grade</v>
      </c>
    </row>
    <row r="303" spans="1:36" x14ac:dyDescent="0.3">
      <c r="A303" s="3" t="s">
        <v>36</v>
      </c>
      <c r="B303" s="3" t="s">
        <v>428</v>
      </c>
      <c r="C303" s="3" t="s">
        <v>429</v>
      </c>
      <c r="D303" s="3" t="s">
        <v>39</v>
      </c>
      <c r="E303" s="3" t="s">
        <v>431</v>
      </c>
      <c r="F303" s="3" t="s">
        <v>96</v>
      </c>
      <c r="G303" s="3">
        <v>-0.90589849099999997</v>
      </c>
      <c r="H303" s="3">
        <v>-0.91846927599999995</v>
      </c>
      <c r="I303" s="3">
        <v>-0.167591713</v>
      </c>
      <c r="J303" s="3">
        <v>318.42932689999998</v>
      </c>
      <c r="K303" s="3">
        <v>9.4824768000000004E-2</v>
      </c>
      <c r="L303" s="3">
        <v>0.115053289</v>
      </c>
      <c r="M303" s="3">
        <v>0.20646168400000001</v>
      </c>
      <c r="N303" s="3">
        <v>0.133385641</v>
      </c>
      <c r="O303" s="3">
        <v>8.6741331000000005E-2</v>
      </c>
      <c r="P303" s="3">
        <v>5.9142687999999999E-2</v>
      </c>
      <c r="Q303" s="3">
        <v>0.15191033600000001</v>
      </c>
      <c r="R303" s="3">
        <v>0.91475395100000001</v>
      </c>
      <c r="S303" s="3">
        <v>15.33809703</v>
      </c>
      <c r="T303" s="3">
        <v>0.70175714199999994</v>
      </c>
      <c r="U303" s="3">
        <v>0.40070577299999999</v>
      </c>
      <c r="V303" s="3">
        <v>0.17581871099999999</v>
      </c>
      <c r="W303" s="3">
        <v>0.82866387200000002</v>
      </c>
      <c r="X303" s="3">
        <v>0.85001088800000002</v>
      </c>
      <c r="Y303" s="3">
        <v>1.7970236390000001</v>
      </c>
      <c r="Z303" s="3">
        <v>1.7513027990000001</v>
      </c>
      <c r="AA303" s="3">
        <v>0.133369295</v>
      </c>
      <c r="AB303" s="3">
        <v>89.567245</v>
      </c>
      <c r="AC303" s="3">
        <v>1.025760765</v>
      </c>
      <c r="AD303" s="3">
        <v>0.11114652799999999</v>
      </c>
      <c r="AE303" s="3">
        <v>-0.71514013200000004</v>
      </c>
      <c r="AF303" s="4">
        <v>42192</v>
      </c>
      <c r="AG303" s="5">
        <f>YEAR(AF303)</f>
        <v>2015</v>
      </c>
      <c r="AH303" s="5" t="str">
        <f>"Q"&amp;ROUNDUP(MONTH(AF303)/3,0)</f>
        <v>Q3</v>
      </c>
      <c r="AI303" s="5">
        <f>INDEX(RatingLookup!$B$2:$B$11,MATCH(A303,RatingLookup!$A$2:$A$11,0))</f>
        <v>8</v>
      </c>
      <c r="AJ303" s="5" t="str">
        <f>INDEX(RatingLookup!$C$2:$C$11,MATCH(A303,RatingLookup!$A$2:$A$11,0))</f>
        <v>Investment Grade</v>
      </c>
    </row>
    <row r="304" spans="1:36" x14ac:dyDescent="0.3">
      <c r="A304" s="3" t="s">
        <v>42</v>
      </c>
      <c r="B304" s="3" t="s">
        <v>428</v>
      </c>
      <c r="C304" s="3" t="s">
        <v>429</v>
      </c>
      <c r="D304" s="3" t="s">
        <v>39</v>
      </c>
      <c r="E304" s="3" t="s">
        <v>432</v>
      </c>
      <c r="F304" s="3" t="s">
        <v>96</v>
      </c>
      <c r="G304" s="3">
        <v>-0.93200547199999995</v>
      </c>
      <c r="H304" s="3">
        <v>-0.94506707999999995</v>
      </c>
      <c r="I304" s="3">
        <v>-0.183076771</v>
      </c>
      <c r="J304" s="3">
        <v>306.27883550000001</v>
      </c>
      <c r="K304" s="3">
        <v>8.4986478000000004E-2</v>
      </c>
      <c r="L304" s="3">
        <v>0.11073198200000001</v>
      </c>
      <c r="M304" s="3">
        <v>0.91439642799999998</v>
      </c>
      <c r="N304" s="3">
        <v>0.12798337500000001</v>
      </c>
      <c r="O304" s="3">
        <v>7.9700771000000004E-2</v>
      </c>
      <c r="P304" s="3">
        <v>6.2302700000000003E-2</v>
      </c>
      <c r="Q304" s="3">
        <v>0.12343807699999999</v>
      </c>
      <c r="R304" s="3">
        <v>0.937805314</v>
      </c>
      <c r="S304" s="3">
        <v>14.24983836</v>
      </c>
      <c r="T304" s="3">
        <v>0.51453840900000003</v>
      </c>
      <c r="U304" s="3">
        <v>0.33222413200000001</v>
      </c>
      <c r="V304" s="3">
        <v>0.232502868</v>
      </c>
      <c r="W304" s="3">
        <v>0.79828263700000002</v>
      </c>
      <c r="X304" s="3">
        <v>0.86691468199999999</v>
      </c>
      <c r="Y304" s="3">
        <v>1.755640527</v>
      </c>
      <c r="Z304" s="3">
        <v>1.5487689140000001</v>
      </c>
      <c r="AA304" s="3">
        <v>0.13504364999999999</v>
      </c>
      <c r="AB304" s="3">
        <v>88.554025699999997</v>
      </c>
      <c r="AC304" s="3">
        <v>1.0859746180000001</v>
      </c>
      <c r="AD304" s="3">
        <v>0.124707334</v>
      </c>
      <c r="AE304" s="3">
        <v>-8.4462273000000004E-2</v>
      </c>
      <c r="AF304" s="4">
        <v>41499</v>
      </c>
      <c r="AG304" s="5">
        <f>YEAR(AF304)</f>
        <v>2013</v>
      </c>
      <c r="AH304" s="5" t="str">
        <f>"Q"&amp;ROUNDUP(MONTH(AF304)/3,0)</f>
        <v>Q3</v>
      </c>
      <c r="AI304" s="5">
        <f>INDEX(RatingLookup!$B$2:$B$11,MATCH(A304,RatingLookup!$A$2:$A$11,0))</f>
        <v>7</v>
      </c>
      <c r="AJ304" s="5" t="str">
        <f>INDEX(RatingLookup!$C$2:$C$11,MATCH(A304,RatingLookup!$A$2:$A$11,0))</f>
        <v>Investment Grade</v>
      </c>
    </row>
    <row r="305" spans="1:36" x14ac:dyDescent="0.3">
      <c r="A305" s="3" t="s">
        <v>42</v>
      </c>
      <c r="B305" s="3" t="s">
        <v>428</v>
      </c>
      <c r="C305" s="3" t="s">
        <v>429</v>
      </c>
      <c r="D305" s="3" t="s">
        <v>44</v>
      </c>
      <c r="E305" s="3" t="s">
        <v>46</v>
      </c>
      <c r="F305" s="3" t="s">
        <v>96</v>
      </c>
      <c r="G305" s="3">
        <v>-0.92108363800000004</v>
      </c>
      <c r="H305" s="3">
        <v>-0.94728454799999995</v>
      </c>
      <c r="I305" s="3">
        <v>-0.165003857</v>
      </c>
      <c r="J305" s="3">
        <v>336.11846179999998</v>
      </c>
      <c r="K305" s="3">
        <v>8.3827257000000002E-2</v>
      </c>
      <c r="L305" s="3">
        <v>9.2997265999999995E-2</v>
      </c>
      <c r="M305" s="3">
        <v>0.92184038800000001</v>
      </c>
      <c r="N305" s="3">
        <v>0.11896066600000001</v>
      </c>
      <c r="O305" s="3">
        <v>7.4419552E-2</v>
      </c>
      <c r="P305" s="3">
        <v>5.1832279000000002E-2</v>
      </c>
      <c r="Q305" s="3">
        <v>0.12607867</v>
      </c>
      <c r="R305" s="3">
        <v>0.88777272799999996</v>
      </c>
      <c r="S305" s="3">
        <v>13.760538240000001</v>
      </c>
      <c r="T305" s="3">
        <v>0.65949304399999997</v>
      </c>
      <c r="U305" s="3">
        <v>0.38927423</v>
      </c>
      <c r="V305" s="3">
        <v>9.8605150000000003E-2</v>
      </c>
      <c r="W305" s="3">
        <v>0.63920625399999997</v>
      </c>
      <c r="X305" s="3">
        <v>0.33628831999999997</v>
      </c>
      <c r="Y305" s="3">
        <v>1.539555137</v>
      </c>
      <c r="Z305" s="3">
        <v>1.694160551</v>
      </c>
      <c r="AA305" s="3">
        <v>0.11939970900000001</v>
      </c>
      <c r="AB305" s="3">
        <v>49.590312419999997</v>
      </c>
      <c r="AC305" s="3">
        <v>0.52610298799999999</v>
      </c>
      <c r="AD305" s="3">
        <v>6.6375301999999997E-2</v>
      </c>
      <c r="AE305" s="3">
        <v>-6.6842455999999995E-2</v>
      </c>
      <c r="AF305" s="4">
        <v>41075</v>
      </c>
      <c r="AG305" s="5">
        <f>YEAR(AF305)</f>
        <v>2012</v>
      </c>
      <c r="AH305" s="5" t="str">
        <f>"Q"&amp;ROUNDUP(MONTH(AF305)/3,0)</f>
        <v>Q2</v>
      </c>
      <c r="AI305" s="5">
        <f>INDEX(RatingLookup!$B$2:$B$11,MATCH(A305,RatingLookup!$A$2:$A$11,0))</f>
        <v>7</v>
      </c>
      <c r="AJ305" s="5" t="str">
        <f>INDEX(RatingLookup!$C$2:$C$11,MATCH(A305,RatingLookup!$A$2:$A$11,0))</f>
        <v>Investment Grade</v>
      </c>
    </row>
    <row r="306" spans="1:36" x14ac:dyDescent="0.3">
      <c r="A306" s="3" t="s">
        <v>116</v>
      </c>
      <c r="B306" s="3" t="s">
        <v>433</v>
      </c>
      <c r="C306" s="3" t="s">
        <v>434</v>
      </c>
      <c r="D306" s="3" t="s">
        <v>60</v>
      </c>
      <c r="E306" s="3" t="s">
        <v>435</v>
      </c>
      <c r="F306" s="3" t="s">
        <v>53</v>
      </c>
      <c r="G306" s="3">
        <v>2.568261965</v>
      </c>
      <c r="H306" s="3">
        <v>1.9571788409999999</v>
      </c>
      <c r="I306" s="3">
        <v>1.537531486</v>
      </c>
      <c r="J306" s="3">
        <v>73.07017544</v>
      </c>
      <c r="K306" s="3">
        <v>0.18697428499999999</v>
      </c>
      <c r="L306" s="3">
        <v>0.22446527299999999</v>
      </c>
      <c r="M306" s="3">
        <v>1</v>
      </c>
      <c r="N306" s="3">
        <v>0.27204998800000002</v>
      </c>
      <c r="O306" s="3">
        <v>2.8933765E-2</v>
      </c>
      <c r="P306" s="3">
        <v>3.7504015000000002E-2</v>
      </c>
      <c r="Q306" s="3">
        <v>4.9234274000000001E-2</v>
      </c>
      <c r="R306" s="3">
        <v>0.15474729400000001</v>
      </c>
      <c r="S306" s="3">
        <v>0.19726923599999999</v>
      </c>
      <c r="T306" s="3">
        <v>0.701620048</v>
      </c>
      <c r="U306" s="3">
        <v>0.41232474200000002</v>
      </c>
      <c r="V306" s="3">
        <v>0.114561028</v>
      </c>
      <c r="W306" s="3">
        <v>0.29670329699999998</v>
      </c>
      <c r="X306" s="3">
        <v>1.5449591279999999</v>
      </c>
      <c r="Y306" s="3">
        <v>8.3160762940000001</v>
      </c>
      <c r="Z306" s="3">
        <v>1.7016200480000001</v>
      </c>
      <c r="AA306" s="3">
        <v>0.22446527299999999</v>
      </c>
      <c r="AB306" s="3">
        <v>5.1826913579999996</v>
      </c>
      <c r="AC306" s="3">
        <v>5.2070844689999998</v>
      </c>
      <c r="AD306" s="3">
        <v>0.45926460000000002</v>
      </c>
      <c r="AE306" s="3">
        <v>0</v>
      </c>
      <c r="AF306" s="4">
        <v>42556</v>
      </c>
      <c r="AG306" s="5">
        <f>YEAR(AF306)</f>
        <v>2016</v>
      </c>
      <c r="AH306" s="5" t="str">
        <f>"Q"&amp;ROUNDUP(MONTH(AF306)/3,0)</f>
        <v>Q3</v>
      </c>
      <c r="AI306" s="5">
        <f>INDEX(RatingLookup!$B$2:$B$11,MATCH(A306,RatingLookup!$A$2:$A$11,0))</f>
        <v>4</v>
      </c>
      <c r="AJ306" s="5" t="str">
        <f>INDEX(RatingLookup!$C$2:$C$11,MATCH(A306,RatingLookup!$A$2:$A$11,0))</f>
        <v>Speculative Grade</v>
      </c>
    </row>
    <row r="307" spans="1:36" x14ac:dyDescent="0.3">
      <c r="A307" s="3" t="s">
        <v>92</v>
      </c>
      <c r="B307" s="3" t="s">
        <v>433</v>
      </c>
      <c r="C307" s="3" t="s">
        <v>434</v>
      </c>
      <c r="D307" s="3" t="s">
        <v>39</v>
      </c>
      <c r="E307" s="3" t="s">
        <v>84</v>
      </c>
      <c r="F307" s="3" t="s">
        <v>53</v>
      </c>
      <c r="G307" s="3">
        <v>1.591777188</v>
      </c>
      <c r="H307" s="3">
        <v>0.70848806399999997</v>
      </c>
      <c r="I307" s="3">
        <v>0.69893899199999998</v>
      </c>
      <c r="J307" s="3">
        <v>1.4323086979999999</v>
      </c>
      <c r="K307" s="3">
        <v>-0.20852409</v>
      </c>
      <c r="L307" s="3">
        <v>-0.196206671</v>
      </c>
      <c r="M307" s="3">
        <v>1</v>
      </c>
      <c r="N307" s="3">
        <v>-0.15020710700000001</v>
      </c>
      <c r="O307" s="3">
        <v>-6.7328336000000003E-2</v>
      </c>
      <c r="P307" s="3">
        <v>-7.3043054999999996E-2</v>
      </c>
      <c r="Q307" s="3">
        <v>-0.13993124100000001</v>
      </c>
      <c r="R307" s="3">
        <v>0.32288037200000003</v>
      </c>
      <c r="S307" s="3">
        <v>0.42594484199999999</v>
      </c>
      <c r="T307" s="3">
        <v>1.078341014</v>
      </c>
      <c r="U307" s="3">
        <v>0.51884700699999997</v>
      </c>
      <c r="V307" s="3">
        <v>-8.1111111E-2</v>
      </c>
      <c r="W307" s="3">
        <v>2.4774774999999999E-2</v>
      </c>
      <c r="X307" s="3">
        <v>0.151933702</v>
      </c>
      <c r="Y307" s="3">
        <v>7.2790055249999996</v>
      </c>
      <c r="Z307" s="3">
        <v>2.0783410139999998</v>
      </c>
      <c r="AA307" s="3">
        <v>-0.196206671</v>
      </c>
      <c r="AB307" s="3">
        <v>-53.861290320000002</v>
      </c>
      <c r="AC307" s="3">
        <v>6.1325966850000002</v>
      </c>
      <c r="AD307" s="3">
        <v>0.241988228</v>
      </c>
      <c r="AE307" s="3">
        <v>0</v>
      </c>
      <c r="AF307" s="4">
        <v>42150</v>
      </c>
      <c r="AG307" s="5">
        <f>YEAR(AF307)</f>
        <v>2015</v>
      </c>
      <c r="AH307" s="5" t="str">
        <f>"Q"&amp;ROUNDUP(MONTH(AF307)/3,0)</f>
        <v>Q2</v>
      </c>
      <c r="AI307" s="5">
        <f>INDEX(RatingLookup!$B$2:$B$11,MATCH(A307,RatingLookup!$A$2:$A$11,0))</f>
        <v>6</v>
      </c>
      <c r="AJ307" s="5" t="str">
        <f>INDEX(RatingLookup!$C$2:$C$11,MATCH(A307,RatingLookup!$A$2:$A$11,0))</f>
        <v>Speculative Grade</v>
      </c>
    </row>
    <row r="308" spans="1:36" x14ac:dyDescent="0.3">
      <c r="A308" s="3" t="s">
        <v>92</v>
      </c>
      <c r="B308" s="3" t="s">
        <v>433</v>
      </c>
      <c r="C308" s="3" t="s">
        <v>434</v>
      </c>
      <c r="D308" s="3" t="s">
        <v>60</v>
      </c>
      <c r="E308" s="3" t="s">
        <v>436</v>
      </c>
      <c r="F308" s="3" t="s">
        <v>53</v>
      </c>
      <c r="G308" s="3">
        <v>1.792806294</v>
      </c>
      <c r="H308" s="3">
        <v>0.88984638400000005</v>
      </c>
      <c r="I308" s="3">
        <v>0.87635818700000001</v>
      </c>
      <c r="J308" s="3">
        <v>1.7790414299999999</v>
      </c>
      <c r="K308" s="3">
        <v>0.10709450299999999</v>
      </c>
      <c r="L308" s="3">
        <v>0.13945301900000001</v>
      </c>
      <c r="M308" s="3">
        <v>1</v>
      </c>
      <c r="N308" s="3">
        <v>0.186839968</v>
      </c>
      <c r="O308" s="3">
        <v>3.0042917999999998E-2</v>
      </c>
      <c r="P308" s="3">
        <v>4.3533389999999998E-2</v>
      </c>
      <c r="Q308" s="3">
        <v>5.4559249999999997E-2</v>
      </c>
      <c r="R308" s="3">
        <v>0.28052717500000002</v>
      </c>
      <c r="S308" s="3">
        <v>0.35478912499999998</v>
      </c>
      <c r="T308" s="3">
        <v>0.81604359199999998</v>
      </c>
      <c r="U308" s="3">
        <v>0.449352425</v>
      </c>
      <c r="V308" s="3">
        <v>0.2</v>
      </c>
      <c r="W308" s="3">
        <v>0.41915819999999998</v>
      </c>
      <c r="X308" s="3">
        <v>3.9779614329999999</v>
      </c>
      <c r="Y308" s="3">
        <v>6.4435261710000002</v>
      </c>
      <c r="Z308" s="3">
        <v>1.816043592</v>
      </c>
      <c r="AA308" s="3">
        <v>0.13945301900000001</v>
      </c>
      <c r="AB308" s="3">
        <v>4.2126632739999996</v>
      </c>
      <c r="AC308" s="3">
        <v>9.4903581270000004</v>
      </c>
      <c r="AD308" s="3">
        <v>0.466422962</v>
      </c>
      <c r="AE308" s="3">
        <v>0</v>
      </c>
      <c r="AF308" s="4">
        <v>42296</v>
      </c>
      <c r="AG308" s="5">
        <f>YEAR(AF308)</f>
        <v>2015</v>
      </c>
      <c r="AH308" s="5" t="str">
        <f>"Q"&amp;ROUNDUP(MONTH(AF308)/3,0)</f>
        <v>Q4</v>
      </c>
      <c r="AI308" s="5">
        <f>INDEX(RatingLookup!$B$2:$B$11,MATCH(A308,RatingLookup!$A$2:$A$11,0))</f>
        <v>6</v>
      </c>
      <c r="AJ308" s="5" t="str">
        <f>INDEX(RatingLookup!$C$2:$C$11,MATCH(A308,RatingLookup!$A$2:$A$11,0))</f>
        <v>Speculative Grade</v>
      </c>
    </row>
    <row r="309" spans="1:36" x14ac:dyDescent="0.3">
      <c r="A309" s="3" t="s">
        <v>42</v>
      </c>
      <c r="B309" s="3" t="s">
        <v>433</v>
      </c>
      <c r="C309" s="3" t="s">
        <v>434</v>
      </c>
      <c r="D309" s="3" t="s">
        <v>60</v>
      </c>
      <c r="E309" s="3" t="s">
        <v>46</v>
      </c>
      <c r="F309" s="3" t="s">
        <v>53</v>
      </c>
      <c r="G309" s="3">
        <v>1.4201194479999999</v>
      </c>
      <c r="H309" s="3">
        <v>0.749720045</v>
      </c>
      <c r="I309" s="3">
        <v>0.749720045</v>
      </c>
      <c r="J309" s="3">
        <v>0</v>
      </c>
      <c r="K309" s="3">
        <v>-0.67570485899999999</v>
      </c>
      <c r="L309" s="3">
        <v>-0.65194960999999996</v>
      </c>
      <c r="M309" s="3">
        <v>1</v>
      </c>
      <c r="N309" s="3">
        <v>-0.57300539900000003</v>
      </c>
      <c r="O309" s="3">
        <v>-0.160510716</v>
      </c>
      <c r="P309" s="3">
        <v>-0.18277833800000001</v>
      </c>
      <c r="Q309" s="3">
        <v>-0.35870326699999999</v>
      </c>
      <c r="R309" s="3">
        <v>0.2375456</v>
      </c>
      <c r="S309" s="3">
        <v>0.28704755999999998</v>
      </c>
      <c r="T309" s="3">
        <v>0.88675880500000004</v>
      </c>
      <c r="U309" s="3">
        <v>0.39680232599999998</v>
      </c>
      <c r="V309" s="3">
        <v>-7.2690466999999995E-2</v>
      </c>
      <c r="W309" s="3">
        <v>1</v>
      </c>
      <c r="X309" s="3">
        <v>5.5434782609999997</v>
      </c>
      <c r="Y309" s="3">
        <v>12.475155279999999</v>
      </c>
      <c r="Z309" s="3">
        <v>2.2347621169999998</v>
      </c>
      <c r="AA309" s="3">
        <v>-0.65194960999999996</v>
      </c>
      <c r="AB309" s="3">
        <v>-4.5270068449999998</v>
      </c>
      <c r="AC309" s="3">
        <v>5.5434782609999997</v>
      </c>
      <c r="AD309" s="3">
        <v>0.21415716900000001</v>
      </c>
      <c r="AE309" s="3">
        <v>0</v>
      </c>
      <c r="AF309" s="4">
        <v>41075</v>
      </c>
      <c r="AG309" s="5">
        <f>YEAR(AF309)</f>
        <v>2012</v>
      </c>
      <c r="AH309" s="5" t="str">
        <f>"Q"&amp;ROUNDUP(MONTH(AF309)/3,0)</f>
        <v>Q2</v>
      </c>
      <c r="AI309" s="5">
        <f>INDEX(RatingLookup!$B$2:$B$11,MATCH(A309,RatingLookup!$A$2:$A$11,0))</f>
        <v>7</v>
      </c>
      <c r="AJ309" s="5" t="str">
        <f>INDEX(RatingLookup!$C$2:$C$11,MATCH(A309,RatingLookup!$A$2:$A$11,0))</f>
        <v>Investment Grade</v>
      </c>
    </row>
    <row r="310" spans="1:36" x14ac:dyDescent="0.3">
      <c r="A310" s="3" t="s">
        <v>92</v>
      </c>
      <c r="B310" s="3" t="s">
        <v>433</v>
      </c>
      <c r="C310" s="3" t="s">
        <v>434</v>
      </c>
      <c r="D310" s="3" t="s">
        <v>39</v>
      </c>
      <c r="E310" s="3" t="s">
        <v>437</v>
      </c>
      <c r="F310" s="3" t="s">
        <v>53</v>
      </c>
      <c r="G310" s="3">
        <v>1.905458638</v>
      </c>
      <c r="H310" s="3">
        <v>0.92656162099999995</v>
      </c>
      <c r="I310" s="3">
        <v>0.91249296599999996</v>
      </c>
      <c r="J310" s="3">
        <v>1.924293547</v>
      </c>
      <c r="K310" s="3">
        <v>0.148355124</v>
      </c>
      <c r="L310" s="3">
        <v>0.14824968399999999</v>
      </c>
      <c r="M310" s="3">
        <v>1</v>
      </c>
      <c r="N310" s="3">
        <v>0.23450021099999999</v>
      </c>
      <c r="O310" s="3">
        <v>4.3231118999999998E-2</v>
      </c>
      <c r="P310" s="3">
        <v>4.8496137000000002E-2</v>
      </c>
      <c r="Q310" s="3">
        <v>8.4296925999999994E-2</v>
      </c>
      <c r="R310" s="3">
        <v>0.29140293699999997</v>
      </c>
      <c r="S310" s="3">
        <v>0.43690975300000001</v>
      </c>
      <c r="T310" s="3">
        <v>0.94991312699999997</v>
      </c>
      <c r="U310" s="3">
        <v>0.48715663999999997</v>
      </c>
      <c r="V310" s="3">
        <v>0.18349928900000001</v>
      </c>
      <c r="W310" s="3">
        <v>-0.166840459</v>
      </c>
      <c r="X310" s="3">
        <v>-0.88888888899999996</v>
      </c>
      <c r="Y310" s="3">
        <v>9.0083333329999995</v>
      </c>
      <c r="Z310" s="3">
        <v>1.9499131270000001</v>
      </c>
      <c r="AA310" s="3">
        <v>0.14824968399999999</v>
      </c>
      <c r="AB310" s="3">
        <v>7.4997593260000004</v>
      </c>
      <c r="AC310" s="3">
        <v>5.3277777779999997</v>
      </c>
      <c r="AD310" s="3">
        <v>0.20223534400000001</v>
      </c>
      <c r="AE310" s="3">
        <v>0</v>
      </c>
      <c r="AF310" s="4">
        <v>41729</v>
      </c>
      <c r="AG310" s="5">
        <f>YEAR(AF310)</f>
        <v>2014</v>
      </c>
      <c r="AH310" s="5" t="str">
        <f>"Q"&amp;ROUNDUP(MONTH(AF310)/3,0)</f>
        <v>Q1</v>
      </c>
      <c r="AI310" s="5">
        <f>INDEX(RatingLookup!$B$2:$B$11,MATCH(A310,RatingLookup!$A$2:$A$11,0))</f>
        <v>6</v>
      </c>
      <c r="AJ310" s="5" t="str">
        <f>INDEX(RatingLookup!$C$2:$C$11,MATCH(A310,RatingLookup!$A$2:$A$11,0))</f>
        <v>Speculative Grade</v>
      </c>
    </row>
    <row r="311" spans="1:36" x14ac:dyDescent="0.3">
      <c r="A311" s="3" t="s">
        <v>92</v>
      </c>
      <c r="B311" s="3" t="s">
        <v>433</v>
      </c>
      <c r="C311" s="3" t="s">
        <v>434</v>
      </c>
      <c r="D311" s="3" t="s">
        <v>39</v>
      </c>
      <c r="E311" s="3" t="s">
        <v>310</v>
      </c>
      <c r="F311" s="3" t="s">
        <v>53</v>
      </c>
      <c r="G311" s="3">
        <v>1.582829947</v>
      </c>
      <c r="H311" s="3">
        <v>0.98736957700000005</v>
      </c>
      <c r="I311" s="3">
        <v>0.93977667899999995</v>
      </c>
      <c r="J311" s="3">
        <v>10.31970422</v>
      </c>
      <c r="K311" s="3">
        <v>-2.3814702E-2</v>
      </c>
      <c r="L311" s="3">
        <v>8.8734231999999996E-2</v>
      </c>
      <c r="M311" s="3">
        <v>1</v>
      </c>
      <c r="N311" s="3">
        <v>0.17192257499999999</v>
      </c>
      <c r="O311" s="3">
        <v>-6.3932269999999996E-3</v>
      </c>
      <c r="P311" s="3">
        <v>2.8341206000000001E-2</v>
      </c>
      <c r="Q311" s="3">
        <v>-1.3909177999999999E-2</v>
      </c>
      <c r="R311" s="3">
        <v>0.26845715999999997</v>
      </c>
      <c r="S311" s="3">
        <v>0.44042145599999999</v>
      </c>
      <c r="T311" s="3">
        <v>1.1756113050000001</v>
      </c>
      <c r="U311" s="3">
        <v>0.540359072</v>
      </c>
      <c r="V311" s="3">
        <v>6.1274509999999997E-2</v>
      </c>
      <c r="W311" s="3">
        <v>0.51883308699999997</v>
      </c>
      <c r="X311" s="3">
        <v>3.946629213</v>
      </c>
      <c r="Y311" s="3">
        <v>14.421348310000001</v>
      </c>
      <c r="Z311" s="3">
        <v>2.1756113049999999</v>
      </c>
      <c r="AA311" s="3">
        <v>8.8734231999999996E-2</v>
      </c>
      <c r="AB311" s="3">
        <v>10.01112255</v>
      </c>
      <c r="AC311" s="3">
        <v>7.6067415729999999</v>
      </c>
      <c r="AD311" s="3">
        <v>0.29447585900000001</v>
      </c>
      <c r="AE311" s="3">
        <v>0</v>
      </c>
      <c r="AF311" s="4">
        <v>41403</v>
      </c>
      <c r="AG311" s="5">
        <f>YEAR(AF311)</f>
        <v>2013</v>
      </c>
      <c r="AH311" s="5" t="str">
        <f>"Q"&amp;ROUNDUP(MONTH(AF311)/3,0)</f>
        <v>Q2</v>
      </c>
      <c r="AI311" s="5">
        <f>INDEX(RatingLookup!$B$2:$B$11,MATCH(A311,RatingLookup!$A$2:$A$11,0))</f>
        <v>6</v>
      </c>
      <c r="AJ311" s="5" t="str">
        <f>INDEX(RatingLookup!$C$2:$C$11,MATCH(A311,RatingLookup!$A$2:$A$11,0))</f>
        <v>Speculative Grade</v>
      </c>
    </row>
    <row r="312" spans="1:36" x14ac:dyDescent="0.3">
      <c r="A312" s="3" t="s">
        <v>42</v>
      </c>
      <c r="B312" s="3" t="s">
        <v>438</v>
      </c>
      <c r="C312" s="3" t="s">
        <v>439</v>
      </c>
      <c r="D312" s="3" t="s">
        <v>39</v>
      </c>
      <c r="E312" s="3" t="s">
        <v>440</v>
      </c>
      <c r="F312" s="3" t="s">
        <v>79</v>
      </c>
      <c r="G312" s="3">
        <v>1.0555515959999999</v>
      </c>
      <c r="H312" s="3">
        <v>0.89602337499999996</v>
      </c>
      <c r="I312" s="3">
        <v>0.37763682999999998</v>
      </c>
      <c r="J312" s="3">
        <v>40.191101600000003</v>
      </c>
      <c r="K312" s="3">
        <v>7.5740288000000003E-2</v>
      </c>
      <c r="L312" s="3">
        <v>0.120161474</v>
      </c>
      <c r="M312" s="3">
        <v>0.60708693000000002</v>
      </c>
      <c r="N312" s="3">
        <v>0.154226898</v>
      </c>
      <c r="O312" s="3">
        <v>4.1360846999999999E-2</v>
      </c>
      <c r="P312" s="3">
        <v>7.4617383999999995E-2</v>
      </c>
      <c r="Q312" s="3">
        <v>0.70378765700000001</v>
      </c>
      <c r="R312" s="3">
        <v>0.54608780099999998</v>
      </c>
      <c r="S312" s="3">
        <v>1.412820883</v>
      </c>
      <c r="T312" s="3">
        <v>16.01579409</v>
      </c>
      <c r="U312" s="3">
        <v>0.94123107100000003</v>
      </c>
      <c r="V312" s="3">
        <v>0.21702684999999999</v>
      </c>
      <c r="W312" s="3">
        <v>0.42721426000000001</v>
      </c>
      <c r="X312" s="3">
        <v>3.2929038749999999</v>
      </c>
      <c r="Y312" s="3">
        <v>2.806492199</v>
      </c>
      <c r="Z312" s="3">
        <v>17.01579409</v>
      </c>
      <c r="AA312" s="3">
        <v>0.120161474</v>
      </c>
      <c r="AB312" s="3">
        <v>7.8690507030000001</v>
      </c>
      <c r="AC312" s="3">
        <v>7.7078510319999998</v>
      </c>
      <c r="AD312" s="3">
        <v>0.24103903900000001</v>
      </c>
      <c r="AE312" s="3">
        <v>2.9934652279999998</v>
      </c>
      <c r="AF312" s="4">
        <v>41843</v>
      </c>
      <c r="AG312" s="5">
        <f>YEAR(AF312)</f>
        <v>2014</v>
      </c>
      <c r="AH312" s="5" t="str">
        <f>"Q"&amp;ROUNDUP(MONTH(AF312)/3,0)</f>
        <v>Q3</v>
      </c>
      <c r="AI312" s="5">
        <f>INDEX(RatingLookup!$B$2:$B$11,MATCH(A312,RatingLookup!$A$2:$A$11,0))</f>
        <v>7</v>
      </c>
      <c r="AJ312" s="5" t="str">
        <f>INDEX(RatingLookup!$C$2:$C$11,MATCH(A312,RatingLookup!$A$2:$A$11,0))</f>
        <v>Investment Grade</v>
      </c>
    </row>
    <row r="313" spans="1:36" x14ac:dyDescent="0.3">
      <c r="A313" s="3" t="s">
        <v>42</v>
      </c>
      <c r="B313" s="3" t="s">
        <v>438</v>
      </c>
      <c r="C313" s="3" t="s">
        <v>439</v>
      </c>
      <c r="D313" s="3" t="s">
        <v>39</v>
      </c>
      <c r="E313" s="3" t="s">
        <v>441</v>
      </c>
      <c r="F313" s="3" t="s">
        <v>79</v>
      </c>
      <c r="G313" s="3">
        <v>2.6245471349999998</v>
      </c>
      <c r="H313" s="3">
        <v>2.4609242139999998</v>
      </c>
      <c r="I313" s="3">
        <v>1.978853974</v>
      </c>
      <c r="J313" s="3">
        <v>37.662671090000003</v>
      </c>
      <c r="K313" s="3">
        <v>9.5371214999999995E-2</v>
      </c>
      <c r="L313" s="3">
        <v>0.242861883</v>
      </c>
      <c r="M313" s="3">
        <v>0.62764827899999998</v>
      </c>
      <c r="N313" s="3">
        <v>0.26518457099999998</v>
      </c>
      <c r="O313" s="3">
        <v>4.1944851999999998E-2</v>
      </c>
      <c r="P313" s="3">
        <v>0.11850733500000001</v>
      </c>
      <c r="Q313" s="3">
        <v>0.120493418</v>
      </c>
      <c r="R313" s="3">
        <v>0.43980620100000001</v>
      </c>
      <c r="S313" s="3">
        <v>1.355164351</v>
      </c>
      <c r="T313" s="3">
        <v>1.872662866</v>
      </c>
      <c r="U313" s="3">
        <v>0.65189092999999998</v>
      </c>
      <c r="V313" s="3">
        <v>0.19571677400000001</v>
      </c>
      <c r="W313" s="3">
        <v>0.55731876999999996</v>
      </c>
      <c r="X313" s="3">
        <v>7.5484996510000002</v>
      </c>
      <c r="Y313" s="3">
        <v>18.886601540000001</v>
      </c>
      <c r="Z313" s="3">
        <v>2.8726628660000002</v>
      </c>
      <c r="AA313" s="3">
        <v>0.242861883</v>
      </c>
      <c r="AB313" s="3">
        <v>3.6350842010000002</v>
      </c>
      <c r="AC313" s="3">
        <v>13.54431263</v>
      </c>
      <c r="AD313" s="3">
        <v>0.32200746600000002</v>
      </c>
      <c r="AE313" s="3">
        <v>2.7281954659999998</v>
      </c>
      <c r="AF313" s="4">
        <v>41775</v>
      </c>
      <c r="AG313" s="5">
        <f>YEAR(AF313)</f>
        <v>2014</v>
      </c>
      <c r="AH313" s="5" t="str">
        <f>"Q"&amp;ROUNDUP(MONTH(AF313)/3,0)</f>
        <v>Q2</v>
      </c>
      <c r="AI313" s="5">
        <f>INDEX(RatingLookup!$B$2:$B$11,MATCH(A313,RatingLookup!$A$2:$A$11,0))</f>
        <v>7</v>
      </c>
      <c r="AJ313" s="5" t="str">
        <f>INDEX(RatingLookup!$C$2:$C$11,MATCH(A313,RatingLookup!$A$2:$A$11,0))</f>
        <v>Investment Grade</v>
      </c>
    </row>
    <row r="314" spans="1:36" x14ac:dyDescent="0.3">
      <c r="A314" s="3" t="s">
        <v>36</v>
      </c>
      <c r="B314" s="3" t="s">
        <v>438</v>
      </c>
      <c r="C314" s="3" t="s">
        <v>439</v>
      </c>
      <c r="D314" s="3" t="s">
        <v>39</v>
      </c>
      <c r="E314" s="3" t="s">
        <v>442</v>
      </c>
      <c r="F314" s="3" t="s">
        <v>79</v>
      </c>
      <c r="G314" s="3">
        <v>0.63562706800000002</v>
      </c>
      <c r="H314" s="3">
        <v>0.521425311</v>
      </c>
      <c r="I314" s="3">
        <v>0.12752482000000001</v>
      </c>
      <c r="J314" s="3">
        <v>37.318074760000002</v>
      </c>
      <c r="K314" s="3">
        <v>0.135838019</v>
      </c>
      <c r="L314" s="3">
        <v>0.21455705799999999</v>
      </c>
      <c r="M314" s="3">
        <v>0.82435040299999995</v>
      </c>
      <c r="N314" s="3">
        <v>0.25117763300000001</v>
      </c>
      <c r="O314" s="3">
        <v>7.3082896999999994E-2</v>
      </c>
      <c r="P314" s="3">
        <v>0.13474053899999999</v>
      </c>
      <c r="Q314" s="3">
        <v>1.002073759</v>
      </c>
      <c r="R314" s="3">
        <v>0.53801504300000003</v>
      </c>
      <c r="S314" s="3">
        <v>1.5755138200000001</v>
      </c>
      <c r="T314" s="3">
        <v>12.711467320000001</v>
      </c>
      <c r="U314" s="3">
        <v>0.92706834500000002</v>
      </c>
      <c r="V314" s="3">
        <v>0.34932719499999998</v>
      </c>
      <c r="W314" s="3">
        <v>0.28802979699999998</v>
      </c>
      <c r="X314" s="3">
        <v>2.7449204410000001</v>
      </c>
      <c r="Y314" s="3">
        <v>1.179926561</v>
      </c>
      <c r="Z314" s="3">
        <v>13.711467320000001</v>
      </c>
      <c r="AA314" s="3">
        <v>0.21455705799999999</v>
      </c>
      <c r="AB314" s="3">
        <v>6.3135776430000004</v>
      </c>
      <c r="AC314" s="3">
        <v>9.5299877599999991</v>
      </c>
      <c r="AD314" s="3">
        <v>0.29577571800000002</v>
      </c>
      <c r="AE314" s="3">
        <v>1.1940398720000001</v>
      </c>
      <c r="AF314" s="4">
        <v>42299</v>
      </c>
      <c r="AG314" s="5">
        <f>YEAR(AF314)</f>
        <v>2015</v>
      </c>
      <c r="AH314" s="5" t="str">
        <f>"Q"&amp;ROUNDUP(MONTH(AF314)/3,0)</f>
        <v>Q4</v>
      </c>
      <c r="AI314" s="5">
        <f>INDEX(RatingLookup!$B$2:$B$11,MATCH(A314,RatingLookup!$A$2:$A$11,0))</f>
        <v>8</v>
      </c>
      <c r="AJ314" s="5" t="str">
        <f>INDEX(RatingLookup!$C$2:$C$11,MATCH(A314,RatingLookup!$A$2:$A$11,0))</f>
        <v>Investment Grade</v>
      </c>
    </row>
    <row r="315" spans="1:36" x14ac:dyDescent="0.3">
      <c r="A315" s="3" t="s">
        <v>36</v>
      </c>
      <c r="B315" s="3" t="s">
        <v>438</v>
      </c>
      <c r="C315" s="3" t="s">
        <v>439</v>
      </c>
      <c r="D315" s="3" t="s">
        <v>44</v>
      </c>
      <c r="E315" s="3" t="s">
        <v>443</v>
      </c>
      <c r="F315" s="3" t="s">
        <v>79</v>
      </c>
      <c r="G315" s="3">
        <v>0.869973632</v>
      </c>
      <c r="H315" s="3">
        <v>0.70873434400000002</v>
      </c>
      <c r="I315" s="3">
        <v>9.4924192000000004E-2</v>
      </c>
      <c r="J315" s="3">
        <v>50.740157170000003</v>
      </c>
      <c r="K315" s="3">
        <v>0.104199079</v>
      </c>
      <c r="L315" s="3">
        <v>0.16658199700000001</v>
      </c>
      <c r="M315" s="3">
        <v>0.82347991700000001</v>
      </c>
      <c r="N315" s="3">
        <v>0.214788062</v>
      </c>
      <c r="O315" s="3">
        <v>5.3759521999999997E-2</v>
      </c>
      <c r="P315" s="3">
        <v>9.8138795000000001E-2</v>
      </c>
      <c r="Q315" s="3">
        <v>0.54623002700000001</v>
      </c>
      <c r="R315" s="3">
        <v>0.51593087100000001</v>
      </c>
      <c r="S315" s="3">
        <v>1.4864721359999999</v>
      </c>
      <c r="T315" s="3">
        <v>9.1606191740000007</v>
      </c>
      <c r="U315" s="3">
        <v>0.90158080100000004</v>
      </c>
      <c r="V315" s="3">
        <v>0.35156771199999998</v>
      </c>
      <c r="W315" s="3">
        <v>0.22548976400000001</v>
      </c>
      <c r="X315" s="3">
        <v>1.255392157</v>
      </c>
      <c r="Y315" s="3">
        <v>0.97794117599999997</v>
      </c>
      <c r="Z315" s="3">
        <v>10.16061917</v>
      </c>
      <c r="AA315" s="3">
        <v>0.16658199700000001</v>
      </c>
      <c r="AB315" s="3">
        <v>7.1330309160000001</v>
      </c>
      <c r="AC315" s="3">
        <v>5.5674019609999998</v>
      </c>
      <c r="AD315" s="3">
        <v>0.18030639800000001</v>
      </c>
      <c r="AE315" s="3">
        <v>1.134997193</v>
      </c>
      <c r="AF315" s="4">
        <v>42669</v>
      </c>
      <c r="AG315" s="5">
        <f>YEAR(AF315)</f>
        <v>2016</v>
      </c>
      <c r="AH315" s="5" t="str">
        <f>"Q"&amp;ROUNDUP(MONTH(AF315)/3,0)</f>
        <v>Q4</v>
      </c>
      <c r="AI315" s="5">
        <f>INDEX(RatingLookup!$B$2:$B$11,MATCH(A315,RatingLookup!$A$2:$A$11,0))</f>
        <v>8</v>
      </c>
      <c r="AJ315" s="5" t="str">
        <f>INDEX(RatingLookup!$C$2:$C$11,MATCH(A315,RatingLookup!$A$2:$A$11,0))</f>
        <v>Investment Grade</v>
      </c>
    </row>
    <row r="316" spans="1:36" x14ac:dyDescent="0.3">
      <c r="A316" s="3" t="s">
        <v>36</v>
      </c>
      <c r="B316" s="3" t="s">
        <v>438</v>
      </c>
      <c r="C316" s="3" t="s">
        <v>439</v>
      </c>
      <c r="D316" s="3" t="s">
        <v>44</v>
      </c>
      <c r="E316" s="3" t="s">
        <v>46</v>
      </c>
      <c r="F316" s="3" t="s">
        <v>79</v>
      </c>
      <c r="G316" s="3">
        <v>1.0057865479999999</v>
      </c>
      <c r="H316" s="3">
        <v>0.83644874999999996</v>
      </c>
      <c r="I316" s="3">
        <v>0.434381197</v>
      </c>
      <c r="J316" s="3">
        <v>38.7665389</v>
      </c>
      <c r="K316" s="3">
        <v>2.1682073999999999E-2</v>
      </c>
      <c r="L316" s="3">
        <v>9.4547913999999997E-2</v>
      </c>
      <c r="M316" s="3">
        <v>0.58624577200000005</v>
      </c>
      <c r="N316" s="3">
        <v>0.116166855</v>
      </c>
      <c r="O316" s="3">
        <v>1.0431266E-2</v>
      </c>
      <c r="P316" s="3">
        <v>5.2493740999999997E-2</v>
      </c>
      <c r="Q316" s="3">
        <v>2.7983424E-2</v>
      </c>
      <c r="R316" s="3">
        <v>0.48110092399999999</v>
      </c>
      <c r="S316" s="3">
        <v>1.253759866</v>
      </c>
      <c r="T316" s="3">
        <v>1.6826488799999999</v>
      </c>
      <c r="U316" s="3">
        <v>0.62723410899999998</v>
      </c>
      <c r="V316" s="3">
        <v>2.7186874E-2</v>
      </c>
      <c r="W316" s="3">
        <v>0.454533244</v>
      </c>
      <c r="X316" s="3">
        <v>4.7779738790000001</v>
      </c>
      <c r="Y316" s="3">
        <v>4.9255206490000001</v>
      </c>
      <c r="Z316" s="3">
        <v>2.6826488799999999</v>
      </c>
      <c r="AA316" s="3">
        <v>9.4547913999999997E-2</v>
      </c>
      <c r="AB316" s="3">
        <v>5.0496708200000002</v>
      </c>
      <c r="AC316" s="3">
        <v>10.51182492</v>
      </c>
      <c r="AD316" s="3">
        <v>0.26859075500000001</v>
      </c>
      <c r="AE316" s="3">
        <v>3.1230853019999998</v>
      </c>
      <c r="AF316" s="4">
        <v>41075</v>
      </c>
      <c r="AG316" s="5">
        <f>YEAR(AF316)</f>
        <v>2012</v>
      </c>
      <c r="AH316" s="5" t="str">
        <f>"Q"&amp;ROUNDUP(MONTH(AF316)/3,0)</f>
        <v>Q2</v>
      </c>
      <c r="AI316" s="5">
        <f>INDEX(RatingLookup!$B$2:$B$11,MATCH(A316,RatingLookup!$A$2:$A$11,0))</f>
        <v>8</v>
      </c>
      <c r="AJ316" s="5" t="str">
        <f>INDEX(RatingLookup!$C$2:$C$11,MATCH(A316,RatingLookup!$A$2:$A$11,0))</f>
        <v>Investment Grade</v>
      </c>
    </row>
    <row r="317" spans="1:36" x14ac:dyDescent="0.3">
      <c r="A317" s="3" t="s">
        <v>36</v>
      </c>
      <c r="B317" s="3" t="s">
        <v>438</v>
      </c>
      <c r="C317" s="3" t="s">
        <v>439</v>
      </c>
      <c r="D317" s="3" t="s">
        <v>44</v>
      </c>
      <c r="E317" s="3" t="s">
        <v>444</v>
      </c>
      <c r="F317" s="3" t="s">
        <v>79</v>
      </c>
      <c r="G317" s="3">
        <v>0.78776524699999995</v>
      </c>
      <c r="H317" s="3">
        <v>0.59871642700000005</v>
      </c>
      <c r="I317" s="3">
        <v>0.114742543</v>
      </c>
      <c r="J317" s="3">
        <v>39.623638280000002</v>
      </c>
      <c r="K317" s="3">
        <v>7.5531310000000003E-3</v>
      </c>
      <c r="L317" s="3">
        <v>8.5432384E-2</v>
      </c>
      <c r="M317" s="3">
        <v>0.60054727799999996</v>
      </c>
      <c r="N317" s="3">
        <v>0.113599088</v>
      </c>
      <c r="O317" s="3">
        <v>3.885056E-3</v>
      </c>
      <c r="P317" s="3">
        <v>4.9917786999999998E-2</v>
      </c>
      <c r="Q317" s="3">
        <v>1.022997E-2</v>
      </c>
      <c r="R317" s="3">
        <v>0.51436360599999997</v>
      </c>
      <c r="S317" s="3">
        <v>1.306897408</v>
      </c>
      <c r="T317" s="3">
        <v>1.6331591320000001</v>
      </c>
      <c r="U317" s="3">
        <v>0.62022804200000003</v>
      </c>
      <c r="V317" s="3">
        <v>-6.6686875000000007E-2</v>
      </c>
      <c r="W317" s="3">
        <v>0.36130343599999998</v>
      </c>
      <c r="X317" s="3">
        <v>3.9873817030000001</v>
      </c>
      <c r="Y317" s="3">
        <v>1.2488608480000001</v>
      </c>
      <c r="Z317" s="3">
        <v>2.6331591319999998</v>
      </c>
      <c r="AA317" s="3">
        <v>8.5432384E-2</v>
      </c>
      <c r="AB317" s="3">
        <v>5.8512265360000004</v>
      </c>
      <c r="AC317" s="3">
        <v>11.03610235</v>
      </c>
      <c r="AD317" s="3">
        <v>0.271791862</v>
      </c>
      <c r="AE317" s="3">
        <v>2.85965888</v>
      </c>
      <c r="AF317" s="4">
        <v>41338</v>
      </c>
      <c r="AG317" s="5">
        <f>YEAR(AF317)</f>
        <v>2013</v>
      </c>
      <c r="AH317" s="5" t="str">
        <f>"Q"&amp;ROUNDUP(MONTH(AF317)/3,0)</f>
        <v>Q1</v>
      </c>
      <c r="AI317" s="5">
        <f>INDEX(RatingLookup!$B$2:$B$11,MATCH(A317,RatingLookup!$A$2:$A$11,0))</f>
        <v>8</v>
      </c>
      <c r="AJ317" s="5" t="str">
        <f>INDEX(RatingLookup!$C$2:$C$11,MATCH(A317,RatingLookup!$A$2:$A$11,0))</f>
        <v>Investment Grade</v>
      </c>
    </row>
    <row r="318" spans="1:36" x14ac:dyDescent="0.3">
      <c r="A318" s="3" t="s">
        <v>36</v>
      </c>
      <c r="B318" s="3" t="s">
        <v>445</v>
      </c>
      <c r="C318" s="3" t="s">
        <v>446</v>
      </c>
      <c r="D318" s="3" t="s">
        <v>39</v>
      </c>
      <c r="E318" s="3" t="s">
        <v>447</v>
      </c>
      <c r="F318" s="3" t="s">
        <v>79</v>
      </c>
      <c r="G318" s="3">
        <v>0.96776784199999999</v>
      </c>
      <c r="H318" s="3">
        <v>1.566799456</v>
      </c>
      <c r="I318" s="3">
        <v>0.182025094</v>
      </c>
      <c r="J318" s="3">
        <v>47.00702587</v>
      </c>
      <c r="K318" s="3">
        <v>7.8215638000000004E-2</v>
      </c>
      <c r="L318" s="3">
        <v>0.105095088</v>
      </c>
      <c r="M318" s="3">
        <v>1</v>
      </c>
      <c r="N318" s="3">
        <v>0.14887177100000001</v>
      </c>
      <c r="O318" s="3">
        <v>1.6400835999999998E-2</v>
      </c>
      <c r="P318" s="3">
        <v>2.4311393000000001E-2</v>
      </c>
      <c r="Q318" s="3">
        <v>7.3906516000000005E-2</v>
      </c>
      <c r="R318" s="3">
        <v>0.20968742800000001</v>
      </c>
      <c r="S318" s="3">
        <v>45.65159122</v>
      </c>
      <c r="T318" s="3">
        <v>3.5062651659999999</v>
      </c>
      <c r="U318" s="3">
        <v>0.77808673900000003</v>
      </c>
      <c r="V318" s="3">
        <v>0.23624514299999999</v>
      </c>
      <c r="W318" s="3">
        <v>0.28882807999999999</v>
      </c>
      <c r="X318" s="3">
        <v>5.1687887259999998</v>
      </c>
      <c r="Y318" s="3">
        <v>29.122278699999999</v>
      </c>
      <c r="Z318" s="3">
        <v>4.5062651660000004</v>
      </c>
      <c r="AA318" s="3">
        <v>0.105095088</v>
      </c>
      <c r="AB318" s="3">
        <v>6.8649254910000002</v>
      </c>
      <c r="AC318" s="3">
        <v>17.895727900000001</v>
      </c>
      <c r="AD318" s="3">
        <v>0.350394857</v>
      </c>
      <c r="AE318" s="3">
        <v>0.218868282</v>
      </c>
      <c r="AF318" s="4">
        <v>41626</v>
      </c>
      <c r="AG318" s="5">
        <f>YEAR(AF318)</f>
        <v>2013</v>
      </c>
      <c r="AH318" s="5" t="str">
        <f>"Q"&amp;ROUNDUP(MONTH(AF318)/3,0)</f>
        <v>Q4</v>
      </c>
      <c r="AI318" s="5">
        <f>INDEX(RatingLookup!$B$2:$B$11,MATCH(A318,RatingLookup!$A$2:$A$11,0))</f>
        <v>8</v>
      </c>
      <c r="AJ318" s="5" t="str">
        <f>INDEX(RatingLookup!$C$2:$C$11,MATCH(A318,RatingLookup!$A$2:$A$11,0))</f>
        <v>Investment Grade</v>
      </c>
    </row>
    <row r="319" spans="1:36" x14ac:dyDescent="0.3">
      <c r="A319" s="3" t="s">
        <v>36</v>
      </c>
      <c r="B319" s="3" t="s">
        <v>445</v>
      </c>
      <c r="C319" s="3" t="s">
        <v>446</v>
      </c>
      <c r="D319" s="3" t="s">
        <v>39</v>
      </c>
      <c r="E319" s="3" t="s">
        <v>180</v>
      </c>
      <c r="F319" s="3" t="s">
        <v>79</v>
      </c>
      <c r="G319" s="3">
        <v>1.1404929370000001</v>
      </c>
      <c r="H319" s="3">
        <v>1.917525594</v>
      </c>
      <c r="I319" s="3">
        <v>0.36946382700000002</v>
      </c>
      <c r="J319" s="3">
        <v>41.20067615</v>
      </c>
      <c r="K319" s="3">
        <v>9.6249042000000007E-2</v>
      </c>
      <c r="L319" s="3">
        <v>0.15857194899999999</v>
      </c>
      <c r="M319" s="3">
        <v>1</v>
      </c>
      <c r="N319" s="3">
        <v>0.205333083</v>
      </c>
      <c r="O319" s="3">
        <v>2.0218448E-2</v>
      </c>
      <c r="P319" s="3">
        <v>3.6314237999999999E-2</v>
      </c>
      <c r="Q319" s="3">
        <v>9.3999484999999994E-2</v>
      </c>
      <c r="R319" s="3">
        <v>0.21006389</v>
      </c>
      <c r="S319" s="3">
        <v>45.716713990000002</v>
      </c>
      <c r="T319" s="3">
        <v>3.649193898</v>
      </c>
      <c r="U319" s="3">
        <v>0.78490894899999997</v>
      </c>
      <c r="V319" s="3">
        <v>0.38042099400000001</v>
      </c>
      <c r="W319" s="3">
        <v>0.45658880299999999</v>
      </c>
      <c r="X319" s="3">
        <v>9.8934214239999996</v>
      </c>
      <c r="Y319" s="3">
        <v>34.968673580000001</v>
      </c>
      <c r="Z319" s="3">
        <v>4.649193898</v>
      </c>
      <c r="AA319" s="3">
        <v>0.15857194899999999</v>
      </c>
      <c r="AB319" s="3">
        <v>6.6958906100000002</v>
      </c>
      <c r="AC319" s="3">
        <v>21.668120999999999</v>
      </c>
      <c r="AD319" s="3">
        <v>0.397957012</v>
      </c>
      <c r="AE319" s="3">
        <v>0.242456691</v>
      </c>
      <c r="AF319" s="4">
        <v>41976</v>
      </c>
      <c r="AG319" s="5">
        <f>YEAR(AF319)</f>
        <v>2014</v>
      </c>
      <c r="AH319" s="5" t="str">
        <f>"Q"&amp;ROUNDUP(MONTH(AF319)/3,0)</f>
        <v>Q4</v>
      </c>
      <c r="AI319" s="5">
        <f>INDEX(RatingLookup!$B$2:$B$11,MATCH(A319,RatingLookup!$A$2:$A$11,0))</f>
        <v>8</v>
      </c>
      <c r="AJ319" s="5" t="str">
        <f>INDEX(RatingLookup!$C$2:$C$11,MATCH(A319,RatingLookup!$A$2:$A$11,0))</f>
        <v>Investment Grade</v>
      </c>
    </row>
    <row r="320" spans="1:36" x14ac:dyDescent="0.3">
      <c r="A320" s="3" t="s">
        <v>36</v>
      </c>
      <c r="B320" s="3" t="s">
        <v>445</v>
      </c>
      <c r="C320" s="3" t="s">
        <v>446</v>
      </c>
      <c r="D320" s="3" t="s">
        <v>39</v>
      </c>
      <c r="E320" s="3" t="s">
        <v>448</v>
      </c>
      <c r="F320" s="3" t="s">
        <v>79</v>
      </c>
      <c r="G320" s="3">
        <v>1.316332455</v>
      </c>
      <c r="H320" s="3">
        <v>2.3184434870000001</v>
      </c>
      <c r="I320" s="3">
        <v>0.43721015000000002</v>
      </c>
      <c r="J320" s="3">
        <v>41.279064480000002</v>
      </c>
      <c r="K320" s="3">
        <v>-1.8680872000000001E-2</v>
      </c>
      <c r="L320" s="3">
        <v>-8.4606906999999995E-2</v>
      </c>
      <c r="M320" s="3">
        <v>1</v>
      </c>
      <c r="N320" s="3">
        <v>-3.1652695000000002E-2</v>
      </c>
      <c r="O320" s="3">
        <v>-3.9545609999999997E-3</v>
      </c>
      <c r="P320" s="3">
        <v>-1.9242176E-2</v>
      </c>
      <c r="Q320" s="3">
        <v>-1.9073781000000001E-2</v>
      </c>
      <c r="R320" s="3">
        <v>0.21169041199999999</v>
      </c>
      <c r="S320" s="3">
        <v>42.961495280000001</v>
      </c>
      <c r="T320" s="3">
        <v>3.8232352870000001</v>
      </c>
      <c r="U320" s="3">
        <v>0.79267028399999995</v>
      </c>
      <c r="V320" s="3">
        <v>0.80399944499999998</v>
      </c>
      <c r="W320" s="3">
        <v>0.24185521099999999</v>
      </c>
      <c r="X320" s="3">
        <v>4.442494634</v>
      </c>
      <c r="Y320" s="3">
        <v>34.016725960000002</v>
      </c>
      <c r="Z320" s="3">
        <v>4.8232352870000001</v>
      </c>
      <c r="AA320" s="3">
        <v>-8.4606906999999995E-2</v>
      </c>
      <c r="AB320" s="3">
        <v>13.542505329999999</v>
      </c>
      <c r="AC320" s="3">
        <v>18.368405710000001</v>
      </c>
      <c r="AD320" s="3">
        <v>0.348218682</v>
      </c>
      <c r="AE320" s="3">
        <v>2.5223848150000001</v>
      </c>
      <c r="AF320" s="4">
        <v>42257</v>
      </c>
      <c r="AG320" s="5">
        <f>YEAR(AF320)</f>
        <v>2015</v>
      </c>
      <c r="AH320" s="5" t="str">
        <f>"Q"&amp;ROUNDUP(MONTH(AF320)/3,0)</f>
        <v>Q3</v>
      </c>
      <c r="AI320" s="5">
        <f>INDEX(RatingLookup!$B$2:$B$11,MATCH(A320,RatingLookup!$A$2:$A$11,0))</f>
        <v>8</v>
      </c>
      <c r="AJ320" s="5" t="str">
        <f>INDEX(RatingLookup!$C$2:$C$11,MATCH(A320,RatingLookup!$A$2:$A$11,0))</f>
        <v>Investment Grade</v>
      </c>
    </row>
    <row r="321" spans="1:36" x14ac:dyDescent="0.3">
      <c r="A321" s="3" t="s">
        <v>42</v>
      </c>
      <c r="B321" s="3" t="s">
        <v>445</v>
      </c>
      <c r="C321" s="3" t="s">
        <v>446</v>
      </c>
      <c r="D321" s="3" t="s">
        <v>60</v>
      </c>
      <c r="E321" s="3" t="s">
        <v>449</v>
      </c>
      <c r="F321" s="3" t="s">
        <v>79</v>
      </c>
      <c r="G321" s="3">
        <v>1.151299211</v>
      </c>
      <c r="H321" s="3">
        <v>2.3643787559999998</v>
      </c>
      <c r="I321" s="3">
        <v>0.37119011400000002</v>
      </c>
      <c r="J321" s="3">
        <v>47.477314630000002</v>
      </c>
      <c r="K321" s="3">
        <v>-6.4872513000000007E-2</v>
      </c>
      <c r="L321" s="3">
        <v>-0.15359556699999999</v>
      </c>
      <c r="M321" s="3">
        <v>1</v>
      </c>
      <c r="N321" s="3">
        <v>-9.8538745999999997E-2</v>
      </c>
      <c r="O321" s="3">
        <v>-1.2713369E-2</v>
      </c>
      <c r="P321" s="3">
        <v>-3.2356479E-2</v>
      </c>
      <c r="Q321" s="3">
        <v>-7.2211555999999996E-2</v>
      </c>
      <c r="R321" s="3">
        <v>0.19597466299999999</v>
      </c>
      <c r="S321" s="3">
        <v>38.503969769999998</v>
      </c>
      <c r="T321" s="3">
        <v>4.6799701650000003</v>
      </c>
      <c r="U321" s="3">
        <v>0.82394273699999998</v>
      </c>
      <c r="V321" s="3">
        <v>0.59146148200000004</v>
      </c>
      <c r="W321" s="3">
        <v>-0.25195126299999998</v>
      </c>
      <c r="X321" s="3">
        <v>-4.2235135000000001</v>
      </c>
      <c r="Y321" s="3">
        <v>35.755085119999997</v>
      </c>
      <c r="Z321" s="3">
        <v>5.6799701650000003</v>
      </c>
      <c r="AA321" s="3">
        <v>-0.15359556699999999</v>
      </c>
      <c r="AB321" s="3">
        <v>21.24456266</v>
      </c>
      <c r="AC321" s="3">
        <v>16.763216239999998</v>
      </c>
      <c r="AD321" s="3">
        <v>0.33333299999999999</v>
      </c>
      <c r="AE321" s="3">
        <v>1.569628268</v>
      </c>
      <c r="AF321" s="4">
        <v>42599</v>
      </c>
      <c r="AG321" s="5">
        <f>YEAR(AF321)</f>
        <v>2016</v>
      </c>
      <c r="AH321" s="5" t="str">
        <f>"Q"&amp;ROUNDUP(MONTH(AF321)/3,0)</f>
        <v>Q3</v>
      </c>
      <c r="AI321" s="5">
        <f>INDEX(RatingLookup!$B$2:$B$11,MATCH(A321,RatingLookup!$A$2:$A$11,0))</f>
        <v>7</v>
      </c>
      <c r="AJ321" s="5" t="str">
        <f>INDEX(RatingLookup!$C$2:$C$11,MATCH(A321,RatingLookup!$A$2:$A$11,0))</f>
        <v>Investment Grade</v>
      </c>
    </row>
    <row r="322" spans="1:36" x14ac:dyDescent="0.3">
      <c r="A322" s="3" t="s">
        <v>36</v>
      </c>
      <c r="B322" s="3" t="s">
        <v>450</v>
      </c>
      <c r="C322" s="3" t="s">
        <v>451</v>
      </c>
      <c r="D322" s="3" t="s">
        <v>39</v>
      </c>
      <c r="E322" s="3" t="s">
        <v>452</v>
      </c>
      <c r="F322" s="3" t="s">
        <v>219</v>
      </c>
      <c r="G322" s="3">
        <v>1.065528566</v>
      </c>
      <c r="H322" s="3">
        <v>0.98825752899999997</v>
      </c>
      <c r="I322" s="3">
        <v>0.13954641200000001</v>
      </c>
      <c r="J322" s="3">
        <v>55.368109310000001</v>
      </c>
      <c r="K322" s="3">
        <v>9.7658245000000005E-2</v>
      </c>
      <c r="L322" s="3">
        <v>0.13264704699999999</v>
      </c>
      <c r="M322" s="3">
        <v>0.26603080400000001</v>
      </c>
      <c r="N322" s="3">
        <v>0.13009312000000001</v>
      </c>
      <c r="O322" s="3">
        <v>5.5697166999999999E-2</v>
      </c>
      <c r="P322" s="3">
        <v>9.2350828999999995E-2</v>
      </c>
      <c r="Q322" s="3">
        <v>0.141179478</v>
      </c>
      <c r="R322" s="3">
        <v>0.57032733700000005</v>
      </c>
      <c r="S322" s="3">
        <v>1.134432806</v>
      </c>
      <c r="T322" s="3">
        <v>1.534769458</v>
      </c>
      <c r="U322" s="3">
        <v>0.60548680399999999</v>
      </c>
      <c r="V322" s="3">
        <v>0.22800651699999999</v>
      </c>
      <c r="W322" s="3">
        <v>1.8607945000000001E-2</v>
      </c>
      <c r="X322" s="3">
        <v>0.137815928</v>
      </c>
      <c r="Y322" s="3">
        <v>7.846447306</v>
      </c>
      <c r="Z322" s="3">
        <v>2.534769458</v>
      </c>
      <c r="AA322" s="3">
        <v>0.13264704699999999</v>
      </c>
      <c r="AB322" s="3">
        <v>11.611207759999999</v>
      </c>
      <c r="AC322" s="3">
        <v>7.4062947069999998</v>
      </c>
      <c r="AD322" s="3">
        <v>0.15255785599999999</v>
      </c>
      <c r="AE322" s="3">
        <v>3.8418941850000001</v>
      </c>
      <c r="AF322" s="4">
        <v>41543</v>
      </c>
      <c r="AG322" s="5">
        <f>YEAR(AF322)</f>
        <v>2013</v>
      </c>
      <c r="AH322" s="5" t="str">
        <f>"Q"&amp;ROUNDUP(MONTH(AF322)/3,0)</f>
        <v>Q3</v>
      </c>
      <c r="AI322" s="5">
        <f>INDEX(RatingLookup!$B$2:$B$11,MATCH(A322,RatingLookup!$A$2:$A$11,0))</f>
        <v>8</v>
      </c>
      <c r="AJ322" s="5" t="str">
        <f>INDEX(RatingLookup!$C$2:$C$11,MATCH(A322,RatingLookup!$A$2:$A$11,0))</f>
        <v>Investment Grade</v>
      </c>
    </row>
    <row r="323" spans="1:36" x14ac:dyDescent="0.3">
      <c r="A323" s="3" t="s">
        <v>36</v>
      </c>
      <c r="B323" s="3" t="s">
        <v>450</v>
      </c>
      <c r="C323" s="3" t="s">
        <v>451</v>
      </c>
      <c r="D323" s="3" t="s">
        <v>39</v>
      </c>
      <c r="E323" s="3" t="s">
        <v>345</v>
      </c>
      <c r="F323" s="3" t="s">
        <v>219</v>
      </c>
      <c r="G323" s="3">
        <v>1.1119810999999999</v>
      </c>
      <c r="H323" s="3">
        <v>0.69719878499999999</v>
      </c>
      <c r="I323" s="3">
        <v>0.11360107999999999</v>
      </c>
      <c r="J323" s="3">
        <v>51.958041960000003</v>
      </c>
      <c r="K323" s="3">
        <v>9.4999521000000003E-2</v>
      </c>
      <c r="L323" s="3">
        <v>0.129753808</v>
      </c>
      <c r="M323" s="3">
        <v>0.268646422</v>
      </c>
      <c r="N323" s="3">
        <v>0.12723440899999999</v>
      </c>
      <c r="O323" s="3">
        <v>5.5778976000000001E-2</v>
      </c>
      <c r="P323" s="3">
        <v>9.1420819E-2</v>
      </c>
      <c r="Q323" s="3">
        <v>0.134635749</v>
      </c>
      <c r="R323" s="3">
        <v>0.58715008099999999</v>
      </c>
      <c r="S323" s="3">
        <v>1.0951416789999999</v>
      </c>
      <c r="T323" s="3">
        <v>1.413736458</v>
      </c>
      <c r="U323" s="3">
        <v>0.58570456299999996</v>
      </c>
      <c r="V323" s="3">
        <v>0.27021041000000001</v>
      </c>
      <c r="W323" s="3">
        <v>0.229692645</v>
      </c>
      <c r="X323" s="3">
        <v>2.3610719320000002</v>
      </c>
      <c r="Y323" s="3">
        <v>2.7259050309999999</v>
      </c>
      <c r="Z323" s="3">
        <v>2.4137364579999998</v>
      </c>
      <c r="AA323" s="3">
        <v>0.129753808</v>
      </c>
      <c r="AB323" s="3">
        <v>13.49461249</v>
      </c>
      <c r="AC323" s="3">
        <v>10.279266570000001</v>
      </c>
      <c r="AD323" s="3">
        <v>0.209445349</v>
      </c>
      <c r="AE323" s="3">
        <v>4.7986172219999998</v>
      </c>
      <c r="AF323" s="4">
        <v>41961</v>
      </c>
      <c r="AG323" s="5">
        <f>YEAR(AF323)</f>
        <v>2014</v>
      </c>
      <c r="AH323" s="5" t="str">
        <f>"Q"&amp;ROUNDUP(MONTH(AF323)/3,0)</f>
        <v>Q4</v>
      </c>
      <c r="AI323" s="5">
        <f>INDEX(RatingLookup!$B$2:$B$11,MATCH(A323,RatingLookup!$A$2:$A$11,0))</f>
        <v>8</v>
      </c>
      <c r="AJ323" s="5" t="str">
        <f>INDEX(RatingLookup!$C$2:$C$11,MATCH(A323,RatingLookup!$A$2:$A$11,0))</f>
        <v>Investment Grade</v>
      </c>
    </row>
    <row r="324" spans="1:36" x14ac:dyDescent="0.3">
      <c r="A324" s="3" t="s">
        <v>36</v>
      </c>
      <c r="B324" s="3" t="s">
        <v>450</v>
      </c>
      <c r="C324" s="3" t="s">
        <v>451</v>
      </c>
      <c r="D324" s="3" t="s">
        <v>39</v>
      </c>
      <c r="E324" s="3" t="s">
        <v>354</v>
      </c>
      <c r="F324" s="3" t="s">
        <v>219</v>
      </c>
      <c r="G324" s="3">
        <v>0.79789479500000005</v>
      </c>
      <c r="H324" s="3">
        <v>0.49085825500000002</v>
      </c>
      <c r="I324" s="3">
        <v>5.6577396000000002E-2</v>
      </c>
      <c r="J324" s="3">
        <v>51.871469140000002</v>
      </c>
      <c r="K324" s="3">
        <v>0.129147339</v>
      </c>
      <c r="L324" s="3">
        <v>0.17519125999999999</v>
      </c>
      <c r="M324" s="3">
        <v>0.29821423200000002</v>
      </c>
      <c r="N324" s="3">
        <v>0.17171472199999999</v>
      </c>
      <c r="O324" s="3">
        <v>7.3282066000000007E-2</v>
      </c>
      <c r="P324" s="3">
        <v>0.125707034</v>
      </c>
      <c r="Q324" s="3">
        <v>0.17628638399999999</v>
      </c>
      <c r="R324" s="3">
        <v>0.56742993799999997</v>
      </c>
      <c r="S324" s="3">
        <v>1.0267720950000001</v>
      </c>
      <c r="T324" s="3">
        <v>1.4055869780000001</v>
      </c>
      <c r="U324" s="3">
        <v>0.58430104199999999</v>
      </c>
      <c r="V324" s="3">
        <v>0.23991923900000001</v>
      </c>
      <c r="W324" s="3">
        <v>0.33759947499999998</v>
      </c>
      <c r="X324" s="3">
        <v>3.8296882270000001</v>
      </c>
      <c r="Y324" s="3">
        <v>1.789204281</v>
      </c>
      <c r="Z324" s="3">
        <v>2.4055869780000001</v>
      </c>
      <c r="AA324" s="3">
        <v>0.17519125999999999</v>
      </c>
      <c r="AB324" s="3">
        <v>12.069054449999999</v>
      </c>
      <c r="AC324" s="3">
        <v>11.34388087</v>
      </c>
      <c r="AD324" s="3">
        <v>0.24636934199999999</v>
      </c>
      <c r="AE324" s="3">
        <v>4.1771535130000004</v>
      </c>
      <c r="AF324" s="4">
        <v>42222</v>
      </c>
      <c r="AG324" s="5">
        <f>YEAR(AF324)</f>
        <v>2015</v>
      </c>
      <c r="AH324" s="5" t="str">
        <f>"Q"&amp;ROUNDUP(MONTH(AF324)/3,0)</f>
        <v>Q3</v>
      </c>
      <c r="AI324" s="5">
        <f>INDEX(RatingLookup!$B$2:$B$11,MATCH(A324,RatingLookup!$A$2:$A$11,0))</f>
        <v>8</v>
      </c>
      <c r="AJ324" s="5" t="str">
        <f>INDEX(RatingLookup!$C$2:$C$11,MATCH(A324,RatingLookup!$A$2:$A$11,0))</f>
        <v>Investment Grade</v>
      </c>
    </row>
    <row r="325" spans="1:36" x14ac:dyDescent="0.3">
      <c r="A325" s="3" t="s">
        <v>42</v>
      </c>
      <c r="B325" s="3" t="s">
        <v>453</v>
      </c>
      <c r="C325" s="3" t="s">
        <v>454</v>
      </c>
      <c r="D325" s="3" t="s">
        <v>60</v>
      </c>
      <c r="E325" s="3" t="s">
        <v>177</v>
      </c>
      <c r="F325" s="3" t="s">
        <v>246</v>
      </c>
      <c r="G325" s="3">
        <v>0.70881731800000003</v>
      </c>
      <c r="H325" s="3">
        <v>0.45208553299999998</v>
      </c>
      <c r="I325" s="3">
        <v>0.18030623000000001</v>
      </c>
      <c r="J325" s="3">
        <v>25.939928890000001</v>
      </c>
      <c r="K325" s="3">
        <v>0.199892509</v>
      </c>
      <c r="L325" s="3">
        <v>0.27807177100000002</v>
      </c>
      <c r="M325" s="3">
        <v>1</v>
      </c>
      <c r="N325" s="3">
        <v>0.33231354400000002</v>
      </c>
      <c r="O325" s="3">
        <v>5.7966670999999997E-2</v>
      </c>
      <c r="P325" s="3">
        <v>8.8693726000000001E-2</v>
      </c>
      <c r="Q325" s="3">
        <v>0.12352144700000001</v>
      </c>
      <c r="R325" s="3">
        <v>0.28998921</v>
      </c>
      <c r="S325" s="3">
        <v>0.31392602200000003</v>
      </c>
      <c r="T325" s="3">
        <v>1.130904632</v>
      </c>
      <c r="U325" s="3">
        <v>0.53071574200000005</v>
      </c>
      <c r="V325" s="3">
        <v>0.27847160300000001</v>
      </c>
      <c r="W325" s="3">
        <v>0.24337402399999999</v>
      </c>
      <c r="X325" s="3">
        <v>2.0171544720000001</v>
      </c>
      <c r="Y325" s="3">
        <v>1.555022833</v>
      </c>
      <c r="Z325" s="3">
        <v>2.130904632</v>
      </c>
      <c r="AA325" s="3">
        <v>0.27807177100000002</v>
      </c>
      <c r="AB325" s="3">
        <v>9.1516665929999998</v>
      </c>
      <c r="AC325" s="3">
        <v>8.2882899309999996</v>
      </c>
      <c r="AD325" s="3">
        <v>0.37593021300000001</v>
      </c>
      <c r="AE325" s="3">
        <v>0.296388543</v>
      </c>
      <c r="AF325" s="4">
        <v>42317</v>
      </c>
      <c r="AG325" s="5">
        <f>YEAR(AF325)</f>
        <v>2015</v>
      </c>
      <c r="AH325" s="5" t="str">
        <f>"Q"&amp;ROUNDUP(MONTH(AF325)/3,0)</f>
        <v>Q4</v>
      </c>
      <c r="AI325" s="5">
        <f>INDEX(RatingLookup!$B$2:$B$11,MATCH(A325,RatingLookup!$A$2:$A$11,0))</f>
        <v>7</v>
      </c>
      <c r="AJ325" s="5" t="str">
        <f>INDEX(RatingLookup!$C$2:$C$11,MATCH(A325,RatingLookup!$A$2:$A$11,0))</f>
        <v>Investment Grade</v>
      </c>
    </row>
    <row r="326" spans="1:36" x14ac:dyDescent="0.3">
      <c r="A326" s="3" t="s">
        <v>36</v>
      </c>
      <c r="B326" s="3" t="s">
        <v>455</v>
      </c>
      <c r="C326" s="3" t="s">
        <v>456</v>
      </c>
      <c r="D326" s="3" t="s">
        <v>39</v>
      </c>
      <c r="E326" s="3" t="s">
        <v>298</v>
      </c>
      <c r="F326" s="3" t="s">
        <v>79</v>
      </c>
      <c r="G326" s="3">
        <v>0.53866450200000005</v>
      </c>
      <c r="H326" s="3">
        <v>0.20519586000000001</v>
      </c>
      <c r="I326" s="3">
        <v>3.2677085000000002E-2</v>
      </c>
      <c r="J326" s="3">
        <v>24.419906279999999</v>
      </c>
      <c r="K326" s="3">
        <v>8.8510933999999999E-2</v>
      </c>
      <c r="L326" s="3">
        <v>9.3891009999999997E-2</v>
      </c>
      <c r="M326" s="3">
        <v>1</v>
      </c>
      <c r="N326" s="3">
        <v>0.17424505400000001</v>
      </c>
      <c r="O326" s="3">
        <v>2.0274298999999999E-2</v>
      </c>
      <c r="P326" s="3">
        <v>2.3841527000000001E-2</v>
      </c>
      <c r="Q326" s="3">
        <v>7.6187631000000006E-2</v>
      </c>
      <c r="R326" s="3">
        <v>0.22905982899999999</v>
      </c>
      <c r="S326" s="3">
        <v>0.32845945599999998</v>
      </c>
      <c r="T326" s="3">
        <v>2.7578428439999998</v>
      </c>
      <c r="U326" s="3">
        <v>0.73388988300000002</v>
      </c>
      <c r="V326" s="3">
        <v>0.44916820699999999</v>
      </c>
      <c r="W326" s="3">
        <v>6.2985140999999994E-2</v>
      </c>
      <c r="X326" s="3">
        <v>0.87116564399999996</v>
      </c>
      <c r="Y326" s="3">
        <v>0.73619631900000004</v>
      </c>
      <c r="Z326" s="3">
        <v>3.7578428439999998</v>
      </c>
      <c r="AA326" s="3">
        <v>9.3891009999999997E-2</v>
      </c>
      <c r="AB326" s="3">
        <v>8.7154253839999996</v>
      </c>
      <c r="AC326" s="3">
        <v>13.83128834</v>
      </c>
      <c r="AD326" s="3">
        <v>0.39127039200000002</v>
      </c>
      <c r="AE326" s="3">
        <v>3.2564885499999998</v>
      </c>
      <c r="AF326" s="4">
        <v>42264</v>
      </c>
      <c r="AG326" s="5">
        <f>YEAR(AF326)</f>
        <v>2015</v>
      </c>
      <c r="AH326" s="5" t="str">
        <f>"Q"&amp;ROUNDUP(MONTH(AF326)/3,0)</f>
        <v>Q3</v>
      </c>
      <c r="AI326" s="5">
        <f>INDEX(RatingLookup!$B$2:$B$11,MATCH(A326,RatingLookup!$A$2:$A$11,0))</f>
        <v>8</v>
      </c>
      <c r="AJ326" s="5" t="str">
        <f>INDEX(RatingLookup!$C$2:$C$11,MATCH(A326,RatingLookup!$A$2:$A$11,0))</f>
        <v>Investment Grade</v>
      </c>
    </row>
    <row r="327" spans="1:36" x14ac:dyDescent="0.3">
      <c r="A327" s="3" t="s">
        <v>36</v>
      </c>
      <c r="B327" s="3" t="s">
        <v>455</v>
      </c>
      <c r="C327" s="3" t="s">
        <v>456</v>
      </c>
      <c r="D327" s="3" t="s">
        <v>39</v>
      </c>
      <c r="E327" s="3" t="s">
        <v>457</v>
      </c>
      <c r="F327" s="3" t="s">
        <v>79</v>
      </c>
      <c r="G327" s="3">
        <v>0.73352801599999995</v>
      </c>
      <c r="H327" s="3">
        <v>0.18689541900000001</v>
      </c>
      <c r="I327" s="3">
        <v>2.4091988000000002E-2</v>
      </c>
      <c r="J327" s="3">
        <v>21.497800640000001</v>
      </c>
      <c r="K327" s="3">
        <v>0.120181913</v>
      </c>
      <c r="L327" s="3">
        <v>0.114515768</v>
      </c>
      <c r="M327" s="3">
        <v>1</v>
      </c>
      <c r="N327" s="3">
        <v>0.184298815</v>
      </c>
      <c r="O327" s="3">
        <v>3.2120511999999997E-2</v>
      </c>
      <c r="P327" s="3">
        <v>3.4357036000000001E-2</v>
      </c>
      <c r="Q327" s="3">
        <v>0.12417193</v>
      </c>
      <c r="R327" s="3">
        <v>0.26726577099999999</v>
      </c>
      <c r="S327" s="3">
        <v>0.40668870000000001</v>
      </c>
      <c r="T327" s="3">
        <v>2.8658142039999999</v>
      </c>
      <c r="U327" s="3">
        <v>0.74132228099999997</v>
      </c>
      <c r="V327" s="3">
        <v>0.28841145800000001</v>
      </c>
      <c r="W327" s="3">
        <v>-0.20258620699999999</v>
      </c>
      <c r="X327" s="3">
        <v>-2.0184049079999999</v>
      </c>
      <c r="Y327" s="3">
        <v>0.71779141099999999</v>
      </c>
      <c r="Z327" s="3">
        <v>3.8658142039999999</v>
      </c>
      <c r="AA327" s="3">
        <v>0.114515768</v>
      </c>
      <c r="AB327" s="3">
        <v>7.5873555250000004</v>
      </c>
      <c r="AC327" s="3">
        <v>9.9631901840000001</v>
      </c>
      <c r="AD327" s="3">
        <v>0.24215313499999999</v>
      </c>
      <c r="AE327" s="3">
        <v>3.539873418</v>
      </c>
      <c r="AF327" s="4">
        <v>41949</v>
      </c>
      <c r="AG327" s="5">
        <f>YEAR(AF327)</f>
        <v>2014</v>
      </c>
      <c r="AH327" s="5" t="str">
        <f>"Q"&amp;ROUNDUP(MONTH(AF327)/3,0)</f>
        <v>Q4</v>
      </c>
      <c r="AI327" s="5">
        <f>INDEX(RatingLookup!$B$2:$B$11,MATCH(A327,RatingLookup!$A$2:$A$11,0))</f>
        <v>8</v>
      </c>
      <c r="AJ327" s="5" t="str">
        <f>INDEX(RatingLookup!$C$2:$C$11,MATCH(A327,RatingLookup!$A$2:$A$11,0))</f>
        <v>Investment Grade</v>
      </c>
    </row>
    <row r="328" spans="1:36" x14ac:dyDescent="0.3">
      <c r="A328" s="3" t="s">
        <v>36</v>
      </c>
      <c r="B328" s="3" t="s">
        <v>455</v>
      </c>
      <c r="C328" s="3" t="s">
        <v>456</v>
      </c>
      <c r="D328" s="3" t="s">
        <v>39</v>
      </c>
      <c r="E328" s="3" t="s">
        <v>458</v>
      </c>
      <c r="F328" s="3" t="s">
        <v>79</v>
      </c>
      <c r="G328" s="3">
        <v>0.67854947799999998</v>
      </c>
      <c r="H328" s="3">
        <v>0.22659291100000001</v>
      </c>
      <c r="I328" s="3">
        <v>2.9911903E-2</v>
      </c>
      <c r="J328" s="3">
        <v>24.31205787</v>
      </c>
      <c r="K328" s="3">
        <v>7.2728717999999998E-2</v>
      </c>
      <c r="L328" s="3">
        <v>7.7815754000000001E-2</v>
      </c>
      <c r="M328" s="3">
        <v>1</v>
      </c>
      <c r="N328" s="3">
        <v>0.136316668</v>
      </c>
      <c r="O328" s="3">
        <v>1.9615830000000001E-2</v>
      </c>
      <c r="P328" s="3">
        <v>2.3440679999999998E-2</v>
      </c>
      <c r="Q328" s="3">
        <v>7.8265332000000007E-2</v>
      </c>
      <c r="R328" s="3">
        <v>0.26971230099999999</v>
      </c>
      <c r="S328" s="3">
        <v>0.41310129699999998</v>
      </c>
      <c r="T328" s="3">
        <v>2.9899067659999998</v>
      </c>
      <c r="U328" s="3">
        <v>0.74936757700000001</v>
      </c>
      <c r="V328" s="3">
        <v>0.24719101099999999</v>
      </c>
      <c r="W328" s="3">
        <v>-0.123634093</v>
      </c>
      <c r="X328" s="3">
        <v>-1.214723926</v>
      </c>
      <c r="Y328" s="3">
        <v>0.82208588999999999</v>
      </c>
      <c r="Z328" s="3">
        <v>3.9899067659999998</v>
      </c>
      <c r="AA328" s="3">
        <v>7.7815754000000001E-2</v>
      </c>
      <c r="AB328" s="3">
        <v>7.1010413809999999</v>
      </c>
      <c r="AC328" s="3">
        <v>9.8251533739999992</v>
      </c>
      <c r="AD328" s="3">
        <v>0.25459025499999999</v>
      </c>
      <c r="AE328" s="3">
        <v>0.23027718599999999</v>
      </c>
      <c r="AF328" s="4">
        <v>41726</v>
      </c>
      <c r="AG328" s="5">
        <f>YEAR(AF328)</f>
        <v>2014</v>
      </c>
      <c r="AH328" s="5" t="str">
        <f>"Q"&amp;ROUNDUP(MONTH(AF328)/3,0)</f>
        <v>Q1</v>
      </c>
      <c r="AI328" s="5">
        <f>INDEX(RatingLookup!$B$2:$B$11,MATCH(A328,RatingLookup!$A$2:$A$11,0))</f>
        <v>8</v>
      </c>
      <c r="AJ328" s="5" t="str">
        <f>INDEX(RatingLookup!$C$2:$C$11,MATCH(A328,RatingLookup!$A$2:$A$11,0))</f>
        <v>Investment Grade</v>
      </c>
    </row>
    <row r="329" spans="1:36" x14ac:dyDescent="0.3">
      <c r="A329" s="3" t="s">
        <v>36</v>
      </c>
      <c r="B329" s="3" t="s">
        <v>455</v>
      </c>
      <c r="C329" s="3" t="s">
        <v>456</v>
      </c>
      <c r="D329" s="3" t="s">
        <v>60</v>
      </c>
      <c r="E329" s="3" t="s">
        <v>200</v>
      </c>
      <c r="F329" s="3" t="s">
        <v>79</v>
      </c>
      <c r="G329" s="3">
        <v>0.35910013499999999</v>
      </c>
      <c r="H329" s="3">
        <v>0.14935724</v>
      </c>
      <c r="I329" s="3">
        <v>1.6238160000000001E-2</v>
      </c>
      <c r="J329" s="3">
        <v>21.957199429999999</v>
      </c>
      <c r="K329" s="3">
        <v>0.110455809</v>
      </c>
      <c r="L329" s="3">
        <v>0.11904962500000001</v>
      </c>
      <c r="M329" s="3">
        <v>1</v>
      </c>
      <c r="N329" s="3">
        <v>0.176257477</v>
      </c>
      <c r="O329" s="3">
        <v>2.5546093999999998E-2</v>
      </c>
      <c r="P329" s="3">
        <v>3.1118549999999998E-2</v>
      </c>
      <c r="Q329" s="3">
        <v>9.2408542999999996E-2</v>
      </c>
      <c r="R329" s="3">
        <v>0.231278864</v>
      </c>
      <c r="S329" s="3">
        <v>0.32078378400000002</v>
      </c>
      <c r="T329" s="3">
        <v>2.6173257209999998</v>
      </c>
      <c r="U329" s="3">
        <v>0.72355267999999995</v>
      </c>
      <c r="V329" s="3">
        <v>0.125265393</v>
      </c>
      <c r="W329" s="3">
        <v>-0.14680589699999999</v>
      </c>
      <c r="X329" s="3">
        <v>-1.466257669</v>
      </c>
      <c r="Y329" s="3">
        <v>0.51840490800000005</v>
      </c>
      <c r="Z329" s="3">
        <v>3.6173257209999998</v>
      </c>
      <c r="AA329" s="3">
        <v>0.11904962500000001</v>
      </c>
      <c r="AB329" s="3">
        <v>8.6036350039999991</v>
      </c>
      <c r="AC329" s="3">
        <v>9.9877300610000006</v>
      </c>
      <c r="AD329" s="3">
        <v>0.27432808199999997</v>
      </c>
      <c r="AE329" s="3">
        <v>3.3733233980000001</v>
      </c>
      <c r="AF329" s="4">
        <v>42606</v>
      </c>
      <c r="AG329" s="5">
        <f>YEAR(AF329)</f>
        <v>2016</v>
      </c>
      <c r="AH329" s="5" t="str">
        <f>"Q"&amp;ROUNDUP(MONTH(AF329)/3,0)</f>
        <v>Q3</v>
      </c>
      <c r="AI329" s="5">
        <f>INDEX(RatingLookup!$B$2:$B$11,MATCH(A329,RatingLookup!$A$2:$A$11,0))</f>
        <v>8</v>
      </c>
      <c r="AJ329" s="5" t="str">
        <f>INDEX(RatingLookup!$C$2:$C$11,MATCH(A329,RatingLookup!$A$2:$A$11,0))</f>
        <v>Investment Grade</v>
      </c>
    </row>
    <row r="330" spans="1:36" x14ac:dyDescent="0.3">
      <c r="A330" s="3" t="s">
        <v>42</v>
      </c>
      <c r="B330" s="3" t="s">
        <v>455</v>
      </c>
      <c r="C330" s="3" t="s">
        <v>456</v>
      </c>
      <c r="D330" s="3" t="s">
        <v>39</v>
      </c>
      <c r="E330" s="3" t="s">
        <v>410</v>
      </c>
      <c r="F330" s="3" t="s">
        <v>79</v>
      </c>
      <c r="G330" s="3">
        <v>0.713675214</v>
      </c>
      <c r="H330" s="3">
        <v>7.9861110999999999E-2</v>
      </c>
      <c r="I330" s="3">
        <v>4.5405982999999997E-2</v>
      </c>
      <c r="J330" s="3">
        <v>0</v>
      </c>
      <c r="K330" s="3">
        <v>-1.5427415E-2</v>
      </c>
      <c r="L330" s="3">
        <v>0.134378688</v>
      </c>
      <c r="M330" s="3">
        <v>1</v>
      </c>
      <c r="N330" s="3">
        <v>0.192631934</v>
      </c>
      <c r="O330" s="3">
        <v>-4.1221790000000001E-3</v>
      </c>
      <c r="P330" s="3">
        <v>3.9212792000000003E-2</v>
      </c>
      <c r="Q330" s="3">
        <v>-1.6352426E-2</v>
      </c>
      <c r="R330" s="3">
        <v>0.26719827000000002</v>
      </c>
      <c r="S330" s="3">
        <v>0.39183430800000002</v>
      </c>
      <c r="T330" s="3">
        <v>2.9669377180000001</v>
      </c>
      <c r="U330" s="3">
        <v>0.74791638500000002</v>
      </c>
      <c r="V330" s="3">
        <v>0.167503137</v>
      </c>
      <c r="W330" s="3">
        <v>-0.24445111</v>
      </c>
      <c r="X330" s="3">
        <v>-2.5</v>
      </c>
      <c r="Y330" s="3">
        <v>0.91717791400000004</v>
      </c>
      <c r="Z330" s="3">
        <v>3.9669377180000001</v>
      </c>
      <c r="AA330" s="3">
        <v>0.134378688</v>
      </c>
      <c r="AB330" s="3">
        <v>6.0244806620000002</v>
      </c>
      <c r="AC330" s="3">
        <v>10.226993869999999</v>
      </c>
      <c r="AD330" s="3">
        <v>0.28106558799999998</v>
      </c>
      <c r="AE330" s="3">
        <v>0.21644413200000001</v>
      </c>
      <c r="AF330" s="4">
        <v>41417</v>
      </c>
      <c r="AG330" s="5">
        <f>YEAR(AF330)</f>
        <v>2013</v>
      </c>
      <c r="AH330" s="5" t="str">
        <f>"Q"&amp;ROUNDUP(MONTH(AF330)/3,0)</f>
        <v>Q2</v>
      </c>
      <c r="AI330" s="5">
        <f>INDEX(RatingLookup!$B$2:$B$11,MATCH(A330,RatingLookup!$A$2:$A$11,0))</f>
        <v>7</v>
      </c>
      <c r="AJ330" s="5" t="str">
        <f>INDEX(RatingLookup!$C$2:$C$11,MATCH(A330,RatingLookup!$A$2:$A$11,0))</f>
        <v>Investment Grade</v>
      </c>
    </row>
    <row r="331" spans="1:36" x14ac:dyDescent="0.3">
      <c r="A331" s="3" t="s">
        <v>92</v>
      </c>
      <c r="B331" s="3" t="s">
        <v>455</v>
      </c>
      <c r="C331" s="3" t="s">
        <v>456</v>
      </c>
      <c r="D331" s="3" t="s">
        <v>47</v>
      </c>
      <c r="E331" s="3" t="s">
        <v>459</v>
      </c>
      <c r="F331" s="3" t="s">
        <v>79</v>
      </c>
      <c r="G331" s="3">
        <v>1.0312787489999999</v>
      </c>
      <c r="H331" s="3">
        <v>0.57106715699999999</v>
      </c>
      <c r="I331" s="3">
        <v>0.33785648600000001</v>
      </c>
      <c r="J331" s="3">
        <v>25.973354230000002</v>
      </c>
      <c r="K331" s="3">
        <v>-2.8996870000000002E-3</v>
      </c>
      <c r="L331" s="3">
        <v>1.8808780000000001E-3</v>
      </c>
      <c r="M331" s="3">
        <v>1</v>
      </c>
      <c r="N331" s="3">
        <v>2.5078369999999999E-2</v>
      </c>
      <c r="O331" s="3">
        <v>-7.7020799999999998E-4</v>
      </c>
      <c r="P331" s="3">
        <v>5.4931200000000004E-4</v>
      </c>
      <c r="Q331" s="3">
        <v>-3.3375430000000001E-3</v>
      </c>
      <c r="R331" s="3">
        <v>0.26561751900000002</v>
      </c>
      <c r="S331" s="3">
        <v>0.39730975200000002</v>
      </c>
      <c r="T331" s="3">
        <v>3.3333032650000001</v>
      </c>
      <c r="U331" s="3">
        <v>0.76922916799999996</v>
      </c>
      <c r="V331" s="3">
        <v>-12</v>
      </c>
      <c r="W331" s="3">
        <v>-0.230926779</v>
      </c>
      <c r="X331" s="3">
        <v>-2.766871166</v>
      </c>
      <c r="Y331" s="3">
        <v>4.8312883439999998</v>
      </c>
      <c r="Z331" s="3">
        <v>4.3333032649999996</v>
      </c>
      <c r="AA331" s="3">
        <v>1.8808780000000001E-3</v>
      </c>
      <c r="AB331" s="3">
        <v>10.849987260000001</v>
      </c>
      <c r="AC331" s="3">
        <v>11.981595090000001</v>
      </c>
      <c r="AD331" s="3">
        <v>0.30611285300000002</v>
      </c>
      <c r="AE331" s="3">
        <v>0.82170542599999996</v>
      </c>
      <c r="AF331" s="4">
        <v>40974</v>
      </c>
      <c r="AG331" s="5">
        <f>YEAR(AF331)</f>
        <v>2012</v>
      </c>
      <c r="AH331" s="5" t="str">
        <f>"Q"&amp;ROUNDUP(MONTH(AF331)/3,0)</f>
        <v>Q1</v>
      </c>
      <c r="AI331" s="5">
        <f>INDEX(RatingLookup!$B$2:$B$11,MATCH(A331,RatingLookup!$A$2:$A$11,0))</f>
        <v>6</v>
      </c>
      <c r="AJ331" s="5" t="str">
        <f>INDEX(RatingLookup!$C$2:$C$11,MATCH(A331,RatingLookup!$A$2:$A$11,0))</f>
        <v>Speculative Grade</v>
      </c>
    </row>
    <row r="332" spans="1:36" x14ac:dyDescent="0.3">
      <c r="A332" s="3" t="s">
        <v>42</v>
      </c>
      <c r="B332" s="3" t="s">
        <v>455</v>
      </c>
      <c r="C332" s="3" t="s">
        <v>456</v>
      </c>
      <c r="D332" s="3" t="s">
        <v>47</v>
      </c>
      <c r="E332" s="3" t="s">
        <v>460</v>
      </c>
      <c r="F332" s="3" t="s">
        <v>79</v>
      </c>
      <c r="G332" s="3">
        <v>1.118927126</v>
      </c>
      <c r="H332" s="3">
        <v>0.62069838099999997</v>
      </c>
      <c r="I332" s="3">
        <v>0.35146761100000001</v>
      </c>
      <c r="J332" s="3">
        <v>27.384559589999999</v>
      </c>
      <c r="K332" s="3">
        <v>0.10121685900000001</v>
      </c>
      <c r="L332" s="3">
        <v>0.10500443199999999</v>
      </c>
      <c r="M332" s="3">
        <v>1</v>
      </c>
      <c r="N332" s="3">
        <v>0.17132726200000001</v>
      </c>
      <c r="O332" s="3">
        <v>2.7586207000000001E-2</v>
      </c>
      <c r="P332" s="3">
        <v>3.1338689000000003E-2</v>
      </c>
      <c r="Q332" s="3">
        <v>0.10927440400000001</v>
      </c>
      <c r="R332" s="3">
        <v>0.27254557400000001</v>
      </c>
      <c r="S332" s="3">
        <v>0.41111184699999997</v>
      </c>
      <c r="T332" s="3">
        <v>2.9611971459999999</v>
      </c>
      <c r="U332" s="3">
        <v>0.74755106500000001</v>
      </c>
      <c r="V332" s="3">
        <v>0.27168073700000001</v>
      </c>
      <c r="W332" s="3">
        <v>-0.30658613699999998</v>
      </c>
      <c r="X332" s="3">
        <v>-3.2699386499999998</v>
      </c>
      <c r="Y332" s="3">
        <v>4.6687116560000002</v>
      </c>
      <c r="Z332" s="3">
        <v>3.9611971459999999</v>
      </c>
      <c r="AA332" s="3">
        <v>0.10500443199999999</v>
      </c>
      <c r="AB332" s="3">
        <v>5.7818103670000003</v>
      </c>
      <c r="AC332" s="3">
        <v>10.66564417</v>
      </c>
      <c r="AD332" s="3">
        <v>0.280199855</v>
      </c>
      <c r="AE332" s="3">
        <v>0.86049926600000004</v>
      </c>
      <c r="AF332" s="4">
        <v>40715</v>
      </c>
      <c r="AG332" s="5">
        <f>YEAR(AF332)</f>
        <v>2011</v>
      </c>
      <c r="AH332" s="5" t="str">
        <f>"Q"&amp;ROUNDUP(MONTH(AF332)/3,0)</f>
        <v>Q2</v>
      </c>
      <c r="AI332" s="5">
        <f>INDEX(RatingLookup!$B$2:$B$11,MATCH(A332,RatingLookup!$A$2:$A$11,0))</f>
        <v>7</v>
      </c>
      <c r="AJ332" s="5" t="str">
        <f>INDEX(RatingLookup!$C$2:$C$11,MATCH(A332,RatingLookup!$A$2:$A$11,0))</f>
        <v>Investment Grade</v>
      </c>
    </row>
    <row r="333" spans="1:36" x14ac:dyDescent="0.3">
      <c r="A333" s="3" t="s">
        <v>49</v>
      </c>
      <c r="B333" s="3" t="s">
        <v>461</v>
      </c>
      <c r="C333" s="3" t="s">
        <v>462</v>
      </c>
      <c r="D333" s="3" t="s">
        <v>39</v>
      </c>
      <c r="E333" s="3" t="s">
        <v>463</v>
      </c>
      <c r="F333" s="3" t="s">
        <v>79</v>
      </c>
      <c r="G333" s="3">
        <v>1.1979045399999999</v>
      </c>
      <c r="H333" s="3">
        <v>0.651920838</v>
      </c>
      <c r="I333" s="3">
        <v>1.862631E-2</v>
      </c>
      <c r="J333" s="3">
        <v>44.627266079999998</v>
      </c>
      <c r="K333" s="3">
        <v>7.3571254000000003E-2</v>
      </c>
      <c r="L333" s="3">
        <v>0.10365011</v>
      </c>
      <c r="M333" s="3">
        <v>1</v>
      </c>
      <c r="N333" s="3">
        <v>0.12925778399999999</v>
      </c>
      <c r="O333" s="3">
        <v>3.2351469000000001E-2</v>
      </c>
      <c r="P333" s="3">
        <v>5.0202780000000002E-2</v>
      </c>
      <c r="Q333" s="3">
        <v>0.108682599</v>
      </c>
      <c r="R333" s="3">
        <v>0.439729749</v>
      </c>
      <c r="S333" s="3">
        <v>0.731331748</v>
      </c>
      <c r="T333" s="3">
        <v>2.3594331689999999</v>
      </c>
      <c r="U333" s="3">
        <v>0.70233073599999996</v>
      </c>
      <c r="V333" s="3">
        <v>0.28549019599999997</v>
      </c>
      <c r="W333" s="3">
        <v>1</v>
      </c>
      <c r="X333" s="3">
        <v>10.389830509999999</v>
      </c>
      <c r="Y333" s="3">
        <v>0.99435028199999997</v>
      </c>
      <c r="Z333" s="3">
        <v>3.3594331689999999</v>
      </c>
      <c r="AA333" s="3">
        <v>0.10365011</v>
      </c>
      <c r="AB333" s="3">
        <v>8.6079123249999991</v>
      </c>
      <c r="AC333" s="3">
        <v>10.389830509999999</v>
      </c>
      <c r="AD333" s="3">
        <v>0.149500041</v>
      </c>
      <c r="AE333" s="3">
        <v>6.0421377180000002</v>
      </c>
      <c r="AF333" s="4">
        <v>41852</v>
      </c>
      <c r="AG333" s="5">
        <f>YEAR(AF333)</f>
        <v>2014</v>
      </c>
      <c r="AH333" s="5" t="str">
        <f>"Q"&amp;ROUNDUP(MONTH(AF333)/3,0)</f>
        <v>Q3</v>
      </c>
      <c r="AI333" s="5">
        <f>INDEX(RatingLookup!$B$2:$B$11,MATCH(A333,RatingLookup!$A$2:$A$11,0))</f>
        <v>9</v>
      </c>
      <c r="AJ333" s="5" t="str">
        <f>INDEX(RatingLookup!$C$2:$C$11,MATCH(A333,RatingLookup!$A$2:$A$11,0))</f>
        <v>Investment Grade</v>
      </c>
    </row>
    <row r="334" spans="1:36" x14ac:dyDescent="0.3">
      <c r="A334" s="3" t="s">
        <v>36</v>
      </c>
      <c r="B334" s="3" t="s">
        <v>461</v>
      </c>
      <c r="C334" s="3" t="s">
        <v>462</v>
      </c>
      <c r="D334" s="3" t="s">
        <v>39</v>
      </c>
      <c r="E334" s="3" t="s">
        <v>464</v>
      </c>
      <c r="F334" s="3" t="s">
        <v>79</v>
      </c>
      <c r="G334" s="3">
        <v>0.879899655</v>
      </c>
      <c r="H334" s="3">
        <v>0.53088742600000005</v>
      </c>
      <c r="I334" s="3">
        <v>1.6306052000000001E-2</v>
      </c>
      <c r="J334" s="3">
        <v>58.257944309999999</v>
      </c>
      <c r="K334" s="3">
        <v>6.8419417999999996E-2</v>
      </c>
      <c r="L334" s="3">
        <v>9.5435254999999997E-2</v>
      </c>
      <c r="M334" s="3">
        <v>1</v>
      </c>
      <c r="N334" s="3">
        <v>0.124521271</v>
      </c>
      <c r="O334" s="3">
        <v>2.5486794E-2</v>
      </c>
      <c r="P334" s="3">
        <v>4.0534598999999998E-2</v>
      </c>
      <c r="Q334" s="3">
        <v>8.3449059000000006E-2</v>
      </c>
      <c r="R334" s="3">
        <v>0.37250819400000001</v>
      </c>
      <c r="S334" s="3">
        <v>0.61145569600000005</v>
      </c>
      <c r="T334" s="3">
        <v>2.2742078019999998</v>
      </c>
      <c r="U334" s="3">
        <v>0.69458260999999999</v>
      </c>
      <c r="V334" s="3">
        <v>0.275488069</v>
      </c>
      <c r="W334" s="3">
        <v>1</v>
      </c>
      <c r="X334" s="3">
        <v>2154</v>
      </c>
      <c r="Y334" s="3">
        <v>151</v>
      </c>
      <c r="Z334" s="3">
        <v>3.2742078019999998</v>
      </c>
      <c r="AA334" s="3">
        <v>9.5435254999999997E-2</v>
      </c>
      <c r="AB334" s="3">
        <v>3.22538758</v>
      </c>
      <c r="AC334" s="3">
        <v>2154</v>
      </c>
      <c r="AD334" s="3">
        <v>0.22295828600000001</v>
      </c>
      <c r="AE334" s="3">
        <v>4.2151767150000001</v>
      </c>
      <c r="AF334" s="4">
        <v>41716</v>
      </c>
      <c r="AG334" s="5">
        <f>YEAR(AF334)</f>
        <v>2014</v>
      </c>
      <c r="AH334" s="5" t="str">
        <f>"Q"&amp;ROUNDUP(MONTH(AF334)/3,0)</f>
        <v>Q1</v>
      </c>
      <c r="AI334" s="5">
        <f>INDEX(RatingLookup!$B$2:$B$11,MATCH(A334,RatingLookup!$A$2:$A$11,0))</f>
        <v>8</v>
      </c>
      <c r="AJ334" s="5" t="str">
        <f>INDEX(RatingLookup!$C$2:$C$11,MATCH(A334,RatingLookup!$A$2:$A$11,0))</f>
        <v>Investment Grade</v>
      </c>
    </row>
    <row r="335" spans="1:36" x14ac:dyDescent="0.3">
      <c r="A335" s="3" t="s">
        <v>49</v>
      </c>
      <c r="B335" s="3" t="s">
        <v>461</v>
      </c>
      <c r="C335" s="3" t="s">
        <v>462</v>
      </c>
      <c r="D335" s="3" t="s">
        <v>39</v>
      </c>
      <c r="E335" s="3" t="s">
        <v>204</v>
      </c>
      <c r="F335" s="3" t="s">
        <v>79</v>
      </c>
      <c r="G335" s="3">
        <v>1.018591772</v>
      </c>
      <c r="H335" s="3">
        <v>0.57041139200000002</v>
      </c>
      <c r="I335" s="3">
        <v>1.4636076E-2</v>
      </c>
      <c r="J335" s="3">
        <v>45.055625419999998</v>
      </c>
      <c r="K335" s="3">
        <v>7.0329882999999996E-2</v>
      </c>
      <c r="L335" s="3">
        <v>9.1902872999999996E-2</v>
      </c>
      <c r="M335" s="3">
        <v>1</v>
      </c>
      <c r="N335" s="3">
        <v>0.119860695</v>
      </c>
      <c r="O335" s="3">
        <v>2.5298396000000001E-2</v>
      </c>
      <c r="P335" s="3">
        <v>3.6247091000000002E-2</v>
      </c>
      <c r="Q335" s="3">
        <v>8.2877336999999995E-2</v>
      </c>
      <c r="R335" s="3">
        <v>0.359710478</v>
      </c>
      <c r="S335" s="3">
        <v>0.57319507599999997</v>
      </c>
      <c r="T335" s="3">
        <v>2.2759917920000001</v>
      </c>
      <c r="U335" s="3">
        <v>0.69474893000000004</v>
      </c>
      <c r="V335" s="3">
        <v>0.24210526299999999</v>
      </c>
      <c r="W335" s="3">
        <v>0.19152276300000001</v>
      </c>
      <c r="X335" s="3">
        <v>2.0446927370000001</v>
      </c>
      <c r="Y335" s="3">
        <v>0.92737430200000004</v>
      </c>
      <c r="Z335" s="3">
        <v>3.2759917920000001</v>
      </c>
      <c r="AA335" s="3">
        <v>9.1902872999999996E-2</v>
      </c>
      <c r="AB335" s="3">
        <v>11.227323350000001</v>
      </c>
      <c r="AC335" s="3">
        <v>10.67597765</v>
      </c>
      <c r="AD335" s="3">
        <v>0.18486988500000001</v>
      </c>
      <c r="AE335" s="3">
        <v>6.8751545119999999</v>
      </c>
      <c r="AF335" s="4">
        <v>42305</v>
      </c>
      <c r="AG335" s="5">
        <f>YEAR(AF335)</f>
        <v>2015</v>
      </c>
      <c r="AH335" s="5" t="str">
        <f>"Q"&amp;ROUNDUP(MONTH(AF335)/3,0)</f>
        <v>Q4</v>
      </c>
      <c r="AI335" s="5">
        <f>INDEX(RatingLookup!$B$2:$B$11,MATCH(A335,RatingLookup!$A$2:$A$11,0))</f>
        <v>9</v>
      </c>
      <c r="AJ335" s="5" t="str">
        <f>INDEX(RatingLookup!$C$2:$C$11,MATCH(A335,RatingLookup!$A$2:$A$11,0))</f>
        <v>Investment Grade</v>
      </c>
    </row>
    <row r="336" spans="1:36" x14ac:dyDescent="0.3">
      <c r="A336" s="3" t="s">
        <v>42</v>
      </c>
      <c r="B336" s="3" t="s">
        <v>461</v>
      </c>
      <c r="C336" s="3" t="s">
        <v>462</v>
      </c>
      <c r="D336" s="3" t="s">
        <v>60</v>
      </c>
      <c r="E336" s="3" t="s">
        <v>46</v>
      </c>
      <c r="F336" s="3" t="s">
        <v>79</v>
      </c>
      <c r="G336" s="3">
        <v>1.2161339419999999</v>
      </c>
      <c r="H336" s="3">
        <v>0.61149162899999998</v>
      </c>
      <c r="I336" s="3">
        <v>2.5875189999999999E-2</v>
      </c>
      <c r="J336" s="3">
        <v>54.03001012</v>
      </c>
      <c r="K336" s="3">
        <v>7.9914578E-2</v>
      </c>
      <c r="L336" s="3">
        <v>7.9914578E-2</v>
      </c>
      <c r="M336" s="3">
        <v>0.60245026400000001</v>
      </c>
      <c r="N336" s="3">
        <v>0.15994155299999999</v>
      </c>
      <c r="O336" s="3">
        <v>2.7336691E-2</v>
      </c>
      <c r="P336" s="3">
        <v>3.0409307E-2</v>
      </c>
      <c r="Q336" s="3">
        <v>0.101441004</v>
      </c>
      <c r="R336" s="3">
        <v>0.34207389700000002</v>
      </c>
      <c r="S336" s="3">
        <v>0.64724283400000004</v>
      </c>
      <c r="T336" s="3">
        <v>2.710800399</v>
      </c>
      <c r="U336" s="3">
        <v>0.73051635999999998</v>
      </c>
      <c r="V336" s="3">
        <v>0.375527426</v>
      </c>
      <c r="W336" s="3">
        <v>1</v>
      </c>
      <c r="X336" s="3">
        <v>2008</v>
      </c>
      <c r="Y336" s="3">
        <v>290</v>
      </c>
      <c r="Z336" s="3">
        <v>3.710800399</v>
      </c>
      <c r="AA336" s="3">
        <v>7.9914578E-2</v>
      </c>
      <c r="AB336" s="3">
        <v>2.860281224</v>
      </c>
      <c r="AC336" s="3">
        <v>2008</v>
      </c>
      <c r="AD336" s="3">
        <v>0.22569405400000001</v>
      </c>
      <c r="AE336" s="3">
        <v>4.5230179030000004</v>
      </c>
      <c r="AF336" s="4">
        <v>41075</v>
      </c>
      <c r="AG336" s="5">
        <f>YEAR(AF336)</f>
        <v>2012</v>
      </c>
      <c r="AH336" s="5" t="str">
        <f>"Q"&amp;ROUNDUP(MONTH(AF336)/3,0)</f>
        <v>Q2</v>
      </c>
      <c r="AI336" s="5">
        <f>INDEX(RatingLookup!$B$2:$B$11,MATCH(A336,RatingLookup!$A$2:$A$11,0))</f>
        <v>7</v>
      </c>
      <c r="AJ336" s="5" t="str">
        <f>INDEX(RatingLookup!$C$2:$C$11,MATCH(A336,RatingLookup!$A$2:$A$11,0))</f>
        <v>Investment Grade</v>
      </c>
    </row>
    <row r="337" spans="1:36" x14ac:dyDescent="0.3">
      <c r="A337" s="3" t="s">
        <v>42</v>
      </c>
      <c r="B337" s="3" t="s">
        <v>461</v>
      </c>
      <c r="C337" s="3" t="s">
        <v>462</v>
      </c>
      <c r="D337" s="3" t="s">
        <v>60</v>
      </c>
      <c r="E337" s="3" t="s">
        <v>465</v>
      </c>
      <c r="F337" s="3" t="s">
        <v>79</v>
      </c>
      <c r="G337" s="3">
        <v>1.1333606890000001</v>
      </c>
      <c r="H337" s="3">
        <v>0.681575708</v>
      </c>
      <c r="I337" s="3">
        <v>3.7751333999999998E-2</v>
      </c>
      <c r="J337" s="3">
        <v>52.260583250000003</v>
      </c>
      <c r="K337" s="3">
        <v>8.1655691000000002E-2</v>
      </c>
      <c r="L337" s="3">
        <v>0.103951082</v>
      </c>
      <c r="M337" s="3">
        <v>1</v>
      </c>
      <c r="N337" s="3">
        <v>0.13593603000000001</v>
      </c>
      <c r="O337" s="3">
        <v>2.7090290999999999E-2</v>
      </c>
      <c r="P337" s="3">
        <v>3.7326036999999999E-2</v>
      </c>
      <c r="Q337" s="3">
        <v>9.6326711999999995E-2</v>
      </c>
      <c r="R337" s="3">
        <v>0.33176242900000003</v>
      </c>
      <c r="S337" s="3">
        <v>0.53877344100000002</v>
      </c>
      <c r="T337" s="3">
        <v>2.555765176</v>
      </c>
      <c r="U337" s="3">
        <v>0.71876658000000004</v>
      </c>
      <c r="V337" s="3">
        <v>0.24524886900000001</v>
      </c>
      <c r="W337" s="3">
        <v>0.27879078699999998</v>
      </c>
      <c r="X337" s="3">
        <v>3.2458100559999998</v>
      </c>
      <c r="Y337" s="3">
        <v>0.77653631300000003</v>
      </c>
      <c r="Z337" s="3">
        <v>3.555765176</v>
      </c>
      <c r="AA337" s="3">
        <v>0.103951082</v>
      </c>
      <c r="AB337" s="3">
        <v>11.221399760000001</v>
      </c>
      <c r="AC337" s="3">
        <v>11.642458100000001</v>
      </c>
      <c r="AD337" s="3">
        <v>0.19604891799999999</v>
      </c>
      <c r="AE337" s="3">
        <v>5.1251158480000001</v>
      </c>
      <c r="AF337" s="4">
        <v>42668</v>
      </c>
      <c r="AG337" s="5">
        <f>YEAR(AF337)</f>
        <v>2016</v>
      </c>
      <c r="AH337" s="5" t="str">
        <f>"Q"&amp;ROUNDUP(MONTH(AF337)/3,0)</f>
        <v>Q4</v>
      </c>
      <c r="AI337" s="5">
        <f>INDEX(RatingLookup!$B$2:$B$11,MATCH(A337,RatingLookup!$A$2:$A$11,0))</f>
        <v>7</v>
      </c>
      <c r="AJ337" s="5" t="str">
        <f>INDEX(RatingLookup!$C$2:$C$11,MATCH(A337,RatingLookup!$A$2:$A$11,0))</f>
        <v>Investment Grade</v>
      </c>
    </row>
    <row r="338" spans="1:36" x14ac:dyDescent="0.3">
      <c r="A338" s="3" t="s">
        <v>42</v>
      </c>
      <c r="B338" s="3" t="s">
        <v>461</v>
      </c>
      <c r="C338" s="3" t="s">
        <v>462</v>
      </c>
      <c r="D338" s="3" t="s">
        <v>60</v>
      </c>
      <c r="E338" s="3" t="s">
        <v>466</v>
      </c>
      <c r="F338" s="3" t="s">
        <v>79</v>
      </c>
      <c r="G338" s="3">
        <v>1.053106936</v>
      </c>
      <c r="H338" s="3">
        <v>0.54515895999999997</v>
      </c>
      <c r="I338" s="3">
        <v>2.3482658999999999E-2</v>
      </c>
      <c r="J338" s="3">
        <v>55.470367420000002</v>
      </c>
      <c r="K338" s="3">
        <v>6.9389147999999998E-2</v>
      </c>
      <c r="L338" s="3">
        <v>0.109202594</v>
      </c>
      <c r="M338" s="3">
        <v>1</v>
      </c>
      <c r="N338" s="3">
        <v>0.145489705</v>
      </c>
      <c r="O338" s="3">
        <v>2.3159572999999999E-2</v>
      </c>
      <c r="P338" s="3">
        <v>4.0728013E-2</v>
      </c>
      <c r="Q338" s="3">
        <v>8.2734300999999996E-2</v>
      </c>
      <c r="R338" s="3">
        <v>0.33376361999999998</v>
      </c>
      <c r="S338" s="3">
        <v>0.59867883399999999</v>
      </c>
      <c r="T338" s="3">
        <v>2.5723586059999999</v>
      </c>
      <c r="U338" s="3">
        <v>0.72007289600000002</v>
      </c>
      <c r="V338" s="3">
        <v>0.29791666700000002</v>
      </c>
      <c r="W338" s="3">
        <v>1</v>
      </c>
      <c r="X338" s="3">
        <v>2209</v>
      </c>
      <c r="Y338" s="3">
        <v>173</v>
      </c>
      <c r="Z338" s="3">
        <v>3.5723586059999999</v>
      </c>
      <c r="AA338" s="3">
        <v>0.109202594</v>
      </c>
      <c r="AB338" s="3">
        <v>3.062851545</v>
      </c>
      <c r="AC338" s="3">
        <v>2209</v>
      </c>
      <c r="AD338" s="3">
        <v>0.25127971799999999</v>
      </c>
      <c r="AE338" s="3">
        <v>3.886792453</v>
      </c>
      <c r="AF338" s="4">
        <v>41313</v>
      </c>
      <c r="AG338" s="5">
        <f>YEAR(AF338)</f>
        <v>2013</v>
      </c>
      <c r="AH338" s="5" t="str">
        <f>"Q"&amp;ROUNDUP(MONTH(AF338)/3,0)</f>
        <v>Q1</v>
      </c>
      <c r="AI338" s="5">
        <f>INDEX(RatingLookup!$B$2:$B$11,MATCH(A338,RatingLookup!$A$2:$A$11,0))</f>
        <v>7</v>
      </c>
      <c r="AJ338" s="5" t="str">
        <f>INDEX(RatingLookup!$C$2:$C$11,MATCH(A338,RatingLookup!$A$2:$A$11,0))</f>
        <v>Investment Grade</v>
      </c>
    </row>
    <row r="339" spans="1:36" x14ac:dyDescent="0.3">
      <c r="A339" s="3" t="s">
        <v>42</v>
      </c>
      <c r="B339" s="3" t="s">
        <v>467</v>
      </c>
      <c r="C339" s="3" t="s">
        <v>468</v>
      </c>
      <c r="D339" s="3" t="s">
        <v>39</v>
      </c>
      <c r="E339" s="3" t="s">
        <v>150</v>
      </c>
      <c r="F339" s="3" t="s">
        <v>53</v>
      </c>
      <c r="G339" s="3">
        <v>1.322288398</v>
      </c>
      <c r="H339" s="3">
        <v>1.0179120939999999</v>
      </c>
      <c r="I339" s="3">
        <v>0.108809172</v>
      </c>
      <c r="J339" s="3">
        <v>81.810689629999999</v>
      </c>
      <c r="K339" s="3">
        <v>0.184847283</v>
      </c>
      <c r="L339" s="3">
        <v>0.240420944</v>
      </c>
      <c r="M339" s="3">
        <v>1</v>
      </c>
      <c r="N339" s="3">
        <v>0.264875103</v>
      </c>
      <c r="O339" s="3">
        <v>4.8261133999999997E-2</v>
      </c>
      <c r="P339" s="3">
        <v>6.7124434999999996E-2</v>
      </c>
      <c r="Q339" s="3">
        <v>9.4044961999999996E-2</v>
      </c>
      <c r="R339" s="3">
        <v>0.26108652300000001</v>
      </c>
      <c r="S339" s="3">
        <v>0.29085477599999998</v>
      </c>
      <c r="T339" s="3">
        <v>0.948668701</v>
      </c>
      <c r="U339" s="3">
        <v>0.486829136</v>
      </c>
      <c r="V339" s="3">
        <v>0.164640495</v>
      </c>
      <c r="W339" s="3">
        <v>1</v>
      </c>
      <c r="X339" s="3">
        <v>6.7208750510000002</v>
      </c>
      <c r="Y339" s="3">
        <v>0.48043334100000001</v>
      </c>
      <c r="Z339" s="3">
        <v>1.9486687009999999</v>
      </c>
      <c r="AA339" s="3">
        <v>0.240420944</v>
      </c>
      <c r="AB339" s="3">
        <v>6.3708338309999997</v>
      </c>
      <c r="AC339" s="3">
        <v>6.7208750510000002</v>
      </c>
      <c r="AD339" s="3">
        <v>0.40203127300000002</v>
      </c>
      <c r="AE339" s="3">
        <v>0</v>
      </c>
      <c r="AF339" s="4">
        <v>41766</v>
      </c>
      <c r="AG339" s="5">
        <f>YEAR(AF339)</f>
        <v>2014</v>
      </c>
      <c r="AH339" s="5" t="str">
        <f>"Q"&amp;ROUNDUP(MONTH(AF339)/3,0)</f>
        <v>Q2</v>
      </c>
      <c r="AI339" s="5">
        <f>INDEX(RatingLookup!$B$2:$B$11,MATCH(A339,RatingLookup!$A$2:$A$11,0))</f>
        <v>7</v>
      </c>
      <c r="AJ339" s="5" t="str">
        <f>INDEX(RatingLookup!$C$2:$C$11,MATCH(A339,RatingLookup!$A$2:$A$11,0))</f>
        <v>Investment Grade</v>
      </c>
    </row>
    <row r="340" spans="1:36" x14ac:dyDescent="0.3">
      <c r="A340" s="3" t="s">
        <v>109</v>
      </c>
      <c r="B340" s="3" t="s">
        <v>467</v>
      </c>
      <c r="C340" s="3" t="s">
        <v>468</v>
      </c>
      <c r="D340" s="3" t="s">
        <v>60</v>
      </c>
      <c r="E340" s="3" t="s">
        <v>469</v>
      </c>
      <c r="F340" s="3" t="s">
        <v>53</v>
      </c>
      <c r="G340" s="3">
        <v>1.4364707290000001</v>
      </c>
      <c r="H340" s="3">
        <v>1.178162164</v>
      </c>
      <c r="I340" s="3">
        <v>0.59311161700000004</v>
      </c>
      <c r="J340" s="3">
        <v>54.324619689999999</v>
      </c>
      <c r="K340" s="3">
        <v>0.15243484099999999</v>
      </c>
      <c r="L340" s="3">
        <v>0.221472908</v>
      </c>
      <c r="M340" s="3">
        <v>1</v>
      </c>
      <c r="N340" s="3">
        <v>0.27444267300000003</v>
      </c>
      <c r="O340" s="3">
        <v>3.9637033000000002E-2</v>
      </c>
      <c r="P340" s="3">
        <v>6.1723712999999999E-2</v>
      </c>
      <c r="Q340" s="3">
        <v>7.6277434000000005E-2</v>
      </c>
      <c r="R340" s="3">
        <v>0.26002607500000002</v>
      </c>
      <c r="S340" s="3">
        <v>0.29191588800000001</v>
      </c>
      <c r="T340" s="3">
        <v>0.92439816600000002</v>
      </c>
      <c r="U340" s="3">
        <v>0.480357019</v>
      </c>
      <c r="V340" s="3">
        <v>0.21447322499999999</v>
      </c>
      <c r="W340" s="3">
        <v>1</v>
      </c>
      <c r="X340" s="3">
        <v>7.2780512579999996</v>
      </c>
      <c r="Y340" s="3">
        <v>2.1416707279999998</v>
      </c>
      <c r="Z340" s="3">
        <v>1.924398166</v>
      </c>
      <c r="AA340" s="3">
        <v>0.221472908</v>
      </c>
      <c r="AB340" s="3">
        <v>3.7720843510000002</v>
      </c>
      <c r="AC340" s="3">
        <v>7.2780512579999996</v>
      </c>
      <c r="AD340" s="3">
        <v>0.52572151499999997</v>
      </c>
      <c r="AE340" s="3">
        <v>0</v>
      </c>
      <c r="AF340" s="4">
        <v>42429</v>
      </c>
      <c r="AG340" s="5">
        <f>YEAR(AF340)</f>
        <v>2016</v>
      </c>
      <c r="AH340" s="5" t="str">
        <f>"Q"&amp;ROUNDUP(MONTH(AF340)/3,0)</f>
        <v>Q1</v>
      </c>
      <c r="AI340" s="5">
        <f>INDEX(RatingLookup!$B$2:$B$11,MATCH(A340,RatingLookup!$A$2:$A$11,0))</f>
        <v>5</v>
      </c>
      <c r="AJ340" s="5" t="str">
        <f>INDEX(RatingLookup!$C$2:$C$11,MATCH(A340,RatingLookup!$A$2:$A$11,0))</f>
        <v>Speculative Grade</v>
      </c>
    </row>
    <row r="341" spans="1:36" x14ac:dyDescent="0.3">
      <c r="A341" s="3" t="s">
        <v>42</v>
      </c>
      <c r="B341" s="3" t="s">
        <v>467</v>
      </c>
      <c r="C341" s="3" t="s">
        <v>468</v>
      </c>
      <c r="D341" s="3" t="s">
        <v>39</v>
      </c>
      <c r="E341" s="3" t="s">
        <v>269</v>
      </c>
      <c r="F341" s="3" t="s">
        <v>53</v>
      </c>
      <c r="G341" s="3">
        <v>1.3886617400000001</v>
      </c>
      <c r="H341" s="3">
        <v>0.96277259199999998</v>
      </c>
      <c r="I341" s="3">
        <v>0.102456503</v>
      </c>
      <c r="J341" s="3">
        <v>64.259793650000006</v>
      </c>
      <c r="K341" s="3">
        <v>2.6267560000000001E-3</v>
      </c>
      <c r="L341" s="3">
        <v>9.1152249999999994E-3</v>
      </c>
      <c r="M341" s="3">
        <v>1</v>
      </c>
      <c r="N341" s="3">
        <v>5.7522588999999999E-2</v>
      </c>
      <c r="O341" s="3">
        <v>6.3905400000000001E-4</v>
      </c>
      <c r="P341" s="3">
        <v>2.335129E-3</v>
      </c>
      <c r="Q341" s="3">
        <v>1.293427E-3</v>
      </c>
      <c r="R341" s="3">
        <v>0.24328646800000001</v>
      </c>
      <c r="S341" s="3">
        <v>0.26687319700000001</v>
      </c>
      <c r="T341" s="3">
        <v>1.023970826</v>
      </c>
      <c r="U341" s="3">
        <v>0.50592173200000001</v>
      </c>
      <c r="V341" s="3">
        <v>3.6195825560000001</v>
      </c>
      <c r="W341" s="3">
        <v>1</v>
      </c>
      <c r="X341" s="3">
        <v>7.0310190620000004</v>
      </c>
      <c r="Y341" s="3">
        <v>0.29530384399999998</v>
      </c>
      <c r="Z341" s="3">
        <v>2.0239708259999998</v>
      </c>
      <c r="AA341" s="3">
        <v>9.1152249999999994E-3</v>
      </c>
      <c r="AB341" s="3">
        <v>11.19874723</v>
      </c>
      <c r="AC341" s="3">
        <v>7.0310190620000004</v>
      </c>
      <c r="AD341" s="3">
        <v>0.55010233600000003</v>
      </c>
      <c r="AE341" s="3">
        <v>0</v>
      </c>
      <c r="AF341" s="4">
        <v>42131</v>
      </c>
      <c r="AG341" s="5">
        <f>YEAR(AF341)</f>
        <v>2015</v>
      </c>
      <c r="AH341" s="5" t="str">
        <f>"Q"&amp;ROUNDUP(MONTH(AF341)/3,0)</f>
        <v>Q2</v>
      </c>
      <c r="AI341" s="5">
        <f>INDEX(RatingLookup!$B$2:$B$11,MATCH(A341,RatingLookup!$A$2:$A$11,0))</f>
        <v>7</v>
      </c>
      <c r="AJ341" s="5" t="str">
        <f>INDEX(RatingLookup!$C$2:$C$11,MATCH(A341,RatingLookup!$A$2:$A$11,0))</f>
        <v>Investment Grade</v>
      </c>
    </row>
    <row r="342" spans="1:36" x14ac:dyDescent="0.3">
      <c r="A342" s="3" t="s">
        <v>42</v>
      </c>
      <c r="B342" s="3" t="s">
        <v>467</v>
      </c>
      <c r="C342" s="3" t="s">
        <v>468</v>
      </c>
      <c r="D342" s="3" t="s">
        <v>60</v>
      </c>
      <c r="E342" s="3" t="s">
        <v>470</v>
      </c>
      <c r="F342" s="3" t="s">
        <v>53</v>
      </c>
      <c r="G342" s="3">
        <v>1.432142665</v>
      </c>
      <c r="H342" s="3">
        <v>1.131803315</v>
      </c>
      <c r="I342" s="3">
        <v>0.30949839200000001</v>
      </c>
      <c r="J342" s="3">
        <v>76.526565180000006</v>
      </c>
      <c r="K342" s="3">
        <v>0.14726310500000001</v>
      </c>
      <c r="L342" s="3">
        <v>0.19825842099999999</v>
      </c>
      <c r="M342" s="3">
        <v>1</v>
      </c>
      <c r="N342" s="3">
        <v>0.22097472500000001</v>
      </c>
      <c r="O342" s="3">
        <v>3.5757945999999999E-2</v>
      </c>
      <c r="P342" s="3">
        <v>5.1344065000000001E-2</v>
      </c>
      <c r="Q342" s="3">
        <v>6.7633402999999995E-2</v>
      </c>
      <c r="R342" s="3">
        <v>0.24281673600000001</v>
      </c>
      <c r="S342" s="3">
        <v>0.27230305700000002</v>
      </c>
      <c r="T342" s="3">
        <v>0.89142302500000004</v>
      </c>
      <c r="U342" s="3">
        <v>0.47129754299999999</v>
      </c>
      <c r="V342" s="3">
        <v>0.209162075</v>
      </c>
      <c r="W342" s="3">
        <v>1</v>
      </c>
      <c r="X342" s="3">
        <v>5.4734604950000003</v>
      </c>
      <c r="Y342" s="3">
        <v>1.1405233029999999</v>
      </c>
      <c r="Z342" s="3">
        <v>1.8914230249999999</v>
      </c>
      <c r="AA342" s="3">
        <v>0.19825842099999999</v>
      </c>
      <c r="AB342" s="3">
        <v>8.6150019679999996</v>
      </c>
      <c r="AC342" s="3">
        <v>5.4734604950000003</v>
      </c>
      <c r="AD342" s="3">
        <v>0.38953716500000002</v>
      </c>
      <c r="AE342" s="3">
        <v>0</v>
      </c>
      <c r="AF342" s="4">
        <v>41346</v>
      </c>
      <c r="AG342" s="5">
        <f>YEAR(AF342)</f>
        <v>2013</v>
      </c>
      <c r="AH342" s="5" t="str">
        <f>"Q"&amp;ROUNDUP(MONTH(AF342)/3,0)</f>
        <v>Q1</v>
      </c>
      <c r="AI342" s="5">
        <f>INDEX(RatingLookup!$B$2:$B$11,MATCH(A342,RatingLookup!$A$2:$A$11,0))</f>
        <v>7</v>
      </c>
      <c r="AJ342" s="5" t="str">
        <f>INDEX(RatingLookup!$C$2:$C$11,MATCH(A342,RatingLookup!$A$2:$A$11,0))</f>
        <v>Investment Grade</v>
      </c>
    </row>
    <row r="343" spans="1:36" x14ac:dyDescent="0.3">
      <c r="A343" s="3" t="s">
        <v>109</v>
      </c>
      <c r="B343" s="3" t="s">
        <v>467</v>
      </c>
      <c r="C343" s="3" t="s">
        <v>468</v>
      </c>
      <c r="D343" s="3" t="s">
        <v>60</v>
      </c>
      <c r="E343" s="3" t="s">
        <v>471</v>
      </c>
      <c r="F343" s="3" t="s">
        <v>53</v>
      </c>
      <c r="G343" s="3">
        <v>1.8831946669999999</v>
      </c>
      <c r="H343" s="3">
        <v>1.6597688589999999</v>
      </c>
      <c r="I343" s="3">
        <v>1.1459498210000001</v>
      </c>
      <c r="J343" s="3">
        <v>50.602602449999999</v>
      </c>
      <c r="K343" s="3">
        <v>-0.403802673</v>
      </c>
      <c r="L343" s="3">
        <v>-0.42007024100000001</v>
      </c>
      <c r="M343" s="3">
        <v>1</v>
      </c>
      <c r="N343" s="3">
        <v>-0.33098370399999999</v>
      </c>
      <c r="O343" s="3">
        <v>-8.1256162000000007E-2</v>
      </c>
      <c r="P343" s="3">
        <v>-8.9483181999999994E-2</v>
      </c>
      <c r="Q343" s="3">
        <v>-0.161422381</v>
      </c>
      <c r="R343" s="3">
        <v>0.2012274</v>
      </c>
      <c r="S343" s="3">
        <v>0.228789197</v>
      </c>
      <c r="T343" s="3">
        <v>0.98658633799999995</v>
      </c>
      <c r="U343" s="3">
        <v>0.49662394199999998</v>
      </c>
      <c r="V343" s="3">
        <v>0.11287769</v>
      </c>
      <c r="W343" s="3">
        <v>1</v>
      </c>
      <c r="X343" s="3">
        <v>4.6407104109999997</v>
      </c>
      <c r="Y343" s="3">
        <v>3.0106405289999998</v>
      </c>
      <c r="Z343" s="3">
        <v>1.986586338</v>
      </c>
      <c r="AA343" s="3">
        <v>-0.42007024100000001</v>
      </c>
      <c r="AB343" s="3">
        <v>-34.784180970000001</v>
      </c>
      <c r="AC343" s="3">
        <v>4.6407104109999997</v>
      </c>
      <c r="AD343" s="3">
        <v>0.49011735099999998</v>
      </c>
      <c r="AE343" s="3">
        <v>0</v>
      </c>
      <c r="AF343" s="4">
        <v>42717</v>
      </c>
      <c r="AG343" s="5">
        <f>YEAR(AF343)</f>
        <v>2016</v>
      </c>
      <c r="AH343" s="5" t="str">
        <f>"Q"&amp;ROUNDUP(MONTH(AF343)/3,0)</f>
        <v>Q4</v>
      </c>
      <c r="AI343" s="5">
        <f>INDEX(RatingLookup!$B$2:$B$11,MATCH(A343,RatingLookup!$A$2:$A$11,0))</f>
        <v>5</v>
      </c>
      <c r="AJ343" s="5" t="str">
        <f>INDEX(RatingLookup!$C$2:$C$11,MATCH(A343,RatingLookup!$A$2:$A$11,0))</f>
        <v>Speculative Grade</v>
      </c>
    </row>
    <row r="344" spans="1:36" x14ac:dyDescent="0.3">
      <c r="A344" s="3" t="s">
        <v>92</v>
      </c>
      <c r="B344" s="3" t="s">
        <v>472</v>
      </c>
      <c r="C344" s="3" t="s">
        <v>473</v>
      </c>
      <c r="D344" s="3" t="s">
        <v>47</v>
      </c>
      <c r="E344" s="3" t="s">
        <v>474</v>
      </c>
      <c r="F344" s="3" t="s">
        <v>96</v>
      </c>
      <c r="G344" s="3">
        <v>2.1294949079999999</v>
      </c>
      <c r="H344" s="3">
        <v>0.94242361299999999</v>
      </c>
      <c r="I344" s="3">
        <v>0.86260652699999996</v>
      </c>
      <c r="J344" s="3">
        <v>0</v>
      </c>
      <c r="K344" s="3">
        <v>0.18614745099999999</v>
      </c>
      <c r="L344" s="3">
        <v>0.18779801900000001</v>
      </c>
      <c r="M344" s="3">
        <v>0.332375596</v>
      </c>
      <c r="N344" s="3">
        <v>0.18871500199999999</v>
      </c>
      <c r="O344" s="3">
        <v>0.135345364</v>
      </c>
      <c r="P344" s="3">
        <v>0.17368688900000001</v>
      </c>
      <c r="Q344" s="3">
        <v>0.28270355600000002</v>
      </c>
      <c r="R344" s="3">
        <v>0.72708685200000001</v>
      </c>
      <c r="S344" s="3">
        <v>1.8841280810000001</v>
      </c>
      <c r="T344" s="3">
        <v>1.088756847</v>
      </c>
      <c r="U344" s="3">
        <v>0.52124633300000001</v>
      </c>
      <c r="V344" s="3">
        <v>4.1666666999999998E-2</v>
      </c>
      <c r="W344" s="3">
        <v>0.53360238599999998</v>
      </c>
      <c r="X344" s="3">
        <v>2.868867925</v>
      </c>
      <c r="Y344" s="3">
        <v>4.2773584910000002</v>
      </c>
      <c r="Z344" s="3">
        <v>2.088756847</v>
      </c>
      <c r="AA344" s="3">
        <v>0.18779801900000001</v>
      </c>
      <c r="AB344" s="3">
        <v>7.1500466679999999</v>
      </c>
      <c r="AC344" s="3">
        <v>5.3764150940000004</v>
      </c>
      <c r="AD344" s="3">
        <v>0.34839222399999997</v>
      </c>
      <c r="AE344" s="3">
        <v>4.0478131949999998</v>
      </c>
      <c r="AF344" s="4">
        <v>42180</v>
      </c>
      <c r="AG344" s="5">
        <f>YEAR(AF344)</f>
        <v>2015</v>
      </c>
      <c r="AH344" s="5" t="str">
        <f>"Q"&amp;ROUNDUP(MONTH(AF344)/3,0)</f>
        <v>Q2</v>
      </c>
      <c r="AI344" s="5">
        <f>INDEX(RatingLookup!$B$2:$B$11,MATCH(A344,RatingLookup!$A$2:$A$11,0))</f>
        <v>6</v>
      </c>
      <c r="AJ344" s="5" t="str">
        <f>INDEX(RatingLookup!$C$2:$C$11,MATCH(A344,RatingLookup!$A$2:$A$11,0))</f>
        <v>Speculative Grade</v>
      </c>
    </row>
    <row r="345" spans="1:36" x14ac:dyDescent="0.3">
      <c r="A345" s="3" t="s">
        <v>92</v>
      </c>
      <c r="B345" s="3" t="s">
        <v>472</v>
      </c>
      <c r="C345" s="3" t="s">
        <v>473</v>
      </c>
      <c r="D345" s="3" t="s">
        <v>47</v>
      </c>
      <c r="E345" s="3" t="s">
        <v>475</v>
      </c>
      <c r="F345" s="3" t="s">
        <v>96</v>
      </c>
      <c r="G345" s="3">
        <v>2.2012804099999999</v>
      </c>
      <c r="H345" s="3">
        <v>0.90166453300000005</v>
      </c>
      <c r="I345" s="3">
        <v>0.58565941099999996</v>
      </c>
      <c r="J345" s="3">
        <v>0</v>
      </c>
      <c r="K345" s="3">
        <v>0.17903903199999999</v>
      </c>
      <c r="L345" s="3">
        <v>0.16112895299999999</v>
      </c>
      <c r="M345" s="3">
        <v>0.32207262800000003</v>
      </c>
      <c r="N345" s="3">
        <v>0.18515316200000001</v>
      </c>
      <c r="O345" s="3">
        <v>0.120076213</v>
      </c>
      <c r="P345" s="3">
        <v>0.128915901</v>
      </c>
      <c r="Q345" s="3">
        <v>0.235652739</v>
      </c>
      <c r="R345" s="3">
        <v>0.67067058800000001</v>
      </c>
      <c r="S345" s="3">
        <v>1.5342050410000001</v>
      </c>
      <c r="T345" s="3">
        <v>0.96252641800000005</v>
      </c>
      <c r="U345" s="3">
        <v>0.49045271899999998</v>
      </c>
      <c r="V345" s="3">
        <v>6.0176313000000002E-2</v>
      </c>
      <c r="W345" s="3">
        <v>0.22791858700000001</v>
      </c>
      <c r="X345" s="3">
        <v>1.109345794</v>
      </c>
      <c r="Y345" s="3">
        <v>3.2906542060000001</v>
      </c>
      <c r="Z345" s="3">
        <v>1.9625264179999999</v>
      </c>
      <c r="AA345" s="3">
        <v>0.16112895299999999</v>
      </c>
      <c r="AB345" s="3">
        <v>3.804532139</v>
      </c>
      <c r="AC345" s="3">
        <v>4.8672897199999996</v>
      </c>
      <c r="AD345" s="3">
        <v>0.32164031599999998</v>
      </c>
      <c r="AE345" s="3">
        <v>4.2041363460000003</v>
      </c>
      <c r="AF345" s="4">
        <v>42471</v>
      </c>
      <c r="AG345" s="5">
        <f>YEAR(AF345)</f>
        <v>2016</v>
      </c>
      <c r="AH345" s="5" t="str">
        <f>"Q"&amp;ROUNDUP(MONTH(AF345)/3,0)</f>
        <v>Q2</v>
      </c>
      <c r="AI345" s="5">
        <f>INDEX(RatingLookup!$B$2:$B$11,MATCH(A345,RatingLookup!$A$2:$A$11,0))</f>
        <v>6</v>
      </c>
      <c r="AJ345" s="5" t="str">
        <f>INDEX(RatingLookup!$C$2:$C$11,MATCH(A345,RatingLookup!$A$2:$A$11,0))</f>
        <v>Speculative Grade</v>
      </c>
    </row>
    <row r="346" spans="1:36" x14ac:dyDescent="0.3">
      <c r="A346" s="3" t="s">
        <v>92</v>
      </c>
      <c r="B346" s="3" t="s">
        <v>472</v>
      </c>
      <c r="C346" s="3" t="s">
        <v>473</v>
      </c>
      <c r="D346" s="3" t="s">
        <v>47</v>
      </c>
      <c r="E346" s="3" t="s">
        <v>476</v>
      </c>
      <c r="F346" s="3" t="s">
        <v>96</v>
      </c>
      <c r="G346" s="3">
        <v>2.1602424240000002</v>
      </c>
      <c r="H346" s="3">
        <v>0.75175757600000004</v>
      </c>
      <c r="I346" s="3">
        <v>0.69818181800000001</v>
      </c>
      <c r="J346" s="3">
        <v>0</v>
      </c>
      <c r="K346" s="3">
        <v>0.13115838199999999</v>
      </c>
      <c r="L346" s="3">
        <v>0.12983577600000001</v>
      </c>
      <c r="M346" s="3">
        <v>0.20357103500000001</v>
      </c>
      <c r="N346" s="3">
        <v>2.6011242E-2</v>
      </c>
      <c r="O346" s="3">
        <v>6.2245004999999999E-2</v>
      </c>
      <c r="P346" s="3">
        <v>7.8569999000000001E-2</v>
      </c>
      <c r="Q346" s="3">
        <v>0.13016845299999999</v>
      </c>
      <c r="R346" s="3">
        <v>0.47457893099999998</v>
      </c>
      <c r="S346" s="3">
        <v>1.1897456070000001</v>
      </c>
      <c r="T346" s="3">
        <v>1.0912273029999999</v>
      </c>
      <c r="U346" s="3">
        <v>0.52181190499999996</v>
      </c>
      <c r="V346" s="3">
        <v>6.7911710000000004E-3</v>
      </c>
      <c r="W346" s="3">
        <v>0.313086692</v>
      </c>
      <c r="X346" s="3">
        <v>0.55495742400000003</v>
      </c>
      <c r="Y346" s="3">
        <v>3.0351375159999998</v>
      </c>
      <c r="Z346" s="3">
        <v>2.0912273030000001</v>
      </c>
      <c r="AA346" s="3">
        <v>0.12983577600000001</v>
      </c>
      <c r="AB346" s="3">
        <v>9.7869352450000004</v>
      </c>
      <c r="AC346" s="3">
        <v>1.772535969</v>
      </c>
      <c r="AD346" s="3">
        <v>0.199603218</v>
      </c>
      <c r="AE346" s="3">
        <v>3.4165484629999998</v>
      </c>
      <c r="AF346" s="4">
        <v>41670</v>
      </c>
      <c r="AG346" s="5">
        <f>YEAR(AF346)</f>
        <v>2014</v>
      </c>
      <c r="AH346" s="5" t="str">
        <f>"Q"&amp;ROUNDUP(MONTH(AF346)/3,0)</f>
        <v>Q1</v>
      </c>
      <c r="AI346" s="5">
        <f>INDEX(RatingLookup!$B$2:$B$11,MATCH(A346,RatingLookup!$A$2:$A$11,0))</f>
        <v>6</v>
      </c>
      <c r="AJ346" s="5" t="str">
        <f>INDEX(RatingLookup!$C$2:$C$11,MATCH(A346,RatingLookup!$A$2:$A$11,0))</f>
        <v>Speculative Grade</v>
      </c>
    </row>
    <row r="347" spans="1:36" x14ac:dyDescent="0.3">
      <c r="A347" s="3" t="s">
        <v>42</v>
      </c>
      <c r="B347" s="3" t="s">
        <v>477</v>
      </c>
      <c r="C347" s="3" t="s">
        <v>478</v>
      </c>
      <c r="D347" s="3" t="s">
        <v>60</v>
      </c>
      <c r="E347" s="3" t="s">
        <v>479</v>
      </c>
      <c r="F347" s="3" t="s">
        <v>79</v>
      </c>
      <c r="G347" s="3">
        <v>0.68678556199999996</v>
      </c>
      <c r="H347" s="3">
        <v>0.43195177499999998</v>
      </c>
      <c r="I347" s="3">
        <v>0</v>
      </c>
      <c r="J347" s="3">
        <v>102.65406470000001</v>
      </c>
      <c r="K347" s="3">
        <v>0.14012361800000001</v>
      </c>
      <c r="L347" s="3">
        <v>2.7281123000000001E-2</v>
      </c>
      <c r="M347" s="3">
        <v>0.31366624500000001</v>
      </c>
      <c r="N347" s="3">
        <v>5.0683300000000001E-2</v>
      </c>
      <c r="O347" s="3">
        <v>3.5068307E-2</v>
      </c>
      <c r="P347" s="3">
        <v>1.6597221999999998E-2</v>
      </c>
      <c r="Q347" s="3">
        <v>6.4985775999999995E-2</v>
      </c>
      <c r="R347" s="3">
        <v>0.25026692299999997</v>
      </c>
      <c r="S347" s="3">
        <v>1.1530732640000001</v>
      </c>
      <c r="T347" s="3">
        <v>0.82910064500000002</v>
      </c>
      <c r="U347" s="3">
        <v>0.447407993</v>
      </c>
      <c r="V347" s="3">
        <v>-4.1362847220000001</v>
      </c>
      <c r="W347" s="3">
        <v>0.26379641599999998</v>
      </c>
      <c r="X347" s="3">
        <v>0.12575661899999999</v>
      </c>
      <c r="Y347" s="3">
        <v>0.20068988800000001</v>
      </c>
      <c r="Z347" s="3">
        <v>1.853119878</v>
      </c>
      <c r="AA347" s="3">
        <v>5.0683300000000001E-2</v>
      </c>
      <c r="AB347" s="3">
        <v>820.46617509999999</v>
      </c>
      <c r="AC347" s="3">
        <v>0.47671845099999999</v>
      </c>
      <c r="AD347" s="3">
        <v>0.29849188599999998</v>
      </c>
      <c r="AE347" s="3">
        <v>1.5047163699999999</v>
      </c>
      <c r="AF347" s="4">
        <v>42531</v>
      </c>
      <c r="AG347" s="5">
        <f>YEAR(AF347)</f>
        <v>2016</v>
      </c>
      <c r="AH347" s="5" t="str">
        <f>"Q"&amp;ROUNDUP(MONTH(AF347)/3,0)</f>
        <v>Q2</v>
      </c>
      <c r="AI347" s="5">
        <f>INDEX(RatingLookup!$B$2:$B$11,MATCH(A347,RatingLookup!$A$2:$A$11,0))</f>
        <v>7</v>
      </c>
      <c r="AJ347" s="5" t="str">
        <f>INDEX(RatingLookup!$C$2:$C$11,MATCH(A347,RatingLookup!$A$2:$A$11,0))</f>
        <v>Investment Grade</v>
      </c>
    </row>
    <row r="348" spans="1:36" x14ac:dyDescent="0.3">
      <c r="A348" s="3" t="s">
        <v>92</v>
      </c>
      <c r="B348" s="3" t="s">
        <v>480</v>
      </c>
      <c r="C348" s="3" t="s">
        <v>481</v>
      </c>
      <c r="D348" s="3" t="s">
        <v>39</v>
      </c>
      <c r="E348" s="3" t="s">
        <v>482</v>
      </c>
      <c r="F348" s="3" t="s">
        <v>219</v>
      </c>
      <c r="G348" s="3">
        <v>3.587601936</v>
      </c>
      <c r="H348" s="3">
        <v>1.722539646</v>
      </c>
      <c r="I348" s="3">
        <v>0.20155403299999999</v>
      </c>
      <c r="J348" s="3">
        <v>41.557200459999997</v>
      </c>
      <c r="K348" s="3">
        <v>5.6290479999999997E-2</v>
      </c>
      <c r="L348" s="3">
        <v>7.6187481000000001E-2</v>
      </c>
      <c r="M348" s="3">
        <v>0.16884638799999999</v>
      </c>
      <c r="N348" s="3">
        <v>0.10112866700000001</v>
      </c>
      <c r="O348" s="3">
        <v>3.7221925000000003E-2</v>
      </c>
      <c r="P348" s="3">
        <v>5.3857357000000002E-2</v>
      </c>
      <c r="Q348" s="3">
        <v>7.8899027999999996E-2</v>
      </c>
      <c r="R348" s="3">
        <v>0.66124725699999998</v>
      </c>
      <c r="S348" s="3">
        <v>1.1980335040000001</v>
      </c>
      <c r="T348" s="3">
        <v>1.119692277</v>
      </c>
      <c r="U348" s="3">
        <v>0.52823340900000004</v>
      </c>
      <c r="V348" s="3">
        <v>0.26819748399999999</v>
      </c>
      <c r="W348" s="3">
        <v>0.49754815499999999</v>
      </c>
      <c r="X348" s="3">
        <v>3.3298241050000001</v>
      </c>
      <c r="Y348" s="3">
        <v>2.5400311929999999</v>
      </c>
      <c r="Z348" s="3">
        <v>2.119692277</v>
      </c>
      <c r="AA348" s="3">
        <v>7.6187481000000001E-2</v>
      </c>
      <c r="AB348" s="3">
        <v>15.22295725</v>
      </c>
      <c r="AC348" s="3">
        <v>6.6924659909999997</v>
      </c>
      <c r="AD348" s="3">
        <v>0.14332808599999999</v>
      </c>
      <c r="AE348" s="3">
        <v>17.29337838</v>
      </c>
      <c r="AF348" s="4">
        <v>41667</v>
      </c>
      <c r="AG348" s="5">
        <f>YEAR(AF348)</f>
        <v>2014</v>
      </c>
      <c r="AH348" s="5" t="str">
        <f>"Q"&amp;ROUNDUP(MONTH(AF348)/3,0)</f>
        <v>Q1</v>
      </c>
      <c r="AI348" s="5">
        <f>INDEX(RatingLookup!$B$2:$B$11,MATCH(A348,RatingLookup!$A$2:$A$11,0))</f>
        <v>6</v>
      </c>
      <c r="AJ348" s="5" t="str">
        <f>INDEX(RatingLookup!$C$2:$C$11,MATCH(A348,RatingLookup!$A$2:$A$11,0))</f>
        <v>Speculative Grade</v>
      </c>
    </row>
    <row r="349" spans="1:36" x14ac:dyDescent="0.3">
      <c r="A349" s="3" t="s">
        <v>42</v>
      </c>
      <c r="B349" s="3" t="s">
        <v>480</v>
      </c>
      <c r="C349" s="3" t="s">
        <v>481</v>
      </c>
      <c r="D349" s="3" t="s">
        <v>39</v>
      </c>
      <c r="E349" s="3" t="s">
        <v>483</v>
      </c>
      <c r="F349" s="3" t="s">
        <v>219</v>
      </c>
      <c r="G349" s="3">
        <v>3.2492688730000001</v>
      </c>
      <c r="H349" s="3">
        <v>1.952083459</v>
      </c>
      <c r="I349" s="3">
        <v>0.27392297500000001</v>
      </c>
      <c r="J349" s="3">
        <v>51.949935949999997</v>
      </c>
      <c r="K349" s="3">
        <v>5.2604320000000003E-2</v>
      </c>
      <c r="L349" s="3">
        <v>8.424007E-2</v>
      </c>
      <c r="M349" s="3">
        <v>0.176595217</v>
      </c>
      <c r="N349" s="3">
        <v>0.10644970099999999</v>
      </c>
      <c r="O349" s="3">
        <v>2.084577E-2</v>
      </c>
      <c r="P349" s="3">
        <v>3.5255663E-2</v>
      </c>
      <c r="Q349" s="3">
        <v>3.5760759000000003E-2</v>
      </c>
      <c r="R349" s="3">
        <v>0.396274874</v>
      </c>
      <c r="S349" s="3">
        <v>0.86927738300000001</v>
      </c>
      <c r="T349" s="3">
        <v>0.71549235300000003</v>
      </c>
      <c r="U349" s="3">
        <v>0.41707696999999999</v>
      </c>
      <c r="V349" s="3">
        <v>0.38063954300000002</v>
      </c>
      <c r="W349" s="3">
        <v>0.39164644799999998</v>
      </c>
      <c r="X349" s="3">
        <v>2.6291026139999998</v>
      </c>
      <c r="Y349" s="3">
        <v>6.2139691140000002</v>
      </c>
      <c r="Z349" s="3">
        <v>1.7154923529999999</v>
      </c>
      <c r="AA349" s="3">
        <v>8.424007E-2</v>
      </c>
      <c r="AB349" s="3">
        <v>14.14048603</v>
      </c>
      <c r="AC349" s="3">
        <v>6.712948957</v>
      </c>
      <c r="AD349" s="3">
        <v>0.12902783000000001</v>
      </c>
      <c r="AE349" s="3">
        <v>12.029035540000001</v>
      </c>
      <c r="AF349" s="4">
        <v>42055</v>
      </c>
      <c r="AG349" s="5">
        <f>YEAR(AF349)</f>
        <v>2015</v>
      </c>
      <c r="AH349" s="5" t="str">
        <f>"Q"&amp;ROUNDUP(MONTH(AF349)/3,0)</f>
        <v>Q1</v>
      </c>
      <c r="AI349" s="5">
        <f>INDEX(RatingLookup!$B$2:$B$11,MATCH(A349,RatingLookup!$A$2:$A$11,0))</f>
        <v>7</v>
      </c>
      <c r="AJ349" s="5" t="str">
        <f>INDEX(RatingLookup!$C$2:$C$11,MATCH(A349,RatingLookup!$A$2:$A$11,0))</f>
        <v>Investment Grade</v>
      </c>
    </row>
    <row r="350" spans="1:36" x14ac:dyDescent="0.3">
      <c r="A350" s="3" t="s">
        <v>42</v>
      </c>
      <c r="B350" s="3" t="s">
        <v>480</v>
      </c>
      <c r="C350" s="3" t="s">
        <v>481</v>
      </c>
      <c r="D350" s="3" t="s">
        <v>39</v>
      </c>
      <c r="E350" s="3" t="s">
        <v>484</v>
      </c>
      <c r="F350" s="3" t="s">
        <v>219</v>
      </c>
      <c r="G350" s="3">
        <v>2.9471528440000001</v>
      </c>
      <c r="H350" s="3">
        <v>1.5777347479999999</v>
      </c>
      <c r="I350" s="3">
        <v>0.45864141600000002</v>
      </c>
      <c r="J350" s="3">
        <v>42.374120300000001</v>
      </c>
      <c r="K350" s="3">
        <v>8.1589571999999999E-2</v>
      </c>
      <c r="L350" s="3">
        <v>0.11690713799999999</v>
      </c>
      <c r="M350" s="3">
        <v>0.203913752</v>
      </c>
      <c r="N350" s="3">
        <v>0.135444701</v>
      </c>
      <c r="O350" s="3">
        <v>4.1482779999999997E-2</v>
      </c>
      <c r="P350" s="3">
        <v>6.2749022000000002E-2</v>
      </c>
      <c r="Q350" s="3">
        <v>7.1178650999999996E-2</v>
      </c>
      <c r="R350" s="3">
        <v>0.50843238400000001</v>
      </c>
      <c r="S350" s="3">
        <v>1.1215367549999999</v>
      </c>
      <c r="T350" s="3">
        <v>0.71586016699999999</v>
      </c>
      <c r="U350" s="3">
        <v>0.417201926</v>
      </c>
      <c r="V350" s="3">
        <v>0.30174649199999998</v>
      </c>
      <c r="W350" s="3">
        <v>0.44476760900000001</v>
      </c>
      <c r="X350" s="3">
        <v>3.8178673060000001</v>
      </c>
      <c r="Y350" s="3">
        <v>2.5222255499999999</v>
      </c>
      <c r="Z350" s="3">
        <v>1.715860167</v>
      </c>
      <c r="AA350" s="3">
        <v>0.11690713799999999</v>
      </c>
      <c r="AB350" s="3">
        <v>13.175535760000001</v>
      </c>
      <c r="AC350" s="3">
        <v>8.5839598620000004</v>
      </c>
      <c r="AD350" s="3">
        <v>0.16192673099999999</v>
      </c>
      <c r="AE350" s="3">
        <v>17.106831069999998</v>
      </c>
      <c r="AF350" s="4">
        <v>42359</v>
      </c>
      <c r="AG350" s="5">
        <f>YEAR(AF350)</f>
        <v>2015</v>
      </c>
      <c r="AH350" s="5" t="str">
        <f>"Q"&amp;ROUNDUP(MONTH(AF350)/3,0)</f>
        <v>Q4</v>
      </c>
      <c r="AI350" s="5">
        <f>INDEX(RatingLookup!$B$2:$B$11,MATCH(A350,RatingLookup!$A$2:$A$11,0))</f>
        <v>7</v>
      </c>
      <c r="AJ350" s="5" t="str">
        <f>INDEX(RatingLookup!$C$2:$C$11,MATCH(A350,RatingLookup!$A$2:$A$11,0))</f>
        <v>Investment Grade</v>
      </c>
    </row>
    <row r="351" spans="1:36" x14ac:dyDescent="0.3">
      <c r="A351" s="3" t="s">
        <v>92</v>
      </c>
      <c r="B351" s="3" t="s">
        <v>485</v>
      </c>
      <c r="C351" s="3" t="s">
        <v>486</v>
      </c>
      <c r="D351" s="3" t="s">
        <v>44</v>
      </c>
      <c r="E351" s="3" t="s">
        <v>46</v>
      </c>
      <c r="F351" s="3" t="s">
        <v>59</v>
      </c>
      <c r="G351" s="3">
        <v>1.4511214560000001</v>
      </c>
      <c r="H351" s="3">
        <v>0.71011426200000005</v>
      </c>
      <c r="I351" s="3">
        <v>0.70080406299999998</v>
      </c>
      <c r="J351" s="3">
        <v>0</v>
      </c>
      <c r="K351" s="3">
        <v>-7.7005490999999995E-2</v>
      </c>
      <c r="L351" s="3">
        <v>-6.3211463999999995E-2</v>
      </c>
      <c r="M351" s="3">
        <v>0.23891790500000001</v>
      </c>
      <c r="N351" s="3">
        <v>-3.9507164999999997E-2</v>
      </c>
      <c r="O351" s="3">
        <v>-7.8799507000000005E-2</v>
      </c>
      <c r="P351" s="3">
        <v>-9.5662748000000006E-2</v>
      </c>
      <c r="Q351" s="3">
        <v>-7.8799507000000005E-2</v>
      </c>
      <c r="R351" s="3">
        <v>1.023297245</v>
      </c>
      <c r="S351" s="3">
        <v>4.7651563499999998</v>
      </c>
      <c r="T351" s="3">
        <v>0.89831437599999997</v>
      </c>
      <c r="U351" s="3">
        <v>0.89831437599999997</v>
      </c>
      <c r="V351" s="3">
        <v>0.103813559</v>
      </c>
      <c r="W351" s="3">
        <v>0.368200837</v>
      </c>
      <c r="X351" s="3">
        <v>0.25287356300000002</v>
      </c>
      <c r="Y351" s="3">
        <v>4.8218390800000002</v>
      </c>
      <c r="Z351" s="3">
        <v>1</v>
      </c>
      <c r="AA351" s="3">
        <v>-6.3211463999999995E-2</v>
      </c>
      <c r="AB351" s="3">
        <v>-191.04624999999999</v>
      </c>
      <c r="AC351" s="3">
        <v>0.68678160899999996</v>
      </c>
      <c r="AD351" s="3">
        <v>3.2007500000000001E-2</v>
      </c>
      <c r="AE351" s="3">
        <v>7.3805194810000003</v>
      </c>
      <c r="AF351" s="4">
        <v>41075</v>
      </c>
      <c r="AG351" s="5">
        <f>YEAR(AF351)</f>
        <v>2012</v>
      </c>
      <c r="AH351" s="5" t="str">
        <f>"Q"&amp;ROUNDUP(MONTH(AF351)/3,0)</f>
        <v>Q2</v>
      </c>
      <c r="AI351" s="5">
        <f>INDEX(RatingLookup!$B$2:$B$11,MATCH(A351,RatingLookup!$A$2:$A$11,0))</f>
        <v>6</v>
      </c>
      <c r="AJ351" s="5" t="str">
        <f>INDEX(RatingLookup!$C$2:$C$11,MATCH(A351,RatingLookup!$A$2:$A$11,0))</f>
        <v>Speculative Grade</v>
      </c>
    </row>
    <row r="352" spans="1:36" x14ac:dyDescent="0.3">
      <c r="A352" s="3" t="s">
        <v>92</v>
      </c>
      <c r="B352" s="3" t="s">
        <v>485</v>
      </c>
      <c r="C352" s="3" t="s">
        <v>486</v>
      </c>
      <c r="D352" s="3" t="s">
        <v>60</v>
      </c>
      <c r="E352" s="3" t="s">
        <v>487</v>
      </c>
      <c r="F352" s="3" t="s">
        <v>59</v>
      </c>
      <c r="G352" s="3">
        <v>1.3280127690000001</v>
      </c>
      <c r="H352" s="3">
        <v>0.68475658399999995</v>
      </c>
      <c r="I352" s="3">
        <v>0.58579409400000004</v>
      </c>
      <c r="J352" s="3">
        <v>0</v>
      </c>
      <c r="K352" s="3">
        <v>4.9705964999999998E-2</v>
      </c>
      <c r="L352" s="3">
        <v>9.6471577000000003E-2</v>
      </c>
      <c r="M352" s="3">
        <v>0.31545785500000001</v>
      </c>
      <c r="N352" s="3">
        <v>0.12797535700000001</v>
      </c>
      <c r="O352" s="3">
        <v>6.25E-2</v>
      </c>
      <c r="P352" s="3">
        <v>0.217076244</v>
      </c>
      <c r="Q352" s="3">
        <v>-2.6296296300000002</v>
      </c>
      <c r="R352" s="3">
        <v>1.257394366</v>
      </c>
      <c r="S352" s="3">
        <v>6.9542356380000001</v>
      </c>
      <c r="T352" s="3">
        <v>-43.074074070000002</v>
      </c>
      <c r="U352" s="3">
        <v>1.0237676060000001</v>
      </c>
      <c r="V352" s="3">
        <v>0.425253991</v>
      </c>
      <c r="W352" s="3">
        <v>0.77396280399999995</v>
      </c>
      <c r="X352" s="3">
        <v>1.6005917160000001</v>
      </c>
      <c r="Y352" s="3">
        <v>5.076923077</v>
      </c>
      <c r="Z352" s="3">
        <v>-42.074074070000002</v>
      </c>
      <c r="AA352" s="3">
        <v>9.6471577000000003E-2</v>
      </c>
      <c r="AB352" s="3">
        <v>10.19195876</v>
      </c>
      <c r="AC352" s="3">
        <v>2.0680473369999999</v>
      </c>
      <c r="AD352" s="3">
        <v>9.7871744999999996E-2</v>
      </c>
      <c r="AE352" s="3">
        <v>6.5273698260000002</v>
      </c>
      <c r="AF352" s="4">
        <v>42439</v>
      </c>
      <c r="AG352" s="5">
        <f>YEAR(AF352)</f>
        <v>2016</v>
      </c>
      <c r="AH352" s="5" t="str">
        <f>"Q"&amp;ROUNDUP(MONTH(AF352)/3,0)</f>
        <v>Q1</v>
      </c>
      <c r="AI352" s="5">
        <f>INDEX(RatingLookup!$B$2:$B$11,MATCH(A352,RatingLookup!$A$2:$A$11,0))</f>
        <v>6</v>
      </c>
      <c r="AJ352" s="5" t="str">
        <f>INDEX(RatingLookup!$C$2:$C$11,MATCH(A352,RatingLookup!$A$2:$A$11,0))</f>
        <v>Speculative Grade</v>
      </c>
    </row>
    <row r="353" spans="1:36" x14ac:dyDescent="0.3">
      <c r="A353" s="3" t="s">
        <v>92</v>
      </c>
      <c r="B353" s="3" t="s">
        <v>485</v>
      </c>
      <c r="C353" s="3" t="s">
        <v>486</v>
      </c>
      <c r="D353" s="3" t="s">
        <v>44</v>
      </c>
      <c r="E353" s="3" t="s">
        <v>488</v>
      </c>
      <c r="F353" s="3" t="s">
        <v>59</v>
      </c>
      <c r="G353" s="3">
        <v>1.7471732250000001</v>
      </c>
      <c r="H353" s="3">
        <v>0.77476255100000002</v>
      </c>
      <c r="I353" s="3">
        <v>0.62550881999999997</v>
      </c>
      <c r="J353" s="3">
        <v>1.028048351</v>
      </c>
      <c r="K353" s="3">
        <v>0.100457693</v>
      </c>
      <c r="L353" s="3">
        <v>6.7480342999999998E-2</v>
      </c>
      <c r="M353" s="3">
        <v>0.28013144000000001</v>
      </c>
      <c r="N353" s="3">
        <v>9.2477408999999997E-2</v>
      </c>
      <c r="O353" s="3">
        <v>0.11943630500000001</v>
      </c>
      <c r="P353" s="3">
        <v>0.11602098499999999</v>
      </c>
      <c r="Q353" s="3">
        <v>0.92640692599999996</v>
      </c>
      <c r="R353" s="3">
        <v>1.1889214459999999</v>
      </c>
      <c r="S353" s="3">
        <v>7.4811237930000001</v>
      </c>
      <c r="T353" s="3">
        <v>6.756493506</v>
      </c>
      <c r="U353" s="3">
        <v>0.87107576399999997</v>
      </c>
      <c r="V353" s="3">
        <v>-0.57913043500000005</v>
      </c>
      <c r="W353" s="3">
        <v>0.78737541499999997</v>
      </c>
      <c r="X353" s="3">
        <v>1.3581661890000001</v>
      </c>
      <c r="Y353" s="3">
        <v>4.8395415469999996</v>
      </c>
      <c r="Z353" s="3">
        <v>7.756493506</v>
      </c>
      <c r="AA353" s="3">
        <v>6.7480342999999998E-2</v>
      </c>
      <c r="AB353" s="3">
        <v>10.114837700000001</v>
      </c>
      <c r="AC353" s="3">
        <v>1.724928367</v>
      </c>
      <c r="AD353" s="3">
        <v>7.0648984999999997E-2</v>
      </c>
      <c r="AE353" s="3">
        <v>6.4568421049999998</v>
      </c>
      <c r="AF353" s="4">
        <v>42053</v>
      </c>
      <c r="AG353" s="5">
        <f>YEAR(AF353)</f>
        <v>2015</v>
      </c>
      <c r="AH353" s="5" t="str">
        <f>"Q"&amp;ROUNDUP(MONTH(AF353)/3,0)</f>
        <v>Q1</v>
      </c>
      <c r="AI353" s="5">
        <f>INDEX(RatingLookup!$B$2:$B$11,MATCH(A353,RatingLookup!$A$2:$A$11,0))</f>
        <v>6</v>
      </c>
      <c r="AJ353" s="5" t="str">
        <f>INDEX(RatingLookup!$C$2:$C$11,MATCH(A353,RatingLookup!$A$2:$A$11,0))</f>
        <v>Speculative Grade</v>
      </c>
    </row>
    <row r="354" spans="1:36" x14ac:dyDescent="0.3">
      <c r="A354" s="3" t="s">
        <v>42</v>
      </c>
      <c r="B354" s="3" t="s">
        <v>489</v>
      </c>
      <c r="C354" s="3" t="s">
        <v>490</v>
      </c>
      <c r="D354" s="3" t="s">
        <v>39</v>
      </c>
      <c r="E354" s="3" t="s">
        <v>491</v>
      </c>
      <c r="F354" s="3" t="s">
        <v>215</v>
      </c>
      <c r="G354" s="3">
        <v>1.9639852790000001</v>
      </c>
      <c r="H354" s="3">
        <v>0.80993690900000004</v>
      </c>
      <c r="I354" s="3">
        <v>0.235541535</v>
      </c>
      <c r="J354" s="3">
        <v>43.334329490000002</v>
      </c>
      <c r="K354" s="3">
        <v>8.5470550000000006E-2</v>
      </c>
      <c r="L354" s="3">
        <v>0.116931102</v>
      </c>
      <c r="M354" s="3">
        <v>0.46207346199999999</v>
      </c>
      <c r="N354" s="3">
        <v>0.14594653299999999</v>
      </c>
      <c r="O354" s="3">
        <v>0.131664853</v>
      </c>
      <c r="P354" s="3">
        <v>0.328994228</v>
      </c>
      <c r="Q354" s="3">
        <v>0.21711525200000001</v>
      </c>
      <c r="R354" s="3">
        <v>1.540470411</v>
      </c>
      <c r="S354" s="3">
        <v>8.6607058820000002</v>
      </c>
      <c r="T354" s="3">
        <v>0.64899931</v>
      </c>
      <c r="U354" s="3">
        <v>0.39357160800000002</v>
      </c>
      <c r="V354" s="3">
        <v>0.26905204500000002</v>
      </c>
      <c r="W354" s="3">
        <v>0.87085038699999995</v>
      </c>
      <c r="X354" s="3">
        <v>3.0791107480000002</v>
      </c>
      <c r="Y354" s="3">
        <v>1.4406700939999999</v>
      </c>
      <c r="Z354" s="3">
        <v>1.64899931</v>
      </c>
      <c r="AA354" s="3">
        <v>0.14556618099999999</v>
      </c>
      <c r="AB354" s="3">
        <v>24.121071369999999</v>
      </c>
      <c r="AC354" s="3">
        <v>3.535751716</v>
      </c>
      <c r="AD354" s="3">
        <v>0.11948489499999999</v>
      </c>
      <c r="AE354" s="3">
        <v>5.1859612359999998</v>
      </c>
      <c r="AF354" s="4">
        <v>41863</v>
      </c>
      <c r="AG354" s="5">
        <f>YEAR(AF354)</f>
        <v>2014</v>
      </c>
      <c r="AH354" s="5" t="str">
        <f>"Q"&amp;ROUNDUP(MONTH(AF354)/3,0)</f>
        <v>Q3</v>
      </c>
      <c r="AI354" s="5">
        <f>INDEX(RatingLookup!$B$2:$B$11,MATCH(A354,RatingLookup!$A$2:$A$11,0))</f>
        <v>7</v>
      </c>
      <c r="AJ354" s="5" t="str">
        <f>INDEX(RatingLookup!$C$2:$C$11,MATCH(A354,RatingLookup!$A$2:$A$11,0))</f>
        <v>Investment Grade</v>
      </c>
    </row>
    <row r="355" spans="1:36" x14ac:dyDescent="0.3">
      <c r="A355" s="3" t="s">
        <v>92</v>
      </c>
      <c r="B355" s="3" t="s">
        <v>489</v>
      </c>
      <c r="C355" s="3" t="s">
        <v>490</v>
      </c>
      <c r="D355" s="3" t="s">
        <v>47</v>
      </c>
      <c r="E355" s="3" t="s">
        <v>492</v>
      </c>
      <c r="F355" s="3" t="s">
        <v>215</v>
      </c>
      <c r="G355" s="3">
        <v>2.408080376</v>
      </c>
      <c r="H355" s="3">
        <v>1.405728944</v>
      </c>
      <c r="I355" s="3">
        <v>1.073321932</v>
      </c>
      <c r="J355" s="3">
        <v>34.786405979999998</v>
      </c>
      <c r="K355" s="3">
        <v>-2.451581E-3</v>
      </c>
      <c r="L355" s="3">
        <v>-4.2902700000000001E-4</v>
      </c>
      <c r="M355" s="3">
        <v>0.46347143899999999</v>
      </c>
      <c r="N355" s="3">
        <v>-4.2902700000000001E-4</v>
      </c>
      <c r="O355" s="3">
        <v>-2.45459E-3</v>
      </c>
      <c r="P355" s="3">
        <v>-6.0251300000000005E-4</v>
      </c>
      <c r="Q355" s="3">
        <v>6.6555740000000002E-2</v>
      </c>
      <c r="R355" s="3">
        <v>1.0012272950000001</v>
      </c>
      <c r="S355" s="3">
        <v>7.9357976649999999</v>
      </c>
      <c r="T355" s="3">
        <v>-28.114808650000001</v>
      </c>
      <c r="U355" s="3">
        <v>1.0368802159999999</v>
      </c>
      <c r="V355" s="3">
        <v>-4.7142857139999998</v>
      </c>
      <c r="W355" s="3">
        <v>0.75030902300000002</v>
      </c>
      <c r="X355" s="3">
        <v>1.951768489</v>
      </c>
      <c r="Y355" s="3">
        <v>8.0723472669999996</v>
      </c>
      <c r="Z355" s="3">
        <v>-27.114808650000001</v>
      </c>
      <c r="AA355" s="3">
        <v>-4.2902700000000001E-4</v>
      </c>
      <c r="AB355" s="3">
        <v>108.9629655</v>
      </c>
      <c r="AC355" s="3">
        <v>2.6012861740000002</v>
      </c>
      <c r="AD355" s="3">
        <v>9.9166461999999997E-2</v>
      </c>
      <c r="AE355" s="3">
        <v>5.2419161680000004</v>
      </c>
      <c r="AF355" s="4">
        <v>42521</v>
      </c>
      <c r="AG355" s="5">
        <f>YEAR(AF355)</f>
        <v>2016</v>
      </c>
      <c r="AH355" s="5" t="str">
        <f>"Q"&amp;ROUNDUP(MONTH(AF355)/3,0)</f>
        <v>Q2</v>
      </c>
      <c r="AI355" s="5">
        <f>INDEX(RatingLookup!$B$2:$B$11,MATCH(A355,RatingLookup!$A$2:$A$11,0))</f>
        <v>6</v>
      </c>
      <c r="AJ355" s="5" t="str">
        <f>INDEX(RatingLookup!$C$2:$C$11,MATCH(A355,RatingLookup!$A$2:$A$11,0))</f>
        <v>Speculative Grade</v>
      </c>
    </row>
    <row r="356" spans="1:36" x14ac:dyDescent="0.3">
      <c r="A356" s="3" t="s">
        <v>42</v>
      </c>
      <c r="B356" s="3" t="s">
        <v>493</v>
      </c>
      <c r="C356" s="3" t="s">
        <v>494</v>
      </c>
      <c r="D356" s="3" t="s">
        <v>60</v>
      </c>
      <c r="E356" s="3" t="s">
        <v>46</v>
      </c>
      <c r="F356" s="3" t="s">
        <v>66</v>
      </c>
      <c r="G356" s="3">
        <v>0.93301059799999997</v>
      </c>
      <c r="H356" s="3">
        <v>1.1486327359999999</v>
      </c>
      <c r="I356" s="3">
        <v>0.42784246999999997</v>
      </c>
      <c r="J356" s="3">
        <v>0</v>
      </c>
      <c r="K356" s="3">
        <v>0.14243697499999999</v>
      </c>
      <c r="L356" s="3">
        <v>0.23453781500000001</v>
      </c>
      <c r="M356" s="3">
        <v>0.37558823499999999</v>
      </c>
      <c r="N356" s="3">
        <v>0.254957983</v>
      </c>
      <c r="O356" s="3">
        <v>9.1715816000000006E-2</v>
      </c>
      <c r="P356" s="3">
        <v>0.190388485</v>
      </c>
      <c r="Q356" s="3">
        <v>0.92119565199999998</v>
      </c>
      <c r="R356" s="3">
        <v>0.64390455099999999</v>
      </c>
      <c r="S356" s="3">
        <v>10.7400722</v>
      </c>
      <c r="T356" s="3">
        <v>9.0440217389999997</v>
      </c>
      <c r="U356" s="3">
        <v>0.90043828800000003</v>
      </c>
      <c r="V356" s="3">
        <v>0.39215335000000001</v>
      </c>
      <c r="W356" s="3">
        <v>0.97093827799999999</v>
      </c>
      <c r="X356" s="3">
        <v>1.6996124029999999</v>
      </c>
      <c r="Y356" s="3">
        <v>4.2533914729999998</v>
      </c>
      <c r="Z356" s="3">
        <v>10.04402174</v>
      </c>
      <c r="AA356" s="3">
        <v>0.23453781500000001</v>
      </c>
      <c r="AB356" s="3">
        <v>10.91851922</v>
      </c>
      <c r="AC356" s="3">
        <v>1.7504844959999999</v>
      </c>
      <c r="AD356" s="3">
        <v>0.151806723</v>
      </c>
      <c r="AE356" s="3">
        <v>15.26838966</v>
      </c>
      <c r="AF356" s="4">
        <v>41075</v>
      </c>
      <c r="AG356" s="5">
        <f>YEAR(AF356)</f>
        <v>2012</v>
      </c>
      <c r="AH356" s="5" t="str">
        <f>"Q"&amp;ROUNDUP(MONTH(AF356)/3,0)</f>
        <v>Q2</v>
      </c>
      <c r="AI356" s="5">
        <f>INDEX(RatingLookup!$B$2:$B$11,MATCH(A356,RatingLookup!$A$2:$A$11,0))</f>
        <v>7</v>
      </c>
      <c r="AJ356" s="5" t="str">
        <f>INDEX(RatingLookup!$C$2:$C$11,MATCH(A356,RatingLookup!$A$2:$A$11,0))</f>
        <v>Investment Grade</v>
      </c>
    </row>
    <row r="357" spans="1:36" x14ac:dyDescent="0.3">
      <c r="A357" s="3" t="s">
        <v>36</v>
      </c>
      <c r="B357" s="3" t="s">
        <v>493</v>
      </c>
      <c r="C357" s="3" t="s">
        <v>494</v>
      </c>
      <c r="D357" s="3" t="s">
        <v>60</v>
      </c>
      <c r="E357" s="3" t="s">
        <v>495</v>
      </c>
      <c r="F357" s="3" t="s">
        <v>66</v>
      </c>
      <c r="G357" s="3">
        <v>0.85984741499999995</v>
      </c>
      <c r="H357" s="3">
        <v>1.109352925</v>
      </c>
      <c r="I357" s="3">
        <v>0.33469906799999999</v>
      </c>
      <c r="J357" s="3">
        <v>0</v>
      </c>
      <c r="K357" s="3">
        <v>0.20606275099999999</v>
      </c>
      <c r="L357" s="3">
        <v>0.31760635399999998</v>
      </c>
      <c r="M357" s="3">
        <v>0.43697412899999999</v>
      </c>
      <c r="N357" s="3">
        <v>0.32873319200000001</v>
      </c>
      <c r="O357" s="3">
        <v>0.16108805900000001</v>
      </c>
      <c r="P357" s="3">
        <v>0.317319401</v>
      </c>
      <c r="Q357" s="3">
        <v>1.8197916670000001</v>
      </c>
      <c r="R357" s="3">
        <v>0.78174273900000002</v>
      </c>
      <c r="S357" s="3">
        <v>12.83249243</v>
      </c>
      <c r="T357" s="3">
        <v>10.296875</v>
      </c>
      <c r="U357" s="3">
        <v>0.91147994499999996</v>
      </c>
      <c r="V357" s="3">
        <v>0.35095320600000002</v>
      </c>
      <c r="W357" s="3">
        <v>0.96058519799999997</v>
      </c>
      <c r="X357" s="3">
        <v>2.84599694</v>
      </c>
      <c r="Y357" s="3">
        <v>4.0040795510000002</v>
      </c>
      <c r="Z357" s="3">
        <v>11.296875</v>
      </c>
      <c r="AA357" s="3">
        <v>0.31760635399999998</v>
      </c>
      <c r="AB357" s="3">
        <v>15.185966690000001</v>
      </c>
      <c r="AC357" s="3">
        <v>2.9627740949999999</v>
      </c>
      <c r="AD357" s="3">
        <v>0.22843437899999999</v>
      </c>
      <c r="AE357" s="3">
        <v>19.350000000000001</v>
      </c>
      <c r="AF357" s="4">
        <v>42438</v>
      </c>
      <c r="AG357" s="5">
        <f>YEAR(AF357)</f>
        <v>2016</v>
      </c>
      <c r="AH357" s="5" t="str">
        <f>"Q"&amp;ROUNDUP(MONTH(AF357)/3,0)</f>
        <v>Q1</v>
      </c>
      <c r="AI357" s="5">
        <f>INDEX(RatingLookup!$B$2:$B$11,MATCH(A357,RatingLookup!$A$2:$A$11,0))</f>
        <v>8</v>
      </c>
      <c r="AJ357" s="5" t="str">
        <f>INDEX(RatingLookup!$C$2:$C$11,MATCH(A357,RatingLookup!$A$2:$A$11,0))</f>
        <v>Investment Grade</v>
      </c>
    </row>
    <row r="358" spans="1:36" x14ac:dyDescent="0.3">
      <c r="A358" s="3" t="s">
        <v>42</v>
      </c>
      <c r="B358" s="3" t="s">
        <v>493</v>
      </c>
      <c r="C358" s="3" t="s">
        <v>494</v>
      </c>
      <c r="D358" s="3" t="s">
        <v>60</v>
      </c>
      <c r="E358" s="3" t="s">
        <v>496</v>
      </c>
      <c r="F358" s="3" t="s">
        <v>66</v>
      </c>
      <c r="G358" s="3">
        <v>0.93369226400000005</v>
      </c>
      <c r="H358" s="3">
        <v>1.3644091810000001</v>
      </c>
      <c r="I358" s="3">
        <v>0.449844148</v>
      </c>
      <c r="J358" s="3">
        <v>0</v>
      </c>
      <c r="K358" s="3">
        <v>0.18535927399999999</v>
      </c>
      <c r="L358" s="3">
        <v>0.28374070099999998</v>
      </c>
      <c r="M358" s="3">
        <v>0.42740946600000002</v>
      </c>
      <c r="N358" s="3">
        <v>0.330417723</v>
      </c>
      <c r="O358" s="3">
        <v>0.13009552799999999</v>
      </c>
      <c r="P358" s="3">
        <v>0.24970324799999999</v>
      </c>
      <c r="Q358" s="3">
        <v>1.100995387</v>
      </c>
      <c r="R358" s="3">
        <v>0.70185604899999998</v>
      </c>
      <c r="S358" s="3">
        <v>12.06410256</v>
      </c>
      <c r="T358" s="3">
        <v>7.4629764510000003</v>
      </c>
      <c r="U358" s="3">
        <v>0.88183826300000001</v>
      </c>
      <c r="V358" s="3">
        <v>0.34673004899999998</v>
      </c>
      <c r="W358" s="3">
        <v>0.97005714300000001</v>
      </c>
      <c r="X358" s="3">
        <v>2.1230615309999998</v>
      </c>
      <c r="Y358" s="3">
        <v>4.817408704</v>
      </c>
      <c r="Z358" s="3">
        <v>8.4629764509999994</v>
      </c>
      <c r="AA358" s="3">
        <v>0.28374070099999998</v>
      </c>
      <c r="AB358" s="3">
        <v>9.8850831729999999</v>
      </c>
      <c r="AC358" s="3">
        <v>2.1885942969999999</v>
      </c>
      <c r="AD358" s="3">
        <v>0.178819586</v>
      </c>
      <c r="AE358" s="3">
        <v>17.61858191</v>
      </c>
      <c r="AF358" s="4">
        <v>41575</v>
      </c>
      <c r="AG358" s="5">
        <f>YEAR(AF358)</f>
        <v>2013</v>
      </c>
      <c r="AH358" s="5" t="str">
        <f>"Q"&amp;ROUNDUP(MONTH(AF358)/3,0)</f>
        <v>Q4</v>
      </c>
      <c r="AI358" s="5">
        <f>INDEX(RatingLookup!$B$2:$B$11,MATCH(A358,RatingLookup!$A$2:$A$11,0))</f>
        <v>7</v>
      </c>
      <c r="AJ358" s="5" t="str">
        <f>INDEX(RatingLookup!$C$2:$C$11,MATCH(A358,RatingLookup!$A$2:$A$11,0))</f>
        <v>Investment Grade</v>
      </c>
    </row>
    <row r="359" spans="1:36" x14ac:dyDescent="0.3">
      <c r="A359" s="3" t="s">
        <v>36</v>
      </c>
      <c r="B359" s="3" t="s">
        <v>493</v>
      </c>
      <c r="C359" s="3" t="s">
        <v>494</v>
      </c>
      <c r="D359" s="3" t="s">
        <v>60</v>
      </c>
      <c r="E359" s="3" t="s">
        <v>497</v>
      </c>
      <c r="F359" s="3" t="s">
        <v>66</v>
      </c>
      <c r="G359" s="3">
        <v>0.98440678000000004</v>
      </c>
      <c r="H359" s="3">
        <v>3.040135593</v>
      </c>
      <c r="I359" s="3">
        <v>0.61952542399999999</v>
      </c>
      <c r="J359" s="3">
        <v>0</v>
      </c>
      <c r="K359" s="3">
        <v>0.55309975099999997</v>
      </c>
      <c r="L359" s="3">
        <v>0.84881914199999997</v>
      </c>
      <c r="M359" s="3">
        <v>0.45024083300000001</v>
      </c>
      <c r="N359" s="3">
        <v>0.34035114999999999</v>
      </c>
      <c r="O359" s="3">
        <v>0.31000174200000002</v>
      </c>
      <c r="P359" s="3">
        <v>0.56674533800000004</v>
      </c>
      <c r="Q359" s="3">
        <v>1.115035239</v>
      </c>
      <c r="R359" s="3">
        <v>0.56048071099999996</v>
      </c>
      <c r="S359" s="3">
        <v>13.148110320000001</v>
      </c>
      <c r="T359" s="3">
        <v>2.5968676589999999</v>
      </c>
      <c r="U359" s="3">
        <v>0.72198031900000004</v>
      </c>
      <c r="V359" s="3">
        <v>0.34816035099999998</v>
      </c>
      <c r="W359" s="3">
        <v>0.95014507999999998</v>
      </c>
      <c r="X359" s="3">
        <v>1.8452868849999999</v>
      </c>
      <c r="Y359" s="3">
        <v>11.48616803</v>
      </c>
      <c r="Z359" s="3">
        <v>3.5968676589999999</v>
      </c>
      <c r="AA359" s="3">
        <v>0.84881914199999997</v>
      </c>
      <c r="AB359" s="3">
        <v>16.561409770000001</v>
      </c>
      <c r="AC359" s="3">
        <v>1.9421106560000001</v>
      </c>
      <c r="AD359" s="3">
        <v>0.14725761300000001</v>
      </c>
      <c r="AE359" s="3">
        <v>18.225882349999999</v>
      </c>
      <c r="AF359" s="4">
        <v>42626</v>
      </c>
      <c r="AG359" s="5">
        <f>YEAR(AF359)</f>
        <v>2016</v>
      </c>
      <c r="AH359" s="5" t="str">
        <f>"Q"&amp;ROUNDUP(MONTH(AF359)/3,0)</f>
        <v>Q3</v>
      </c>
      <c r="AI359" s="5">
        <f>INDEX(RatingLookup!$B$2:$B$11,MATCH(A359,RatingLookup!$A$2:$A$11,0))</f>
        <v>8</v>
      </c>
      <c r="AJ359" s="5" t="str">
        <f>INDEX(RatingLookup!$C$2:$C$11,MATCH(A359,RatingLookup!$A$2:$A$11,0))</f>
        <v>Investment Grade</v>
      </c>
    </row>
    <row r="360" spans="1:36" x14ac:dyDescent="0.3">
      <c r="A360" s="3" t="s">
        <v>42</v>
      </c>
      <c r="B360" s="3" t="s">
        <v>493</v>
      </c>
      <c r="C360" s="3" t="s">
        <v>494</v>
      </c>
      <c r="D360" s="3" t="s">
        <v>60</v>
      </c>
      <c r="E360" s="3" t="s">
        <v>498</v>
      </c>
      <c r="F360" s="3" t="s">
        <v>66</v>
      </c>
      <c r="G360" s="3">
        <v>0.76536177400000005</v>
      </c>
      <c r="H360" s="3">
        <v>1.1558598959999999</v>
      </c>
      <c r="I360" s="3">
        <v>0.35147254900000002</v>
      </c>
      <c r="J360" s="3">
        <v>0</v>
      </c>
      <c r="K360" s="3">
        <v>0.16979445900000001</v>
      </c>
      <c r="L360" s="3">
        <v>0.26310017099999999</v>
      </c>
      <c r="M360" s="3">
        <v>0.38845560200000001</v>
      </c>
      <c r="N360" s="3">
        <v>0.29462182100000001</v>
      </c>
      <c r="O360" s="3">
        <v>0.118316397</v>
      </c>
      <c r="P360" s="3">
        <v>0.23919787300000001</v>
      </c>
      <c r="Q360" s="3">
        <v>1.3194444439999999</v>
      </c>
      <c r="R360" s="3">
        <v>0.69682130799999997</v>
      </c>
      <c r="S360" s="3">
        <v>11.711703139999999</v>
      </c>
      <c r="T360" s="3">
        <v>10.15183081</v>
      </c>
      <c r="U360" s="3">
        <v>0.910328625</v>
      </c>
      <c r="V360" s="3">
        <v>0.35417631599999999</v>
      </c>
      <c r="W360" s="3">
        <v>0.96822956699999996</v>
      </c>
      <c r="X360" s="3">
        <v>1.8670948620000001</v>
      </c>
      <c r="Y360" s="3">
        <v>4.7119565220000004</v>
      </c>
      <c r="Z360" s="3">
        <v>11.15183081</v>
      </c>
      <c r="AA360" s="3">
        <v>0.26310017099999999</v>
      </c>
      <c r="AB360" s="3">
        <v>10.589301949999999</v>
      </c>
      <c r="AC360" s="3">
        <v>1.9283596839999999</v>
      </c>
      <c r="AD360" s="3">
        <v>0.15854252999999999</v>
      </c>
      <c r="AE360" s="3">
        <v>17.598669619999999</v>
      </c>
      <c r="AF360" s="4">
        <v>41394</v>
      </c>
      <c r="AG360" s="5">
        <f>YEAR(AF360)</f>
        <v>2013</v>
      </c>
      <c r="AH360" s="5" t="str">
        <f>"Q"&amp;ROUNDUP(MONTH(AF360)/3,0)</f>
        <v>Q2</v>
      </c>
      <c r="AI360" s="5">
        <f>INDEX(RatingLookup!$B$2:$B$11,MATCH(A360,RatingLookup!$A$2:$A$11,0))</f>
        <v>7</v>
      </c>
      <c r="AJ360" s="5" t="str">
        <f>INDEX(RatingLookup!$C$2:$C$11,MATCH(A360,RatingLookup!$A$2:$A$11,0))</f>
        <v>Investment Grade</v>
      </c>
    </row>
    <row r="361" spans="1:36" x14ac:dyDescent="0.3">
      <c r="A361" s="3" t="s">
        <v>42</v>
      </c>
      <c r="B361" s="3" t="s">
        <v>493</v>
      </c>
      <c r="C361" s="3" t="s">
        <v>494</v>
      </c>
      <c r="D361" s="3" t="s">
        <v>60</v>
      </c>
      <c r="E361" s="3" t="s">
        <v>499</v>
      </c>
      <c r="F361" s="3" t="s">
        <v>66</v>
      </c>
      <c r="G361" s="3">
        <v>0.89638993899999997</v>
      </c>
      <c r="H361" s="3">
        <v>1.2386289589999999</v>
      </c>
      <c r="I361" s="3">
        <v>0.43281636899999998</v>
      </c>
      <c r="J361" s="3">
        <v>0</v>
      </c>
      <c r="K361" s="3">
        <v>0.20675312000000001</v>
      </c>
      <c r="L361" s="3">
        <v>0.31702144999999998</v>
      </c>
      <c r="M361" s="3">
        <v>0.41432183299999997</v>
      </c>
      <c r="N361" s="3">
        <v>0.31074137499999999</v>
      </c>
      <c r="O361" s="3">
        <v>0.14706308900000001</v>
      </c>
      <c r="P361" s="3">
        <v>0.29005298099999999</v>
      </c>
      <c r="Q361" s="3">
        <v>1.682149967</v>
      </c>
      <c r="R361" s="3">
        <v>0.71129804200000002</v>
      </c>
      <c r="S361" s="3">
        <v>12.366111950000001</v>
      </c>
      <c r="T361" s="3">
        <v>10.438287989999999</v>
      </c>
      <c r="U361" s="3">
        <v>0.91257432900000002</v>
      </c>
      <c r="V361" s="3">
        <v>0.34782608700000001</v>
      </c>
      <c r="W361" s="3">
        <v>0.96504396299999995</v>
      </c>
      <c r="X361" s="3">
        <v>2.2750252780000002</v>
      </c>
      <c r="Y361" s="3">
        <v>4.8048533869999996</v>
      </c>
      <c r="Z361" s="3">
        <v>11.438287989999999</v>
      </c>
      <c r="AA361" s="3">
        <v>0.31702144999999998</v>
      </c>
      <c r="AB361" s="3">
        <v>14.87018396</v>
      </c>
      <c r="AC361" s="3">
        <v>2.3574317489999999</v>
      </c>
      <c r="AD361" s="3">
        <v>0.190155778</v>
      </c>
      <c r="AE361" s="3">
        <v>18.71394231</v>
      </c>
      <c r="AF361" s="4">
        <v>41953</v>
      </c>
      <c r="AG361" s="5">
        <f>YEAR(AF361)</f>
        <v>2014</v>
      </c>
      <c r="AH361" s="5" t="str">
        <f>"Q"&amp;ROUNDUP(MONTH(AF361)/3,0)</f>
        <v>Q4</v>
      </c>
      <c r="AI361" s="5">
        <f>INDEX(RatingLookup!$B$2:$B$11,MATCH(A361,RatingLookup!$A$2:$A$11,0))</f>
        <v>7</v>
      </c>
      <c r="AJ361" s="5" t="str">
        <f>INDEX(RatingLookup!$C$2:$C$11,MATCH(A361,RatingLookup!$A$2:$A$11,0))</f>
        <v>Investment Grade</v>
      </c>
    </row>
    <row r="362" spans="1:36" x14ac:dyDescent="0.3">
      <c r="A362" s="3" t="s">
        <v>36</v>
      </c>
      <c r="B362" s="3" t="s">
        <v>500</v>
      </c>
      <c r="C362" s="3" t="s">
        <v>501</v>
      </c>
      <c r="D362" s="3" t="s">
        <v>47</v>
      </c>
      <c r="E362" s="3" t="s">
        <v>502</v>
      </c>
      <c r="F362" s="3" t="s">
        <v>113</v>
      </c>
      <c r="G362" s="3">
        <v>3.4436894429999998</v>
      </c>
      <c r="H362" s="3">
        <v>2.7806719520000001</v>
      </c>
      <c r="I362" s="3">
        <v>0.47879703000000001</v>
      </c>
      <c r="J362" s="3">
        <v>52.709627330000004</v>
      </c>
      <c r="K362" s="3">
        <v>0.27206039799999998</v>
      </c>
      <c r="L362" s="3">
        <v>0.28191261499999998</v>
      </c>
      <c r="M362" s="3">
        <v>0.82083958000000001</v>
      </c>
      <c r="N362" s="3">
        <v>0.314146498</v>
      </c>
      <c r="O362" s="3">
        <v>7.6839319000000003E-2</v>
      </c>
      <c r="P362" s="3">
        <v>9.0498125999999998E-2</v>
      </c>
      <c r="Q362" s="3">
        <v>0.22995112200000001</v>
      </c>
      <c r="R362" s="3">
        <v>0.28243478300000002</v>
      </c>
      <c r="S362" s="3">
        <v>3.4914937369999999</v>
      </c>
      <c r="T362" s="3">
        <v>1.992623099</v>
      </c>
      <c r="U362" s="3">
        <v>0.66584499100000005</v>
      </c>
      <c r="V362" s="3">
        <v>3.4947767999999997E-2</v>
      </c>
      <c r="W362" s="3">
        <v>0.88984263200000002</v>
      </c>
      <c r="X362" s="3">
        <v>7.4342629479999998</v>
      </c>
      <c r="Y362" s="3">
        <v>25.764940240000001</v>
      </c>
      <c r="Z362" s="3">
        <v>2.9926230989999998</v>
      </c>
      <c r="AA362" s="3">
        <v>0.28191261499999998</v>
      </c>
      <c r="AB362" s="3">
        <v>16.685750030000001</v>
      </c>
      <c r="AC362" s="3">
        <v>8.3545816730000002</v>
      </c>
      <c r="AD362" s="3">
        <v>0.336849432</v>
      </c>
      <c r="AE362" s="3">
        <v>4.2515883099999998</v>
      </c>
      <c r="AF362" s="4">
        <v>41530</v>
      </c>
      <c r="AG362" s="5">
        <f>YEAR(AF362)</f>
        <v>2013</v>
      </c>
      <c r="AH362" s="5" t="str">
        <f>"Q"&amp;ROUNDUP(MONTH(AF362)/3,0)</f>
        <v>Q3</v>
      </c>
      <c r="AI362" s="5">
        <f>INDEX(RatingLookup!$B$2:$B$11,MATCH(A362,RatingLookup!$A$2:$A$11,0))</f>
        <v>8</v>
      </c>
      <c r="AJ362" s="5" t="str">
        <f>INDEX(RatingLookup!$C$2:$C$11,MATCH(A362,RatingLookup!$A$2:$A$11,0))</f>
        <v>Investment Grade</v>
      </c>
    </row>
    <row r="363" spans="1:36" x14ac:dyDescent="0.3">
      <c r="A363" s="3" t="s">
        <v>42</v>
      </c>
      <c r="B363" s="3" t="s">
        <v>500</v>
      </c>
      <c r="C363" s="3" t="s">
        <v>501</v>
      </c>
      <c r="D363" s="3" t="s">
        <v>39</v>
      </c>
      <c r="E363" s="3" t="s">
        <v>503</v>
      </c>
      <c r="F363" s="3" t="s">
        <v>113</v>
      </c>
      <c r="G363" s="3">
        <v>4.9533390410000004</v>
      </c>
      <c r="H363" s="3">
        <v>4.219748858</v>
      </c>
      <c r="I363" s="3">
        <v>0.53239155299999996</v>
      </c>
      <c r="J363" s="3">
        <v>46.318596419999999</v>
      </c>
      <c r="K363" s="3">
        <v>0.25709016600000001</v>
      </c>
      <c r="L363" s="3">
        <v>0.278373125</v>
      </c>
      <c r="M363" s="3">
        <v>0.77959427800000003</v>
      </c>
      <c r="N363" s="3">
        <v>0.308577979</v>
      </c>
      <c r="O363" s="3">
        <v>7.4743874000000002E-2</v>
      </c>
      <c r="P363" s="3">
        <v>9.0079192000000002E-2</v>
      </c>
      <c r="Q363" s="3">
        <v>0.20009310299999999</v>
      </c>
      <c r="R363" s="3">
        <v>0.29073019500000002</v>
      </c>
      <c r="S363" s="3">
        <v>3.8412789580000002</v>
      </c>
      <c r="T363" s="3">
        <v>1.6770501980000001</v>
      </c>
      <c r="U363" s="3">
        <v>0.62645452000000001</v>
      </c>
      <c r="V363" s="3">
        <v>7.6454789999999995E-2</v>
      </c>
      <c r="W363" s="3">
        <v>0.88275862100000002</v>
      </c>
      <c r="X363" s="3">
        <v>9.9499341240000003</v>
      </c>
      <c r="Y363" s="3">
        <v>35.607378130000001</v>
      </c>
      <c r="Z363" s="3">
        <v>2.6770501979999999</v>
      </c>
      <c r="AA363" s="3">
        <v>0.278373125</v>
      </c>
      <c r="AB363" s="3">
        <v>17.209868409999999</v>
      </c>
      <c r="AC363" s="3">
        <v>11.27140975</v>
      </c>
      <c r="AD363" s="3">
        <v>0.42640681899999999</v>
      </c>
      <c r="AE363" s="3">
        <v>3.6485148509999998</v>
      </c>
      <c r="AF363" s="4">
        <v>42117</v>
      </c>
      <c r="AG363" s="5">
        <f>YEAR(AF363)</f>
        <v>2015</v>
      </c>
      <c r="AH363" s="5" t="str">
        <f>"Q"&amp;ROUNDUP(MONTH(AF363)/3,0)</f>
        <v>Q2</v>
      </c>
      <c r="AI363" s="5">
        <f>INDEX(RatingLookup!$B$2:$B$11,MATCH(A363,RatingLookup!$A$2:$A$11,0))</f>
        <v>7</v>
      </c>
      <c r="AJ363" s="5" t="str">
        <f>INDEX(RatingLookup!$C$2:$C$11,MATCH(A363,RatingLookup!$A$2:$A$11,0))</f>
        <v>Investment Grade</v>
      </c>
    </row>
    <row r="364" spans="1:36" x14ac:dyDescent="0.3">
      <c r="A364" s="3" t="s">
        <v>42</v>
      </c>
      <c r="B364" s="3" t="s">
        <v>500</v>
      </c>
      <c r="C364" s="3" t="s">
        <v>501</v>
      </c>
      <c r="D364" s="3" t="s">
        <v>44</v>
      </c>
      <c r="E364" s="3" t="s">
        <v>504</v>
      </c>
      <c r="F364" s="3" t="s">
        <v>113</v>
      </c>
      <c r="G364" s="3">
        <v>4.4442136840000002</v>
      </c>
      <c r="H364" s="3">
        <v>3.9664243680000002</v>
      </c>
      <c r="I364" s="3">
        <v>0.47813545600000001</v>
      </c>
      <c r="J364" s="3">
        <v>50.46510018</v>
      </c>
      <c r="K364" s="3">
        <v>0.32033053299999997</v>
      </c>
      <c r="L364" s="3">
        <v>0.36829471000000003</v>
      </c>
      <c r="M364" s="3">
        <v>0.80486566299999995</v>
      </c>
      <c r="N364" s="3">
        <v>0.39100729400000001</v>
      </c>
      <c r="O364" s="3">
        <v>9.6945903999999999E-2</v>
      </c>
      <c r="P364" s="3">
        <v>0.12681810199999999</v>
      </c>
      <c r="Q364" s="3">
        <v>0.24708898600000001</v>
      </c>
      <c r="R364" s="3">
        <v>0.30264334399999998</v>
      </c>
      <c r="S364" s="3">
        <v>4.4145098840000001</v>
      </c>
      <c r="T364" s="3">
        <v>1.5487305490000001</v>
      </c>
      <c r="U364" s="3">
        <v>0.60764781499999998</v>
      </c>
      <c r="V364" s="3">
        <v>0.130233141</v>
      </c>
      <c r="W364" s="3">
        <v>0.92850060599999995</v>
      </c>
      <c r="X364" s="3">
        <v>11.11873351</v>
      </c>
      <c r="Y364" s="3">
        <v>41.401055409999998</v>
      </c>
      <c r="Z364" s="3">
        <v>2.5487305490000001</v>
      </c>
      <c r="AA364" s="3">
        <v>0.36829471000000003</v>
      </c>
      <c r="AB364" s="3">
        <v>13.535766690000001</v>
      </c>
      <c r="AC364" s="3">
        <v>11.974934040000001</v>
      </c>
      <c r="AD364" s="3">
        <v>0.41902871400000002</v>
      </c>
      <c r="AE364" s="3">
        <v>4.3803108809999998</v>
      </c>
      <c r="AF364" s="4">
        <v>42418</v>
      </c>
      <c r="AG364" s="5">
        <f>YEAR(AF364)</f>
        <v>2016</v>
      </c>
      <c r="AH364" s="5" t="str">
        <f>"Q"&amp;ROUNDUP(MONTH(AF364)/3,0)</f>
        <v>Q1</v>
      </c>
      <c r="AI364" s="5">
        <f>INDEX(RatingLookup!$B$2:$B$11,MATCH(A364,RatingLookup!$A$2:$A$11,0))</f>
        <v>7</v>
      </c>
      <c r="AJ364" s="5" t="str">
        <f>INDEX(RatingLookup!$C$2:$C$11,MATCH(A364,RatingLookup!$A$2:$A$11,0))</f>
        <v>Investment Grade</v>
      </c>
    </row>
    <row r="365" spans="1:36" x14ac:dyDescent="0.3">
      <c r="A365" s="3" t="s">
        <v>42</v>
      </c>
      <c r="B365" s="3" t="s">
        <v>500</v>
      </c>
      <c r="C365" s="3" t="s">
        <v>501</v>
      </c>
      <c r="D365" s="3" t="s">
        <v>60</v>
      </c>
      <c r="E365" s="3" t="s">
        <v>505</v>
      </c>
      <c r="F365" s="3" t="s">
        <v>113</v>
      </c>
      <c r="G365" s="3">
        <v>3.8101574899999999</v>
      </c>
      <c r="H365" s="3">
        <v>3.244902942</v>
      </c>
      <c r="I365" s="3">
        <v>0.39763154699999997</v>
      </c>
      <c r="J365" s="3">
        <v>53.233130610000003</v>
      </c>
      <c r="K365" s="3">
        <v>0.251665219</v>
      </c>
      <c r="L365" s="3">
        <v>0.29012452900000002</v>
      </c>
      <c r="M365" s="3">
        <v>1</v>
      </c>
      <c r="N365" s="3">
        <v>0.32302345799999999</v>
      </c>
      <c r="O365" s="3">
        <v>8.0021363999999998E-2</v>
      </c>
      <c r="P365" s="3">
        <v>0.108638602</v>
      </c>
      <c r="Q365" s="3">
        <v>0.227964323</v>
      </c>
      <c r="R365" s="3">
        <v>0.31796751299999998</v>
      </c>
      <c r="S365" s="3">
        <v>3.241644762</v>
      </c>
      <c r="T365" s="3">
        <v>1.8487932840000001</v>
      </c>
      <c r="U365" s="3">
        <v>0.64897417999999996</v>
      </c>
      <c r="V365" s="3">
        <v>0.132561389</v>
      </c>
      <c r="W365" s="3">
        <v>0.88286297199999997</v>
      </c>
      <c r="X365" s="3">
        <v>6.7006451609999997</v>
      </c>
      <c r="Y365" s="3">
        <v>31.046451609999998</v>
      </c>
      <c r="Z365" s="3">
        <v>2.8487932840000001</v>
      </c>
      <c r="AA365" s="3">
        <v>0.29012452900000002</v>
      </c>
      <c r="AB365" s="3">
        <v>13.41957989</v>
      </c>
      <c r="AC365" s="3">
        <v>7.589677419</v>
      </c>
      <c r="AD365" s="3">
        <v>0.340689256</v>
      </c>
      <c r="AE365" s="3">
        <v>3.2243093919999999</v>
      </c>
      <c r="AF365" s="4">
        <v>41162</v>
      </c>
      <c r="AG365" s="5">
        <f>YEAR(AF365)</f>
        <v>2012</v>
      </c>
      <c r="AH365" s="5" t="str">
        <f>"Q"&amp;ROUNDUP(MONTH(AF365)/3,0)</f>
        <v>Q3</v>
      </c>
      <c r="AI365" s="5">
        <f>INDEX(RatingLookup!$B$2:$B$11,MATCH(A365,RatingLookup!$A$2:$A$11,0))</f>
        <v>7</v>
      </c>
      <c r="AJ365" s="5" t="str">
        <f>INDEX(RatingLookup!$C$2:$C$11,MATCH(A365,RatingLookup!$A$2:$A$11,0))</f>
        <v>Investment Grade</v>
      </c>
    </row>
    <row r="366" spans="1:36" x14ac:dyDescent="0.3">
      <c r="A366" s="3" t="s">
        <v>36</v>
      </c>
      <c r="B366" s="3" t="s">
        <v>500</v>
      </c>
      <c r="C366" s="3" t="s">
        <v>501</v>
      </c>
      <c r="D366" s="3" t="s">
        <v>47</v>
      </c>
      <c r="E366" s="3" t="s">
        <v>87</v>
      </c>
      <c r="F366" s="3" t="s">
        <v>113</v>
      </c>
      <c r="G366" s="3">
        <v>4.106569082</v>
      </c>
      <c r="H366" s="3">
        <v>3.6817208140000002</v>
      </c>
      <c r="I366" s="3">
        <v>0.289271689</v>
      </c>
      <c r="J366" s="3">
        <v>50.24683572</v>
      </c>
      <c r="K366" s="3">
        <v>0.33587055799999999</v>
      </c>
      <c r="L366" s="3">
        <v>0.39854725800000002</v>
      </c>
      <c r="M366" s="3">
        <v>0.818972641</v>
      </c>
      <c r="N366" s="3">
        <v>0.42599278000000002</v>
      </c>
      <c r="O366" s="3">
        <v>9.9476978999999993E-2</v>
      </c>
      <c r="P366" s="3">
        <v>0.13795128100000001</v>
      </c>
      <c r="Q366" s="3">
        <v>0.25847698699999999</v>
      </c>
      <c r="R366" s="3">
        <v>0.29617653900000002</v>
      </c>
      <c r="S366" s="3">
        <v>4.6343479140000001</v>
      </c>
      <c r="T366" s="3">
        <v>1.598359833</v>
      </c>
      <c r="U366" s="3">
        <v>0.615141834</v>
      </c>
      <c r="V366" s="3">
        <v>0.15726290500000001</v>
      </c>
      <c r="W366" s="3">
        <v>0.91916167699999995</v>
      </c>
      <c r="X366" s="3">
        <v>12.723262030000001</v>
      </c>
      <c r="Y366" s="3">
        <v>50.915775400000001</v>
      </c>
      <c r="Z366" s="3">
        <v>2.598359833</v>
      </c>
      <c r="AA366" s="3">
        <v>0.39854725800000002</v>
      </c>
      <c r="AB366" s="3">
        <v>12.34293974</v>
      </c>
      <c r="AC366" s="3">
        <v>13.84224599</v>
      </c>
      <c r="AD366" s="3">
        <v>0.45035013699999998</v>
      </c>
      <c r="AE366" s="3">
        <v>4.5387131949999997</v>
      </c>
      <c r="AF366" s="4">
        <v>42592</v>
      </c>
      <c r="AG366" s="5">
        <f>YEAR(AF366)</f>
        <v>2016</v>
      </c>
      <c r="AH366" s="5" t="str">
        <f>"Q"&amp;ROUNDUP(MONTH(AF366)/3,0)</f>
        <v>Q3</v>
      </c>
      <c r="AI366" s="5">
        <f>INDEX(RatingLookup!$B$2:$B$11,MATCH(A366,RatingLookup!$A$2:$A$11,0))</f>
        <v>8</v>
      </c>
      <c r="AJ366" s="5" t="str">
        <f>INDEX(RatingLookup!$C$2:$C$11,MATCH(A366,RatingLookup!$A$2:$A$11,0))</f>
        <v>Investment Grade</v>
      </c>
    </row>
    <row r="367" spans="1:36" x14ac:dyDescent="0.3">
      <c r="A367" s="3" t="s">
        <v>42</v>
      </c>
      <c r="B367" s="3" t="s">
        <v>506</v>
      </c>
      <c r="C367" s="3" t="s">
        <v>507</v>
      </c>
      <c r="D367" s="3" t="s">
        <v>39</v>
      </c>
      <c r="E367" s="3" t="s">
        <v>508</v>
      </c>
      <c r="F367" s="3" t="s">
        <v>53</v>
      </c>
      <c r="G367" s="3">
        <v>2.2847882190000002</v>
      </c>
      <c r="H367" s="3">
        <v>1.6599266450000001</v>
      </c>
      <c r="I367" s="3">
        <v>1.2926888379999999</v>
      </c>
      <c r="J367" s="3">
        <v>16302.49891</v>
      </c>
      <c r="K367" s="3">
        <v>56.466511019999999</v>
      </c>
      <c r="L367" s="3">
        <v>105.6049905</v>
      </c>
      <c r="M367" s="3">
        <v>-14.800817159999999</v>
      </c>
      <c r="N367" s="3">
        <v>124.5286736</v>
      </c>
      <c r="O367" s="3">
        <v>3.2073618999999998E-2</v>
      </c>
      <c r="P367" s="3">
        <v>6.4436280999999998E-2</v>
      </c>
      <c r="Q367" s="3">
        <v>8.4438276000000007E-2</v>
      </c>
      <c r="R367" s="3">
        <v>5.6801099999999999E-4</v>
      </c>
      <c r="S367" s="3">
        <v>6.8007600000000005E-4</v>
      </c>
      <c r="T367" s="3">
        <v>1.6326395460000001</v>
      </c>
      <c r="U367" s="3">
        <v>0.62015308899999999</v>
      </c>
      <c r="V367" s="3">
        <v>0.295825267</v>
      </c>
      <c r="W367" s="3">
        <v>0.87687931799999996</v>
      </c>
      <c r="X367" s="3">
        <v>8.1856380279999996</v>
      </c>
      <c r="Y367" s="3">
        <v>7.1092555080000004</v>
      </c>
      <c r="Z367" s="3">
        <v>2.6326395460000001</v>
      </c>
      <c r="AA367" s="3">
        <v>105.6049905</v>
      </c>
      <c r="AB367" s="3">
        <v>5.2537582929999997</v>
      </c>
      <c r="AC367" s="3">
        <v>9.3349653260000007</v>
      </c>
      <c r="AD367" s="3">
        <v>206.44126660000001</v>
      </c>
      <c r="AE367" s="3">
        <v>0.24383834300000001</v>
      </c>
      <c r="AF367" s="4">
        <v>42072</v>
      </c>
      <c r="AG367" s="5">
        <f>YEAR(AF367)</f>
        <v>2015</v>
      </c>
      <c r="AH367" s="5" t="str">
        <f>"Q"&amp;ROUNDUP(MONTH(AF367)/3,0)</f>
        <v>Q1</v>
      </c>
      <c r="AI367" s="5">
        <f>INDEX(RatingLookup!$B$2:$B$11,MATCH(A367,RatingLookup!$A$2:$A$11,0))</f>
        <v>7</v>
      </c>
      <c r="AJ367" s="5" t="str">
        <f>INDEX(RatingLookup!$C$2:$C$11,MATCH(A367,RatingLookup!$A$2:$A$11,0))</f>
        <v>Investment Grade</v>
      </c>
    </row>
    <row r="368" spans="1:36" x14ac:dyDescent="0.3">
      <c r="A368" s="3" t="s">
        <v>42</v>
      </c>
      <c r="B368" s="3" t="s">
        <v>506</v>
      </c>
      <c r="C368" s="3" t="s">
        <v>507</v>
      </c>
      <c r="D368" s="3" t="s">
        <v>39</v>
      </c>
      <c r="E368" s="3" t="s">
        <v>509</v>
      </c>
      <c r="F368" s="3" t="s">
        <v>53</v>
      </c>
      <c r="G368" s="3">
        <v>2.3985498939999998</v>
      </c>
      <c r="H368" s="3">
        <v>2.3125370169999999</v>
      </c>
      <c r="I368" s="3">
        <v>1.6156378360000001</v>
      </c>
      <c r="J368" s="3">
        <v>9311.844298</v>
      </c>
      <c r="K368" s="3">
        <v>42.260549660000002</v>
      </c>
      <c r="L368" s="3">
        <v>56.390175290000002</v>
      </c>
      <c r="M368" s="3">
        <v>1</v>
      </c>
      <c r="N368" s="3">
        <v>70.829257740000003</v>
      </c>
      <c r="O368" s="3">
        <v>3.9886630999999999E-2</v>
      </c>
      <c r="P368" s="3">
        <v>5.622808E-2</v>
      </c>
      <c r="Q368" s="3">
        <v>9.6801121000000004E-2</v>
      </c>
      <c r="R368" s="3">
        <v>9.4382699999999995E-4</v>
      </c>
      <c r="S368" s="3">
        <v>1.108983E-3</v>
      </c>
      <c r="T368" s="3">
        <v>1.426906445</v>
      </c>
      <c r="U368" s="3">
        <v>0.587952802</v>
      </c>
      <c r="V368" s="3">
        <v>0.33614757899999997</v>
      </c>
      <c r="W368" s="3">
        <v>-0.49690019499999999</v>
      </c>
      <c r="X368" s="3">
        <v>-3.9613611909999999</v>
      </c>
      <c r="Y368" s="3">
        <v>6.4727243750000003</v>
      </c>
      <c r="Z368" s="3">
        <v>2.4269064450000002</v>
      </c>
      <c r="AA368" s="3">
        <v>56.390175290000002</v>
      </c>
      <c r="AB368" s="3">
        <v>6.7853603360000001</v>
      </c>
      <c r="AC368" s="3">
        <v>7.972146586</v>
      </c>
      <c r="AD368" s="3">
        <v>129.8850898</v>
      </c>
      <c r="AE368" s="3">
        <v>0</v>
      </c>
      <c r="AF368" s="4">
        <v>41579</v>
      </c>
      <c r="AG368" s="5">
        <f>YEAR(AF368)</f>
        <v>2013</v>
      </c>
      <c r="AH368" s="5" t="str">
        <f>"Q"&amp;ROUNDUP(MONTH(AF368)/3,0)</f>
        <v>Q4</v>
      </c>
      <c r="AI368" s="5">
        <f>INDEX(RatingLookup!$B$2:$B$11,MATCH(A368,RatingLookup!$A$2:$A$11,0))</f>
        <v>7</v>
      </c>
      <c r="AJ368" s="5" t="str">
        <f>INDEX(RatingLookup!$C$2:$C$11,MATCH(A368,RatingLookup!$A$2:$A$11,0))</f>
        <v>Investment Grade</v>
      </c>
    </row>
    <row r="369" spans="1:36" x14ac:dyDescent="0.3">
      <c r="A369" s="3" t="s">
        <v>92</v>
      </c>
      <c r="B369" s="3" t="s">
        <v>506</v>
      </c>
      <c r="C369" s="3" t="s">
        <v>507</v>
      </c>
      <c r="D369" s="3" t="s">
        <v>39</v>
      </c>
      <c r="E369" s="3" t="s">
        <v>181</v>
      </c>
      <c r="F369" s="3" t="s">
        <v>53</v>
      </c>
      <c r="G369" s="3">
        <v>2.8285564929999998</v>
      </c>
      <c r="H369" s="3">
        <v>2.2344138550000001</v>
      </c>
      <c r="I369" s="3">
        <v>2.0120555050000002</v>
      </c>
      <c r="J369" s="3">
        <v>38.210384179999998</v>
      </c>
      <c r="K369" s="3">
        <v>5.0386307999999998E-2</v>
      </c>
      <c r="L369" s="3">
        <v>0.25234920399999999</v>
      </c>
      <c r="M369" s="3">
        <v>0.92662509800000004</v>
      </c>
      <c r="N369" s="3">
        <v>0.33314737700000002</v>
      </c>
      <c r="O369" s="3">
        <v>6.0940150000000004E-3</v>
      </c>
      <c r="P369" s="3">
        <v>3.2363397000000002E-2</v>
      </c>
      <c r="Q369" s="3">
        <v>1.6773238999999999E-2</v>
      </c>
      <c r="R369" s="3">
        <v>0.12094584999999999</v>
      </c>
      <c r="S369" s="3">
        <v>0.14734631300000001</v>
      </c>
      <c r="T369" s="3">
        <v>1.7524118259999999</v>
      </c>
      <c r="U369" s="3">
        <v>0.63668227600000005</v>
      </c>
      <c r="V369" s="3">
        <v>0.24539280399999999</v>
      </c>
      <c r="W369" s="3">
        <v>1</v>
      </c>
      <c r="X369" s="3">
        <v>7.9852753969999997</v>
      </c>
      <c r="Y369" s="3">
        <v>10.506909540000001</v>
      </c>
      <c r="Z369" s="3">
        <v>2.7524118259999999</v>
      </c>
      <c r="AA369" s="3">
        <v>0.25234920399999999</v>
      </c>
      <c r="AB369" s="3">
        <v>4.5677179739999998</v>
      </c>
      <c r="AC369" s="3">
        <v>7.9852753969999997</v>
      </c>
      <c r="AD369" s="3">
        <v>0.71992948199999995</v>
      </c>
      <c r="AE369" s="3">
        <v>0.425415881</v>
      </c>
      <c r="AF369" s="4">
        <v>42360</v>
      </c>
      <c r="AG369" s="5">
        <f>YEAR(AF369)</f>
        <v>2015</v>
      </c>
      <c r="AH369" s="5" t="str">
        <f>"Q"&amp;ROUNDUP(MONTH(AF369)/3,0)</f>
        <v>Q4</v>
      </c>
      <c r="AI369" s="5">
        <f>INDEX(RatingLookup!$B$2:$B$11,MATCH(A369,RatingLookup!$A$2:$A$11,0))</f>
        <v>6</v>
      </c>
      <c r="AJ369" s="5" t="str">
        <f>INDEX(RatingLookup!$C$2:$C$11,MATCH(A369,RatingLookup!$A$2:$A$11,0))</f>
        <v>Speculative Grade</v>
      </c>
    </row>
    <row r="370" spans="1:36" x14ac:dyDescent="0.3">
      <c r="A370" s="3" t="s">
        <v>42</v>
      </c>
      <c r="B370" s="3" t="s">
        <v>506</v>
      </c>
      <c r="C370" s="3" t="s">
        <v>507</v>
      </c>
      <c r="D370" s="3" t="s">
        <v>60</v>
      </c>
      <c r="E370" s="3" t="s">
        <v>46</v>
      </c>
      <c r="F370" s="3" t="s">
        <v>53</v>
      </c>
      <c r="G370" s="3">
        <v>2.0997800999999998</v>
      </c>
      <c r="H370" s="3">
        <v>1.393378142</v>
      </c>
      <c r="I370" s="3">
        <v>1.032725398</v>
      </c>
      <c r="J370" s="3">
        <v>1639.2924310000001</v>
      </c>
      <c r="K370" s="3">
        <v>14.053811</v>
      </c>
      <c r="L370" s="3">
        <v>22.237067199999998</v>
      </c>
      <c r="M370" s="3">
        <v>1</v>
      </c>
      <c r="N370" s="3">
        <v>25.23050559</v>
      </c>
      <c r="O370" s="3">
        <v>5.4688746000000003E-2</v>
      </c>
      <c r="P370" s="3">
        <v>9.5274497999999999E-2</v>
      </c>
      <c r="Q370" s="3">
        <v>0.133497967</v>
      </c>
      <c r="R370" s="3">
        <v>3.8913820000000001E-3</v>
      </c>
      <c r="S370" s="3">
        <v>5.0156410000000004E-3</v>
      </c>
      <c r="T370" s="3">
        <v>1.4410500770000001</v>
      </c>
      <c r="U370" s="3">
        <v>0.59034023499999999</v>
      </c>
      <c r="V370" s="3">
        <v>0.36800069600000002</v>
      </c>
      <c r="W370" s="3">
        <v>-0.39225403800000003</v>
      </c>
      <c r="X370" s="3">
        <v>-2.403180893</v>
      </c>
      <c r="Y370" s="3">
        <v>6.4810900179999997</v>
      </c>
      <c r="Z370" s="3">
        <v>2.4410500769999999</v>
      </c>
      <c r="AA370" s="3">
        <v>22.237067199999998</v>
      </c>
      <c r="AB370" s="3">
        <v>4.9576740939999997</v>
      </c>
      <c r="AC370" s="3">
        <v>6.1265931240000002</v>
      </c>
      <c r="AD370" s="3">
        <v>26.810709469999999</v>
      </c>
      <c r="AE370" s="3">
        <v>0</v>
      </c>
      <c r="AF370" s="4">
        <v>41075</v>
      </c>
      <c r="AG370" s="5">
        <f>YEAR(AF370)</f>
        <v>2012</v>
      </c>
      <c r="AH370" s="5" t="str">
        <f>"Q"&amp;ROUNDUP(MONTH(AF370)/3,0)</f>
        <v>Q2</v>
      </c>
      <c r="AI370" s="5">
        <f>INDEX(RatingLookup!$B$2:$B$11,MATCH(A370,RatingLookup!$A$2:$A$11,0))</f>
        <v>7</v>
      </c>
      <c r="AJ370" s="5" t="str">
        <f>INDEX(RatingLookup!$C$2:$C$11,MATCH(A370,RatingLookup!$A$2:$A$11,0))</f>
        <v>Investment Grade</v>
      </c>
    </row>
    <row r="371" spans="1:36" x14ac:dyDescent="0.3">
      <c r="A371" s="3" t="s">
        <v>42</v>
      </c>
      <c r="B371" s="3" t="s">
        <v>506</v>
      </c>
      <c r="C371" s="3" t="s">
        <v>507</v>
      </c>
      <c r="D371" s="3" t="s">
        <v>60</v>
      </c>
      <c r="E371" s="3" t="s">
        <v>510</v>
      </c>
      <c r="F371" s="3" t="s">
        <v>53</v>
      </c>
      <c r="G371" s="3">
        <v>1.494999693</v>
      </c>
      <c r="H371" s="3">
        <v>0.90785937800000005</v>
      </c>
      <c r="I371" s="3">
        <v>0.31913438999999999</v>
      </c>
      <c r="J371" s="3">
        <v>4697.7660509999996</v>
      </c>
      <c r="K371" s="3">
        <v>11.487316</v>
      </c>
      <c r="L371" s="3">
        <v>18.89802693</v>
      </c>
      <c r="M371" s="3">
        <v>1</v>
      </c>
      <c r="N371" s="3">
        <v>29.472471030000001</v>
      </c>
      <c r="O371" s="3">
        <v>2.0722922000000001E-2</v>
      </c>
      <c r="P371" s="3">
        <v>3.6440697000000001E-2</v>
      </c>
      <c r="Q371" s="3">
        <v>5.0889057000000001E-2</v>
      </c>
      <c r="R371" s="3">
        <v>1.8039830000000001E-3</v>
      </c>
      <c r="S371" s="3">
        <v>2.0692660000000002E-3</v>
      </c>
      <c r="T371" s="3">
        <v>1.455689241</v>
      </c>
      <c r="U371" s="3">
        <v>0.59278235099999999</v>
      </c>
      <c r="V371" s="3">
        <v>0.34900085199999997</v>
      </c>
      <c r="W371" s="3">
        <v>-0.70476459599999997</v>
      </c>
      <c r="X371" s="3">
        <v>-3.8666078509999999</v>
      </c>
      <c r="Y371" s="3">
        <v>2.0881238350000002</v>
      </c>
      <c r="Z371" s="3">
        <v>2.455689241</v>
      </c>
      <c r="AA371" s="3">
        <v>18.89802693</v>
      </c>
      <c r="AB371" s="3">
        <v>7.5125740529999998</v>
      </c>
      <c r="AC371" s="3">
        <v>5.486382077</v>
      </c>
      <c r="AD371" s="3">
        <v>51.416661449999999</v>
      </c>
      <c r="AE371" s="3">
        <v>0</v>
      </c>
      <c r="AF371" s="4">
        <v>41354</v>
      </c>
      <c r="AG371" s="5">
        <f>YEAR(AF371)</f>
        <v>2013</v>
      </c>
      <c r="AH371" s="5" t="str">
        <f>"Q"&amp;ROUNDUP(MONTH(AF371)/3,0)</f>
        <v>Q1</v>
      </c>
      <c r="AI371" s="5">
        <f>INDEX(RatingLookup!$B$2:$B$11,MATCH(A371,RatingLookup!$A$2:$A$11,0))</f>
        <v>7</v>
      </c>
      <c r="AJ371" s="5" t="str">
        <f>INDEX(RatingLookup!$C$2:$C$11,MATCH(A371,RatingLookup!$A$2:$A$11,0))</f>
        <v>Investment Grade</v>
      </c>
    </row>
    <row r="372" spans="1:36" x14ac:dyDescent="0.3">
      <c r="A372" s="3" t="s">
        <v>42</v>
      </c>
      <c r="B372" s="3" t="s">
        <v>506</v>
      </c>
      <c r="C372" s="3" t="s">
        <v>507</v>
      </c>
      <c r="D372" s="3" t="s">
        <v>47</v>
      </c>
      <c r="E372" s="3" t="s">
        <v>511</v>
      </c>
      <c r="F372" s="3" t="s">
        <v>53</v>
      </c>
      <c r="G372" s="3">
        <v>1.3868713399999999</v>
      </c>
      <c r="H372" s="3">
        <v>0.26542252399999999</v>
      </c>
      <c r="I372" s="3">
        <v>0</v>
      </c>
      <c r="J372" s="3">
        <v>49868.164779999999</v>
      </c>
      <c r="K372" s="3">
        <v>198.5178727</v>
      </c>
      <c r="L372" s="3">
        <v>309.69485609999998</v>
      </c>
      <c r="M372" s="3">
        <v>1</v>
      </c>
      <c r="N372" s="3">
        <v>410.18221449999999</v>
      </c>
      <c r="O372" s="3">
        <v>3.2077479999999998E-2</v>
      </c>
      <c r="P372" s="3">
        <v>5.4637009E-2</v>
      </c>
      <c r="Q372" s="3">
        <v>7.3959884000000004E-2</v>
      </c>
      <c r="R372" s="3">
        <v>1.6158500000000001E-4</v>
      </c>
      <c r="S372" s="3">
        <v>1.9407499999999999E-4</v>
      </c>
      <c r="T372" s="3">
        <v>1.3056638270000001</v>
      </c>
      <c r="U372" s="3">
        <v>0.56628542800000004</v>
      </c>
      <c r="V372" s="3">
        <v>0.358988796</v>
      </c>
      <c r="W372" s="3">
        <v>-0.57891457899999998</v>
      </c>
      <c r="X372" s="3">
        <v>-3.1648783730000001</v>
      </c>
      <c r="Y372" s="3">
        <v>1.2072713000000001E-2</v>
      </c>
      <c r="Z372" s="3">
        <v>2.3056638270000001</v>
      </c>
      <c r="AA372" s="3">
        <v>309.69485609999998</v>
      </c>
      <c r="AB372" s="3">
        <v>7.5729459309999996</v>
      </c>
      <c r="AC372" s="3">
        <v>5.4669177199999996</v>
      </c>
      <c r="AD372" s="3">
        <v>688.52659110000002</v>
      </c>
      <c r="AE372" s="3">
        <v>0</v>
      </c>
      <c r="AF372" s="4">
        <v>40644</v>
      </c>
      <c r="AG372" s="5">
        <f>YEAR(AF372)</f>
        <v>2011</v>
      </c>
      <c r="AH372" s="5" t="str">
        <f>"Q"&amp;ROUNDUP(MONTH(AF372)/3,0)</f>
        <v>Q2</v>
      </c>
      <c r="AI372" s="5">
        <f>INDEX(RatingLookup!$B$2:$B$11,MATCH(A372,RatingLookup!$A$2:$A$11,0))</f>
        <v>7</v>
      </c>
      <c r="AJ372" s="5" t="str">
        <f>INDEX(RatingLookup!$C$2:$C$11,MATCH(A372,RatingLookup!$A$2:$A$11,0))</f>
        <v>Investment Grade</v>
      </c>
    </row>
    <row r="373" spans="1:36" x14ac:dyDescent="0.3">
      <c r="A373" s="3" t="s">
        <v>36</v>
      </c>
      <c r="B373" s="3" t="s">
        <v>512</v>
      </c>
      <c r="C373" s="3" t="s">
        <v>513</v>
      </c>
      <c r="D373" s="3" t="s">
        <v>39</v>
      </c>
      <c r="E373" s="3" t="s">
        <v>351</v>
      </c>
      <c r="F373" s="3" t="s">
        <v>174</v>
      </c>
      <c r="G373" s="3">
        <v>1.167985176</v>
      </c>
      <c r="H373" s="3">
        <v>0.47216876899999999</v>
      </c>
      <c r="I373" s="3">
        <v>4.6611075000000002E-2</v>
      </c>
      <c r="J373" s="3">
        <v>29.085073869999999</v>
      </c>
      <c r="K373" s="3">
        <v>4.0913494000000002E-2</v>
      </c>
      <c r="L373" s="3">
        <v>6.2877722999999996E-2</v>
      </c>
      <c r="M373" s="3">
        <v>0.310132195</v>
      </c>
      <c r="N373" s="3">
        <v>6.2877722999999996E-2</v>
      </c>
      <c r="O373" s="3">
        <v>6.2267716000000001E-2</v>
      </c>
      <c r="P373" s="3">
        <v>0.13503457199999999</v>
      </c>
      <c r="Q373" s="3">
        <v>0.181120908</v>
      </c>
      <c r="R373" s="3">
        <v>1.521935926</v>
      </c>
      <c r="S373" s="3">
        <v>2.3913156949999999</v>
      </c>
      <c r="T373" s="3">
        <v>1.9087450180000001</v>
      </c>
      <c r="U373" s="3">
        <v>0.65620912300000001</v>
      </c>
      <c r="V373" s="3">
        <v>0.34931655499999997</v>
      </c>
      <c r="W373" s="3">
        <v>0.38460093899999998</v>
      </c>
      <c r="X373" s="3">
        <v>3.1219512200000001</v>
      </c>
      <c r="Y373" s="3">
        <v>1.195121951</v>
      </c>
      <c r="Z373" s="3">
        <v>2.9087450179999998</v>
      </c>
      <c r="AA373" s="3">
        <v>6.2877722999999996E-2</v>
      </c>
      <c r="AB373" s="3">
        <v>8.7519834099999994</v>
      </c>
      <c r="AC373" s="3">
        <v>8.1173780489999992</v>
      </c>
      <c r="AD373" s="3">
        <v>7.2645665999999998E-2</v>
      </c>
      <c r="AE373" s="3">
        <v>7.1666666670000003</v>
      </c>
      <c r="AF373" s="4">
        <v>41736</v>
      </c>
      <c r="AG373" s="5">
        <f>YEAR(AF373)</f>
        <v>2014</v>
      </c>
      <c r="AH373" s="5" t="str">
        <f>"Q"&amp;ROUNDUP(MONTH(AF373)/3,0)</f>
        <v>Q2</v>
      </c>
      <c r="AI373" s="5">
        <f>INDEX(RatingLookup!$B$2:$B$11,MATCH(A373,RatingLookup!$A$2:$A$11,0))</f>
        <v>8</v>
      </c>
      <c r="AJ373" s="5" t="str">
        <f>INDEX(RatingLookup!$C$2:$C$11,MATCH(A373,RatingLookup!$A$2:$A$11,0))</f>
        <v>Investment Grade</v>
      </c>
    </row>
    <row r="374" spans="1:36" x14ac:dyDescent="0.3">
      <c r="A374" s="3" t="s">
        <v>36</v>
      </c>
      <c r="B374" s="3" t="s">
        <v>512</v>
      </c>
      <c r="C374" s="3" t="s">
        <v>513</v>
      </c>
      <c r="D374" s="3" t="s">
        <v>39</v>
      </c>
      <c r="E374" s="3" t="s">
        <v>514</v>
      </c>
      <c r="F374" s="3" t="s">
        <v>174</v>
      </c>
      <c r="G374" s="3">
        <v>0.90576817700000001</v>
      </c>
      <c r="H374" s="3">
        <v>5.4394615E-2</v>
      </c>
      <c r="I374" s="3">
        <v>5.4159817999999998E-2</v>
      </c>
      <c r="J374" s="3">
        <v>0</v>
      </c>
      <c r="K374" s="3">
        <v>2.7150256000000001E-2</v>
      </c>
      <c r="L374" s="3">
        <v>4.2743402E-2</v>
      </c>
      <c r="M374" s="3">
        <v>0.29527797700000002</v>
      </c>
      <c r="N374" s="3">
        <v>4.2743402E-2</v>
      </c>
      <c r="O374" s="3">
        <v>4.4239445000000002E-2</v>
      </c>
      <c r="P374" s="3">
        <v>9.7652316000000003E-2</v>
      </c>
      <c r="Q374" s="3">
        <v>0.121434292</v>
      </c>
      <c r="R374" s="3">
        <v>1.6294301170000001</v>
      </c>
      <c r="S374" s="3">
        <v>2.3135955130000001</v>
      </c>
      <c r="T374" s="3">
        <v>1.744932537</v>
      </c>
      <c r="U374" s="3">
        <v>0.63569232200000003</v>
      </c>
      <c r="V374" s="3">
        <v>0.36480825</v>
      </c>
      <c r="W374" s="3">
        <v>0.47039877299999999</v>
      </c>
      <c r="X374" s="3">
        <v>4.8299212599999999</v>
      </c>
      <c r="Y374" s="3">
        <v>1.094488189</v>
      </c>
      <c r="Z374" s="3">
        <v>2.744932537</v>
      </c>
      <c r="AA374" s="3">
        <v>4.2743402E-2</v>
      </c>
      <c r="AB374" s="3">
        <v>9.8300037549999999</v>
      </c>
      <c r="AC374" s="3">
        <v>10.26771654</v>
      </c>
      <c r="AD374" s="3">
        <v>8.9812111E-2</v>
      </c>
      <c r="AE374" s="3">
        <v>6.6588572170000004</v>
      </c>
      <c r="AF374" s="4">
        <v>42009</v>
      </c>
      <c r="AG374" s="5">
        <f>YEAR(AF374)</f>
        <v>2015</v>
      </c>
      <c r="AH374" s="5" t="str">
        <f>"Q"&amp;ROUNDUP(MONTH(AF374)/3,0)</f>
        <v>Q1</v>
      </c>
      <c r="AI374" s="5">
        <f>INDEX(RatingLookup!$B$2:$B$11,MATCH(A374,RatingLookup!$A$2:$A$11,0))</f>
        <v>8</v>
      </c>
      <c r="AJ374" s="5" t="str">
        <f>INDEX(RatingLookup!$C$2:$C$11,MATCH(A374,RatingLookup!$A$2:$A$11,0))</f>
        <v>Investment Grade</v>
      </c>
    </row>
    <row r="375" spans="1:36" x14ac:dyDescent="0.3">
      <c r="A375" s="3" t="s">
        <v>36</v>
      </c>
      <c r="B375" s="3" t="s">
        <v>512</v>
      </c>
      <c r="C375" s="3" t="s">
        <v>513</v>
      </c>
      <c r="D375" s="3" t="s">
        <v>60</v>
      </c>
      <c r="E375" s="3" t="s">
        <v>46</v>
      </c>
      <c r="F375" s="3" t="s">
        <v>174</v>
      </c>
      <c r="G375" s="3">
        <v>1.7093346570000001</v>
      </c>
      <c r="H375" s="3">
        <v>0.17000993</v>
      </c>
      <c r="I375" s="3">
        <v>5.7894737000000002E-2</v>
      </c>
      <c r="J375" s="3">
        <v>0</v>
      </c>
      <c r="K375" s="3">
        <v>4.3329870999999999E-2</v>
      </c>
      <c r="L375" s="3">
        <v>6.6701290999999996E-2</v>
      </c>
      <c r="M375" s="3">
        <v>0.32148686700000001</v>
      </c>
      <c r="N375" s="3">
        <v>6.6701290999999996E-2</v>
      </c>
      <c r="O375" s="3">
        <v>6.6811577999999996E-2</v>
      </c>
      <c r="P375" s="3">
        <v>0.133640553</v>
      </c>
      <c r="Q375" s="3">
        <v>0.18854523100000001</v>
      </c>
      <c r="R375" s="3">
        <v>1.541928841</v>
      </c>
      <c r="S375" s="3">
        <v>2.6434707569999998</v>
      </c>
      <c r="T375" s="3">
        <v>1.822044295</v>
      </c>
      <c r="U375" s="3">
        <v>0.64564695100000002</v>
      </c>
      <c r="V375" s="3">
        <v>0.35038932099999998</v>
      </c>
      <c r="W375" s="3">
        <v>0.59609182299999997</v>
      </c>
      <c r="X375" s="3">
        <v>4.345781466</v>
      </c>
      <c r="Y375" s="3">
        <v>2.3679114800000001</v>
      </c>
      <c r="Z375" s="3">
        <v>2.822044295</v>
      </c>
      <c r="AA375" s="3">
        <v>6.6701290999999996E-2</v>
      </c>
      <c r="AB375" s="3">
        <v>7.4757029939999997</v>
      </c>
      <c r="AC375" s="3">
        <v>7.290456432</v>
      </c>
      <c r="AD375" s="3">
        <v>7.8216353000000002E-2</v>
      </c>
      <c r="AE375" s="3">
        <v>6.901886792</v>
      </c>
      <c r="AF375" s="4">
        <v>41075</v>
      </c>
      <c r="AG375" s="5">
        <f>YEAR(AF375)</f>
        <v>2012</v>
      </c>
      <c r="AH375" s="5" t="str">
        <f>"Q"&amp;ROUNDUP(MONTH(AF375)/3,0)</f>
        <v>Q2</v>
      </c>
      <c r="AI375" s="5">
        <f>INDEX(RatingLookup!$B$2:$B$11,MATCH(A375,RatingLookup!$A$2:$A$11,0))</f>
        <v>8</v>
      </c>
      <c r="AJ375" s="5" t="str">
        <f>INDEX(RatingLookup!$C$2:$C$11,MATCH(A375,RatingLookup!$A$2:$A$11,0))</f>
        <v>Investment Grade</v>
      </c>
    </row>
    <row r="376" spans="1:36" x14ac:dyDescent="0.3">
      <c r="A376" s="3" t="s">
        <v>36</v>
      </c>
      <c r="B376" s="3" t="s">
        <v>512</v>
      </c>
      <c r="C376" s="3" t="s">
        <v>513</v>
      </c>
      <c r="D376" s="3" t="s">
        <v>39</v>
      </c>
      <c r="E376" s="3" t="s">
        <v>515</v>
      </c>
      <c r="F376" s="3" t="s">
        <v>174</v>
      </c>
      <c r="G376" s="3">
        <v>1.2003237899999999</v>
      </c>
      <c r="H376" s="3">
        <v>0.31782549399999999</v>
      </c>
      <c r="I376" s="3">
        <v>0.188309475</v>
      </c>
      <c r="J376" s="3">
        <v>0</v>
      </c>
      <c r="K376" s="3">
        <v>-2.252885E-2</v>
      </c>
      <c r="L376" s="3">
        <v>5.0304332E-2</v>
      </c>
      <c r="M376" s="3">
        <v>0.29386653400000001</v>
      </c>
      <c r="N376" s="3">
        <v>5.0304332E-2</v>
      </c>
      <c r="O376" s="3">
        <v>-3.9513091E-2</v>
      </c>
      <c r="P376" s="3">
        <v>0.123129298</v>
      </c>
      <c r="Q376" s="3">
        <v>-0.116882189</v>
      </c>
      <c r="R376" s="3">
        <v>1.7538885129999999</v>
      </c>
      <c r="S376" s="3">
        <v>2.7975190689999998</v>
      </c>
      <c r="T376" s="3">
        <v>1.9580624419999999</v>
      </c>
      <c r="U376" s="3">
        <v>0.66194087499999998</v>
      </c>
      <c r="V376" s="3">
        <v>0.32959211599999999</v>
      </c>
      <c r="W376" s="3">
        <v>0.59765712999999998</v>
      </c>
      <c r="X376" s="3">
        <v>4.1845425870000001</v>
      </c>
      <c r="Y376" s="3">
        <v>5.8832807569999996</v>
      </c>
      <c r="Z376" s="3">
        <v>2.9580624420000001</v>
      </c>
      <c r="AA376" s="3">
        <v>5.0304332E-2</v>
      </c>
      <c r="AB376" s="3">
        <v>10.34851608</v>
      </c>
      <c r="AC376" s="3">
        <v>7.0015772869999999</v>
      </c>
      <c r="AD376" s="3">
        <v>6.1128095E-2</v>
      </c>
      <c r="AE376" s="3">
        <v>6.6088413460000002</v>
      </c>
      <c r="AF376" s="4">
        <v>42272</v>
      </c>
      <c r="AG376" s="5">
        <f>YEAR(AF376)</f>
        <v>2015</v>
      </c>
      <c r="AH376" s="5" t="str">
        <f>"Q"&amp;ROUNDUP(MONTH(AF376)/3,0)</f>
        <v>Q3</v>
      </c>
      <c r="AI376" s="5">
        <f>INDEX(RatingLookup!$B$2:$B$11,MATCH(A376,RatingLookup!$A$2:$A$11,0))</f>
        <v>8</v>
      </c>
      <c r="AJ376" s="5" t="str">
        <f>INDEX(RatingLookup!$C$2:$C$11,MATCH(A376,RatingLookup!$A$2:$A$11,0))</f>
        <v>Investment Grade</v>
      </c>
    </row>
    <row r="377" spans="1:36" x14ac:dyDescent="0.3">
      <c r="A377" s="3" t="s">
        <v>36</v>
      </c>
      <c r="B377" s="3" t="s">
        <v>512</v>
      </c>
      <c r="C377" s="3" t="s">
        <v>513</v>
      </c>
      <c r="D377" s="3" t="s">
        <v>47</v>
      </c>
      <c r="E377" s="3" t="s">
        <v>516</v>
      </c>
      <c r="F377" s="3" t="s">
        <v>174</v>
      </c>
      <c r="G377" s="3">
        <v>1.1513263810000001</v>
      </c>
      <c r="H377" s="3">
        <v>5.5574998E-2</v>
      </c>
      <c r="I377" s="3">
        <v>4.1996220000000001E-2</v>
      </c>
      <c r="J377" s="3">
        <v>0</v>
      </c>
      <c r="K377" s="3">
        <v>4.1923710000000003E-2</v>
      </c>
      <c r="L377" s="3">
        <v>6.3780146999999995E-2</v>
      </c>
      <c r="M377" s="3">
        <v>0.31496457500000002</v>
      </c>
      <c r="N377" s="3">
        <v>6.3780146999999995E-2</v>
      </c>
      <c r="O377" s="3">
        <v>6.2813639000000004E-2</v>
      </c>
      <c r="P377" s="3">
        <v>0.13777324299999999</v>
      </c>
      <c r="Q377" s="3">
        <v>0.18513368299999999</v>
      </c>
      <c r="R377" s="3">
        <v>1.498284366</v>
      </c>
      <c r="S377" s="3">
        <v>2.3968232189999998</v>
      </c>
      <c r="T377" s="3">
        <v>1.947348461</v>
      </c>
      <c r="U377" s="3">
        <v>0.66071198799999997</v>
      </c>
      <c r="V377" s="3">
        <v>0.34268402199999998</v>
      </c>
      <c r="W377" s="3">
        <v>0.19617224899999999</v>
      </c>
      <c r="X377" s="3">
        <v>1.5699558170000001</v>
      </c>
      <c r="Y377" s="3">
        <v>1.1693667160000001</v>
      </c>
      <c r="Z377" s="3">
        <v>2.9473484609999998</v>
      </c>
      <c r="AA377" s="3">
        <v>6.3780146999999995E-2</v>
      </c>
      <c r="AB377" s="3">
        <v>7.7656732960000001</v>
      </c>
      <c r="AC377" s="3">
        <v>8.0029455079999998</v>
      </c>
      <c r="AD377" s="3">
        <v>7.7778573000000004E-2</v>
      </c>
      <c r="AE377" s="3">
        <v>6.979728744</v>
      </c>
      <c r="AF377" s="4">
        <v>41393</v>
      </c>
      <c r="AG377" s="5">
        <f>YEAR(AF377)</f>
        <v>2013</v>
      </c>
      <c r="AH377" s="5" t="str">
        <f>"Q"&amp;ROUNDUP(MONTH(AF377)/3,0)</f>
        <v>Q2</v>
      </c>
      <c r="AI377" s="5">
        <f>INDEX(RatingLookup!$B$2:$B$11,MATCH(A377,RatingLookup!$A$2:$A$11,0))</f>
        <v>8</v>
      </c>
      <c r="AJ377" s="5" t="str">
        <f>INDEX(RatingLookup!$C$2:$C$11,MATCH(A377,RatingLookup!$A$2:$A$11,0))</f>
        <v>Investment Grade</v>
      </c>
    </row>
    <row r="378" spans="1:36" x14ac:dyDescent="0.3">
      <c r="A378" s="3" t="s">
        <v>36</v>
      </c>
      <c r="B378" s="3" t="s">
        <v>512</v>
      </c>
      <c r="C378" s="3" t="s">
        <v>513</v>
      </c>
      <c r="D378" s="3" t="s">
        <v>47</v>
      </c>
      <c r="E378" s="3" t="s">
        <v>104</v>
      </c>
      <c r="F378" s="3" t="s">
        <v>174</v>
      </c>
      <c r="G378" s="3">
        <v>1.626556017</v>
      </c>
      <c r="H378" s="3">
        <v>0.194226185</v>
      </c>
      <c r="I378" s="3">
        <v>5.1469938999999999E-2</v>
      </c>
      <c r="J378" s="3">
        <v>0</v>
      </c>
      <c r="K378" s="3">
        <v>3.8067842999999997E-2</v>
      </c>
      <c r="L378" s="3">
        <v>5.9243845000000003E-2</v>
      </c>
      <c r="M378" s="3">
        <v>0.325825849</v>
      </c>
      <c r="N378" s="3">
        <v>5.9243845000000003E-2</v>
      </c>
      <c r="O378" s="3">
        <v>5.5868682000000003E-2</v>
      </c>
      <c r="P378" s="3">
        <v>0.11660543299999999</v>
      </c>
      <c r="Q378" s="3">
        <v>0.16211637500000001</v>
      </c>
      <c r="R378" s="3">
        <v>1.46760829</v>
      </c>
      <c r="S378" s="3">
        <v>2.5853243670000001</v>
      </c>
      <c r="T378" s="3">
        <v>1.9017397540000001</v>
      </c>
      <c r="U378" s="3">
        <v>0.65537915700000005</v>
      </c>
      <c r="V378" s="3">
        <v>0.357438017</v>
      </c>
      <c r="W378" s="3">
        <v>0.70600238100000001</v>
      </c>
      <c r="X378" s="3">
        <v>5.5212765959999999</v>
      </c>
      <c r="Y378" s="3">
        <v>2.9255319150000001</v>
      </c>
      <c r="Z378" s="3">
        <v>2.9017397539999998</v>
      </c>
      <c r="AA378" s="3">
        <v>5.9243845000000003E-2</v>
      </c>
      <c r="AB378" s="3">
        <v>8.3705648850000003</v>
      </c>
      <c r="AC378" s="3">
        <v>7.8204787229999999</v>
      </c>
      <c r="AD378" s="3">
        <v>8.9982709999999994E-2</v>
      </c>
      <c r="AE378" s="3">
        <v>6.7673168480000001</v>
      </c>
      <c r="AF378" s="4">
        <v>40660</v>
      </c>
      <c r="AG378" s="5">
        <f>YEAR(AF378)</f>
        <v>2011</v>
      </c>
      <c r="AH378" s="5" t="str">
        <f>"Q"&amp;ROUNDUP(MONTH(AF378)/3,0)</f>
        <v>Q2</v>
      </c>
      <c r="AI378" s="5">
        <f>INDEX(RatingLookup!$B$2:$B$11,MATCH(A378,RatingLookup!$A$2:$A$11,0))</f>
        <v>8</v>
      </c>
      <c r="AJ378" s="5" t="str">
        <f>INDEX(RatingLookup!$C$2:$C$11,MATCH(A378,RatingLookup!$A$2:$A$11,0))</f>
        <v>Investment Grade</v>
      </c>
    </row>
    <row r="379" spans="1:36" x14ac:dyDescent="0.3">
      <c r="A379" s="3" t="s">
        <v>36</v>
      </c>
      <c r="B379" s="3" t="s">
        <v>517</v>
      </c>
      <c r="C379" s="3" t="s">
        <v>518</v>
      </c>
      <c r="D379" s="3" t="s">
        <v>39</v>
      </c>
      <c r="E379" s="3" t="s">
        <v>519</v>
      </c>
      <c r="F379" s="3" t="s">
        <v>113</v>
      </c>
      <c r="G379" s="3">
        <v>3.8154344309999999</v>
      </c>
      <c r="H379" s="3">
        <v>3.2473466449999999</v>
      </c>
      <c r="I379" s="3">
        <v>0.25238352200000003</v>
      </c>
      <c r="J379" s="3">
        <v>81.800352840000002</v>
      </c>
      <c r="K379" s="3">
        <v>0.18024110600000001</v>
      </c>
      <c r="L379" s="3">
        <v>0.21787709499999999</v>
      </c>
      <c r="M379" s="3">
        <v>0.74519259000000004</v>
      </c>
      <c r="N379" s="3">
        <v>0.22422816800000001</v>
      </c>
      <c r="O379" s="3">
        <v>8.0779062999999998E-2</v>
      </c>
      <c r="P379" s="3">
        <v>0.11774332999999999</v>
      </c>
      <c r="Q379" s="3">
        <v>0.15764028199999999</v>
      </c>
      <c r="R379" s="3">
        <v>0.44817225799999999</v>
      </c>
      <c r="S379" s="3">
        <v>7.1091137120000001</v>
      </c>
      <c r="T379" s="3">
        <v>0.95149925400000002</v>
      </c>
      <c r="U379" s="3">
        <v>0.48757346499999998</v>
      </c>
      <c r="V379" s="3">
        <v>0.172739541</v>
      </c>
      <c r="W379" s="3">
        <v>0.92014519100000003</v>
      </c>
      <c r="X379" s="3">
        <v>4.5592851310000002</v>
      </c>
      <c r="Y379" s="3">
        <v>14.22940599</v>
      </c>
      <c r="Z379" s="3">
        <v>1.951499254</v>
      </c>
      <c r="AA379" s="3">
        <v>0.22422816800000001</v>
      </c>
      <c r="AB379" s="3">
        <v>14.98248102</v>
      </c>
      <c r="AC379" s="3">
        <v>4.9549627359999997</v>
      </c>
      <c r="AD379" s="3">
        <v>0.29162011199999999</v>
      </c>
      <c r="AE379" s="3">
        <v>5.8396226420000001</v>
      </c>
      <c r="AF379" s="4">
        <v>42080</v>
      </c>
      <c r="AG379" s="5">
        <f>YEAR(AF379)</f>
        <v>2015</v>
      </c>
      <c r="AH379" s="5" t="str">
        <f>"Q"&amp;ROUNDUP(MONTH(AF379)/3,0)</f>
        <v>Q1</v>
      </c>
      <c r="AI379" s="5">
        <f>INDEX(RatingLookup!$B$2:$B$11,MATCH(A379,RatingLookup!$A$2:$A$11,0))</f>
        <v>8</v>
      </c>
      <c r="AJ379" s="5" t="str">
        <f>INDEX(RatingLookup!$C$2:$C$11,MATCH(A379,RatingLookup!$A$2:$A$11,0))</f>
        <v>Investment Grade</v>
      </c>
    </row>
    <row r="380" spans="1:36" x14ac:dyDescent="0.3">
      <c r="A380" s="3" t="s">
        <v>36</v>
      </c>
      <c r="B380" s="3" t="s">
        <v>517</v>
      </c>
      <c r="C380" s="3" t="s">
        <v>518</v>
      </c>
      <c r="D380" s="3" t="s">
        <v>39</v>
      </c>
      <c r="E380" s="3" t="s">
        <v>405</v>
      </c>
      <c r="F380" s="3" t="s">
        <v>113</v>
      </c>
      <c r="G380" s="3">
        <v>4.5194936710000002</v>
      </c>
      <c r="H380" s="3">
        <v>3.761265823</v>
      </c>
      <c r="I380" s="3">
        <v>0.23265822799999999</v>
      </c>
      <c r="J380" s="3">
        <v>81.998493069999995</v>
      </c>
      <c r="K380" s="3">
        <v>0.208981314</v>
      </c>
      <c r="L380" s="3">
        <v>0.25623869799999999</v>
      </c>
      <c r="M380" s="3">
        <v>0.75129596099999996</v>
      </c>
      <c r="N380" s="3">
        <v>0.26534056700000003</v>
      </c>
      <c r="O380" s="3">
        <v>9.9340973999999999E-2</v>
      </c>
      <c r="P380" s="3">
        <v>0.142229402</v>
      </c>
      <c r="Q380" s="3">
        <v>0.185689036</v>
      </c>
      <c r="R380" s="3">
        <v>0.47535816600000003</v>
      </c>
      <c r="S380" s="3">
        <v>6.6626506020000003</v>
      </c>
      <c r="T380" s="3">
        <v>0.86920893399999999</v>
      </c>
      <c r="U380" s="3">
        <v>0.46501432700000001</v>
      </c>
      <c r="V380" s="3">
        <v>0.18442719399999999</v>
      </c>
      <c r="W380" s="3">
        <v>0.907527317</v>
      </c>
      <c r="X380" s="3">
        <v>4.4239234019999998</v>
      </c>
      <c r="Y380" s="3">
        <v>10.978431990000001</v>
      </c>
      <c r="Z380" s="3">
        <v>1.869208934</v>
      </c>
      <c r="AA380" s="3">
        <v>0.26534056700000003</v>
      </c>
      <c r="AB380" s="3">
        <v>10.89719483</v>
      </c>
      <c r="AC380" s="3">
        <v>4.8746999889999998</v>
      </c>
      <c r="AD380" s="3">
        <v>0.29789029500000003</v>
      </c>
      <c r="AE380" s="3">
        <v>6.0587371509999999</v>
      </c>
      <c r="AF380" s="4">
        <v>41718</v>
      </c>
      <c r="AG380" s="5">
        <f>YEAR(AF380)</f>
        <v>2014</v>
      </c>
      <c r="AH380" s="5" t="str">
        <f>"Q"&amp;ROUNDUP(MONTH(AF380)/3,0)</f>
        <v>Q1</v>
      </c>
      <c r="AI380" s="5">
        <f>INDEX(RatingLookup!$B$2:$B$11,MATCH(A380,RatingLookup!$A$2:$A$11,0))</f>
        <v>8</v>
      </c>
      <c r="AJ380" s="5" t="str">
        <f>INDEX(RatingLookup!$C$2:$C$11,MATCH(A380,RatingLookup!$A$2:$A$11,0))</f>
        <v>Investment Grade</v>
      </c>
    </row>
    <row r="381" spans="1:36" x14ac:dyDescent="0.3">
      <c r="A381" s="3" t="s">
        <v>36</v>
      </c>
      <c r="B381" s="3" t="s">
        <v>517</v>
      </c>
      <c r="C381" s="3" t="s">
        <v>518</v>
      </c>
      <c r="D381" s="3" t="s">
        <v>39</v>
      </c>
      <c r="E381" s="3" t="s">
        <v>520</v>
      </c>
      <c r="F381" s="3" t="s">
        <v>113</v>
      </c>
      <c r="G381" s="3">
        <v>2.7562004390000001</v>
      </c>
      <c r="H381" s="3">
        <v>2.2200101229999998</v>
      </c>
      <c r="I381" s="3">
        <v>0.19773916</v>
      </c>
      <c r="J381" s="3">
        <v>85.882352940000004</v>
      </c>
      <c r="K381" s="3">
        <v>0.22349233800000001</v>
      </c>
      <c r="L381" s="3">
        <v>0.26859861600000001</v>
      </c>
      <c r="M381" s="3">
        <v>0.75970093900000002</v>
      </c>
      <c r="N381" s="3">
        <v>0.26532377699999998</v>
      </c>
      <c r="O381" s="3">
        <v>0.110213907</v>
      </c>
      <c r="P381" s="3">
        <v>0.167193485</v>
      </c>
      <c r="Q381" s="3">
        <v>0.21135978499999999</v>
      </c>
      <c r="R381" s="3">
        <v>0.49314400600000002</v>
      </c>
      <c r="S381" s="3">
        <v>6.5442782050000003</v>
      </c>
      <c r="T381" s="3">
        <v>0.91772336799999998</v>
      </c>
      <c r="U381" s="3">
        <v>0.47854835800000001</v>
      </c>
      <c r="V381" s="3">
        <v>0.16793190699999999</v>
      </c>
      <c r="W381" s="3">
        <v>0.89172259499999995</v>
      </c>
      <c r="X381" s="3">
        <v>3.8305172299999999</v>
      </c>
      <c r="Y381" s="3">
        <v>8.9852825129999996</v>
      </c>
      <c r="Z381" s="3">
        <v>1.9177233680000001</v>
      </c>
      <c r="AA381" s="3">
        <v>0.27780524000000001</v>
      </c>
      <c r="AB381" s="3">
        <v>9.4768044620000005</v>
      </c>
      <c r="AC381" s="3">
        <v>4.2956377359999998</v>
      </c>
      <c r="AD381" s="3">
        <v>0.27619871499999998</v>
      </c>
      <c r="AE381" s="3">
        <v>6.8831858410000004</v>
      </c>
      <c r="AF381" s="4">
        <v>41446</v>
      </c>
      <c r="AG381" s="5">
        <f>YEAR(AF381)</f>
        <v>2013</v>
      </c>
      <c r="AH381" s="5" t="str">
        <f>"Q"&amp;ROUNDUP(MONTH(AF381)/3,0)</f>
        <v>Q2</v>
      </c>
      <c r="AI381" s="5">
        <f>INDEX(RatingLookup!$B$2:$B$11,MATCH(A381,RatingLookup!$A$2:$A$11,0))</f>
        <v>8</v>
      </c>
      <c r="AJ381" s="5" t="str">
        <f>INDEX(RatingLookup!$C$2:$C$11,MATCH(A381,RatingLookup!$A$2:$A$11,0))</f>
        <v>Investment Grade</v>
      </c>
    </row>
    <row r="382" spans="1:36" x14ac:dyDescent="0.3">
      <c r="A382" s="3" t="s">
        <v>36</v>
      </c>
      <c r="B382" s="3" t="s">
        <v>517</v>
      </c>
      <c r="C382" s="3" t="s">
        <v>518</v>
      </c>
      <c r="D382" s="3" t="s">
        <v>39</v>
      </c>
      <c r="E382" s="3" t="s">
        <v>521</v>
      </c>
      <c r="F382" s="3" t="s">
        <v>113</v>
      </c>
      <c r="G382" s="3">
        <v>3.3624768340000002</v>
      </c>
      <c r="H382" s="3">
        <v>2.68091137</v>
      </c>
      <c r="I382" s="3">
        <v>0.52796249900000003</v>
      </c>
      <c r="J382" s="3">
        <v>92.092196830000006</v>
      </c>
      <c r="K382" s="3">
        <v>0.13202704700000001</v>
      </c>
      <c r="L382" s="3">
        <v>0.17205468600000001</v>
      </c>
      <c r="M382" s="3">
        <v>0.68861359300000002</v>
      </c>
      <c r="N382" s="3">
        <v>0.18587434</v>
      </c>
      <c r="O382" s="3">
        <v>2.5073814999999999E-2</v>
      </c>
      <c r="P382" s="3">
        <v>3.5749445999999997E-2</v>
      </c>
      <c r="Q382" s="3">
        <v>5.0253616000000001E-2</v>
      </c>
      <c r="R382" s="3">
        <v>0.18991423299999999</v>
      </c>
      <c r="S382" s="3">
        <v>4.3117684609999998</v>
      </c>
      <c r="T382" s="3">
        <v>1.0042269399999999</v>
      </c>
      <c r="U382" s="3">
        <v>0.50105450600000001</v>
      </c>
      <c r="V382" s="3">
        <v>0.23264486500000001</v>
      </c>
      <c r="W382" s="3">
        <v>0.88351693200000003</v>
      </c>
      <c r="X382" s="3">
        <v>3.9552511419999998</v>
      </c>
      <c r="Y382" s="3">
        <v>17.789954340000001</v>
      </c>
      <c r="Z382" s="3">
        <v>2.0042269400000001</v>
      </c>
      <c r="AA382" s="3">
        <v>0.17205468600000001</v>
      </c>
      <c r="AB382" s="3">
        <v>22.641006220000001</v>
      </c>
      <c r="AC382" s="3">
        <v>4.4767123289999997</v>
      </c>
      <c r="AD382" s="3">
        <v>0.24194264800000001</v>
      </c>
      <c r="AE382" s="3">
        <v>3.9186335400000001</v>
      </c>
      <c r="AF382" s="4">
        <v>42276</v>
      </c>
      <c r="AG382" s="5">
        <f>YEAR(AF382)</f>
        <v>2015</v>
      </c>
      <c r="AH382" s="5" t="str">
        <f>"Q"&amp;ROUNDUP(MONTH(AF382)/3,0)</f>
        <v>Q3</v>
      </c>
      <c r="AI382" s="5">
        <f>INDEX(RatingLookup!$B$2:$B$11,MATCH(A382,RatingLookup!$A$2:$A$11,0))</f>
        <v>8</v>
      </c>
      <c r="AJ382" s="5" t="str">
        <f>INDEX(RatingLookup!$C$2:$C$11,MATCH(A382,RatingLookup!$A$2:$A$11,0))</f>
        <v>Investment Grade</v>
      </c>
    </row>
    <row r="383" spans="1:36" x14ac:dyDescent="0.3">
      <c r="A383" s="3" t="s">
        <v>42</v>
      </c>
      <c r="B383" s="3" t="s">
        <v>522</v>
      </c>
      <c r="C383" s="3" t="s">
        <v>523</v>
      </c>
      <c r="D383" s="3" t="s">
        <v>39</v>
      </c>
      <c r="E383" s="3" t="s">
        <v>195</v>
      </c>
      <c r="F383" s="3" t="s">
        <v>53</v>
      </c>
      <c r="G383" s="3">
        <v>1.27375064</v>
      </c>
      <c r="H383" s="3">
        <v>1.231963159</v>
      </c>
      <c r="I383" s="3">
        <v>0.70066518799999999</v>
      </c>
      <c r="J383" s="3">
        <v>38.95470383</v>
      </c>
      <c r="K383" s="3">
        <v>9.1499211999999996E-2</v>
      </c>
      <c r="L383" s="3">
        <v>0.15273734</v>
      </c>
      <c r="M383" s="3">
        <v>1</v>
      </c>
      <c r="N383" s="3">
        <v>0.16595866500000001</v>
      </c>
      <c r="O383" s="3">
        <v>4.704179E-2</v>
      </c>
      <c r="P383" s="3">
        <v>9.1722081999999996E-2</v>
      </c>
      <c r="Q383" s="3">
        <v>0.11341182</v>
      </c>
      <c r="R383" s="3">
        <v>0.51412235299999998</v>
      </c>
      <c r="S383" s="3">
        <v>0.64434876200000002</v>
      </c>
      <c r="T383" s="3">
        <v>1.4108738089999999</v>
      </c>
      <c r="U383" s="3">
        <v>0.58521263300000004</v>
      </c>
      <c r="V383" s="3">
        <v>0.35749999999999998</v>
      </c>
      <c r="W383" s="3">
        <v>-0.43871385400000001</v>
      </c>
      <c r="X383" s="3">
        <v>-3.084977238</v>
      </c>
      <c r="Y383" s="3">
        <v>7.5675265549999997</v>
      </c>
      <c r="Z383" s="3">
        <v>2.4108738089999999</v>
      </c>
      <c r="AA383" s="3">
        <v>0.15273734</v>
      </c>
      <c r="AB383" s="3">
        <v>3.1393335420000001</v>
      </c>
      <c r="AC383" s="3">
        <v>7.0318664640000001</v>
      </c>
      <c r="AD383" s="3">
        <v>0.22118276000000001</v>
      </c>
      <c r="AE383" s="3">
        <v>0</v>
      </c>
      <c r="AF383" s="4">
        <v>41983</v>
      </c>
      <c r="AG383" s="5">
        <f>YEAR(AF383)</f>
        <v>2014</v>
      </c>
      <c r="AH383" s="5" t="str">
        <f>"Q"&amp;ROUNDUP(MONTH(AF383)/3,0)</f>
        <v>Q4</v>
      </c>
      <c r="AI383" s="5">
        <f>INDEX(RatingLookup!$B$2:$B$11,MATCH(A383,RatingLookup!$A$2:$A$11,0))</f>
        <v>7</v>
      </c>
      <c r="AJ383" s="5" t="str">
        <f>INDEX(RatingLookup!$C$2:$C$11,MATCH(A383,RatingLookup!$A$2:$A$11,0))</f>
        <v>Investment Grade</v>
      </c>
    </row>
    <row r="384" spans="1:36" x14ac:dyDescent="0.3">
      <c r="A384" s="3" t="s">
        <v>109</v>
      </c>
      <c r="B384" s="3" t="s">
        <v>522</v>
      </c>
      <c r="C384" s="3" t="s">
        <v>523</v>
      </c>
      <c r="D384" s="3" t="s">
        <v>39</v>
      </c>
      <c r="E384" s="3" t="s">
        <v>524</v>
      </c>
      <c r="F384" s="3" t="s">
        <v>53</v>
      </c>
      <c r="G384" s="3">
        <v>0.67299864300000001</v>
      </c>
      <c r="H384" s="3">
        <v>0.62957937600000002</v>
      </c>
      <c r="I384" s="3">
        <v>0.22388059699999999</v>
      </c>
      <c r="J384" s="3">
        <v>32.284942020000003</v>
      </c>
      <c r="K384" s="3">
        <v>-1.1505014099999999</v>
      </c>
      <c r="L384" s="3">
        <v>-1.496239423</v>
      </c>
      <c r="M384" s="3">
        <v>1</v>
      </c>
      <c r="N384" s="3">
        <v>-1.482215606</v>
      </c>
      <c r="O384" s="3">
        <v>-0.84605634600000001</v>
      </c>
      <c r="P384" s="3">
        <v>-1.396869514</v>
      </c>
      <c r="Q384" s="3">
        <v>-6.8685687560000002</v>
      </c>
      <c r="R384" s="3">
        <v>0.73538053800000003</v>
      </c>
      <c r="S384" s="3">
        <v>0.89271226699999995</v>
      </c>
      <c r="T384" s="3">
        <v>7.118334892</v>
      </c>
      <c r="U384" s="3">
        <v>0.876822031</v>
      </c>
      <c r="V384" s="3">
        <v>0.233689392</v>
      </c>
      <c r="W384" s="3">
        <v>-1.917341977</v>
      </c>
      <c r="X384" s="3">
        <v>-3.574018127</v>
      </c>
      <c r="Y384" s="3">
        <v>1.7990936559999999</v>
      </c>
      <c r="Z384" s="3">
        <v>8.118334892</v>
      </c>
      <c r="AA384" s="3">
        <v>-1.496239423</v>
      </c>
      <c r="AB384" s="3">
        <v>-0.72823127600000004</v>
      </c>
      <c r="AC384" s="3">
        <v>1.8640483379999999</v>
      </c>
      <c r="AD384" s="3">
        <v>9.6678157000000001E-2</v>
      </c>
      <c r="AE384" s="3">
        <v>0</v>
      </c>
      <c r="AF384" s="4">
        <v>42325</v>
      </c>
      <c r="AG384" s="5">
        <f>YEAR(AF384)</f>
        <v>2015</v>
      </c>
      <c r="AH384" s="5" t="str">
        <f>"Q"&amp;ROUNDUP(MONTH(AF384)/3,0)</f>
        <v>Q4</v>
      </c>
      <c r="AI384" s="5">
        <f>INDEX(RatingLookup!$B$2:$B$11,MATCH(A384,RatingLookup!$A$2:$A$11,0))</f>
        <v>5</v>
      </c>
      <c r="AJ384" s="5" t="str">
        <f>INDEX(RatingLookup!$C$2:$C$11,MATCH(A384,RatingLookup!$A$2:$A$11,0))</f>
        <v>Speculative Grade</v>
      </c>
    </row>
    <row r="385" spans="1:36" x14ac:dyDescent="0.3">
      <c r="A385" s="3" t="s">
        <v>42</v>
      </c>
      <c r="B385" s="3" t="s">
        <v>522</v>
      </c>
      <c r="C385" s="3" t="s">
        <v>523</v>
      </c>
      <c r="D385" s="3" t="s">
        <v>39</v>
      </c>
      <c r="E385" s="3" t="s">
        <v>525</v>
      </c>
      <c r="F385" s="3" t="s">
        <v>53</v>
      </c>
      <c r="G385" s="3">
        <v>0.66291931100000001</v>
      </c>
      <c r="H385" s="3">
        <v>0.64116047099999995</v>
      </c>
      <c r="I385" s="3">
        <v>0.15176790600000001</v>
      </c>
      <c r="J385" s="3">
        <v>46.328687309999999</v>
      </c>
      <c r="K385" s="3">
        <v>4.1357248999999999E-2</v>
      </c>
      <c r="L385" s="3">
        <v>8.2371758000000003E-2</v>
      </c>
      <c r="M385" s="3">
        <v>1</v>
      </c>
      <c r="N385" s="3">
        <v>0.11818805</v>
      </c>
      <c r="O385" s="3">
        <v>1.7328036000000002E-2</v>
      </c>
      <c r="P385" s="3">
        <v>3.9760664000000001E-2</v>
      </c>
      <c r="Q385" s="3">
        <v>4.5264144999999999E-2</v>
      </c>
      <c r="R385" s="3">
        <v>0.418984252</v>
      </c>
      <c r="S385" s="3">
        <v>0.47142780200000001</v>
      </c>
      <c r="T385" s="3">
        <v>1.61219131</v>
      </c>
      <c r="U385" s="3">
        <v>0.61717964700000005</v>
      </c>
      <c r="V385" s="3">
        <v>0.38002773899999998</v>
      </c>
      <c r="W385" s="3">
        <v>-0.55830082400000003</v>
      </c>
      <c r="X385" s="3">
        <v>-3.9448698320000002</v>
      </c>
      <c r="Y385" s="3">
        <v>2.0122511489999999</v>
      </c>
      <c r="Z385" s="3">
        <v>2.61219131</v>
      </c>
      <c r="AA385" s="3">
        <v>8.2371758000000003E-2</v>
      </c>
      <c r="AB385" s="3">
        <v>5.7763656479999996</v>
      </c>
      <c r="AC385" s="3">
        <v>7.065849923</v>
      </c>
      <c r="AD385" s="3">
        <v>0.26356677699999997</v>
      </c>
      <c r="AE385" s="3">
        <v>0</v>
      </c>
      <c r="AF385" s="4">
        <v>41719</v>
      </c>
      <c r="AG385" s="5">
        <f>YEAR(AF385)</f>
        <v>2014</v>
      </c>
      <c r="AH385" s="5" t="str">
        <f>"Q"&amp;ROUNDUP(MONTH(AF385)/3,0)</f>
        <v>Q1</v>
      </c>
      <c r="AI385" s="5">
        <f>INDEX(RatingLookup!$B$2:$B$11,MATCH(A385,RatingLookup!$A$2:$A$11,0))</f>
        <v>7</v>
      </c>
      <c r="AJ385" s="5" t="str">
        <f>INDEX(RatingLookup!$C$2:$C$11,MATCH(A385,RatingLookup!$A$2:$A$11,0))</f>
        <v>Investment Grade</v>
      </c>
    </row>
    <row r="386" spans="1:36" x14ac:dyDescent="0.3">
      <c r="A386" s="3" t="s">
        <v>42</v>
      </c>
      <c r="B386" s="3" t="s">
        <v>522</v>
      </c>
      <c r="C386" s="3" t="s">
        <v>523</v>
      </c>
      <c r="D386" s="3" t="s">
        <v>39</v>
      </c>
      <c r="E386" s="3" t="s">
        <v>526</v>
      </c>
      <c r="F386" s="3" t="s">
        <v>53</v>
      </c>
      <c r="G386" s="3">
        <v>0.47047558299999997</v>
      </c>
      <c r="H386" s="3">
        <v>0.41334184499999999</v>
      </c>
      <c r="I386" s="3">
        <v>4.5802744999999999E-2</v>
      </c>
      <c r="J386" s="3">
        <v>66.533371220000006</v>
      </c>
      <c r="K386" s="3">
        <v>-6.2439104000000002E-2</v>
      </c>
      <c r="L386" s="3">
        <v>-7.9084117999999995E-2</v>
      </c>
      <c r="M386" s="3">
        <v>1</v>
      </c>
      <c r="N386" s="3">
        <v>-0.13754465699999999</v>
      </c>
      <c r="O386" s="3">
        <v>-1.8480690000000001E-2</v>
      </c>
      <c r="P386" s="3">
        <v>-2.7556938999999999E-2</v>
      </c>
      <c r="Q386" s="3">
        <v>-4.9393025E-2</v>
      </c>
      <c r="R386" s="3">
        <v>0.29597942900000002</v>
      </c>
      <c r="S386" s="3">
        <v>0.33136922499999999</v>
      </c>
      <c r="T386" s="3">
        <v>1.6726828949999999</v>
      </c>
      <c r="U386" s="3">
        <v>0.625844128</v>
      </c>
      <c r="V386" s="3">
        <v>0.39014373699999999</v>
      </c>
      <c r="W386" s="3">
        <v>0.80472329899999995</v>
      </c>
      <c r="X386" s="3">
        <v>3.550544323</v>
      </c>
      <c r="Y386" s="3">
        <v>0.53654743400000005</v>
      </c>
      <c r="Z386" s="3">
        <v>2.6726828949999999</v>
      </c>
      <c r="AA386" s="3">
        <v>-7.9084117999999995E-2</v>
      </c>
      <c r="AB386" s="3">
        <v>21.99578335</v>
      </c>
      <c r="AC386" s="3">
        <v>4.4121306379999998</v>
      </c>
      <c r="AD386" s="3">
        <v>0.23035076299999999</v>
      </c>
      <c r="AE386" s="3">
        <v>0</v>
      </c>
      <c r="AF386" s="4">
        <v>41345</v>
      </c>
      <c r="AG386" s="5">
        <f>YEAR(AF386)</f>
        <v>2013</v>
      </c>
      <c r="AH386" s="5" t="str">
        <f>"Q"&amp;ROUNDUP(MONTH(AF386)/3,0)</f>
        <v>Q1</v>
      </c>
      <c r="AI386" s="5">
        <f>INDEX(RatingLookup!$B$2:$B$11,MATCH(A386,RatingLookup!$A$2:$A$11,0))</f>
        <v>7</v>
      </c>
      <c r="AJ386" s="5" t="str">
        <f>INDEX(RatingLookup!$C$2:$C$11,MATCH(A386,RatingLookup!$A$2:$A$11,0))</f>
        <v>Investment Grade</v>
      </c>
    </row>
    <row r="387" spans="1:36" x14ac:dyDescent="0.3">
      <c r="A387" s="3" t="s">
        <v>109</v>
      </c>
      <c r="B387" s="3" t="s">
        <v>522</v>
      </c>
      <c r="C387" s="3" t="s">
        <v>523</v>
      </c>
      <c r="D387" s="3" t="s">
        <v>47</v>
      </c>
      <c r="E387" s="3" t="s">
        <v>527</v>
      </c>
      <c r="F387" s="3" t="s">
        <v>53</v>
      </c>
      <c r="G387" s="3">
        <v>0.72739420899999996</v>
      </c>
      <c r="H387" s="3">
        <v>0.67327394200000001</v>
      </c>
      <c r="I387" s="3">
        <v>2.2717148999999999E-2</v>
      </c>
      <c r="J387" s="3">
        <v>76.928251119999999</v>
      </c>
      <c r="K387" s="3">
        <v>0.18940849900000001</v>
      </c>
      <c r="L387" s="3">
        <v>0.307922272</v>
      </c>
      <c r="M387" s="3">
        <v>1</v>
      </c>
      <c r="N387" s="3">
        <v>0.29948750800000001</v>
      </c>
      <c r="O387" s="3">
        <v>4.7715107999999999E-2</v>
      </c>
      <c r="P387" s="3">
        <v>8.8225396999999997E-2</v>
      </c>
      <c r="Q387" s="3">
        <v>0.116221174</v>
      </c>
      <c r="R387" s="3">
        <v>0.25191640399999998</v>
      </c>
      <c r="S387" s="3">
        <v>0.28927049199999999</v>
      </c>
      <c r="T387" s="3">
        <v>1.4357311319999999</v>
      </c>
      <c r="U387" s="3">
        <v>0.58944565500000001</v>
      </c>
      <c r="V387" s="3">
        <v>0.384882108</v>
      </c>
      <c r="W387" s="3">
        <v>-0.35411373899999998</v>
      </c>
      <c r="X387" s="3">
        <v>-2.8716323300000002</v>
      </c>
      <c r="Y387" s="3">
        <v>1.6624405710000001</v>
      </c>
      <c r="Z387" s="3">
        <v>2.4357311319999999</v>
      </c>
      <c r="AA387" s="3">
        <v>0.307922272</v>
      </c>
      <c r="AB387" s="3">
        <v>7.031151844</v>
      </c>
      <c r="AC387" s="3">
        <v>8.1093502379999993</v>
      </c>
      <c r="AD387" s="3">
        <v>0.54633781800000003</v>
      </c>
      <c r="AE387" s="3">
        <v>0</v>
      </c>
      <c r="AF387" s="4">
        <v>40641</v>
      </c>
      <c r="AG387" s="5">
        <f>YEAR(AF387)</f>
        <v>2011</v>
      </c>
      <c r="AH387" s="5" t="str">
        <f>"Q"&amp;ROUNDUP(MONTH(AF387)/3,0)</f>
        <v>Q2</v>
      </c>
      <c r="AI387" s="5">
        <f>INDEX(RatingLookup!$B$2:$B$11,MATCH(A387,RatingLookup!$A$2:$A$11,0))</f>
        <v>5</v>
      </c>
      <c r="AJ387" s="5" t="str">
        <f>INDEX(RatingLookup!$C$2:$C$11,MATCH(A387,RatingLookup!$A$2:$A$11,0))</f>
        <v>Speculative Grade</v>
      </c>
    </row>
    <row r="388" spans="1:36" x14ac:dyDescent="0.3">
      <c r="A388" s="3" t="s">
        <v>109</v>
      </c>
      <c r="B388" s="3" t="s">
        <v>522</v>
      </c>
      <c r="C388" s="3" t="s">
        <v>523</v>
      </c>
      <c r="D388" s="3" t="s">
        <v>47</v>
      </c>
      <c r="E388" s="3" t="s">
        <v>99</v>
      </c>
      <c r="F388" s="3" t="s">
        <v>53</v>
      </c>
      <c r="G388" s="3">
        <v>0.58717105300000005</v>
      </c>
      <c r="H388" s="3">
        <v>0.53152412299999996</v>
      </c>
      <c r="I388" s="3">
        <v>0.24177631599999999</v>
      </c>
      <c r="J388" s="3">
        <v>49.009781500000003</v>
      </c>
      <c r="K388" s="3">
        <v>-0.55907012199999995</v>
      </c>
      <c r="L388" s="3">
        <v>-0.58295223600000001</v>
      </c>
      <c r="M388" s="3">
        <v>1</v>
      </c>
      <c r="N388" s="3">
        <v>-0.56034044699999996</v>
      </c>
      <c r="O388" s="3">
        <v>-0.33781086900000001</v>
      </c>
      <c r="P388" s="3">
        <v>-0.48923240899999998</v>
      </c>
      <c r="Q388" s="3">
        <v>3.0143835619999999</v>
      </c>
      <c r="R388" s="3">
        <v>0.60423702800000001</v>
      </c>
      <c r="S388" s="3">
        <v>0.74201150000000005</v>
      </c>
      <c r="T388" s="3">
        <v>-9.9232876710000006</v>
      </c>
      <c r="U388" s="3">
        <v>1.112066319</v>
      </c>
      <c r="V388" s="3">
        <v>4.1403356000000002E-2</v>
      </c>
      <c r="W388" s="3">
        <v>8.0882352940000004</v>
      </c>
      <c r="X388" s="3">
        <v>-2.1596858640000001</v>
      </c>
      <c r="Y388" s="3">
        <v>1.1544502619999999</v>
      </c>
      <c r="Z388" s="3">
        <v>-8.9232876710000006</v>
      </c>
      <c r="AA388" s="3">
        <v>-0.58295223600000001</v>
      </c>
      <c r="AB388" s="3">
        <v>-4.3869370459999999</v>
      </c>
      <c r="AC388" s="3">
        <v>-0.26701570699999999</v>
      </c>
      <c r="AD388" s="3">
        <v>-2.5914633999999999E-2</v>
      </c>
      <c r="AE388" s="3">
        <v>0</v>
      </c>
      <c r="AF388" s="4">
        <v>42642</v>
      </c>
      <c r="AG388" s="5">
        <f>YEAR(AF388)</f>
        <v>2016</v>
      </c>
      <c r="AH388" s="5" t="str">
        <f>"Q"&amp;ROUNDUP(MONTH(AF388)/3,0)</f>
        <v>Q3</v>
      </c>
      <c r="AI388" s="5">
        <f>INDEX(RatingLookup!$B$2:$B$11,MATCH(A388,RatingLookup!$A$2:$A$11,0))</f>
        <v>5</v>
      </c>
      <c r="AJ388" s="5" t="str">
        <f>INDEX(RatingLookup!$C$2:$C$11,MATCH(A388,RatingLookup!$A$2:$A$11,0))</f>
        <v>Speculative Grade</v>
      </c>
    </row>
    <row r="389" spans="1:36" x14ac:dyDescent="0.3">
      <c r="A389" s="3" t="s">
        <v>92</v>
      </c>
      <c r="B389" s="3" t="s">
        <v>522</v>
      </c>
      <c r="C389" s="3" t="s">
        <v>523</v>
      </c>
      <c r="D389" s="3" t="s">
        <v>44</v>
      </c>
      <c r="E389" s="3" t="s">
        <v>46</v>
      </c>
      <c r="F389" s="3" t="s">
        <v>53</v>
      </c>
      <c r="G389" s="3">
        <v>0.44860209000000001</v>
      </c>
      <c r="H389" s="3">
        <v>0.40511154999999999</v>
      </c>
      <c r="I389" s="3">
        <v>4.9562270999999998E-2</v>
      </c>
      <c r="J389" s="3">
        <v>78.584013749999997</v>
      </c>
      <c r="K389" s="3">
        <v>0.14972067</v>
      </c>
      <c r="L389" s="3">
        <v>0.247529007</v>
      </c>
      <c r="M389" s="3">
        <v>1</v>
      </c>
      <c r="N389" s="3">
        <v>0.25105285799999999</v>
      </c>
      <c r="O389" s="3">
        <v>4.1639774999999997E-2</v>
      </c>
      <c r="P389" s="3">
        <v>8.2870544000000004E-2</v>
      </c>
      <c r="Q389" s="3">
        <v>0.104788258</v>
      </c>
      <c r="R389" s="3">
        <v>0.27811640999999998</v>
      </c>
      <c r="S389" s="3">
        <v>0.316693432</v>
      </c>
      <c r="T389" s="3">
        <v>1.516542348</v>
      </c>
      <c r="U389" s="3">
        <v>0.60262937699999997</v>
      </c>
      <c r="V389" s="3">
        <v>0.38993055599999998</v>
      </c>
      <c r="W389" s="3">
        <v>-7.3521937999999995E-2</v>
      </c>
      <c r="X389" s="3">
        <v>-0.68131868100000004</v>
      </c>
      <c r="Y389" s="3">
        <v>0.571428571</v>
      </c>
      <c r="Z389" s="3">
        <v>2.5165423480000002</v>
      </c>
      <c r="AA389" s="3">
        <v>0.247529007</v>
      </c>
      <c r="AB389" s="3">
        <v>5.5209000829999999</v>
      </c>
      <c r="AC389" s="3">
        <v>9.2668759810000001</v>
      </c>
      <c r="AD389" s="3">
        <v>0.50734851700000005</v>
      </c>
      <c r="AE389" s="3">
        <v>0</v>
      </c>
      <c r="AF389" s="4">
        <v>41075</v>
      </c>
      <c r="AG389" s="5">
        <f>YEAR(AF389)</f>
        <v>2012</v>
      </c>
      <c r="AH389" s="5" t="str">
        <f>"Q"&amp;ROUNDUP(MONTH(AF389)/3,0)</f>
        <v>Q2</v>
      </c>
      <c r="AI389" s="5">
        <f>INDEX(RatingLookup!$B$2:$B$11,MATCH(A389,RatingLookup!$A$2:$A$11,0))</f>
        <v>6</v>
      </c>
      <c r="AJ389" s="5" t="str">
        <f>INDEX(RatingLookup!$C$2:$C$11,MATCH(A389,RatingLookup!$A$2:$A$11,0))</f>
        <v>Speculative Grade</v>
      </c>
    </row>
    <row r="390" spans="1:36" x14ac:dyDescent="0.3">
      <c r="A390" s="3" t="s">
        <v>49</v>
      </c>
      <c r="B390" s="3" t="s">
        <v>528</v>
      </c>
      <c r="C390" s="3" t="s">
        <v>529</v>
      </c>
      <c r="D390" s="3" t="s">
        <v>39</v>
      </c>
      <c r="E390" s="3" t="s">
        <v>530</v>
      </c>
      <c r="F390" s="3" t="s">
        <v>66</v>
      </c>
      <c r="G390" s="3">
        <v>1.0787472039999999</v>
      </c>
      <c r="H390" s="3">
        <v>0.61991051500000005</v>
      </c>
      <c r="I390" s="3">
        <v>0.21521252799999999</v>
      </c>
      <c r="J390" s="3">
        <v>34.278989670000001</v>
      </c>
      <c r="K390" s="3">
        <v>0.128645235</v>
      </c>
      <c r="L390" s="3">
        <v>0.20464982800000001</v>
      </c>
      <c r="M390" s="3">
        <v>0.58559127399999999</v>
      </c>
      <c r="N390" s="3">
        <v>0.20413318</v>
      </c>
      <c r="O390" s="3">
        <v>0.16150187399999999</v>
      </c>
      <c r="P390" s="3">
        <v>0.379013396</v>
      </c>
      <c r="Q390" s="3">
        <v>0.97223427299999998</v>
      </c>
      <c r="R390" s="3">
        <v>1.2554050160000001</v>
      </c>
      <c r="S390" s="3">
        <v>4.2664707320000002</v>
      </c>
      <c r="T390" s="3">
        <v>5.019956616</v>
      </c>
      <c r="U390" s="3">
        <v>0.83388584600000004</v>
      </c>
      <c r="V390" s="3">
        <v>0.32398316999999999</v>
      </c>
      <c r="W390" s="3">
        <v>0.79088639199999999</v>
      </c>
      <c r="X390" s="3">
        <v>2.7223893430000001</v>
      </c>
      <c r="Y390" s="3">
        <v>1.219381177</v>
      </c>
      <c r="Z390" s="3">
        <v>6.019956616</v>
      </c>
      <c r="AA390" s="3">
        <v>0.20464982800000001</v>
      </c>
      <c r="AB390" s="3">
        <v>15.49859625</v>
      </c>
      <c r="AC390" s="3">
        <v>3.4422002580000002</v>
      </c>
      <c r="AD390" s="3">
        <v>0.18392652100000001</v>
      </c>
      <c r="AE390" s="3">
        <v>5.375279226</v>
      </c>
      <c r="AF390" s="4">
        <v>41498</v>
      </c>
      <c r="AG390" s="5">
        <f>YEAR(AF390)</f>
        <v>2013</v>
      </c>
      <c r="AH390" s="5" t="str">
        <f>"Q"&amp;ROUNDUP(MONTH(AF390)/3,0)</f>
        <v>Q3</v>
      </c>
      <c r="AI390" s="5">
        <f>INDEX(RatingLookup!$B$2:$B$11,MATCH(A390,RatingLookup!$A$2:$A$11,0))</f>
        <v>9</v>
      </c>
      <c r="AJ390" s="5" t="str">
        <f>INDEX(RatingLookup!$C$2:$C$11,MATCH(A390,RatingLookup!$A$2:$A$11,0))</f>
        <v>Investment Grade</v>
      </c>
    </row>
    <row r="391" spans="1:36" x14ac:dyDescent="0.3">
      <c r="A391" s="3" t="s">
        <v>49</v>
      </c>
      <c r="B391" s="3" t="s">
        <v>528</v>
      </c>
      <c r="C391" s="3" t="s">
        <v>529</v>
      </c>
      <c r="D391" s="3" t="s">
        <v>39</v>
      </c>
      <c r="E391" s="3" t="s">
        <v>414</v>
      </c>
      <c r="F391" s="3" t="s">
        <v>66</v>
      </c>
      <c r="G391" s="3">
        <v>1.2405206559999999</v>
      </c>
      <c r="H391" s="3">
        <v>0.69552914499999996</v>
      </c>
      <c r="I391" s="3">
        <v>0.274476514</v>
      </c>
      <c r="J391" s="3">
        <v>32.484408129999998</v>
      </c>
      <c r="K391" s="3">
        <v>8.6316577000000005E-2</v>
      </c>
      <c r="L391" s="3">
        <v>0.172321317</v>
      </c>
      <c r="M391" s="3">
        <v>0.58619184199999996</v>
      </c>
      <c r="N391" s="3">
        <v>0.173942871</v>
      </c>
      <c r="O391" s="3">
        <v>0.115738418</v>
      </c>
      <c r="P391" s="3">
        <v>0.32799145299999999</v>
      </c>
      <c r="Q391" s="3">
        <v>-4.6287625419999996</v>
      </c>
      <c r="R391" s="3">
        <v>1.340859676</v>
      </c>
      <c r="S391" s="3">
        <v>4.2239199159999998</v>
      </c>
      <c r="T391" s="3">
        <v>-40.993311040000002</v>
      </c>
      <c r="U391" s="3">
        <v>1.0250041809999999</v>
      </c>
      <c r="V391" s="3">
        <v>0.439739414</v>
      </c>
      <c r="W391" s="3">
        <v>0.76568328200000002</v>
      </c>
      <c r="X391" s="3">
        <v>2.502771004</v>
      </c>
      <c r="Y391" s="3">
        <v>1.1427621370000001</v>
      </c>
      <c r="Z391" s="3">
        <v>-39.993311040000002</v>
      </c>
      <c r="AA391" s="3">
        <v>0.172321317</v>
      </c>
      <c r="AB391" s="3">
        <v>20.544337859999999</v>
      </c>
      <c r="AC391" s="3">
        <v>3.2686765680000001</v>
      </c>
      <c r="AD391" s="3">
        <v>0.18392166600000001</v>
      </c>
      <c r="AE391" s="3">
        <v>5.9774774769999999</v>
      </c>
      <c r="AF391" s="4">
        <v>42227</v>
      </c>
      <c r="AG391" s="5">
        <f>YEAR(AF391)</f>
        <v>2015</v>
      </c>
      <c r="AH391" s="5" t="str">
        <f>"Q"&amp;ROUNDUP(MONTH(AF391)/3,0)</f>
        <v>Q3</v>
      </c>
      <c r="AI391" s="5">
        <f>INDEX(RatingLookup!$B$2:$B$11,MATCH(A391,RatingLookup!$A$2:$A$11,0))</f>
        <v>9</v>
      </c>
      <c r="AJ391" s="5" t="str">
        <f>INDEX(RatingLookup!$C$2:$C$11,MATCH(A391,RatingLookup!$A$2:$A$11,0))</f>
        <v>Investment Grade</v>
      </c>
    </row>
    <row r="392" spans="1:36" x14ac:dyDescent="0.3">
      <c r="A392" s="3" t="s">
        <v>49</v>
      </c>
      <c r="B392" s="3" t="s">
        <v>528</v>
      </c>
      <c r="C392" s="3" t="s">
        <v>529</v>
      </c>
      <c r="D392" s="3" t="s">
        <v>39</v>
      </c>
      <c r="E392" s="3" t="s">
        <v>531</v>
      </c>
      <c r="F392" s="3" t="s">
        <v>66</v>
      </c>
      <c r="G392" s="3">
        <v>1.2323872279999999</v>
      </c>
      <c r="H392" s="3">
        <v>0.71996958899999997</v>
      </c>
      <c r="I392" s="3">
        <v>0.27597567200000001</v>
      </c>
      <c r="J392" s="3">
        <v>32.788099789999997</v>
      </c>
      <c r="K392" s="3">
        <v>0.12617931399999999</v>
      </c>
      <c r="L392" s="3">
        <v>0.20449152100000001</v>
      </c>
      <c r="M392" s="3">
        <v>0.58511315600000002</v>
      </c>
      <c r="N392" s="3">
        <v>0.205880651</v>
      </c>
      <c r="O392" s="3">
        <v>0.16197340099999999</v>
      </c>
      <c r="P392" s="3">
        <v>0.371386524</v>
      </c>
      <c r="Q392" s="3">
        <v>1.9039301310000001</v>
      </c>
      <c r="R392" s="3">
        <v>1.2836763499999999</v>
      </c>
      <c r="S392" s="3">
        <v>4.2345588239999996</v>
      </c>
      <c r="T392" s="3">
        <v>10.75458515</v>
      </c>
      <c r="U392" s="3">
        <v>0.91492681499999995</v>
      </c>
      <c r="V392" s="3">
        <v>0.33795641100000001</v>
      </c>
      <c r="W392" s="3">
        <v>0.77046694999999998</v>
      </c>
      <c r="X392" s="3">
        <v>2.7767457109999998</v>
      </c>
      <c r="Y392" s="3">
        <v>1.4085892250000001</v>
      </c>
      <c r="Z392" s="3">
        <v>11.75458515</v>
      </c>
      <c r="AA392" s="3">
        <v>0.20449152100000001</v>
      </c>
      <c r="AB392" s="3">
        <v>16.711815949999998</v>
      </c>
      <c r="AC392" s="3">
        <v>3.6039777069999999</v>
      </c>
      <c r="AD392" s="3">
        <v>0.19088962200000001</v>
      </c>
      <c r="AE392" s="3">
        <v>5.8229082050000001</v>
      </c>
      <c r="AF392" s="4">
        <v>42046</v>
      </c>
      <c r="AG392" s="5">
        <f>YEAR(AF392)</f>
        <v>2015</v>
      </c>
      <c r="AH392" s="5" t="str">
        <f>"Q"&amp;ROUNDUP(MONTH(AF392)/3,0)</f>
        <v>Q1</v>
      </c>
      <c r="AI392" s="5">
        <f>INDEX(RatingLookup!$B$2:$B$11,MATCH(A392,RatingLookup!$A$2:$A$11,0))</f>
        <v>9</v>
      </c>
      <c r="AJ392" s="5" t="str">
        <f>INDEX(RatingLookup!$C$2:$C$11,MATCH(A392,RatingLookup!$A$2:$A$11,0))</f>
        <v>Investment Grade</v>
      </c>
    </row>
    <row r="393" spans="1:36" x14ac:dyDescent="0.3">
      <c r="A393" s="3" t="s">
        <v>49</v>
      </c>
      <c r="B393" s="3" t="s">
        <v>528</v>
      </c>
      <c r="C393" s="3" t="s">
        <v>529</v>
      </c>
      <c r="D393" s="3" t="s">
        <v>44</v>
      </c>
      <c r="E393" s="3" t="s">
        <v>46</v>
      </c>
      <c r="F393" s="3" t="s">
        <v>66</v>
      </c>
      <c r="G393" s="3">
        <v>1.1846071039999999</v>
      </c>
      <c r="H393" s="3">
        <v>0.76991388599999999</v>
      </c>
      <c r="I393" s="3">
        <v>0.23627556499999999</v>
      </c>
      <c r="J393" s="3">
        <v>36.534899009999997</v>
      </c>
      <c r="K393" s="3">
        <v>0.14527309699999999</v>
      </c>
      <c r="L393" s="3">
        <v>0.226425242</v>
      </c>
      <c r="M393" s="3">
        <v>0.57308473800000004</v>
      </c>
      <c r="N393" s="3">
        <v>0.22953268800000001</v>
      </c>
      <c r="O393" s="3">
        <v>0.191056272</v>
      </c>
      <c r="P393" s="3">
        <v>0.42062611</v>
      </c>
      <c r="Q393" s="3">
        <v>1.0235789470000001</v>
      </c>
      <c r="R393" s="3">
        <v>1.315152468</v>
      </c>
      <c r="S393" s="3">
        <v>4.5621592150000003</v>
      </c>
      <c r="T393" s="3">
        <v>4.3574736840000003</v>
      </c>
      <c r="U393" s="3">
        <v>0.81334485999999995</v>
      </c>
      <c r="V393" s="3">
        <v>0.32594352100000001</v>
      </c>
      <c r="W393" s="3">
        <v>0.81457182299999997</v>
      </c>
      <c r="X393" s="3">
        <v>4.8310464880000001</v>
      </c>
      <c r="Y393" s="3">
        <v>2.428834733</v>
      </c>
      <c r="Z393" s="3">
        <v>5.3574736840000003</v>
      </c>
      <c r="AA393" s="3">
        <v>0.226425242</v>
      </c>
      <c r="AB393" s="3">
        <v>6.0427752229999996</v>
      </c>
      <c r="AC393" s="3">
        <v>5.9307802580000004</v>
      </c>
      <c r="AD393" s="3">
        <v>0.173060834</v>
      </c>
      <c r="AE393" s="3">
        <v>5.7427652729999998</v>
      </c>
      <c r="AF393" s="4">
        <v>41075</v>
      </c>
      <c r="AG393" s="5">
        <f>YEAR(AF393)</f>
        <v>2012</v>
      </c>
      <c r="AH393" s="5" t="str">
        <f>"Q"&amp;ROUNDUP(MONTH(AF393)/3,0)</f>
        <v>Q2</v>
      </c>
      <c r="AI393" s="5">
        <f>INDEX(RatingLookup!$B$2:$B$11,MATCH(A393,RatingLookup!$A$2:$A$11,0))</f>
        <v>9</v>
      </c>
      <c r="AJ393" s="5" t="str">
        <f>INDEX(RatingLookup!$C$2:$C$11,MATCH(A393,RatingLookup!$A$2:$A$11,0))</f>
        <v>Investment Grade</v>
      </c>
    </row>
    <row r="394" spans="1:36" x14ac:dyDescent="0.3">
      <c r="A394" s="3" t="s">
        <v>92</v>
      </c>
      <c r="B394" s="3" t="s">
        <v>532</v>
      </c>
      <c r="C394" s="3" t="s">
        <v>533</v>
      </c>
      <c r="D394" s="3" t="s">
        <v>47</v>
      </c>
      <c r="E394" s="3" t="s">
        <v>534</v>
      </c>
      <c r="F394" s="3" t="s">
        <v>96</v>
      </c>
      <c r="G394" s="3">
        <v>1.3201819690000001</v>
      </c>
      <c r="H394" s="3">
        <v>0.51146382599999995</v>
      </c>
      <c r="I394" s="3">
        <v>0.228441282</v>
      </c>
      <c r="J394" s="3">
        <v>24.3260608</v>
      </c>
      <c r="K394" s="3">
        <v>2.7466054E-2</v>
      </c>
      <c r="L394" s="3">
        <v>2.7580772E-2</v>
      </c>
      <c r="M394" s="3">
        <v>1</v>
      </c>
      <c r="N394" s="3">
        <v>2.9129611E-2</v>
      </c>
      <c r="O394" s="3">
        <v>6.4283203999999997E-2</v>
      </c>
      <c r="P394" s="3">
        <v>0.143811402</v>
      </c>
      <c r="Q394" s="3">
        <v>0.242998308</v>
      </c>
      <c r="R394" s="3">
        <v>2.3404601060000001</v>
      </c>
      <c r="S394" s="3">
        <v>10.06426293</v>
      </c>
      <c r="T394" s="3">
        <v>2.7801212560000002</v>
      </c>
      <c r="U394" s="3">
        <v>0.73545822199999999</v>
      </c>
      <c r="V394" s="3">
        <v>0.21560265300000001</v>
      </c>
      <c r="W394" s="3">
        <v>0.44567148400000001</v>
      </c>
      <c r="X394" s="3">
        <v>1.72035692</v>
      </c>
      <c r="Y394" s="3">
        <v>4.1426699979999997</v>
      </c>
      <c r="Z394" s="3">
        <v>3.7801212560000002</v>
      </c>
      <c r="AA394" s="3">
        <v>2.7580772E-2</v>
      </c>
      <c r="AB394" s="3">
        <v>5.1403152810000003</v>
      </c>
      <c r="AC394" s="3">
        <v>3.8601458260000001</v>
      </c>
      <c r="AD394" s="3">
        <v>5.0125168999999997E-2</v>
      </c>
      <c r="AE394" s="3">
        <v>5.2905955560000004</v>
      </c>
      <c r="AF394" s="4">
        <v>41004</v>
      </c>
      <c r="AG394" s="5">
        <f>YEAR(AF394)</f>
        <v>2012</v>
      </c>
      <c r="AH394" s="5" t="str">
        <f>"Q"&amp;ROUNDUP(MONTH(AF394)/3,0)</f>
        <v>Q2</v>
      </c>
      <c r="AI394" s="5">
        <f>INDEX(RatingLookup!$B$2:$B$11,MATCH(A394,RatingLookup!$A$2:$A$11,0))</f>
        <v>6</v>
      </c>
      <c r="AJ394" s="5" t="str">
        <f>INDEX(RatingLookup!$C$2:$C$11,MATCH(A394,RatingLookup!$A$2:$A$11,0))</f>
        <v>Speculative Grade</v>
      </c>
    </row>
    <row r="395" spans="1:36" x14ac:dyDescent="0.3">
      <c r="A395" s="3" t="s">
        <v>42</v>
      </c>
      <c r="B395" s="3" t="s">
        <v>532</v>
      </c>
      <c r="C395" s="3" t="s">
        <v>533</v>
      </c>
      <c r="D395" s="3" t="s">
        <v>39</v>
      </c>
      <c r="E395" s="3" t="s">
        <v>535</v>
      </c>
      <c r="F395" s="3" t="s">
        <v>96</v>
      </c>
      <c r="G395" s="3">
        <v>1.240198264</v>
      </c>
      <c r="H395" s="3">
        <v>0.51115839299999999</v>
      </c>
      <c r="I395" s="3">
        <v>0.23148033900000001</v>
      </c>
      <c r="J395" s="3">
        <v>27.98529718</v>
      </c>
      <c r="K395" s="3">
        <v>1.5309654000000001E-2</v>
      </c>
      <c r="L395" s="3">
        <v>-1.0074800000000001E-4</v>
      </c>
      <c r="M395" s="3">
        <v>6.5067472000000001E-2</v>
      </c>
      <c r="N395" s="3">
        <v>1.2947095E-2</v>
      </c>
      <c r="O395" s="3">
        <v>2.8457573999999999E-2</v>
      </c>
      <c r="P395" s="3">
        <v>-3.8185500000000001E-4</v>
      </c>
      <c r="Q395" s="3">
        <v>0.10764117500000001</v>
      </c>
      <c r="R395" s="3">
        <v>1.858799308</v>
      </c>
      <c r="S395" s="3">
        <v>6.938465162</v>
      </c>
      <c r="T395" s="3">
        <v>2.7825140909999999</v>
      </c>
      <c r="U395" s="3">
        <v>0.73562557200000001</v>
      </c>
      <c r="V395" s="3">
        <v>-46.417506299999999</v>
      </c>
      <c r="W395" s="3">
        <v>-0.25097974000000001</v>
      </c>
      <c r="X395" s="3">
        <v>-0.61829557999999996</v>
      </c>
      <c r="Y395" s="3">
        <v>4.9395744129999999</v>
      </c>
      <c r="Z395" s="3">
        <v>3.7825140909999999</v>
      </c>
      <c r="AA395" s="3">
        <v>-1.0074800000000001E-4</v>
      </c>
      <c r="AB395" s="3">
        <v>6.8946940049999998</v>
      </c>
      <c r="AC395" s="3">
        <v>2.4635278550000002</v>
      </c>
      <c r="AD395" s="3">
        <v>3.1649053000000003E-2</v>
      </c>
      <c r="AE395" s="3">
        <v>4.8145829830000002</v>
      </c>
      <c r="AF395" s="4">
        <v>41920</v>
      </c>
      <c r="AG395" s="5">
        <f>YEAR(AF395)</f>
        <v>2014</v>
      </c>
      <c r="AH395" s="5" t="str">
        <f>"Q"&amp;ROUNDUP(MONTH(AF395)/3,0)</f>
        <v>Q4</v>
      </c>
      <c r="AI395" s="5">
        <f>INDEX(RatingLookup!$B$2:$B$11,MATCH(A395,RatingLookup!$A$2:$A$11,0))</f>
        <v>7</v>
      </c>
      <c r="AJ395" s="5" t="str">
        <f>INDEX(RatingLookup!$C$2:$C$11,MATCH(A395,RatingLookup!$A$2:$A$11,0))</f>
        <v>Investment Grade</v>
      </c>
    </row>
    <row r="396" spans="1:36" x14ac:dyDescent="0.3">
      <c r="A396" s="3" t="s">
        <v>42</v>
      </c>
      <c r="B396" s="3" t="s">
        <v>532</v>
      </c>
      <c r="C396" s="3" t="s">
        <v>533</v>
      </c>
      <c r="D396" s="3" t="s">
        <v>39</v>
      </c>
      <c r="E396" s="3" t="s">
        <v>536</v>
      </c>
      <c r="F396" s="3" t="s">
        <v>96</v>
      </c>
      <c r="G396" s="3">
        <v>1.196489664</v>
      </c>
      <c r="H396" s="3">
        <v>0.471339112</v>
      </c>
      <c r="I396" s="3">
        <v>0.207911753</v>
      </c>
      <c r="J396" s="3">
        <v>25.50705288</v>
      </c>
      <c r="K396" s="3">
        <v>2.0258720000000001E-2</v>
      </c>
      <c r="L396" s="3">
        <v>1.8818017999999999E-2</v>
      </c>
      <c r="M396" s="3">
        <v>7.4159887999999993E-2</v>
      </c>
      <c r="N396" s="3">
        <v>2.7891201000000001E-2</v>
      </c>
      <c r="O396" s="3">
        <v>4.0582356E-2</v>
      </c>
      <c r="P396" s="3">
        <v>8.0446744000000001E-2</v>
      </c>
      <c r="Q396" s="3">
        <v>0.15907338200000001</v>
      </c>
      <c r="R396" s="3">
        <v>2.0032043590000002</v>
      </c>
      <c r="S396" s="3">
        <v>7.6544119669999997</v>
      </c>
      <c r="T396" s="3">
        <v>2.919767035</v>
      </c>
      <c r="U396" s="3">
        <v>0.74488279800000001</v>
      </c>
      <c r="V396" s="3">
        <v>4.6289964000000003E-2</v>
      </c>
      <c r="W396" s="3">
        <v>0.39297744699999998</v>
      </c>
      <c r="X396" s="3">
        <v>2.3487956429999999</v>
      </c>
      <c r="Y396" s="3">
        <v>4.9797780359999999</v>
      </c>
      <c r="Z396" s="3">
        <v>3.919767035</v>
      </c>
      <c r="AA396" s="3">
        <v>1.8818017999999999E-2</v>
      </c>
      <c r="AB396" s="3">
        <v>5.6991896979999996</v>
      </c>
      <c r="AC396" s="3">
        <v>5.9769222439999998</v>
      </c>
      <c r="AD396" s="3">
        <v>6.6199270000000004E-2</v>
      </c>
      <c r="AE396" s="3">
        <v>5.1426305609999998</v>
      </c>
      <c r="AF396" s="4">
        <v>41652</v>
      </c>
      <c r="AG396" s="5">
        <f>YEAR(AF396)</f>
        <v>2014</v>
      </c>
      <c r="AH396" s="5" t="str">
        <f>"Q"&amp;ROUNDUP(MONTH(AF396)/3,0)</f>
        <v>Q1</v>
      </c>
      <c r="AI396" s="5">
        <f>INDEX(RatingLookup!$B$2:$B$11,MATCH(A396,RatingLookup!$A$2:$A$11,0))</f>
        <v>7</v>
      </c>
      <c r="AJ396" s="5" t="str">
        <f>INDEX(RatingLookup!$C$2:$C$11,MATCH(A396,RatingLookup!$A$2:$A$11,0))</f>
        <v>Investment Grade</v>
      </c>
    </row>
    <row r="397" spans="1:36" x14ac:dyDescent="0.3">
      <c r="A397" s="3" t="s">
        <v>42</v>
      </c>
      <c r="B397" s="3" t="s">
        <v>532</v>
      </c>
      <c r="C397" s="3" t="s">
        <v>533</v>
      </c>
      <c r="D397" s="3" t="s">
        <v>39</v>
      </c>
      <c r="E397" s="3" t="s">
        <v>181</v>
      </c>
      <c r="F397" s="3" t="s">
        <v>96</v>
      </c>
      <c r="G397" s="3">
        <v>1.0336851540000001</v>
      </c>
      <c r="H397" s="3">
        <v>0.41958605100000002</v>
      </c>
      <c r="I397" s="3">
        <v>0.16104674799999999</v>
      </c>
      <c r="J397" s="3">
        <v>29.920067639999999</v>
      </c>
      <c r="K397" s="3">
        <v>1.5867696000000001E-2</v>
      </c>
      <c r="L397" s="3">
        <v>2.4115385E-2</v>
      </c>
      <c r="M397" s="3">
        <v>8.3982430999999996E-2</v>
      </c>
      <c r="N397" s="3">
        <v>3.1029940999999998E-2</v>
      </c>
      <c r="O397" s="3">
        <v>2.9575431999999999E-2</v>
      </c>
      <c r="P397" s="3">
        <v>0.109887665</v>
      </c>
      <c r="Q397" s="3">
        <v>0.122694025</v>
      </c>
      <c r="R397" s="3">
        <v>1.8638769319999999</v>
      </c>
      <c r="S397" s="3">
        <v>6.3826927830000004</v>
      </c>
      <c r="T397" s="3">
        <v>3.1485116139999998</v>
      </c>
      <c r="U397" s="3">
        <v>0.75894969300000004</v>
      </c>
      <c r="V397" s="3">
        <v>0.318457718</v>
      </c>
      <c r="W397" s="3">
        <v>0.22344676499999999</v>
      </c>
      <c r="X397" s="3">
        <v>1.4308349979999999</v>
      </c>
      <c r="Y397" s="3">
        <v>4.7187140210000003</v>
      </c>
      <c r="Z397" s="3">
        <v>4.1485116140000002</v>
      </c>
      <c r="AA397" s="3">
        <v>2.4115385E-2</v>
      </c>
      <c r="AB397" s="3">
        <v>4.6923399689999998</v>
      </c>
      <c r="AC397" s="3">
        <v>6.4034715450000004</v>
      </c>
      <c r="AD397" s="3">
        <v>6.9292610000000004E-2</v>
      </c>
      <c r="AE397" s="3">
        <v>4.4757838909999998</v>
      </c>
      <c r="AF397" s="4">
        <v>42360</v>
      </c>
      <c r="AG397" s="5">
        <f>YEAR(AF397)</f>
        <v>2015</v>
      </c>
      <c r="AH397" s="5" t="str">
        <f>"Q"&amp;ROUNDUP(MONTH(AF397)/3,0)</f>
        <v>Q4</v>
      </c>
      <c r="AI397" s="5">
        <f>INDEX(RatingLookup!$B$2:$B$11,MATCH(A397,RatingLookup!$A$2:$A$11,0))</f>
        <v>7</v>
      </c>
      <c r="AJ397" s="5" t="str">
        <f>INDEX(RatingLookup!$C$2:$C$11,MATCH(A397,RatingLookup!$A$2:$A$11,0))</f>
        <v>Investment Grade</v>
      </c>
    </row>
    <row r="398" spans="1:36" x14ac:dyDescent="0.3">
      <c r="A398" s="3" t="s">
        <v>42</v>
      </c>
      <c r="B398" s="3" t="s">
        <v>532</v>
      </c>
      <c r="C398" s="3" t="s">
        <v>533</v>
      </c>
      <c r="D398" s="3" t="s">
        <v>47</v>
      </c>
      <c r="E398" s="3" t="s">
        <v>537</v>
      </c>
      <c r="F398" s="3" t="s">
        <v>96</v>
      </c>
      <c r="G398" s="3">
        <v>1.050345219</v>
      </c>
      <c r="H398" s="3">
        <v>0.40798242699999998</v>
      </c>
      <c r="I398" s="3">
        <v>0.163802052</v>
      </c>
      <c r="J398" s="3">
        <v>27.039466279999999</v>
      </c>
      <c r="K398" s="3">
        <v>1.3844811E-2</v>
      </c>
      <c r="L398" s="3">
        <v>2.1088823999999999E-2</v>
      </c>
      <c r="M398" s="3">
        <v>8.3239624999999998E-2</v>
      </c>
      <c r="N398" s="3">
        <v>2.8487471E-2</v>
      </c>
      <c r="O398" s="3">
        <v>2.4615222999999999E-2</v>
      </c>
      <c r="P398" s="3">
        <v>8.1403964999999995E-2</v>
      </c>
      <c r="Q398" s="3">
        <v>0.10421541400000001</v>
      </c>
      <c r="R398" s="3">
        <v>1.7779386100000001</v>
      </c>
      <c r="S398" s="3">
        <v>5.5083290839999997</v>
      </c>
      <c r="T398" s="3">
        <v>3.2337789269999999</v>
      </c>
      <c r="U398" s="3">
        <v>0.76380438900000003</v>
      </c>
      <c r="V398" s="3">
        <v>0.34143058300000001</v>
      </c>
      <c r="W398" s="3">
        <v>-8.7665780000000006E-3</v>
      </c>
      <c r="X398" s="3">
        <v>-4.2181994E-2</v>
      </c>
      <c r="Y398" s="3">
        <v>4.7898987990000004</v>
      </c>
      <c r="Z398" s="3">
        <v>4.2337789270000004</v>
      </c>
      <c r="AA398" s="3">
        <v>2.1088823999999999E-2</v>
      </c>
      <c r="AB398" s="3">
        <v>4.3970487169999997</v>
      </c>
      <c r="AC398" s="3">
        <v>4.8116830259999999</v>
      </c>
      <c r="AD398" s="3">
        <v>4.9921141000000002E-2</v>
      </c>
      <c r="AE398" s="3">
        <v>4.6825685779999997</v>
      </c>
      <c r="AF398" s="4">
        <v>42640</v>
      </c>
      <c r="AG398" s="5">
        <f>YEAR(AF398)</f>
        <v>2016</v>
      </c>
      <c r="AH398" s="5" t="str">
        <f>"Q"&amp;ROUNDUP(MONTH(AF398)/3,0)</f>
        <v>Q3</v>
      </c>
      <c r="AI398" s="5">
        <f>INDEX(RatingLookup!$B$2:$B$11,MATCH(A398,RatingLookup!$A$2:$A$11,0))</f>
        <v>7</v>
      </c>
      <c r="AJ398" s="5" t="str">
        <f>INDEX(RatingLookup!$C$2:$C$11,MATCH(A398,RatingLookup!$A$2:$A$11,0))</f>
        <v>Investment Grade</v>
      </c>
    </row>
    <row r="399" spans="1:36" x14ac:dyDescent="0.3">
      <c r="A399" s="3" t="s">
        <v>42</v>
      </c>
      <c r="B399" s="3" t="s">
        <v>532</v>
      </c>
      <c r="C399" s="3" t="s">
        <v>533</v>
      </c>
      <c r="D399" s="3" t="s">
        <v>47</v>
      </c>
      <c r="E399" s="3" t="s">
        <v>235</v>
      </c>
      <c r="F399" s="3" t="s">
        <v>96</v>
      </c>
      <c r="G399" s="3">
        <v>1.4613459040000001</v>
      </c>
      <c r="H399" s="3">
        <v>0.60696383200000004</v>
      </c>
      <c r="I399" s="3">
        <v>0.31543334099999998</v>
      </c>
      <c r="J399" s="3">
        <v>23.940758370000001</v>
      </c>
      <c r="K399" s="3">
        <v>2.3011215000000002E-2</v>
      </c>
      <c r="L399" s="3">
        <v>1.7953362E-2</v>
      </c>
      <c r="M399" s="3">
        <v>7.6320517000000004E-2</v>
      </c>
      <c r="N399" s="3">
        <v>3.6260094E-2</v>
      </c>
      <c r="O399" s="3">
        <v>5.0580528999999999E-2</v>
      </c>
      <c r="P399" s="3">
        <v>7.8073955E-2</v>
      </c>
      <c r="Q399" s="3">
        <v>0.18749468499999999</v>
      </c>
      <c r="R399" s="3">
        <v>2.1980816440000002</v>
      </c>
      <c r="S399" s="3">
        <v>9.6404984389999999</v>
      </c>
      <c r="T399" s="3">
        <v>2.7068549690000001</v>
      </c>
      <c r="U399" s="3">
        <v>0.73022953199999996</v>
      </c>
      <c r="V399" s="3">
        <v>0.36634679399999998</v>
      </c>
      <c r="W399" s="3">
        <v>0.21526869000000001</v>
      </c>
      <c r="X399" s="3">
        <v>0.66224776900000004</v>
      </c>
      <c r="Y399" s="3">
        <v>5.9044237490000002</v>
      </c>
      <c r="Z399" s="3">
        <v>3.7068549690000001</v>
      </c>
      <c r="AA399" s="3">
        <v>1.7953362E-2</v>
      </c>
      <c r="AB399" s="3">
        <v>4.4272240859999998</v>
      </c>
      <c r="AC399" s="3">
        <v>3.0763775710000001</v>
      </c>
      <c r="AD399" s="3">
        <v>3.6976923000000002E-2</v>
      </c>
      <c r="AE399" s="3">
        <v>5.2935551719999996</v>
      </c>
      <c r="AF399" s="4">
        <v>41253</v>
      </c>
      <c r="AG399" s="5">
        <f>YEAR(AF399)</f>
        <v>2012</v>
      </c>
      <c r="AH399" s="5" t="str">
        <f>"Q"&amp;ROUNDUP(MONTH(AF399)/3,0)</f>
        <v>Q4</v>
      </c>
      <c r="AI399" s="5">
        <f>INDEX(RatingLookup!$B$2:$B$11,MATCH(A399,RatingLookup!$A$2:$A$11,0))</f>
        <v>7</v>
      </c>
      <c r="AJ399" s="5" t="str">
        <f>INDEX(RatingLookup!$C$2:$C$11,MATCH(A399,RatingLookup!$A$2:$A$11,0))</f>
        <v>Investment Grade</v>
      </c>
    </row>
    <row r="400" spans="1:36" x14ac:dyDescent="0.3">
      <c r="A400" s="3" t="s">
        <v>92</v>
      </c>
      <c r="B400" s="3" t="s">
        <v>532</v>
      </c>
      <c r="C400" s="3" t="s">
        <v>533</v>
      </c>
      <c r="D400" s="3" t="s">
        <v>47</v>
      </c>
      <c r="E400" s="3" t="s">
        <v>538</v>
      </c>
      <c r="F400" s="3" t="s">
        <v>96</v>
      </c>
      <c r="G400" s="3">
        <v>1.290927428</v>
      </c>
      <c r="H400" s="3">
        <v>0.59709961300000003</v>
      </c>
      <c r="I400" s="3">
        <v>0.206461325</v>
      </c>
      <c r="J400" s="3">
        <v>38.334005500000004</v>
      </c>
      <c r="K400" s="3">
        <v>1.2734788E-2</v>
      </c>
      <c r="L400" s="3">
        <v>1.8439811E-2</v>
      </c>
      <c r="M400" s="3">
        <v>7.4883528000000005E-2</v>
      </c>
      <c r="N400" s="3">
        <v>2.4428068000000001E-2</v>
      </c>
      <c r="O400" s="3">
        <v>2.6817334000000002E-2</v>
      </c>
      <c r="P400" s="3">
        <v>8.9506051000000003E-2</v>
      </c>
      <c r="Q400" s="3">
        <v>0.10821357600000001</v>
      </c>
      <c r="R400" s="3">
        <v>2.1058328789999998</v>
      </c>
      <c r="S400" s="3">
        <v>9.2390002150000008</v>
      </c>
      <c r="T400" s="3">
        <v>3.0258782059999998</v>
      </c>
      <c r="U400" s="3">
        <v>0.74986883100000001</v>
      </c>
      <c r="V400" s="3">
        <v>0.30938620999999999</v>
      </c>
      <c r="W400" s="3">
        <v>6.7815447000000001E-2</v>
      </c>
      <c r="X400" s="3">
        <v>0.13523412300000001</v>
      </c>
      <c r="Y400" s="3">
        <v>3.4727852119999998</v>
      </c>
      <c r="Z400" s="3">
        <v>4.0352100000000002</v>
      </c>
      <c r="AA400" s="3">
        <v>1.8439811E-2</v>
      </c>
      <c r="AB400" s="3">
        <v>4.3862275850000003</v>
      </c>
      <c r="AC400" s="3">
        <v>1.994149264</v>
      </c>
      <c r="AD400" s="3">
        <v>3.1873882999999999E-2</v>
      </c>
      <c r="AE400" s="3">
        <v>4.5246310799999998</v>
      </c>
      <c r="AF400" s="4">
        <v>40485</v>
      </c>
      <c r="AG400" s="5">
        <f>YEAR(AF400)</f>
        <v>2010</v>
      </c>
      <c r="AH400" s="5" t="str">
        <f>"Q"&amp;ROUNDUP(MONTH(AF400)/3,0)</f>
        <v>Q4</v>
      </c>
      <c r="AI400" s="5">
        <f>INDEX(RatingLookup!$B$2:$B$11,MATCH(A400,RatingLookup!$A$2:$A$11,0))</f>
        <v>6</v>
      </c>
      <c r="AJ400" s="5" t="str">
        <f>INDEX(RatingLookup!$C$2:$C$11,MATCH(A400,RatingLookup!$A$2:$A$11,0))</f>
        <v>Speculative Grade</v>
      </c>
    </row>
    <row r="401" spans="1:36" x14ac:dyDescent="0.3">
      <c r="A401" s="3" t="s">
        <v>42</v>
      </c>
      <c r="B401" s="3" t="s">
        <v>539</v>
      </c>
      <c r="C401" s="3" t="s">
        <v>540</v>
      </c>
      <c r="D401" s="3" t="s">
        <v>47</v>
      </c>
      <c r="E401" s="3" t="s">
        <v>541</v>
      </c>
      <c r="F401" s="3" t="s">
        <v>79</v>
      </c>
      <c r="G401" s="3">
        <v>1.2028267340000001</v>
      </c>
      <c r="H401" s="3">
        <v>0.92392552800000005</v>
      </c>
      <c r="I401" s="3">
        <v>0.22303832700000001</v>
      </c>
      <c r="J401" s="3">
        <v>52.453363779999997</v>
      </c>
      <c r="K401" s="3">
        <v>7.3030214999999996E-2</v>
      </c>
      <c r="L401" s="3">
        <v>0.10704374</v>
      </c>
      <c r="M401" s="3">
        <v>0.42008547099999999</v>
      </c>
      <c r="N401" s="3">
        <v>0.13397996300000001</v>
      </c>
      <c r="O401" s="3">
        <v>2.2026066E-2</v>
      </c>
      <c r="P401" s="3">
        <v>3.4412682999999999E-2</v>
      </c>
      <c r="Q401" s="3">
        <v>4.3654599000000002E-2</v>
      </c>
      <c r="R401" s="3">
        <v>0.30160209399999999</v>
      </c>
      <c r="S401" s="3">
        <v>0.71249974900000002</v>
      </c>
      <c r="T401" s="3">
        <v>0.98195170799999998</v>
      </c>
      <c r="U401" s="3">
        <v>0.49544683899999997</v>
      </c>
      <c r="V401" s="3">
        <v>0.31559226800000001</v>
      </c>
      <c r="W401" s="3">
        <v>0.56655626999999997</v>
      </c>
      <c r="X401" s="3">
        <v>2.9344772159999999</v>
      </c>
      <c r="Y401" s="3">
        <v>1.0054183779999999</v>
      </c>
      <c r="Z401" s="3">
        <v>1.981951708</v>
      </c>
      <c r="AA401" s="3">
        <v>0.10704374</v>
      </c>
      <c r="AB401" s="3">
        <v>12.664942480000001</v>
      </c>
      <c r="AC401" s="3">
        <v>5.1794982650000003</v>
      </c>
      <c r="AD401" s="3">
        <v>0.23558775900000001</v>
      </c>
      <c r="AE401" s="3">
        <v>7.7917955210000001</v>
      </c>
      <c r="AF401" s="4">
        <v>42641</v>
      </c>
      <c r="AG401" s="5">
        <f>YEAR(AF401)</f>
        <v>2016</v>
      </c>
      <c r="AH401" s="5" t="str">
        <f>"Q"&amp;ROUNDUP(MONTH(AF401)/3,0)</f>
        <v>Q3</v>
      </c>
      <c r="AI401" s="5">
        <f>INDEX(RatingLookup!$B$2:$B$11,MATCH(A401,RatingLookup!$A$2:$A$11,0))</f>
        <v>7</v>
      </c>
      <c r="AJ401" s="5" t="str">
        <f>INDEX(RatingLookup!$C$2:$C$11,MATCH(A401,RatingLookup!$A$2:$A$11,0))</f>
        <v>Investment Grade</v>
      </c>
    </row>
    <row r="402" spans="1:36" x14ac:dyDescent="0.3">
      <c r="A402" s="3" t="s">
        <v>42</v>
      </c>
      <c r="B402" s="3" t="s">
        <v>539</v>
      </c>
      <c r="C402" s="3" t="s">
        <v>540</v>
      </c>
      <c r="D402" s="3" t="s">
        <v>47</v>
      </c>
      <c r="E402" s="3" t="s">
        <v>542</v>
      </c>
      <c r="F402" s="3" t="s">
        <v>79</v>
      </c>
      <c r="G402" s="3">
        <v>0.95810708600000005</v>
      </c>
      <c r="H402" s="3">
        <v>0.70363281600000005</v>
      </c>
      <c r="I402" s="3">
        <v>2.9010716999999998E-2</v>
      </c>
      <c r="J402" s="3">
        <v>43.99265664</v>
      </c>
      <c r="K402" s="3">
        <v>-4.5229578999999999E-2</v>
      </c>
      <c r="L402" s="3">
        <v>-6.0150560999999998E-2</v>
      </c>
      <c r="M402" s="3">
        <v>0.44390675400000001</v>
      </c>
      <c r="N402" s="3">
        <v>-2.9536382999999999E-2</v>
      </c>
      <c r="O402" s="3">
        <v>-1.869734E-2</v>
      </c>
      <c r="P402" s="3">
        <v>-1.3306563E-2</v>
      </c>
      <c r="Q402" s="3">
        <v>-4.8238968E-2</v>
      </c>
      <c r="R402" s="3">
        <v>0.41338744700000002</v>
      </c>
      <c r="S402" s="3">
        <v>0.7732156</v>
      </c>
      <c r="T402" s="3">
        <v>1.57667439</v>
      </c>
      <c r="U402" s="3">
        <v>0.61111625300000005</v>
      </c>
      <c r="V402" s="3">
        <v>0.24806055499999999</v>
      </c>
      <c r="W402" s="3">
        <v>0.591073815</v>
      </c>
      <c r="X402" s="3">
        <v>1.8580301809999999</v>
      </c>
      <c r="Y402" s="3">
        <v>5.9786197999999999E-2</v>
      </c>
      <c r="Z402" s="3">
        <v>2.5799909329999999</v>
      </c>
      <c r="AA402" s="3">
        <v>-2.9811734999999999E-2</v>
      </c>
      <c r="AB402" s="3">
        <v>43.102154749999997</v>
      </c>
      <c r="AC402" s="3">
        <v>3.1434824799999999</v>
      </c>
      <c r="AD402" s="3">
        <v>0.27251808599999999</v>
      </c>
      <c r="AE402" s="3">
        <v>10.22003194</v>
      </c>
      <c r="AF402" s="4">
        <v>42522</v>
      </c>
      <c r="AG402" s="5">
        <f>YEAR(AF402)</f>
        <v>2016</v>
      </c>
      <c r="AH402" s="5" t="str">
        <f>"Q"&amp;ROUNDUP(MONTH(AF402)/3,0)</f>
        <v>Q2</v>
      </c>
      <c r="AI402" s="5">
        <f>INDEX(RatingLookup!$B$2:$B$11,MATCH(A402,RatingLookup!$A$2:$A$11,0))</f>
        <v>7</v>
      </c>
      <c r="AJ402" s="5" t="str">
        <f>INDEX(RatingLookup!$C$2:$C$11,MATCH(A402,RatingLookup!$A$2:$A$11,0))</f>
        <v>Investment Grade</v>
      </c>
    </row>
    <row r="403" spans="1:36" x14ac:dyDescent="0.3">
      <c r="A403" s="3" t="s">
        <v>42</v>
      </c>
      <c r="B403" s="3" t="s">
        <v>539</v>
      </c>
      <c r="C403" s="3" t="s">
        <v>540</v>
      </c>
      <c r="D403" s="3" t="s">
        <v>47</v>
      </c>
      <c r="E403" s="3" t="s">
        <v>543</v>
      </c>
      <c r="F403" s="3" t="s">
        <v>79</v>
      </c>
      <c r="G403" s="3">
        <v>1.0161887919999999</v>
      </c>
      <c r="H403" s="3">
        <v>0.761347836</v>
      </c>
      <c r="I403" s="3">
        <v>3.9835031E-2</v>
      </c>
      <c r="J403" s="3">
        <v>45.637859120000002</v>
      </c>
      <c r="K403" s="3">
        <v>0.11183570700000001</v>
      </c>
      <c r="L403" s="3">
        <v>0.18510306500000001</v>
      </c>
      <c r="M403" s="3">
        <v>0.45247854199999998</v>
      </c>
      <c r="N403" s="3">
        <v>0.216594538</v>
      </c>
      <c r="O403" s="3">
        <v>4.4330440999999998E-2</v>
      </c>
      <c r="P403" s="3">
        <v>9.2024166000000004E-2</v>
      </c>
      <c r="Q403" s="3">
        <v>0.104356236</v>
      </c>
      <c r="R403" s="3">
        <v>0.39638897299999998</v>
      </c>
      <c r="S403" s="3">
        <v>0.80146557399999996</v>
      </c>
      <c r="T403" s="3">
        <v>1.3515601260000001</v>
      </c>
      <c r="U403" s="3">
        <v>0.57414160199999997</v>
      </c>
      <c r="V403" s="3">
        <v>0.39581925899999998</v>
      </c>
      <c r="W403" s="3">
        <v>0.57463624400000002</v>
      </c>
      <c r="X403" s="3">
        <v>1.6823540589999999</v>
      </c>
      <c r="Y403" s="3">
        <v>7.7091982000000003E-2</v>
      </c>
      <c r="Z403" s="3">
        <v>2.3540536360000002</v>
      </c>
      <c r="AA403" s="3">
        <v>0.216208807</v>
      </c>
      <c r="AB403" s="3">
        <v>10.79133713</v>
      </c>
      <c r="AC403" s="3">
        <v>2.9276852550000001</v>
      </c>
      <c r="AD403" s="3">
        <v>0.26216136699999998</v>
      </c>
      <c r="AE403" s="3">
        <v>9.4302210960000004</v>
      </c>
      <c r="AF403" s="4">
        <v>42167</v>
      </c>
      <c r="AG403" s="5">
        <f>YEAR(AF403)</f>
        <v>2015</v>
      </c>
      <c r="AH403" s="5" t="str">
        <f>"Q"&amp;ROUNDUP(MONTH(AF403)/3,0)</f>
        <v>Q2</v>
      </c>
      <c r="AI403" s="5">
        <f>INDEX(RatingLookup!$B$2:$B$11,MATCH(A403,RatingLookup!$A$2:$A$11,0))</f>
        <v>7</v>
      </c>
      <c r="AJ403" s="5" t="str">
        <f>INDEX(RatingLookup!$C$2:$C$11,MATCH(A403,RatingLookup!$A$2:$A$11,0))</f>
        <v>Investment Grade</v>
      </c>
    </row>
    <row r="404" spans="1:36" x14ac:dyDescent="0.3">
      <c r="A404" s="3" t="s">
        <v>109</v>
      </c>
      <c r="B404" s="3" t="s">
        <v>544</v>
      </c>
      <c r="C404" s="3" t="s">
        <v>545</v>
      </c>
      <c r="D404" s="3" t="s">
        <v>47</v>
      </c>
      <c r="E404" s="3" t="s">
        <v>546</v>
      </c>
      <c r="F404" s="3" t="s">
        <v>113</v>
      </c>
      <c r="G404" s="3">
        <v>1.6521207229999999</v>
      </c>
      <c r="H404" s="3">
        <v>1.2801354760000001</v>
      </c>
      <c r="I404" s="3">
        <v>0.56673135100000005</v>
      </c>
      <c r="J404" s="3">
        <v>43.010080619999997</v>
      </c>
      <c r="K404" s="3">
        <v>8.2659682999999998E-2</v>
      </c>
      <c r="L404" s="3">
        <v>0.12557622399999999</v>
      </c>
      <c r="M404" s="3">
        <v>1</v>
      </c>
      <c r="N404" s="3">
        <v>0.12557622399999999</v>
      </c>
      <c r="O404" s="3">
        <v>3.7345014000000003E-2</v>
      </c>
      <c r="P404" s="3">
        <v>6.1309568000000002E-2</v>
      </c>
      <c r="Q404" s="3">
        <v>9.4260271000000007E-2</v>
      </c>
      <c r="R404" s="3">
        <v>0.451792372</v>
      </c>
      <c r="S404" s="3">
        <v>0.93914275000000003</v>
      </c>
      <c r="T404" s="3">
        <v>1.52403898</v>
      </c>
      <c r="U404" s="3">
        <v>0.60380960500000003</v>
      </c>
      <c r="V404" s="3">
        <v>0.34023495100000001</v>
      </c>
      <c r="W404" s="3">
        <v>1.7712472E-2</v>
      </c>
      <c r="X404" s="3">
        <v>3.7084793999999997E-2</v>
      </c>
      <c r="Y404" s="3">
        <v>1.707861904</v>
      </c>
      <c r="Z404" s="3">
        <v>2.5240389799999998</v>
      </c>
      <c r="AA404" s="3">
        <v>0.12557622399999999</v>
      </c>
      <c r="AB404" s="3">
        <v>25.812517360000001</v>
      </c>
      <c r="AC404" s="3">
        <v>2.09371084</v>
      </c>
      <c r="AD404" s="3">
        <v>0.114757998</v>
      </c>
      <c r="AE404" s="3">
        <v>0</v>
      </c>
      <c r="AF404" s="4">
        <v>42032</v>
      </c>
      <c r="AG404" s="5">
        <f>YEAR(AF404)</f>
        <v>2015</v>
      </c>
      <c r="AH404" s="5" t="str">
        <f>"Q"&amp;ROUNDUP(MONTH(AF404)/3,0)</f>
        <v>Q1</v>
      </c>
      <c r="AI404" s="5">
        <f>INDEX(RatingLookup!$B$2:$B$11,MATCH(A404,RatingLookup!$A$2:$A$11,0))</f>
        <v>5</v>
      </c>
      <c r="AJ404" s="5" t="str">
        <f>INDEX(RatingLookup!$C$2:$C$11,MATCH(A404,RatingLookup!$A$2:$A$11,0))</f>
        <v>Speculative Grade</v>
      </c>
    </row>
    <row r="405" spans="1:36" x14ac:dyDescent="0.3">
      <c r="A405" s="3" t="s">
        <v>36</v>
      </c>
      <c r="B405" s="3" t="s">
        <v>547</v>
      </c>
      <c r="C405" s="3" t="s">
        <v>548</v>
      </c>
      <c r="D405" s="3" t="s">
        <v>60</v>
      </c>
      <c r="E405" s="3" t="s">
        <v>46</v>
      </c>
      <c r="F405" s="3" t="s">
        <v>41</v>
      </c>
      <c r="G405" s="3">
        <v>1.436326309</v>
      </c>
      <c r="H405" s="3">
        <v>0.30040456500000001</v>
      </c>
      <c r="I405" s="3">
        <v>0.29098484400000002</v>
      </c>
      <c r="J405" s="3">
        <v>0</v>
      </c>
      <c r="K405" s="3">
        <v>8.7259804999999996E-2</v>
      </c>
      <c r="L405" s="3">
        <v>0.11976836</v>
      </c>
      <c r="M405" s="3">
        <v>0.30097394100000002</v>
      </c>
      <c r="N405" s="3">
        <v>2.3690399999999999E-4</v>
      </c>
      <c r="O405" s="3">
        <v>8.3610774999999998E-2</v>
      </c>
      <c r="P405" s="3">
        <v>0.19708060799999999</v>
      </c>
      <c r="Q405" s="3">
        <v>0.210115992</v>
      </c>
      <c r="R405" s="3">
        <v>0.95818200200000003</v>
      </c>
      <c r="S405" s="3">
        <v>7.7184071520000002</v>
      </c>
      <c r="T405" s="3">
        <v>1.4775939659999999</v>
      </c>
      <c r="U405" s="3">
        <v>0.58797417299999999</v>
      </c>
      <c r="V405" s="3">
        <v>0</v>
      </c>
      <c r="W405" s="3">
        <v>0.98698781800000002</v>
      </c>
      <c r="X405" s="3">
        <v>1.5581293709999999</v>
      </c>
      <c r="Y405" s="3">
        <v>2.1743881119999999</v>
      </c>
      <c r="Z405" s="3">
        <v>2.5130252899999999</v>
      </c>
      <c r="AA405" s="3">
        <v>0.11976836</v>
      </c>
      <c r="AB405" s="3">
        <v>43.555179279999997</v>
      </c>
      <c r="AC405" s="3">
        <v>1.5786713290000001</v>
      </c>
      <c r="AD405" s="3">
        <v>9.5077651999999999E-2</v>
      </c>
      <c r="AE405" s="3">
        <v>5.545207768</v>
      </c>
      <c r="AF405" s="4">
        <v>41075</v>
      </c>
      <c r="AG405" s="5">
        <f>YEAR(AF405)</f>
        <v>2012</v>
      </c>
      <c r="AH405" s="5" t="str">
        <f>"Q"&amp;ROUNDUP(MONTH(AF405)/3,0)</f>
        <v>Q2</v>
      </c>
      <c r="AI405" s="5">
        <f>INDEX(RatingLookup!$B$2:$B$11,MATCH(A405,RatingLookup!$A$2:$A$11,0))</f>
        <v>8</v>
      </c>
      <c r="AJ405" s="5" t="str">
        <f>INDEX(RatingLookup!$C$2:$C$11,MATCH(A405,RatingLookup!$A$2:$A$11,0))</f>
        <v>Investment Grade</v>
      </c>
    </row>
    <row r="406" spans="1:36" x14ac:dyDescent="0.3">
      <c r="A406" s="3" t="s">
        <v>36</v>
      </c>
      <c r="B406" s="3" t="s">
        <v>547</v>
      </c>
      <c r="C406" s="3" t="s">
        <v>548</v>
      </c>
      <c r="D406" s="3" t="s">
        <v>39</v>
      </c>
      <c r="E406" s="3" t="s">
        <v>549</v>
      </c>
      <c r="F406" s="3" t="s">
        <v>41</v>
      </c>
      <c r="G406" s="3">
        <v>1.584707646</v>
      </c>
      <c r="H406" s="3">
        <v>0.37289355299999999</v>
      </c>
      <c r="I406" s="3">
        <v>0.36107946000000002</v>
      </c>
      <c r="J406" s="3">
        <v>0</v>
      </c>
      <c r="K406" s="3">
        <v>6.9465684999999999E-2</v>
      </c>
      <c r="L406" s="3">
        <v>9.7161154999999999E-2</v>
      </c>
      <c r="M406" s="3">
        <v>0.28656088699999999</v>
      </c>
      <c r="N406" s="3">
        <v>0.104831772</v>
      </c>
      <c r="O406" s="3">
        <v>6.0481857999999999E-2</v>
      </c>
      <c r="P406" s="3">
        <v>0.12953582499999999</v>
      </c>
      <c r="Q406" s="3">
        <v>0.15563764899999999</v>
      </c>
      <c r="R406" s="3">
        <v>0.87067243699999997</v>
      </c>
      <c r="S406" s="3">
        <v>6.6913975060000004</v>
      </c>
      <c r="T406" s="3">
        <v>1.544919156</v>
      </c>
      <c r="U406" s="3">
        <v>0.60036617800000003</v>
      </c>
      <c r="V406" s="3">
        <v>0</v>
      </c>
      <c r="W406" s="3">
        <v>0.99507254300000003</v>
      </c>
      <c r="X406" s="3">
        <v>1.5824989119999999</v>
      </c>
      <c r="Y406" s="3">
        <v>2.707009142</v>
      </c>
      <c r="Z406" s="3">
        <v>2.5732947849999999</v>
      </c>
      <c r="AA406" s="3">
        <v>9.7161154999999999E-2</v>
      </c>
      <c r="AB406" s="3">
        <v>9.225517967</v>
      </c>
      <c r="AC406" s="3">
        <v>1.59033522</v>
      </c>
      <c r="AD406" s="3">
        <v>8.7292104999999995E-2</v>
      </c>
      <c r="AE406" s="3">
        <v>5.8403755869999996</v>
      </c>
      <c r="AF406" s="4">
        <v>41491</v>
      </c>
      <c r="AG406" s="5">
        <f>YEAR(AF406)</f>
        <v>2013</v>
      </c>
      <c r="AH406" s="5" t="str">
        <f>"Q"&amp;ROUNDUP(MONTH(AF406)/3,0)</f>
        <v>Q3</v>
      </c>
      <c r="AI406" s="5">
        <f>INDEX(RatingLookup!$B$2:$B$11,MATCH(A406,RatingLookup!$A$2:$A$11,0))</f>
        <v>8</v>
      </c>
      <c r="AJ406" s="5" t="str">
        <f>INDEX(RatingLookup!$C$2:$C$11,MATCH(A406,RatingLookup!$A$2:$A$11,0))</f>
        <v>Investment Grade</v>
      </c>
    </row>
    <row r="407" spans="1:36" x14ac:dyDescent="0.3">
      <c r="A407" s="3" t="s">
        <v>36</v>
      </c>
      <c r="B407" s="3" t="s">
        <v>547</v>
      </c>
      <c r="C407" s="3" t="s">
        <v>548</v>
      </c>
      <c r="D407" s="3" t="s">
        <v>39</v>
      </c>
      <c r="E407" s="3" t="s">
        <v>550</v>
      </c>
      <c r="F407" s="3" t="s">
        <v>41</v>
      </c>
      <c r="G407" s="3">
        <v>1.603722721</v>
      </c>
      <c r="H407" s="3">
        <v>0.36071887000000002</v>
      </c>
      <c r="I407" s="3">
        <v>0.34935815100000001</v>
      </c>
      <c r="J407" s="3">
        <v>0</v>
      </c>
      <c r="K407" s="3">
        <v>6.8240019999999998E-2</v>
      </c>
      <c r="L407" s="3">
        <v>9.7815716999999996E-2</v>
      </c>
      <c r="M407" s="3">
        <v>0.28157167999999999</v>
      </c>
      <c r="N407" s="3">
        <v>0.10489580699999999</v>
      </c>
      <c r="O407" s="3">
        <v>6.0564196000000001E-2</v>
      </c>
      <c r="P407" s="3">
        <v>0.13297835999999999</v>
      </c>
      <c r="Q407" s="3">
        <v>0.1670662</v>
      </c>
      <c r="R407" s="3">
        <v>0.88751726900000005</v>
      </c>
      <c r="S407" s="3">
        <v>7.0470629870000003</v>
      </c>
      <c r="T407" s="3">
        <v>1.7249369969999999</v>
      </c>
      <c r="U407" s="3">
        <v>0.62531752799999996</v>
      </c>
      <c r="V407" s="3">
        <v>0</v>
      </c>
      <c r="W407" s="3">
        <v>0.995578674</v>
      </c>
      <c r="X407" s="3">
        <v>1.673076923</v>
      </c>
      <c r="Y407" s="3">
        <v>2.4562937059999999</v>
      </c>
      <c r="Z407" s="3">
        <v>2.7584977560000001</v>
      </c>
      <c r="AA407" s="3">
        <v>9.7815716999999996E-2</v>
      </c>
      <c r="AB407" s="3">
        <v>7.1229837680000001</v>
      </c>
      <c r="AC407" s="3">
        <v>1.6805069930000001</v>
      </c>
      <c r="AD407" s="3">
        <v>9.6535275000000004E-2</v>
      </c>
      <c r="AE407" s="3">
        <v>6.0052465899999996</v>
      </c>
      <c r="AF407" s="4">
        <v>42132</v>
      </c>
      <c r="AG407" s="5">
        <f>YEAR(AF407)</f>
        <v>2015</v>
      </c>
      <c r="AH407" s="5" t="str">
        <f>"Q"&amp;ROUNDUP(MONTH(AF407)/3,0)</f>
        <v>Q2</v>
      </c>
      <c r="AI407" s="5">
        <f>INDEX(RatingLookup!$B$2:$B$11,MATCH(A407,RatingLookup!$A$2:$A$11,0))</f>
        <v>8</v>
      </c>
      <c r="AJ407" s="5" t="str">
        <f>INDEX(RatingLookup!$C$2:$C$11,MATCH(A407,RatingLookup!$A$2:$A$11,0))</f>
        <v>Investment Grade</v>
      </c>
    </row>
    <row r="408" spans="1:36" x14ac:dyDescent="0.3">
      <c r="A408" s="3" t="s">
        <v>36</v>
      </c>
      <c r="B408" s="3" t="s">
        <v>547</v>
      </c>
      <c r="C408" s="3" t="s">
        <v>548</v>
      </c>
      <c r="D408" s="3" t="s">
        <v>39</v>
      </c>
      <c r="E408" s="3" t="s">
        <v>551</v>
      </c>
      <c r="F408" s="3" t="s">
        <v>41</v>
      </c>
      <c r="G408" s="3">
        <v>1.4365059330000001</v>
      </c>
      <c r="H408" s="3">
        <v>0.29935622299999998</v>
      </c>
      <c r="I408" s="3">
        <v>0.28812168599999999</v>
      </c>
      <c r="J408" s="3">
        <v>0</v>
      </c>
      <c r="K408" s="3">
        <v>5.7918322000000001E-2</v>
      </c>
      <c r="L408" s="3">
        <v>8.0042840000000004E-2</v>
      </c>
      <c r="M408" s="3">
        <v>0.28561765500000003</v>
      </c>
      <c r="N408" s="3">
        <v>8.5933315999999996E-2</v>
      </c>
      <c r="O408" s="3">
        <v>4.9690492000000003E-2</v>
      </c>
      <c r="P408" s="3">
        <v>0.111320163</v>
      </c>
      <c r="Q408" s="3">
        <v>0.14191008899999999</v>
      </c>
      <c r="R408" s="3">
        <v>0.85794080699999997</v>
      </c>
      <c r="S408" s="3">
        <v>6.7249810459999999</v>
      </c>
      <c r="T408" s="3">
        <v>1.820868725</v>
      </c>
      <c r="U408" s="3">
        <v>0.63758583999999996</v>
      </c>
      <c r="V408" s="3">
        <v>0</v>
      </c>
      <c r="W408" s="3">
        <v>0.77056050300000001</v>
      </c>
      <c r="X408" s="3">
        <v>1.3216531899999999</v>
      </c>
      <c r="Y408" s="3">
        <v>2.1307277629999999</v>
      </c>
      <c r="Z408" s="3">
        <v>2.8558801190000001</v>
      </c>
      <c r="AA408" s="3">
        <v>8.0042840000000004E-2</v>
      </c>
      <c r="AB408" s="3">
        <v>8.7557139460000002</v>
      </c>
      <c r="AC408" s="3">
        <v>1.715184187</v>
      </c>
      <c r="AD408" s="3">
        <v>0.107606888</v>
      </c>
      <c r="AE408" s="3">
        <v>5.837632427</v>
      </c>
      <c r="AF408" s="4">
        <v>42228</v>
      </c>
      <c r="AG408" s="5">
        <f>YEAR(AF408)</f>
        <v>2015</v>
      </c>
      <c r="AH408" s="5" t="str">
        <f>"Q"&amp;ROUNDUP(MONTH(AF408)/3,0)</f>
        <v>Q3</v>
      </c>
      <c r="AI408" s="5">
        <f>INDEX(RatingLookup!$B$2:$B$11,MATCH(A408,RatingLookup!$A$2:$A$11,0))</f>
        <v>8</v>
      </c>
      <c r="AJ408" s="5" t="str">
        <f>INDEX(RatingLookup!$C$2:$C$11,MATCH(A408,RatingLookup!$A$2:$A$11,0))</f>
        <v>Investment Grade</v>
      </c>
    </row>
    <row r="409" spans="1:36" x14ac:dyDescent="0.3">
      <c r="A409" s="3" t="s">
        <v>92</v>
      </c>
      <c r="B409" s="3" t="s">
        <v>552</v>
      </c>
      <c r="C409" s="3" t="s">
        <v>553</v>
      </c>
      <c r="D409" s="3" t="s">
        <v>39</v>
      </c>
      <c r="E409" s="3" t="s">
        <v>325</v>
      </c>
      <c r="F409" s="3" t="s">
        <v>79</v>
      </c>
      <c r="G409" s="3">
        <v>0.50038508100000001</v>
      </c>
      <c r="H409" s="3">
        <v>0.39993398600000002</v>
      </c>
      <c r="I409" s="3">
        <v>6.2273077000000003E-2</v>
      </c>
      <c r="J409" s="3">
        <v>53.235671510000003</v>
      </c>
      <c r="K409" s="3">
        <v>0.118809999</v>
      </c>
      <c r="L409" s="3">
        <v>0.16295979499999999</v>
      </c>
      <c r="M409" s="3">
        <v>0.39459176899999998</v>
      </c>
      <c r="N409" s="3">
        <v>0.220273738</v>
      </c>
      <c r="O409" s="3">
        <v>5.3999179000000001E-2</v>
      </c>
      <c r="P409" s="3">
        <v>0.117125349</v>
      </c>
      <c r="Q409" s="3">
        <v>0.16726883400000001</v>
      </c>
      <c r="R409" s="3">
        <v>0.45450029199999997</v>
      </c>
      <c r="S409" s="3">
        <v>0.986636658</v>
      </c>
      <c r="T409" s="3">
        <v>2.0780141840000002</v>
      </c>
      <c r="U409" s="3">
        <v>0.67084260299999998</v>
      </c>
      <c r="V409" s="3">
        <v>0.27092446799999997</v>
      </c>
      <c r="W409" s="3">
        <v>0.40442236799999998</v>
      </c>
      <c r="X409" s="3">
        <v>3.2530277299999999</v>
      </c>
      <c r="Y409" s="3">
        <v>0.72948244699999998</v>
      </c>
      <c r="Z409" s="3">
        <v>3.0976180919999998</v>
      </c>
      <c r="AA409" s="3">
        <v>0.20710959000000001</v>
      </c>
      <c r="AB409" s="3">
        <v>7.1651927659999997</v>
      </c>
      <c r="AC409" s="3">
        <v>8.043639486</v>
      </c>
      <c r="AD409" s="3">
        <v>0.29659728200000002</v>
      </c>
      <c r="AE409" s="3">
        <v>2.8965438840000002</v>
      </c>
      <c r="AF409" s="4">
        <v>41878</v>
      </c>
      <c r="AG409" s="5">
        <f>YEAR(AF409)</f>
        <v>2014</v>
      </c>
      <c r="AH409" s="5" t="str">
        <f>"Q"&amp;ROUNDUP(MONTH(AF409)/3,0)</f>
        <v>Q3</v>
      </c>
      <c r="AI409" s="5">
        <f>INDEX(RatingLookup!$B$2:$B$11,MATCH(A409,RatingLookup!$A$2:$A$11,0))</f>
        <v>6</v>
      </c>
      <c r="AJ409" s="5" t="str">
        <f>INDEX(RatingLookup!$C$2:$C$11,MATCH(A409,RatingLookup!$A$2:$A$11,0))</f>
        <v>Speculative Grade</v>
      </c>
    </row>
    <row r="410" spans="1:36" x14ac:dyDescent="0.3">
      <c r="A410" s="3" t="s">
        <v>92</v>
      </c>
      <c r="B410" s="3" t="s">
        <v>552</v>
      </c>
      <c r="C410" s="3" t="s">
        <v>553</v>
      </c>
      <c r="D410" s="3" t="s">
        <v>39</v>
      </c>
      <c r="E410" s="3" t="s">
        <v>554</v>
      </c>
      <c r="F410" s="3" t="s">
        <v>79</v>
      </c>
      <c r="G410" s="3">
        <v>0.64258555100000003</v>
      </c>
      <c r="H410" s="3">
        <v>0.428136882</v>
      </c>
      <c r="I410" s="3">
        <v>4.2458809E-2</v>
      </c>
      <c r="J410" s="3">
        <v>54.445833329999999</v>
      </c>
      <c r="K410" s="3">
        <v>0.10323529400000001</v>
      </c>
      <c r="L410" s="3">
        <v>0.14382352900000001</v>
      </c>
      <c r="M410" s="3">
        <v>0.39651960800000002</v>
      </c>
      <c r="N410" s="3">
        <v>0.21093137300000001</v>
      </c>
      <c r="O410" s="3">
        <v>4.6404018999999998E-2</v>
      </c>
      <c r="P410" s="3">
        <v>0.10308315999999999</v>
      </c>
      <c r="Q410" s="3">
        <v>0.140297115</v>
      </c>
      <c r="R410" s="3">
        <v>0.44949761999999999</v>
      </c>
      <c r="S410" s="3">
        <v>0.98346430100000004</v>
      </c>
      <c r="T410" s="3">
        <v>1.940843382</v>
      </c>
      <c r="U410" s="3">
        <v>0.64194429799999997</v>
      </c>
      <c r="V410" s="3">
        <v>0.28220858900000001</v>
      </c>
      <c r="W410" s="3">
        <v>0.44857936999999998</v>
      </c>
      <c r="X410" s="3">
        <v>3.7465421299999999</v>
      </c>
      <c r="Y410" s="3">
        <v>0.43204530600000002</v>
      </c>
      <c r="Z410" s="3">
        <v>3.0233828530000002</v>
      </c>
      <c r="AA410" s="3">
        <v>0.18946078399999999</v>
      </c>
      <c r="AB410" s="3">
        <v>7.2699145520000004</v>
      </c>
      <c r="AC410" s="3">
        <v>8.3520161220000002</v>
      </c>
      <c r="AD410" s="3">
        <v>0.31745097999999999</v>
      </c>
      <c r="AE410" s="3">
        <v>2.8372896980000002</v>
      </c>
      <c r="AF410" s="4">
        <v>41598</v>
      </c>
      <c r="AG410" s="5">
        <f>YEAR(AF410)</f>
        <v>2013</v>
      </c>
      <c r="AH410" s="5" t="str">
        <f>"Q"&amp;ROUNDUP(MONTH(AF410)/3,0)</f>
        <v>Q4</v>
      </c>
      <c r="AI410" s="5">
        <f>INDEX(RatingLookup!$B$2:$B$11,MATCH(A410,RatingLookup!$A$2:$A$11,0))</f>
        <v>6</v>
      </c>
      <c r="AJ410" s="5" t="str">
        <f>INDEX(RatingLookup!$C$2:$C$11,MATCH(A410,RatingLookup!$A$2:$A$11,0))</f>
        <v>Speculative Grade</v>
      </c>
    </row>
    <row r="411" spans="1:36" x14ac:dyDescent="0.3">
      <c r="A411" s="3" t="s">
        <v>92</v>
      </c>
      <c r="B411" s="3" t="s">
        <v>552</v>
      </c>
      <c r="C411" s="3" t="s">
        <v>553</v>
      </c>
      <c r="D411" s="3" t="s">
        <v>39</v>
      </c>
      <c r="E411" s="3" t="s">
        <v>555</v>
      </c>
      <c r="F411" s="3" t="s">
        <v>79</v>
      </c>
      <c r="G411" s="3">
        <v>0.58004743599999997</v>
      </c>
      <c r="H411" s="3">
        <v>0.45582567400000001</v>
      </c>
      <c r="I411" s="3">
        <v>1.9122442999999999E-2</v>
      </c>
      <c r="J411" s="3">
        <v>53.823706080000001</v>
      </c>
      <c r="K411" s="3">
        <v>0.12989288199999999</v>
      </c>
      <c r="L411" s="3">
        <v>0.16793472800000001</v>
      </c>
      <c r="M411" s="3">
        <v>0.39483431800000002</v>
      </c>
      <c r="N411" s="3">
        <v>0.21839022899999999</v>
      </c>
      <c r="O411" s="3">
        <v>6.3340574999999996E-2</v>
      </c>
      <c r="P411" s="3">
        <v>0.12330888600000001</v>
      </c>
      <c r="Q411" s="3">
        <v>0.18702702700000001</v>
      </c>
      <c r="R411" s="3">
        <v>0.48763699399999999</v>
      </c>
      <c r="S411" s="3">
        <v>0.99855050700000003</v>
      </c>
      <c r="T411" s="3">
        <v>1.891459459</v>
      </c>
      <c r="U411" s="3">
        <v>0.64058190299999995</v>
      </c>
      <c r="V411" s="3">
        <v>0.22652757100000001</v>
      </c>
      <c r="W411" s="3">
        <v>0.36780575500000001</v>
      </c>
      <c r="X411" s="3">
        <v>2.637198138</v>
      </c>
      <c r="Y411" s="3">
        <v>0.166356264</v>
      </c>
      <c r="Z411" s="3">
        <v>2.9527207209999999</v>
      </c>
      <c r="AA411" s="3">
        <v>0.21123235600000001</v>
      </c>
      <c r="AB411" s="3">
        <v>6.412323475</v>
      </c>
      <c r="AC411" s="3">
        <v>7.170083934</v>
      </c>
      <c r="AD411" s="3">
        <v>0.27830613700000001</v>
      </c>
      <c r="AE411" s="3">
        <v>3.0873340140000001</v>
      </c>
      <c r="AF411" s="4">
        <v>41425</v>
      </c>
      <c r="AG411" s="5">
        <f>YEAR(AF411)</f>
        <v>2013</v>
      </c>
      <c r="AH411" s="5" t="str">
        <f>"Q"&amp;ROUNDUP(MONTH(AF411)/3,0)</f>
        <v>Q2</v>
      </c>
      <c r="AI411" s="5">
        <f>INDEX(RatingLookup!$B$2:$B$11,MATCH(A411,RatingLookup!$A$2:$A$11,0))</f>
        <v>6</v>
      </c>
      <c r="AJ411" s="5" t="str">
        <f>INDEX(RatingLookup!$C$2:$C$11,MATCH(A411,RatingLookup!$A$2:$A$11,0))</f>
        <v>Speculative Grade</v>
      </c>
    </row>
    <row r="412" spans="1:36" x14ac:dyDescent="0.3">
      <c r="A412" s="3" t="s">
        <v>42</v>
      </c>
      <c r="B412" s="3" t="s">
        <v>552</v>
      </c>
      <c r="C412" s="3" t="s">
        <v>553</v>
      </c>
      <c r="D412" s="3" t="s">
        <v>60</v>
      </c>
      <c r="E412" s="3" t="s">
        <v>46</v>
      </c>
      <c r="F412" s="3" t="s">
        <v>79</v>
      </c>
      <c r="G412" s="3">
        <v>0.61543000400000003</v>
      </c>
      <c r="H412" s="3">
        <v>0.48502729</v>
      </c>
      <c r="I412" s="3">
        <v>2.5815016999999999E-2</v>
      </c>
      <c r="J412" s="3">
        <v>58.277940200000003</v>
      </c>
      <c r="K412" s="3">
        <v>0.12001846400000001</v>
      </c>
      <c r="L412" s="3">
        <v>0.156947223</v>
      </c>
      <c r="M412" s="3">
        <v>0.39129096800000002</v>
      </c>
      <c r="N412" s="3">
        <v>0.20305688099999999</v>
      </c>
      <c r="O412" s="3">
        <v>5.9360731E-2</v>
      </c>
      <c r="P412" s="3">
        <v>0.11987990599999999</v>
      </c>
      <c r="Q412" s="3">
        <v>0.16983597</v>
      </c>
      <c r="R412" s="3">
        <v>0.494596651</v>
      </c>
      <c r="S412" s="3">
        <v>1.0379025820000001</v>
      </c>
      <c r="T412" s="3">
        <v>1.7898824209999999</v>
      </c>
      <c r="U412" s="3">
        <v>0.62559614399999997</v>
      </c>
      <c r="V412" s="3">
        <v>0.235294118</v>
      </c>
      <c r="W412" s="3">
        <v>0.33127952399999999</v>
      </c>
      <c r="X412" s="3">
        <v>2.144184343</v>
      </c>
      <c r="Y412" s="3">
        <v>0.23263004300000001</v>
      </c>
      <c r="Z412" s="3">
        <v>2.8610828860000002</v>
      </c>
      <c r="AA412" s="3">
        <v>0.20069754300000001</v>
      </c>
      <c r="AB412" s="3">
        <v>6.1528969099999999</v>
      </c>
      <c r="AC412" s="3">
        <v>6.4724324649999998</v>
      </c>
      <c r="AD412" s="3">
        <v>0.24973072800000001</v>
      </c>
      <c r="AE412" s="3">
        <v>2.9109639440000001</v>
      </c>
      <c r="AF412" s="4">
        <v>41075</v>
      </c>
      <c r="AG412" s="5">
        <f>YEAR(AF412)</f>
        <v>2012</v>
      </c>
      <c r="AH412" s="5" t="str">
        <f>"Q"&amp;ROUNDUP(MONTH(AF412)/3,0)</f>
        <v>Q2</v>
      </c>
      <c r="AI412" s="5">
        <f>INDEX(RatingLookup!$B$2:$B$11,MATCH(A412,RatingLookup!$A$2:$A$11,0))</f>
        <v>7</v>
      </c>
      <c r="AJ412" s="5" t="str">
        <f>INDEX(RatingLookup!$C$2:$C$11,MATCH(A412,RatingLookup!$A$2:$A$11,0))</f>
        <v>Investment Grade</v>
      </c>
    </row>
    <row r="413" spans="1:36" x14ac:dyDescent="0.3">
      <c r="A413" s="3" t="s">
        <v>42</v>
      </c>
      <c r="B413" s="3" t="s">
        <v>552</v>
      </c>
      <c r="C413" s="3" t="s">
        <v>553</v>
      </c>
      <c r="D413" s="3" t="s">
        <v>47</v>
      </c>
      <c r="E413" s="3" t="s">
        <v>556</v>
      </c>
      <c r="F413" s="3" t="s">
        <v>79</v>
      </c>
      <c r="G413" s="3">
        <v>0.66939890700000004</v>
      </c>
      <c r="H413" s="3">
        <v>0.52574058099999998</v>
      </c>
      <c r="I413" s="3">
        <v>0.110871441</v>
      </c>
      <c r="J413" s="3">
        <v>58.277989929999997</v>
      </c>
      <c r="K413" s="3">
        <v>0.121478776</v>
      </c>
      <c r="L413" s="3">
        <v>0.156455808</v>
      </c>
      <c r="M413" s="3">
        <v>0.39764237099999999</v>
      </c>
      <c r="N413" s="3">
        <v>0.210194255</v>
      </c>
      <c r="O413" s="3">
        <v>6.1153985000000001E-2</v>
      </c>
      <c r="P413" s="3">
        <v>0.12135872</v>
      </c>
      <c r="Q413" s="3">
        <v>0.21617096699999999</v>
      </c>
      <c r="R413" s="3">
        <v>0.50341292199999998</v>
      </c>
      <c r="S413" s="3">
        <v>1.0165400840000001</v>
      </c>
      <c r="T413" s="3">
        <v>2.5334843409999999</v>
      </c>
      <c r="U413" s="3">
        <v>0.71671356500000005</v>
      </c>
      <c r="V413" s="3">
        <v>0.223558543</v>
      </c>
      <c r="W413" s="3">
        <v>0.31348752000000002</v>
      </c>
      <c r="X413" s="3">
        <v>1.784456365</v>
      </c>
      <c r="Y413" s="3">
        <v>1.0049787130000001</v>
      </c>
      <c r="Z413" s="3">
        <v>3.5348631080000001</v>
      </c>
      <c r="AA413" s="3">
        <v>0.19436604099999999</v>
      </c>
      <c r="AB413" s="3">
        <v>5.8705442010000004</v>
      </c>
      <c r="AC413" s="3">
        <v>5.6922724240000004</v>
      </c>
      <c r="AD413" s="3">
        <v>0.241684653</v>
      </c>
      <c r="AE413" s="3">
        <v>2.8284823280000002</v>
      </c>
      <c r="AF413" s="4">
        <v>40637</v>
      </c>
      <c r="AG413" s="5">
        <f>YEAR(AF413)</f>
        <v>2011</v>
      </c>
      <c r="AH413" s="5" t="str">
        <f>"Q"&amp;ROUNDUP(MONTH(AF413)/3,0)</f>
        <v>Q2</v>
      </c>
      <c r="AI413" s="5">
        <f>INDEX(RatingLookup!$B$2:$B$11,MATCH(A413,RatingLookup!$A$2:$A$11,0))</f>
        <v>7</v>
      </c>
      <c r="AJ413" s="5" t="str">
        <f>INDEX(RatingLookup!$C$2:$C$11,MATCH(A413,RatingLookup!$A$2:$A$11,0))</f>
        <v>Investment Grade</v>
      </c>
    </row>
    <row r="414" spans="1:36" x14ac:dyDescent="0.3">
      <c r="A414" s="3" t="s">
        <v>92</v>
      </c>
      <c r="B414" s="3" t="s">
        <v>552</v>
      </c>
      <c r="C414" s="3" t="s">
        <v>553</v>
      </c>
      <c r="D414" s="3" t="s">
        <v>39</v>
      </c>
      <c r="E414" s="3" t="s">
        <v>448</v>
      </c>
      <c r="F414" s="3" t="s">
        <v>79</v>
      </c>
      <c r="G414" s="3">
        <v>0.481184948</v>
      </c>
      <c r="H414" s="3">
        <v>0.36248999199999998</v>
      </c>
      <c r="I414" s="3">
        <v>6.1349079000000001E-2</v>
      </c>
      <c r="J414" s="3">
        <v>51.049781539999998</v>
      </c>
      <c r="K414" s="3">
        <v>0.124477085</v>
      </c>
      <c r="L414" s="3">
        <v>0.16742586200000001</v>
      </c>
      <c r="M414" s="3">
        <v>0.39746211799999998</v>
      </c>
      <c r="N414" s="3">
        <v>0.217765176</v>
      </c>
      <c r="O414" s="3">
        <v>5.5799804000000001E-2</v>
      </c>
      <c r="P414" s="3">
        <v>0.118707402</v>
      </c>
      <c r="Q414" s="3">
        <v>0.15731657199999999</v>
      </c>
      <c r="R414" s="3">
        <v>0.44827370700000002</v>
      </c>
      <c r="S414" s="3">
        <v>0.99463707800000001</v>
      </c>
      <c r="T414" s="3">
        <v>1.801327616</v>
      </c>
      <c r="U414" s="3">
        <v>0.63892651</v>
      </c>
      <c r="V414" s="3">
        <v>0.25652415299999998</v>
      </c>
      <c r="W414" s="3">
        <v>0.42205929199999997</v>
      </c>
      <c r="X414" s="3">
        <v>3.1511416799999998</v>
      </c>
      <c r="Y414" s="3">
        <v>0.729475019</v>
      </c>
      <c r="Z414" s="3">
        <v>2.8193032960000002</v>
      </c>
      <c r="AA414" s="3">
        <v>0.209677419</v>
      </c>
      <c r="AB414" s="3">
        <v>7.0555370880000003</v>
      </c>
      <c r="AC414" s="3">
        <v>7.4661113659999998</v>
      </c>
      <c r="AD414" s="3">
        <v>0.29162405899999999</v>
      </c>
      <c r="AE414" s="3">
        <v>3.0237928620000001</v>
      </c>
      <c r="AF414" s="4">
        <v>42257</v>
      </c>
      <c r="AG414" s="5">
        <f>YEAR(AF414)</f>
        <v>2015</v>
      </c>
      <c r="AH414" s="5" t="str">
        <f>"Q"&amp;ROUNDUP(MONTH(AF414)/3,0)</f>
        <v>Q3</v>
      </c>
      <c r="AI414" s="5">
        <f>INDEX(RatingLookup!$B$2:$B$11,MATCH(A414,RatingLookup!$A$2:$A$11,0))</f>
        <v>6</v>
      </c>
      <c r="AJ414" s="5" t="str">
        <f>INDEX(RatingLookup!$C$2:$C$11,MATCH(A414,RatingLookup!$A$2:$A$11,0))</f>
        <v>Speculative Grade</v>
      </c>
    </row>
    <row r="415" spans="1:36" x14ac:dyDescent="0.3">
      <c r="A415" s="3" t="s">
        <v>42</v>
      </c>
      <c r="B415" s="3" t="s">
        <v>552</v>
      </c>
      <c r="C415" s="3" t="s">
        <v>553</v>
      </c>
      <c r="D415" s="3" t="s">
        <v>286</v>
      </c>
      <c r="E415" s="3" t="s">
        <v>557</v>
      </c>
      <c r="F415" s="3" t="s">
        <v>79</v>
      </c>
      <c r="G415" s="3">
        <v>0.56981580499999995</v>
      </c>
      <c r="H415" s="3">
        <v>0.380372351</v>
      </c>
      <c r="I415" s="3">
        <v>8.4472172999999998E-2</v>
      </c>
      <c r="J415" s="3">
        <v>50.21501911</v>
      </c>
      <c r="K415" s="3">
        <v>0.139555228</v>
      </c>
      <c r="L415" s="3">
        <v>0.19066255400000001</v>
      </c>
      <c r="M415" s="3">
        <v>0.40462268099999998</v>
      </c>
      <c r="N415" s="3">
        <v>0.23688935999999999</v>
      </c>
      <c r="O415" s="3">
        <v>5.8800706000000001E-2</v>
      </c>
      <c r="P415" s="3">
        <v>0.121329827</v>
      </c>
      <c r="Q415" s="3">
        <v>0.162939469</v>
      </c>
      <c r="R415" s="3">
        <v>0.42134362800000003</v>
      </c>
      <c r="S415" s="3">
        <v>0.97215881100000001</v>
      </c>
      <c r="T415" s="3">
        <v>1.754166219</v>
      </c>
      <c r="U415" s="3">
        <v>0.63303392999999997</v>
      </c>
      <c r="V415" s="3">
        <v>0.26805119500000002</v>
      </c>
      <c r="W415" s="3">
        <v>0.43233478800000003</v>
      </c>
      <c r="X415" s="3">
        <v>3.317875377</v>
      </c>
      <c r="Y415" s="3">
        <v>0.98542747100000005</v>
      </c>
      <c r="Z415" s="3">
        <v>2.7710461240000002</v>
      </c>
      <c r="AA415" s="3">
        <v>0.23154841400000001</v>
      </c>
      <c r="AB415" s="3">
        <v>6.7565017770000004</v>
      </c>
      <c r="AC415" s="3">
        <v>7.6743196820000001</v>
      </c>
      <c r="AD415" s="3">
        <v>0.30586122700000001</v>
      </c>
      <c r="AE415" s="3">
        <v>3.5224734400000002</v>
      </c>
      <c r="AF415" s="4">
        <v>42590</v>
      </c>
      <c r="AG415" s="5">
        <f>YEAR(AF415)</f>
        <v>2016</v>
      </c>
      <c r="AH415" s="5" t="str">
        <f>"Q"&amp;ROUNDUP(MONTH(AF415)/3,0)</f>
        <v>Q3</v>
      </c>
      <c r="AI415" s="5">
        <f>INDEX(RatingLookup!$B$2:$B$11,MATCH(A415,RatingLookup!$A$2:$A$11,0))</f>
        <v>7</v>
      </c>
      <c r="AJ415" s="5" t="str">
        <f>INDEX(RatingLookup!$C$2:$C$11,MATCH(A415,RatingLookup!$A$2:$A$11,0))</f>
        <v>Investment Grade</v>
      </c>
    </row>
    <row r="416" spans="1:36" x14ac:dyDescent="0.3">
      <c r="A416" s="3" t="s">
        <v>36</v>
      </c>
      <c r="B416" s="3" t="s">
        <v>558</v>
      </c>
      <c r="C416" s="3" t="s">
        <v>559</v>
      </c>
      <c r="D416" s="3" t="s">
        <v>39</v>
      </c>
      <c r="E416" s="3" t="s">
        <v>560</v>
      </c>
      <c r="F416" s="3" t="s">
        <v>66</v>
      </c>
      <c r="G416" s="3">
        <v>1.0082954239999999</v>
      </c>
      <c r="H416" s="3">
        <v>2.3067968959999998</v>
      </c>
      <c r="I416" s="3">
        <v>0.103023816</v>
      </c>
      <c r="J416" s="3">
        <v>23.54341737</v>
      </c>
      <c r="K416" s="3">
        <v>8.2268523999999996E-2</v>
      </c>
      <c r="L416" s="3">
        <v>0.11442385200000001</v>
      </c>
      <c r="M416" s="3">
        <v>0.660795825</v>
      </c>
      <c r="N416" s="3">
        <v>0.141092053</v>
      </c>
      <c r="O416" s="3">
        <v>0.120240031</v>
      </c>
      <c r="P416" s="3">
        <v>0.28792121300000001</v>
      </c>
      <c r="Q416" s="3">
        <v>1.1539289559999999</v>
      </c>
      <c r="R416" s="3">
        <v>1.4615557180000001</v>
      </c>
      <c r="S416" s="3">
        <v>8.9772648979999996</v>
      </c>
      <c r="T416" s="3">
        <v>8.5968783640000002</v>
      </c>
      <c r="U416" s="3">
        <v>0.89579945000000005</v>
      </c>
      <c r="V416" s="3">
        <v>0.28101945</v>
      </c>
      <c r="W416" s="3">
        <v>0.75398794800000002</v>
      </c>
      <c r="X416" s="3">
        <v>4.2455089819999996</v>
      </c>
      <c r="Y416" s="3">
        <v>31.057884229999999</v>
      </c>
      <c r="Z416" s="3">
        <v>9.5968783640000002</v>
      </c>
      <c r="AA416" s="3">
        <v>0.11442385200000001</v>
      </c>
      <c r="AB416" s="3">
        <v>8.832638889</v>
      </c>
      <c r="AC416" s="3">
        <v>5.6307385229999998</v>
      </c>
      <c r="AD416" s="3">
        <v>0.108246038</v>
      </c>
      <c r="AE416" s="3">
        <v>6.19047619</v>
      </c>
      <c r="AF416" s="4">
        <v>42125</v>
      </c>
      <c r="AG416" s="5">
        <f>YEAR(AF416)</f>
        <v>2015</v>
      </c>
      <c r="AH416" s="5" t="str">
        <f>"Q"&amp;ROUNDUP(MONTH(AF416)/3,0)</f>
        <v>Q2</v>
      </c>
      <c r="AI416" s="5">
        <f>INDEX(RatingLookup!$B$2:$B$11,MATCH(A416,RatingLookup!$A$2:$A$11,0))</f>
        <v>8</v>
      </c>
      <c r="AJ416" s="5" t="str">
        <f>INDEX(RatingLookup!$C$2:$C$11,MATCH(A416,RatingLookup!$A$2:$A$11,0))</f>
        <v>Investment Grade</v>
      </c>
    </row>
    <row r="417" spans="1:36" x14ac:dyDescent="0.3">
      <c r="A417" s="3" t="s">
        <v>36</v>
      </c>
      <c r="B417" s="3" t="s">
        <v>558</v>
      </c>
      <c r="C417" s="3" t="s">
        <v>559</v>
      </c>
      <c r="D417" s="3" t="s">
        <v>39</v>
      </c>
      <c r="E417" s="3" t="s">
        <v>561</v>
      </c>
      <c r="F417" s="3" t="s">
        <v>66</v>
      </c>
      <c r="G417" s="3">
        <v>1.056271186</v>
      </c>
      <c r="H417" s="3">
        <v>2.6781016950000001</v>
      </c>
      <c r="I417" s="3">
        <v>0.17261016900000001</v>
      </c>
      <c r="J417" s="3">
        <v>23.061835599999998</v>
      </c>
      <c r="K417" s="3">
        <v>0.10263512499999999</v>
      </c>
      <c r="L417" s="3">
        <v>0.13490043400000001</v>
      </c>
      <c r="M417" s="3">
        <v>0.66694115899999995</v>
      </c>
      <c r="N417" s="3">
        <v>0.15103308900000001</v>
      </c>
      <c r="O417" s="3">
        <v>0.148706546</v>
      </c>
      <c r="P417" s="3">
        <v>0.32574114199999998</v>
      </c>
      <c r="Q417" s="3">
        <v>1.0842230129999999</v>
      </c>
      <c r="R417" s="3">
        <v>1.4488855140000001</v>
      </c>
      <c r="S417" s="3">
        <v>8.8786972419999994</v>
      </c>
      <c r="T417" s="3">
        <v>6.2910241200000003</v>
      </c>
      <c r="U417" s="3">
        <v>0.86284505700000003</v>
      </c>
      <c r="V417" s="3">
        <v>0.23917869</v>
      </c>
      <c r="W417" s="3">
        <v>0.78670788300000005</v>
      </c>
      <c r="X417" s="3">
        <v>4.9036608859999999</v>
      </c>
      <c r="Y417" s="3">
        <v>34.803468209999998</v>
      </c>
      <c r="Z417" s="3">
        <v>7.2910241200000003</v>
      </c>
      <c r="AA417" s="3">
        <v>0.13490043400000001</v>
      </c>
      <c r="AB417" s="3">
        <v>10.700782139999999</v>
      </c>
      <c r="AC417" s="3">
        <v>6.2331406549999997</v>
      </c>
      <c r="AD417" s="3">
        <v>0.121088486</v>
      </c>
      <c r="AE417" s="3">
        <v>5.9438877760000004</v>
      </c>
      <c r="AF417" s="4">
        <v>41590</v>
      </c>
      <c r="AG417" s="5">
        <f>YEAR(AF417)</f>
        <v>2013</v>
      </c>
      <c r="AH417" s="5" t="str">
        <f>"Q"&amp;ROUNDUP(MONTH(AF417)/3,0)</f>
        <v>Q4</v>
      </c>
      <c r="AI417" s="5">
        <f>INDEX(RatingLookup!$B$2:$B$11,MATCH(A417,RatingLookup!$A$2:$A$11,0))</f>
        <v>8</v>
      </c>
      <c r="AJ417" s="5" t="str">
        <f>INDEX(RatingLookup!$C$2:$C$11,MATCH(A417,RatingLookup!$A$2:$A$11,0))</f>
        <v>Investment Grade</v>
      </c>
    </row>
    <row r="418" spans="1:36" x14ac:dyDescent="0.3">
      <c r="A418" s="3" t="s">
        <v>36</v>
      </c>
      <c r="B418" s="3" t="s">
        <v>558</v>
      </c>
      <c r="C418" s="3" t="s">
        <v>559</v>
      </c>
      <c r="D418" s="3" t="s">
        <v>39</v>
      </c>
      <c r="E418" s="3" t="s">
        <v>55</v>
      </c>
      <c r="F418" s="3" t="s">
        <v>66</v>
      </c>
      <c r="G418" s="3">
        <v>0.89657980500000001</v>
      </c>
      <c r="H418" s="3">
        <v>2.258143322</v>
      </c>
      <c r="I418" s="3">
        <v>0.129967427</v>
      </c>
      <c r="J418" s="3">
        <v>22.8065067</v>
      </c>
      <c r="K418" s="3">
        <v>8.1355634999999996E-2</v>
      </c>
      <c r="L418" s="3">
        <v>0.113801559</v>
      </c>
      <c r="M418" s="3">
        <v>0.674052019</v>
      </c>
      <c r="N418" s="3">
        <v>0.13801558799999999</v>
      </c>
      <c r="O418" s="3">
        <v>0.116255788</v>
      </c>
      <c r="P418" s="3">
        <v>0.26407234299999999</v>
      </c>
      <c r="Q418" s="3">
        <v>1.1540372670000001</v>
      </c>
      <c r="R418" s="3">
        <v>1.4289826050000001</v>
      </c>
      <c r="S418" s="3">
        <v>9.0055205049999998</v>
      </c>
      <c r="T418" s="3">
        <v>8.9267080750000005</v>
      </c>
      <c r="U418" s="3">
        <v>0.89926166900000004</v>
      </c>
      <c r="V418" s="3">
        <v>0.28510965799999999</v>
      </c>
      <c r="W418" s="3">
        <v>0.72928666399999997</v>
      </c>
      <c r="X418" s="3">
        <v>3.2985971940000001</v>
      </c>
      <c r="Y418" s="3">
        <v>24.925851699999999</v>
      </c>
      <c r="Z418" s="3">
        <v>9.9267080750000005</v>
      </c>
      <c r="AA418" s="3">
        <v>0.113801559</v>
      </c>
      <c r="AB418" s="3">
        <v>8.4352219870000003</v>
      </c>
      <c r="AC418" s="3">
        <v>4.5230460920000004</v>
      </c>
      <c r="AD418" s="3">
        <v>9.8826517000000003E-2</v>
      </c>
      <c r="AE418" s="3">
        <v>5.8752959750000002</v>
      </c>
      <c r="AF418" s="4">
        <v>42208</v>
      </c>
      <c r="AG418" s="5">
        <f>YEAR(AF418)</f>
        <v>2015</v>
      </c>
      <c r="AH418" s="5" t="str">
        <f>"Q"&amp;ROUNDUP(MONTH(AF418)/3,0)</f>
        <v>Q3</v>
      </c>
      <c r="AI418" s="5">
        <f>INDEX(RatingLookup!$B$2:$B$11,MATCH(A418,RatingLookup!$A$2:$A$11,0))</f>
        <v>8</v>
      </c>
      <c r="AJ418" s="5" t="str">
        <f>INDEX(RatingLookup!$C$2:$C$11,MATCH(A418,RatingLookup!$A$2:$A$11,0))</f>
        <v>Investment Grade</v>
      </c>
    </row>
    <row r="419" spans="1:36" x14ac:dyDescent="0.3">
      <c r="A419" s="3" t="s">
        <v>42</v>
      </c>
      <c r="B419" s="3" t="s">
        <v>558</v>
      </c>
      <c r="C419" s="3" t="s">
        <v>559</v>
      </c>
      <c r="D419" s="3" t="s">
        <v>60</v>
      </c>
      <c r="E419" s="3" t="s">
        <v>562</v>
      </c>
      <c r="F419" s="3" t="s">
        <v>66</v>
      </c>
      <c r="G419" s="3">
        <v>1.1036717060000001</v>
      </c>
      <c r="H419" s="3">
        <v>2.4624910010000001</v>
      </c>
      <c r="I419" s="3">
        <v>0.17249819999999999</v>
      </c>
      <c r="J419" s="3">
        <v>24.495316970000001</v>
      </c>
      <c r="K419" s="3">
        <v>7.4696183999999999E-2</v>
      </c>
      <c r="L419" s="3">
        <v>0.105580927</v>
      </c>
      <c r="M419" s="3">
        <v>0.66855019699999996</v>
      </c>
      <c r="N419" s="3">
        <v>0.118623732</v>
      </c>
      <c r="O419" s="3">
        <v>0.10593918099999999</v>
      </c>
      <c r="P419" s="3">
        <v>0.24199414499999999</v>
      </c>
      <c r="Q419" s="3">
        <v>0.40283865600000002</v>
      </c>
      <c r="R419" s="3">
        <v>1.418267647</v>
      </c>
      <c r="S419" s="3">
        <v>8.6472556889999996</v>
      </c>
      <c r="T419" s="3">
        <v>2.8025464410000001</v>
      </c>
      <c r="U419" s="3">
        <v>0.73701833400000005</v>
      </c>
      <c r="V419" s="3">
        <v>0.29252199400000001</v>
      </c>
      <c r="W419" s="3">
        <v>0.74690324699999999</v>
      </c>
      <c r="X419" s="3">
        <v>4.0343580469999996</v>
      </c>
      <c r="Y419" s="3">
        <v>27.790235079999999</v>
      </c>
      <c r="Z419" s="3">
        <v>3.8025464410000001</v>
      </c>
      <c r="AA419" s="3">
        <v>0.105580927</v>
      </c>
      <c r="AB419" s="3">
        <v>12.28577149</v>
      </c>
      <c r="AC419" s="3">
        <v>5.401446655</v>
      </c>
      <c r="AD419" s="3">
        <v>0.115604923</v>
      </c>
      <c r="AE419" s="3">
        <v>5.5322997420000002</v>
      </c>
      <c r="AF419" s="4">
        <v>41339</v>
      </c>
      <c r="AG419" s="5">
        <f>YEAR(AF419)</f>
        <v>2013</v>
      </c>
      <c r="AH419" s="5" t="str">
        <f>"Q"&amp;ROUNDUP(MONTH(AF419)/3,0)</f>
        <v>Q1</v>
      </c>
      <c r="AI419" s="5">
        <f>INDEX(RatingLookup!$B$2:$B$11,MATCH(A419,RatingLookup!$A$2:$A$11,0))</f>
        <v>7</v>
      </c>
      <c r="AJ419" s="5" t="str">
        <f>INDEX(RatingLookup!$C$2:$C$11,MATCH(A419,RatingLookup!$A$2:$A$11,0))</f>
        <v>Investment Grade</v>
      </c>
    </row>
    <row r="420" spans="1:36" x14ac:dyDescent="0.3">
      <c r="A420" s="3" t="s">
        <v>42</v>
      </c>
      <c r="B420" s="3" t="s">
        <v>558</v>
      </c>
      <c r="C420" s="3" t="s">
        <v>559</v>
      </c>
      <c r="D420" s="3" t="s">
        <v>47</v>
      </c>
      <c r="E420" s="3" t="s">
        <v>563</v>
      </c>
      <c r="F420" s="3" t="s">
        <v>66</v>
      </c>
      <c r="G420" s="3">
        <v>0.99579985400000004</v>
      </c>
      <c r="H420" s="3">
        <v>2.875273923</v>
      </c>
      <c r="I420" s="3">
        <v>0.17019722400000001</v>
      </c>
      <c r="J420" s="3">
        <v>20.665356289999998</v>
      </c>
      <c r="K420" s="3">
        <v>0.10103474799999999</v>
      </c>
      <c r="L420" s="3">
        <v>0.136143871</v>
      </c>
      <c r="M420" s="3">
        <v>0.67692377199999998</v>
      </c>
      <c r="N420" s="3">
        <v>0.15679363800000001</v>
      </c>
      <c r="O420" s="3">
        <v>0.14082378100000001</v>
      </c>
      <c r="P420" s="3">
        <v>0.28965583499999997</v>
      </c>
      <c r="Q420" s="3">
        <v>1.05075188</v>
      </c>
      <c r="R420" s="3">
        <v>1.3938153419999999</v>
      </c>
      <c r="S420" s="3">
        <v>8.5184757510000004</v>
      </c>
      <c r="T420" s="3">
        <v>6.461466165</v>
      </c>
      <c r="U420" s="3">
        <v>0.86597808300000001</v>
      </c>
      <c r="V420" s="3">
        <v>0.25788250899999998</v>
      </c>
      <c r="W420" s="3">
        <v>0.74182732600000001</v>
      </c>
      <c r="X420" s="3">
        <v>3.5049504950000001</v>
      </c>
      <c r="Y420" s="3">
        <v>28.697029700000002</v>
      </c>
      <c r="Z420" s="3">
        <v>7.461466165</v>
      </c>
      <c r="AA420" s="3">
        <v>0.136143871</v>
      </c>
      <c r="AB420" s="3">
        <v>8.8997037769999991</v>
      </c>
      <c r="AC420" s="3">
        <v>4.7247524749999998</v>
      </c>
      <c r="AD420" s="3">
        <v>0.107812571</v>
      </c>
      <c r="AE420" s="3">
        <v>6.0747663550000004</v>
      </c>
      <c r="AF420" s="4">
        <v>42576</v>
      </c>
      <c r="AG420" s="5">
        <f>YEAR(AF420)</f>
        <v>2016</v>
      </c>
      <c r="AH420" s="5" t="str">
        <f>"Q"&amp;ROUNDUP(MONTH(AF420)/3,0)</f>
        <v>Q3</v>
      </c>
      <c r="AI420" s="5">
        <f>INDEX(RatingLookup!$B$2:$B$11,MATCH(A420,RatingLookup!$A$2:$A$11,0))</f>
        <v>7</v>
      </c>
      <c r="AJ420" s="5" t="str">
        <f>INDEX(RatingLookup!$C$2:$C$11,MATCH(A420,RatingLookup!$A$2:$A$11,0))</f>
        <v>Investment Grade</v>
      </c>
    </row>
    <row r="421" spans="1:36" x14ac:dyDescent="0.3">
      <c r="A421" s="3" t="s">
        <v>42</v>
      </c>
      <c r="B421" s="3" t="s">
        <v>558</v>
      </c>
      <c r="C421" s="3" t="s">
        <v>559</v>
      </c>
      <c r="D421" s="3" t="s">
        <v>47</v>
      </c>
      <c r="E421" s="3" t="s">
        <v>564</v>
      </c>
      <c r="F421" s="3" t="s">
        <v>66</v>
      </c>
      <c r="G421" s="3">
        <v>1.139176784</v>
      </c>
      <c r="H421" s="3">
        <v>4.4372223870000003</v>
      </c>
      <c r="I421" s="3">
        <v>0.20461948499999999</v>
      </c>
      <c r="J421" s="3">
        <v>23.11431335</v>
      </c>
      <c r="K421" s="3">
        <v>8.4448743000000007E-2</v>
      </c>
      <c r="L421" s="3">
        <v>0.114235977</v>
      </c>
      <c r="M421" s="3">
        <v>0.66634429399999995</v>
      </c>
      <c r="N421" s="3">
        <v>0.132417795</v>
      </c>
      <c r="O421" s="3">
        <v>0.118371109</v>
      </c>
      <c r="P421" s="3">
        <v>0.25265229299999997</v>
      </c>
      <c r="Q421" s="3">
        <v>0.435902556</v>
      </c>
      <c r="R421" s="3">
        <v>1.4016917900000001</v>
      </c>
      <c r="S421" s="3">
        <v>9.4653972900000003</v>
      </c>
      <c r="T421" s="3">
        <v>2.6825079870000001</v>
      </c>
      <c r="U421" s="3">
        <v>0.72844593899999999</v>
      </c>
      <c r="V421" s="3">
        <v>0.26075177799999999</v>
      </c>
      <c r="W421" s="3">
        <v>1.0182481750000001</v>
      </c>
      <c r="X421" s="3">
        <v>4.6500000000000004</v>
      </c>
      <c r="Y421" s="3">
        <v>47.22</v>
      </c>
      <c r="Z421" s="3">
        <v>3.6825079870000001</v>
      </c>
      <c r="AA421" s="3">
        <v>0.114235977</v>
      </c>
      <c r="AB421" s="3">
        <v>12.599182000000001</v>
      </c>
      <c r="AC421" s="3">
        <v>4.5666666669999998</v>
      </c>
      <c r="AD421" s="3">
        <v>0.10599613200000001</v>
      </c>
      <c r="AE421" s="3">
        <v>5.4866412210000002</v>
      </c>
      <c r="AF421" s="4">
        <v>41054</v>
      </c>
      <c r="AG421" s="5">
        <f>YEAR(AF421)</f>
        <v>2012</v>
      </c>
      <c r="AH421" s="5" t="str">
        <f>"Q"&amp;ROUNDUP(MONTH(AF421)/3,0)</f>
        <v>Q2</v>
      </c>
      <c r="AI421" s="5">
        <f>INDEX(RatingLookup!$B$2:$B$11,MATCH(A421,RatingLookup!$A$2:$A$11,0))</f>
        <v>7</v>
      </c>
      <c r="AJ421" s="5" t="str">
        <f>INDEX(RatingLookup!$C$2:$C$11,MATCH(A421,RatingLookup!$A$2:$A$11,0))</f>
        <v>Investment Grade</v>
      </c>
    </row>
    <row r="422" spans="1:36" x14ac:dyDescent="0.3">
      <c r="A422" s="3" t="s">
        <v>42</v>
      </c>
      <c r="B422" s="3" t="s">
        <v>565</v>
      </c>
      <c r="C422" s="3" t="s">
        <v>566</v>
      </c>
      <c r="D422" s="3" t="s">
        <v>39</v>
      </c>
      <c r="E422" s="3" t="s">
        <v>567</v>
      </c>
      <c r="F422" s="3" t="s">
        <v>66</v>
      </c>
      <c r="G422" s="3">
        <v>0.85189048199999995</v>
      </c>
      <c r="H422" s="3">
        <v>0.44250325899999998</v>
      </c>
      <c r="I422" s="3">
        <v>7.1186441000000003E-2</v>
      </c>
      <c r="J422" s="3">
        <v>35.137912389999997</v>
      </c>
      <c r="K422" s="3">
        <v>0.12216062699999999</v>
      </c>
      <c r="L422" s="3">
        <v>0.12290427299999999</v>
      </c>
      <c r="M422" s="3">
        <v>0.41258788499999999</v>
      </c>
      <c r="N422" s="3">
        <v>0.19179286100000001</v>
      </c>
      <c r="O422" s="3">
        <v>0.116776528</v>
      </c>
      <c r="P422" s="3">
        <v>0.15619898600000001</v>
      </c>
      <c r="Q422" s="3">
        <v>0.50973201700000004</v>
      </c>
      <c r="R422" s="3">
        <v>0.95592606999999996</v>
      </c>
      <c r="S422" s="3">
        <v>3.8360995849999999</v>
      </c>
      <c r="T422" s="3">
        <v>3.3650211570000002</v>
      </c>
      <c r="U422" s="3">
        <v>0.77090603599999996</v>
      </c>
      <c r="V422" s="3">
        <v>0.43564356399999998</v>
      </c>
      <c r="W422" s="3">
        <v>0.64748201400000005</v>
      </c>
      <c r="X422" s="3">
        <v>3.2231404960000001</v>
      </c>
      <c r="Y422" s="3">
        <v>0.75206611599999995</v>
      </c>
      <c r="Z422" s="3">
        <v>4.3650211570000002</v>
      </c>
      <c r="AA422" s="3">
        <v>0.12290427299999999</v>
      </c>
      <c r="AB422" s="3">
        <v>8.3333867619999999</v>
      </c>
      <c r="AC422" s="3">
        <v>4.9779614329999999</v>
      </c>
      <c r="AD422" s="3">
        <v>0.12216062699999999</v>
      </c>
      <c r="AE422" s="3">
        <v>6.0677374300000002</v>
      </c>
      <c r="AF422" s="4">
        <v>41645</v>
      </c>
      <c r="AG422" s="5">
        <f>YEAR(AF422)</f>
        <v>2014</v>
      </c>
      <c r="AH422" s="5" t="str">
        <f>"Q"&amp;ROUNDUP(MONTH(AF422)/3,0)</f>
        <v>Q1</v>
      </c>
      <c r="AI422" s="5">
        <f>INDEX(RatingLookup!$B$2:$B$11,MATCH(A422,RatingLookup!$A$2:$A$11,0))</f>
        <v>7</v>
      </c>
      <c r="AJ422" s="5" t="str">
        <f>INDEX(RatingLookup!$C$2:$C$11,MATCH(A422,RatingLookup!$A$2:$A$11,0))</f>
        <v>Investment Grade</v>
      </c>
    </row>
    <row r="423" spans="1:36" x14ac:dyDescent="0.3">
      <c r="A423" s="3" t="s">
        <v>42</v>
      </c>
      <c r="B423" s="3" t="s">
        <v>565</v>
      </c>
      <c r="C423" s="3" t="s">
        <v>566</v>
      </c>
      <c r="D423" s="3" t="s">
        <v>39</v>
      </c>
      <c r="E423" s="3" t="s">
        <v>333</v>
      </c>
      <c r="F423" s="3" t="s">
        <v>66</v>
      </c>
      <c r="G423" s="3">
        <v>0.76535288700000004</v>
      </c>
      <c r="H423" s="3">
        <v>0.39390467499999998</v>
      </c>
      <c r="I423" s="3">
        <v>0.101512374</v>
      </c>
      <c r="J423" s="3">
        <v>31.94375857</v>
      </c>
      <c r="K423" s="3">
        <v>4.3347050999999998E-2</v>
      </c>
      <c r="L423" s="3">
        <v>2.4417009999999999E-2</v>
      </c>
      <c r="M423" s="3">
        <v>0.34725651600000002</v>
      </c>
      <c r="N423" s="3">
        <v>7.0233195999999998E-2</v>
      </c>
      <c r="O423" s="3">
        <v>4.1707912999999999E-2</v>
      </c>
      <c r="P423" s="3">
        <v>3.2996571000000002E-2</v>
      </c>
      <c r="Q423" s="3">
        <v>0.226604518</v>
      </c>
      <c r="R423" s="3">
        <v>0.96218570599999997</v>
      </c>
      <c r="S423" s="3">
        <v>3.8684001060000002</v>
      </c>
      <c r="T423" s="3">
        <v>4.4331301539999997</v>
      </c>
      <c r="U423" s="3">
        <v>0.81594403699999996</v>
      </c>
      <c r="V423" s="3">
        <v>0.52247191000000004</v>
      </c>
      <c r="W423" s="3">
        <v>0.67540434999999999</v>
      </c>
      <c r="X423" s="3">
        <v>3.3826815639999999</v>
      </c>
      <c r="Y423" s="3">
        <v>1.2374301679999999</v>
      </c>
      <c r="Z423" s="3">
        <v>5.4331301539999997</v>
      </c>
      <c r="AA423" s="3">
        <v>2.4417009999999999E-2</v>
      </c>
      <c r="AB423" s="3">
        <v>19.577773409999999</v>
      </c>
      <c r="AC423" s="3">
        <v>5.0083798880000003</v>
      </c>
      <c r="AD423" s="3">
        <v>0.12297668</v>
      </c>
      <c r="AE423" s="3">
        <v>6.2284031410000003</v>
      </c>
      <c r="AF423" s="4">
        <v>42271</v>
      </c>
      <c r="AG423" s="5">
        <f>YEAR(AF423)</f>
        <v>2015</v>
      </c>
      <c r="AH423" s="5" t="str">
        <f>"Q"&amp;ROUNDUP(MONTH(AF423)/3,0)</f>
        <v>Q3</v>
      </c>
      <c r="AI423" s="5">
        <f>INDEX(RatingLookup!$B$2:$B$11,MATCH(A423,RatingLookup!$A$2:$A$11,0))</f>
        <v>7</v>
      </c>
      <c r="AJ423" s="5" t="str">
        <f>INDEX(RatingLookup!$C$2:$C$11,MATCH(A423,RatingLookup!$A$2:$A$11,0))</f>
        <v>Investment Grade</v>
      </c>
    </row>
    <row r="424" spans="1:36" x14ac:dyDescent="0.3">
      <c r="A424" s="3" t="s">
        <v>42</v>
      </c>
      <c r="B424" s="3" t="s">
        <v>565</v>
      </c>
      <c r="C424" s="3" t="s">
        <v>566</v>
      </c>
      <c r="D424" s="3" t="s">
        <v>44</v>
      </c>
      <c r="E424" s="3" t="s">
        <v>466</v>
      </c>
      <c r="F424" s="3" t="s">
        <v>66</v>
      </c>
      <c r="G424" s="3">
        <v>0.74729162100000002</v>
      </c>
      <c r="H424" s="3">
        <v>0.38359495900000001</v>
      </c>
      <c r="I424" s="3">
        <v>6.2126907000000002E-2</v>
      </c>
      <c r="J424" s="3">
        <v>37.381841229999999</v>
      </c>
      <c r="K424" s="3">
        <v>6.7690357000000007E-2</v>
      </c>
      <c r="L424" s="3">
        <v>7.2973162999999994E-2</v>
      </c>
      <c r="M424" s="3">
        <v>0.38275692</v>
      </c>
      <c r="N424" s="3">
        <v>0.11002324400000001</v>
      </c>
      <c r="O424" s="3">
        <v>6.3290306000000005E-2</v>
      </c>
      <c r="P424" s="3">
        <v>9.7176625000000003E-2</v>
      </c>
      <c r="Q424" s="3">
        <v>0.3972716</v>
      </c>
      <c r="R424" s="3">
        <v>0.93499736600000005</v>
      </c>
      <c r="S424" s="3">
        <v>3.7538339500000002</v>
      </c>
      <c r="T424" s="3">
        <v>5.276973956</v>
      </c>
      <c r="U424" s="3">
        <v>0.84068756600000005</v>
      </c>
      <c r="V424" s="3">
        <v>0.35038609999999998</v>
      </c>
      <c r="W424" s="3">
        <v>0.69681456200000003</v>
      </c>
      <c r="X424" s="3">
        <v>3.4217877090000002</v>
      </c>
      <c r="Y424" s="3">
        <v>0.78491620100000004</v>
      </c>
      <c r="Z424" s="3">
        <v>6.276973956</v>
      </c>
      <c r="AA424" s="3">
        <v>7.2973162999999994E-2</v>
      </c>
      <c r="AB424" s="3">
        <v>13.66506468</v>
      </c>
      <c r="AC424" s="3">
        <v>4.9106145249999997</v>
      </c>
      <c r="AD424" s="3">
        <v>0.12382897800000001</v>
      </c>
      <c r="AE424" s="3">
        <v>6.250356633</v>
      </c>
      <c r="AF424" s="4">
        <v>41313</v>
      </c>
      <c r="AG424" s="5">
        <f>YEAR(AF424)</f>
        <v>2013</v>
      </c>
      <c r="AH424" s="5" t="str">
        <f>"Q"&amp;ROUNDUP(MONTH(AF424)/3,0)</f>
        <v>Q1</v>
      </c>
      <c r="AI424" s="5">
        <f>INDEX(RatingLookup!$B$2:$B$11,MATCH(A424,RatingLookup!$A$2:$A$11,0))</f>
        <v>7</v>
      </c>
      <c r="AJ424" s="5" t="str">
        <f>INDEX(RatingLookup!$C$2:$C$11,MATCH(A424,RatingLookup!$A$2:$A$11,0))</f>
        <v>Investment Grade</v>
      </c>
    </row>
    <row r="425" spans="1:36" x14ac:dyDescent="0.3">
      <c r="A425" s="3" t="s">
        <v>42</v>
      </c>
      <c r="B425" s="3" t="s">
        <v>568</v>
      </c>
      <c r="C425" s="3" t="s">
        <v>569</v>
      </c>
      <c r="D425" s="3" t="s">
        <v>60</v>
      </c>
      <c r="E425" s="3" t="s">
        <v>492</v>
      </c>
      <c r="F425" s="3" t="s">
        <v>113</v>
      </c>
      <c r="G425" s="3">
        <v>1.57020523</v>
      </c>
      <c r="H425" s="3">
        <v>0.95897821599999999</v>
      </c>
      <c r="I425" s="3">
        <v>0.29983989100000003</v>
      </c>
      <c r="J425" s="3">
        <v>104.0927216</v>
      </c>
      <c r="K425" s="3">
        <v>8.9890023999999999E-2</v>
      </c>
      <c r="L425" s="3">
        <v>9.7080376999999995E-2</v>
      </c>
      <c r="M425" s="3">
        <v>0.44712756999999997</v>
      </c>
      <c r="N425" s="3">
        <v>0.154931967</v>
      </c>
      <c r="O425" s="3">
        <v>3.8064102000000002E-2</v>
      </c>
      <c r="P425" s="3">
        <v>5.0447769000000003E-2</v>
      </c>
      <c r="Q425" s="3">
        <v>8.6792684999999994E-2</v>
      </c>
      <c r="R425" s="3">
        <v>0.42345190599999999</v>
      </c>
      <c r="S425" s="3">
        <v>4.7529109329999999</v>
      </c>
      <c r="T425" s="3">
        <v>1.2801716190000001</v>
      </c>
      <c r="U425" s="3">
        <v>0.56143651999999999</v>
      </c>
      <c r="V425" s="3">
        <v>7.3956740000000007E-2</v>
      </c>
      <c r="W425" s="3">
        <v>0.81931789899999996</v>
      </c>
      <c r="X425" s="3">
        <v>3.484963998</v>
      </c>
      <c r="Y425" s="3">
        <v>2.6768318510000002</v>
      </c>
      <c r="Z425" s="3">
        <v>2.2801716189999999</v>
      </c>
      <c r="AA425" s="3">
        <v>9.7080376999999995E-2</v>
      </c>
      <c r="AB425" s="3">
        <v>11.96359562</v>
      </c>
      <c r="AC425" s="3">
        <v>4.2534942820000001</v>
      </c>
      <c r="AD425" s="3">
        <v>0.213006268</v>
      </c>
      <c r="AE425" s="3">
        <v>4.698269647</v>
      </c>
      <c r="AF425" s="4">
        <v>42521</v>
      </c>
      <c r="AG425" s="5">
        <f>YEAR(AF425)</f>
        <v>2016</v>
      </c>
      <c r="AH425" s="5" t="str">
        <f>"Q"&amp;ROUNDUP(MONTH(AF425)/3,0)</f>
        <v>Q2</v>
      </c>
      <c r="AI425" s="5">
        <f>INDEX(RatingLookup!$B$2:$B$11,MATCH(A425,RatingLookup!$A$2:$A$11,0))</f>
        <v>7</v>
      </c>
      <c r="AJ425" s="5" t="str">
        <f>INDEX(RatingLookup!$C$2:$C$11,MATCH(A425,RatingLookup!$A$2:$A$11,0))</f>
        <v>Investment Grade</v>
      </c>
    </row>
    <row r="426" spans="1:36" x14ac:dyDescent="0.3">
      <c r="A426" s="3" t="s">
        <v>42</v>
      </c>
      <c r="B426" s="3" t="s">
        <v>568</v>
      </c>
      <c r="C426" s="3" t="s">
        <v>569</v>
      </c>
      <c r="D426" s="3" t="s">
        <v>47</v>
      </c>
      <c r="E426" s="3" t="s">
        <v>570</v>
      </c>
      <c r="F426" s="3" t="s">
        <v>113</v>
      </c>
      <c r="G426" s="3">
        <v>1.492352253</v>
      </c>
      <c r="H426" s="3">
        <v>0.87158529600000001</v>
      </c>
      <c r="I426" s="3">
        <v>0.198147083</v>
      </c>
      <c r="J426" s="3">
        <v>109.09898080000001</v>
      </c>
      <c r="K426" s="3">
        <v>4.3333424000000002E-2</v>
      </c>
      <c r="L426" s="3">
        <v>1.0986828000000001E-2</v>
      </c>
      <c r="M426" s="3">
        <v>0.42403560600000001</v>
      </c>
      <c r="N426" s="3">
        <v>6.3339020999999995E-2</v>
      </c>
      <c r="O426" s="3">
        <v>1.3822417E-2</v>
      </c>
      <c r="P426" s="3">
        <v>4.0996449999999999E-3</v>
      </c>
      <c r="Q426" s="3">
        <v>4.3174786E-2</v>
      </c>
      <c r="R426" s="3">
        <v>0.318978178</v>
      </c>
      <c r="S426" s="3">
        <v>4.7700025840000002</v>
      </c>
      <c r="T426" s="3">
        <v>2.1235338559999999</v>
      </c>
      <c r="U426" s="3">
        <v>0.67984979599999995</v>
      </c>
      <c r="V426" s="3">
        <v>-2.944124897</v>
      </c>
      <c r="W426" s="3">
        <v>0.80930050799999997</v>
      </c>
      <c r="X426" s="3">
        <v>3.2296296299999998</v>
      </c>
      <c r="Y426" s="3">
        <v>2.1101364519999999</v>
      </c>
      <c r="Z426" s="3">
        <v>3.1235338559999999</v>
      </c>
      <c r="AA426" s="3">
        <v>1.0986828000000001E-2</v>
      </c>
      <c r="AB426" s="3">
        <v>14.895495820000001</v>
      </c>
      <c r="AC426" s="3">
        <v>3.990643275</v>
      </c>
      <c r="AD426" s="3">
        <v>0.18481705200000001</v>
      </c>
      <c r="AE426" s="3">
        <v>4.7325124250000004</v>
      </c>
      <c r="AF426" s="4">
        <v>42689</v>
      </c>
      <c r="AG426" s="5">
        <f>YEAR(AF426)</f>
        <v>2016</v>
      </c>
      <c r="AH426" s="5" t="str">
        <f>"Q"&amp;ROUNDUP(MONTH(AF426)/3,0)</f>
        <v>Q4</v>
      </c>
      <c r="AI426" s="5">
        <f>INDEX(RatingLookup!$B$2:$B$11,MATCH(A426,RatingLookup!$A$2:$A$11,0))</f>
        <v>7</v>
      </c>
      <c r="AJ426" s="5" t="str">
        <f>INDEX(RatingLookup!$C$2:$C$11,MATCH(A426,RatingLookup!$A$2:$A$11,0))</f>
        <v>Investment Grade</v>
      </c>
    </row>
    <row r="427" spans="1:36" x14ac:dyDescent="0.3">
      <c r="A427" s="3" t="s">
        <v>36</v>
      </c>
      <c r="B427" s="3" t="s">
        <v>571</v>
      </c>
      <c r="C427" s="3" t="s">
        <v>572</v>
      </c>
      <c r="D427" s="3" t="s">
        <v>39</v>
      </c>
      <c r="E427" s="3" t="s">
        <v>152</v>
      </c>
      <c r="F427" s="3" t="s">
        <v>96</v>
      </c>
      <c r="G427" s="3">
        <v>1.8705684490000001</v>
      </c>
      <c r="H427" s="3">
        <v>0.87003027200000005</v>
      </c>
      <c r="I427" s="3">
        <v>8.4964682E-2</v>
      </c>
      <c r="J427" s="3">
        <v>66.049775159999996</v>
      </c>
      <c r="K427" s="3">
        <v>-1.1846798E-2</v>
      </c>
      <c r="L427" s="3">
        <v>1.1490154000000001E-2</v>
      </c>
      <c r="M427" s="3">
        <v>0.33893626900000001</v>
      </c>
      <c r="N427" s="3">
        <v>2.7477128E-2</v>
      </c>
      <c r="O427" s="3">
        <v>-6.4434510000000002E-3</v>
      </c>
      <c r="P427" s="3">
        <v>7.1452679999999998E-3</v>
      </c>
      <c r="Q427" s="3">
        <v>-1.9058071999999999E-2</v>
      </c>
      <c r="R427" s="3">
        <v>0.54389811899999996</v>
      </c>
      <c r="S427" s="3">
        <v>6.8402630459999996</v>
      </c>
      <c r="T427" s="3">
        <v>1.957742965</v>
      </c>
      <c r="U427" s="3">
        <v>0.66190435999999997</v>
      </c>
      <c r="V427" s="3">
        <v>1.877192982</v>
      </c>
      <c r="W427" s="3">
        <v>0.81834167499999999</v>
      </c>
      <c r="X427" s="3">
        <v>3.35551858</v>
      </c>
      <c r="Y427" s="3">
        <v>0.70049916800000001</v>
      </c>
      <c r="Z427" s="3">
        <v>2.957742965</v>
      </c>
      <c r="AA427" s="3">
        <v>1.1490154000000001E-2</v>
      </c>
      <c r="AB427" s="3">
        <v>22.92313433</v>
      </c>
      <c r="AC427" s="3">
        <v>4.1003882420000002</v>
      </c>
      <c r="AD427" s="3">
        <v>0.114637928</v>
      </c>
      <c r="AE427" s="3">
        <v>7.3655839670000001</v>
      </c>
      <c r="AF427" s="4">
        <v>42212</v>
      </c>
      <c r="AG427" s="5">
        <f>YEAR(AF427)</f>
        <v>2015</v>
      </c>
      <c r="AH427" s="5" t="str">
        <f>"Q"&amp;ROUNDUP(MONTH(AF427)/3,0)</f>
        <v>Q3</v>
      </c>
      <c r="AI427" s="5">
        <f>INDEX(RatingLookup!$B$2:$B$11,MATCH(A427,RatingLookup!$A$2:$A$11,0))</f>
        <v>8</v>
      </c>
      <c r="AJ427" s="5" t="str">
        <f>INDEX(RatingLookup!$C$2:$C$11,MATCH(A427,RatingLookup!$A$2:$A$11,0))</f>
        <v>Investment Grade</v>
      </c>
    </row>
    <row r="428" spans="1:36" x14ac:dyDescent="0.3">
      <c r="A428" s="3" t="s">
        <v>36</v>
      </c>
      <c r="B428" s="3" t="s">
        <v>571</v>
      </c>
      <c r="C428" s="3" t="s">
        <v>572</v>
      </c>
      <c r="D428" s="3" t="s">
        <v>39</v>
      </c>
      <c r="E428" s="3" t="s">
        <v>573</v>
      </c>
      <c r="F428" s="3" t="s">
        <v>96</v>
      </c>
      <c r="G428" s="3">
        <v>2.0072661780000001</v>
      </c>
      <c r="H428" s="3">
        <v>0.99310644599999998</v>
      </c>
      <c r="I428" s="3">
        <v>0.16463793299999999</v>
      </c>
      <c r="J428" s="3">
        <v>65.097530649999996</v>
      </c>
      <c r="K428" s="3">
        <v>7.1767583999999995E-2</v>
      </c>
      <c r="L428" s="3">
        <v>9.7116194000000003E-2</v>
      </c>
      <c r="M428" s="3">
        <v>0.33061486400000001</v>
      </c>
      <c r="N428" s="3">
        <v>0.103480086</v>
      </c>
      <c r="O428" s="3">
        <v>4.5711171000000002E-2</v>
      </c>
      <c r="P428" s="3">
        <v>7.1685861000000003E-2</v>
      </c>
      <c r="Q428" s="3">
        <v>8.8067856E-2</v>
      </c>
      <c r="R428" s="3">
        <v>0.63693339999999998</v>
      </c>
      <c r="S428" s="3">
        <v>6.3929059830000003</v>
      </c>
      <c r="T428" s="3">
        <v>0.92661558899999996</v>
      </c>
      <c r="U428" s="3">
        <v>0.48095509800000003</v>
      </c>
      <c r="V428" s="3">
        <v>0.25302863399999997</v>
      </c>
      <c r="W428" s="3">
        <v>0.81426854599999998</v>
      </c>
      <c r="X428" s="3">
        <v>3.7061163600000002</v>
      </c>
      <c r="Y428" s="3">
        <v>1.3182496269999999</v>
      </c>
      <c r="Z428" s="3">
        <v>1.9266155890000001</v>
      </c>
      <c r="AA428" s="3">
        <v>9.7116194000000003E-2</v>
      </c>
      <c r="AB428" s="3">
        <v>11.681170639999999</v>
      </c>
      <c r="AC428" s="3">
        <v>4.5514669320000003</v>
      </c>
      <c r="AD428" s="3">
        <v>0.122371218</v>
      </c>
      <c r="AE428" s="3">
        <v>8.3922225949999998</v>
      </c>
      <c r="AF428" s="4">
        <v>41778</v>
      </c>
      <c r="AG428" s="5">
        <f>YEAR(AF428)</f>
        <v>2014</v>
      </c>
      <c r="AH428" s="5" t="str">
        <f>"Q"&amp;ROUNDUP(MONTH(AF428)/3,0)</f>
        <v>Q2</v>
      </c>
      <c r="AI428" s="5">
        <f>INDEX(RatingLookup!$B$2:$B$11,MATCH(A428,RatingLookup!$A$2:$A$11,0))</f>
        <v>8</v>
      </c>
      <c r="AJ428" s="5" t="str">
        <f>INDEX(RatingLookup!$C$2:$C$11,MATCH(A428,RatingLookup!$A$2:$A$11,0))</f>
        <v>Investment Grade</v>
      </c>
    </row>
    <row r="429" spans="1:36" x14ac:dyDescent="0.3">
      <c r="A429" s="3" t="s">
        <v>36</v>
      </c>
      <c r="B429" s="3" t="s">
        <v>571</v>
      </c>
      <c r="C429" s="3" t="s">
        <v>572</v>
      </c>
      <c r="D429" s="3" t="s">
        <v>39</v>
      </c>
      <c r="E429" s="3" t="s">
        <v>488</v>
      </c>
      <c r="F429" s="3" t="s">
        <v>96</v>
      </c>
      <c r="G429" s="3">
        <v>1.765233303</v>
      </c>
      <c r="H429" s="3">
        <v>0.80231777999999998</v>
      </c>
      <c r="I429" s="3">
        <v>6.7337602999999996E-2</v>
      </c>
      <c r="J429" s="3">
        <v>62.484017620000003</v>
      </c>
      <c r="K429" s="3">
        <v>3.0529905E-2</v>
      </c>
      <c r="L429" s="3">
        <v>0.11142207699999999</v>
      </c>
      <c r="M429" s="3">
        <v>0.34990765699999998</v>
      </c>
      <c r="N429" s="3">
        <v>0.12102571400000001</v>
      </c>
      <c r="O429" s="3">
        <v>2.0168556000000001E-2</v>
      </c>
      <c r="P429" s="3">
        <v>8.6992690999999997E-2</v>
      </c>
      <c r="Q429" s="3">
        <v>4.6078305E-2</v>
      </c>
      <c r="R429" s="3">
        <v>0.66061641299999996</v>
      </c>
      <c r="S429" s="3">
        <v>7.4094736839999999</v>
      </c>
      <c r="T429" s="3">
        <v>1.2846605769999999</v>
      </c>
      <c r="U429" s="3">
        <v>0.56229822100000004</v>
      </c>
      <c r="V429" s="3">
        <v>0.22606145599999999</v>
      </c>
      <c r="W429" s="3">
        <v>0.87147957200000004</v>
      </c>
      <c r="X429" s="3">
        <v>4.610703043</v>
      </c>
      <c r="Y429" s="3">
        <v>0.57922350499999997</v>
      </c>
      <c r="Z429" s="3">
        <v>2.2846605769999999</v>
      </c>
      <c r="AA429" s="3">
        <v>0.11142207699999999</v>
      </c>
      <c r="AB429" s="3">
        <v>9.7822795580000008</v>
      </c>
      <c r="AC429" s="3">
        <v>5.2906610699999996</v>
      </c>
      <c r="AD429" s="3">
        <v>0.143258986</v>
      </c>
      <c r="AE429" s="3">
        <v>7.847710513</v>
      </c>
      <c r="AF429" s="4">
        <v>42053</v>
      </c>
      <c r="AG429" s="5">
        <f>YEAR(AF429)</f>
        <v>2015</v>
      </c>
      <c r="AH429" s="5" t="str">
        <f>"Q"&amp;ROUNDUP(MONTH(AF429)/3,0)</f>
        <v>Q1</v>
      </c>
      <c r="AI429" s="5">
        <f>INDEX(RatingLookup!$B$2:$B$11,MATCH(A429,RatingLookup!$A$2:$A$11,0))</f>
        <v>8</v>
      </c>
      <c r="AJ429" s="5" t="str">
        <f>INDEX(RatingLookup!$C$2:$C$11,MATCH(A429,RatingLookup!$A$2:$A$11,0))</f>
        <v>Investment Grade</v>
      </c>
    </row>
    <row r="430" spans="1:36" x14ac:dyDescent="0.3">
      <c r="A430" s="3" t="s">
        <v>36</v>
      </c>
      <c r="B430" s="3" t="s">
        <v>574</v>
      </c>
      <c r="C430" s="3" t="s">
        <v>575</v>
      </c>
      <c r="D430" s="3" t="s">
        <v>47</v>
      </c>
      <c r="E430" s="3" t="s">
        <v>576</v>
      </c>
      <c r="F430" s="3" t="s">
        <v>59</v>
      </c>
      <c r="G430" s="3">
        <v>1.8005765680000001</v>
      </c>
      <c r="H430" s="3">
        <v>1.3520685320000001</v>
      </c>
      <c r="I430" s="3">
        <v>0.27497037899999999</v>
      </c>
      <c r="J430" s="3">
        <v>58.47440804</v>
      </c>
      <c r="K430" s="3">
        <v>8.4978214999999996E-2</v>
      </c>
      <c r="L430" s="3">
        <v>0.11450963</v>
      </c>
      <c r="M430" s="3">
        <v>0.239627746</v>
      </c>
      <c r="N430" s="3">
        <v>0.11450963</v>
      </c>
      <c r="O430" s="3">
        <v>9.6367116000000003E-2</v>
      </c>
      <c r="P430" s="3">
        <v>0.16640308400000001</v>
      </c>
      <c r="Q430" s="3">
        <v>0.19486598299999999</v>
      </c>
      <c r="R430" s="3">
        <v>1.134021414</v>
      </c>
      <c r="S430" s="3">
        <v>6.8695828299999997</v>
      </c>
      <c r="T430" s="3">
        <v>1.022121142</v>
      </c>
      <c r="U430" s="3">
        <v>0.505469787</v>
      </c>
      <c r="V430" s="3">
        <v>0.25222161900000001</v>
      </c>
      <c r="W430" s="3">
        <v>0.82235998099999996</v>
      </c>
      <c r="X430" s="3">
        <v>5.9558344410000004</v>
      </c>
      <c r="Y430" s="3">
        <v>7.7889292870000002</v>
      </c>
      <c r="Z430" s="3">
        <v>2.022121142</v>
      </c>
      <c r="AA430" s="3">
        <v>0.11450963</v>
      </c>
      <c r="AB430" s="3">
        <v>7.8932942170000002</v>
      </c>
      <c r="AC430" s="3">
        <v>7.2423690079999998</v>
      </c>
      <c r="AD430" s="3">
        <v>9.4520111000000004E-2</v>
      </c>
      <c r="AE430" s="3">
        <v>7.9971452940000001</v>
      </c>
      <c r="AF430" s="4">
        <v>41053</v>
      </c>
      <c r="AG430" s="5">
        <f>YEAR(AF430)</f>
        <v>2012</v>
      </c>
      <c r="AH430" s="5" t="str">
        <f>"Q"&amp;ROUNDUP(MONTH(AF430)/3,0)</f>
        <v>Q2</v>
      </c>
      <c r="AI430" s="5">
        <f>INDEX(RatingLookup!$B$2:$B$11,MATCH(A430,RatingLookup!$A$2:$A$11,0))</f>
        <v>8</v>
      </c>
      <c r="AJ430" s="5" t="str">
        <f>INDEX(RatingLookup!$C$2:$C$11,MATCH(A430,RatingLookup!$A$2:$A$11,0))</f>
        <v>Investment Grade</v>
      </c>
    </row>
    <row r="431" spans="1:36" x14ac:dyDescent="0.3">
      <c r="A431" s="3" t="s">
        <v>49</v>
      </c>
      <c r="B431" s="3" t="s">
        <v>574</v>
      </c>
      <c r="C431" s="3" t="s">
        <v>575</v>
      </c>
      <c r="D431" s="3" t="s">
        <v>39</v>
      </c>
      <c r="E431" s="3" t="s">
        <v>577</v>
      </c>
      <c r="F431" s="3" t="s">
        <v>59</v>
      </c>
      <c r="G431" s="3">
        <v>1.866572635</v>
      </c>
      <c r="H431" s="3">
        <v>1.243678362</v>
      </c>
      <c r="I431" s="3">
        <v>0.49605170399999998</v>
      </c>
      <c r="J431" s="3">
        <v>51.31928937</v>
      </c>
      <c r="K431" s="3">
        <v>7.8771964999999999E-2</v>
      </c>
      <c r="L431" s="3">
        <v>0.11779081499999999</v>
      </c>
      <c r="M431" s="3">
        <v>0.229097355</v>
      </c>
      <c r="N431" s="3">
        <v>0.11779081499999999</v>
      </c>
      <c r="O431" s="3">
        <v>7.8425464E-2</v>
      </c>
      <c r="P431" s="3">
        <v>0.155337</v>
      </c>
      <c r="Q431" s="3">
        <v>0.15632694</v>
      </c>
      <c r="R431" s="3">
        <v>0.99560121999999995</v>
      </c>
      <c r="S431" s="3">
        <v>7.2444304480000001</v>
      </c>
      <c r="T431" s="3">
        <v>0.993318645</v>
      </c>
      <c r="U431" s="3">
        <v>0.49832406299999998</v>
      </c>
      <c r="V431" s="3">
        <v>0.33101778100000001</v>
      </c>
      <c r="W431" s="3">
        <v>0.84412343000000001</v>
      </c>
      <c r="X431" s="3">
        <v>7.8575274139999998</v>
      </c>
      <c r="Y431" s="3">
        <v>14.669779330000001</v>
      </c>
      <c r="Z431" s="3">
        <v>1.993318645</v>
      </c>
      <c r="AA431" s="3">
        <v>0.11779081499999999</v>
      </c>
      <c r="AB431" s="3">
        <v>9.6369404599999999</v>
      </c>
      <c r="AC431" s="3">
        <v>9.3085052869999991</v>
      </c>
      <c r="AD431" s="3">
        <v>0.105016347</v>
      </c>
      <c r="AE431" s="3">
        <v>8.1373015239999997</v>
      </c>
      <c r="AF431" s="4">
        <v>41823</v>
      </c>
      <c r="AG431" s="5">
        <f>YEAR(AF431)</f>
        <v>2014</v>
      </c>
      <c r="AH431" s="5" t="str">
        <f>"Q"&amp;ROUNDUP(MONTH(AF431)/3,0)</f>
        <v>Q3</v>
      </c>
      <c r="AI431" s="5">
        <f>INDEX(RatingLookup!$B$2:$B$11,MATCH(A431,RatingLookup!$A$2:$A$11,0))</f>
        <v>9</v>
      </c>
      <c r="AJ431" s="5" t="str">
        <f>INDEX(RatingLookup!$C$2:$C$11,MATCH(A431,RatingLookup!$A$2:$A$11,0))</f>
        <v>Investment Grade</v>
      </c>
    </row>
    <row r="432" spans="1:36" x14ac:dyDescent="0.3">
      <c r="A432" s="3" t="s">
        <v>36</v>
      </c>
      <c r="B432" s="3" t="s">
        <v>574</v>
      </c>
      <c r="C432" s="3" t="s">
        <v>575</v>
      </c>
      <c r="D432" s="3" t="s">
        <v>47</v>
      </c>
      <c r="E432" s="3" t="s">
        <v>578</v>
      </c>
      <c r="F432" s="3" t="s">
        <v>59</v>
      </c>
      <c r="G432" s="3">
        <v>2.3756524109999999</v>
      </c>
      <c r="H432" s="3">
        <v>0.81445451999999996</v>
      </c>
      <c r="I432" s="3">
        <v>0.50234838100000001</v>
      </c>
      <c r="J432" s="3">
        <v>0</v>
      </c>
      <c r="K432" s="3">
        <v>7.9622434000000006E-2</v>
      </c>
      <c r="L432" s="3">
        <v>0.112670614</v>
      </c>
      <c r="M432" s="3">
        <v>0.24044686600000001</v>
      </c>
      <c r="N432" s="3">
        <v>0.112670614</v>
      </c>
      <c r="O432" s="3">
        <v>8.2321020999999994E-2</v>
      </c>
      <c r="P432" s="3">
        <v>0.144017435</v>
      </c>
      <c r="Q432" s="3">
        <v>0.19829214100000001</v>
      </c>
      <c r="R432" s="3">
        <v>1.0338922930000001</v>
      </c>
      <c r="S432" s="3">
        <v>7.6391682320000003</v>
      </c>
      <c r="T432" s="3">
        <v>1.4087667880000001</v>
      </c>
      <c r="U432" s="3">
        <v>0.58484980600000003</v>
      </c>
      <c r="V432" s="3">
        <v>0.29302840299999999</v>
      </c>
      <c r="W432" s="3">
        <v>0.83445716800000003</v>
      </c>
      <c r="X432" s="3">
        <v>7.6012699970000002</v>
      </c>
      <c r="Y432" s="3">
        <v>13.39212609</v>
      </c>
      <c r="Z432" s="3">
        <v>2.4087667879999999</v>
      </c>
      <c r="AA432" s="3">
        <v>0.112670614</v>
      </c>
      <c r="AB432" s="3">
        <v>10.205598070000001</v>
      </c>
      <c r="AC432" s="3">
        <v>9.1092392600000007</v>
      </c>
      <c r="AD432" s="3">
        <v>0.102420329</v>
      </c>
      <c r="AE432" s="3">
        <v>8.8406822209999998</v>
      </c>
      <c r="AF432" s="4">
        <v>42549</v>
      </c>
      <c r="AG432" s="5">
        <f>YEAR(AF432)</f>
        <v>2016</v>
      </c>
      <c r="AH432" s="5" t="str">
        <f>"Q"&amp;ROUNDUP(MONTH(AF432)/3,0)</f>
        <v>Q2</v>
      </c>
      <c r="AI432" s="5">
        <f>INDEX(RatingLookup!$B$2:$B$11,MATCH(A432,RatingLookup!$A$2:$A$11,0))</f>
        <v>8</v>
      </c>
      <c r="AJ432" s="5" t="str">
        <f>INDEX(RatingLookup!$C$2:$C$11,MATCH(A432,RatingLookup!$A$2:$A$11,0))</f>
        <v>Investment Grade</v>
      </c>
    </row>
    <row r="433" spans="1:36" x14ac:dyDescent="0.3">
      <c r="A433" s="3" t="s">
        <v>36</v>
      </c>
      <c r="B433" s="3" t="s">
        <v>574</v>
      </c>
      <c r="C433" s="3" t="s">
        <v>575</v>
      </c>
      <c r="D433" s="3" t="s">
        <v>47</v>
      </c>
      <c r="E433" s="3" t="s">
        <v>579</v>
      </c>
      <c r="F433" s="3" t="s">
        <v>59</v>
      </c>
      <c r="G433" s="3">
        <v>1.809368656</v>
      </c>
      <c r="H433" s="3">
        <v>1.5131566089999999</v>
      </c>
      <c r="I433" s="3">
        <v>0.33721344199999997</v>
      </c>
      <c r="J433" s="3">
        <v>55.316207849999998</v>
      </c>
      <c r="K433" s="3">
        <v>8.7618140999999997E-2</v>
      </c>
      <c r="L433" s="3">
        <v>0.119938001</v>
      </c>
      <c r="M433" s="3">
        <v>0.24247824900000001</v>
      </c>
      <c r="N433" s="3">
        <v>0.119938001</v>
      </c>
      <c r="O433" s="3">
        <v>0.103114944</v>
      </c>
      <c r="P433" s="3">
        <v>0.181557941</v>
      </c>
      <c r="Q433" s="3">
        <v>0.23523322199999999</v>
      </c>
      <c r="R433" s="3">
        <v>1.1768675129999999</v>
      </c>
      <c r="S433" s="3">
        <v>7.6431317329999997</v>
      </c>
      <c r="T433" s="3">
        <v>1.2812718839999999</v>
      </c>
      <c r="U433" s="3">
        <v>0.56164804099999999</v>
      </c>
      <c r="V433" s="3">
        <v>0.26714437400000002</v>
      </c>
      <c r="W433" s="3">
        <v>0.85701833199999999</v>
      </c>
      <c r="X433" s="3">
        <v>8.6731276780000002</v>
      </c>
      <c r="Y433" s="3">
        <v>11.700960269999999</v>
      </c>
      <c r="Z433" s="3">
        <v>2.2812718840000001</v>
      </c>
      <c r="AA433" s="3">
        <v>0.119938001</v>
      </c>
      <c r="AB433" s="3">
        <v>6.9001888969999996</v>
      </c>
      <c r="AC433" s="3">
        <v>10.1201192</v>
      </c>
      <c r="AD433" s="3">
        <v>0.116415012</v>
      </c>
      <c r="AE433" s="3">
        <v>8.3355406120000008</v>
      </c>
      <c r="AF433" s="4">
        <v>41418</v>
      </c>
      <c r="AG433" s="5">
        <f>YEAR(AF433)</f>
        <v>2013</v>
      </c>
      <c r="AH433" s="5" t="str">
        <f>"Q"&amp;ROUNDUP(MONTH(AF433)/3,0)</f>
        <v>Q2</v>
      </c>
      <c r="AI433" s="5">
        <f>INDEX(RatingLookup!$B$2:$B$11,MATCH(A433,RatingLookup!$A$2:$A$11,0))</f>
        <v>8</v>
      </c>
      <c r="AJ433" s="5" t="str">
        <f>INDEX(RatingLookup!$C$2:$C$11,MATCH(A433,RatingLookup!$A$2:$A$11,0))</f>
        <v>Investment Grade</v>
      </c>
    </row>
    <row r="434" spans="1:36" x14ac:dyDescent="0.3">
      <c r="A434" s="3" t="s">
        <v>36</v>
      </c>
      <c r="B434" s="3" t="s">
        <v>574</v>
      </c>
      <c r="C434" s="3" t="s">
        <v>575</v>
      </c>
      <c r="D434" s="3" t="s">
        <v>47</v>
      </c>
      <c r="E434" s="3" t="s">
        <v>163</v>
      </c>
      <c r="F434" s="3" t="s">
        <v>59</v>
      </c>
      <c r="G434" s="3">
        <v>1.571269043</v>
      </c>
      <c r="H434" s="3">
        <v>1.287316385</v>
      </c>
      <c r="I434" s="3">
        <v>0.50605376999999996</v>
      </c>
      <c r="J434" s="3">
        <v>57.845655139999998</v>
      </c>
      <c r="K434" s="3">
        <v>7.2867899E-2</v>
      </c>
      <c r="L434" s="3">
        <v>0.10072455600000001</v>
      </c>
      <c r="M434" s="3">
        <v>0.225038077</v>
      </c>
      <c r="N434" s="3">
        <v>0.10072455600000001</v>
      </c>
      <c r="O434" s="3">
        <v>7.5626720999999994E-2</v>
      </c>
      <c r="P434" s="3">
        <v>0.14533259400000001</v>
      </c>
      <c r="Q434" s="3">
        <v>0.16527650599999999</v>
      </c>
      <c r="R434" s="3">
        <v>1.037860606</v>
      </c>
      <c r="S434" s="3">
        <v>7.197995841</v>
      </c>
      <c r="T434" s="3">
        <v>1.185424714</v>
      </c>
      <c r="U434" s="3">
        <v>0.542423039</v>
      </c>
      <c r="V434" s="3">
        <v>0.27629040700000002</v>
      </c>
      <c r="W434" s="3">
        <v>0.77673340700000004</v>
      </c>
      <c r="X434" s="3">
        <v>6.1992347219999999</v>
      </c>
      <c r="Y434" s="3">
        <v>16.54536147</v>
      </c>
      <c r="Z434" s="3">
        <v>2.1854247139999998</v>
      </c>
      <c r="AA434" s="3">
        <v>0.10072455600000001</v>
      </c>
      <c r="AB434" s="3">
        <v>9.9262051319999998</v>
      </c>
      <c r="AC434" s="3">
        <v>7.9811614469999999</v>
      </c>
      <c r="AD434" s="3">
        <v>9.1499853000000006E-2</v>
      </c>
      <c r="AE434" s="3">
        <v>8.7254823090000002</v>
      </c>
      <c r="AF434" s="4">
        <v>41796</v>
      </c>
      <c r="AG434" s="5">
        <f>YEAR(AF434)</f>
        <v>2014</v>
      </c>
      <c r="AH434" s="5" t="str">
        <f>"Q"&amp;ROUNDUP(MONTH(AF434)/3,0)</f>
        <v>Q2</v>
      </c>
      <c r="AI434" s="5">
        <f>INDEX(RatingLookup!$B$2:$B$11,MATCH(A434,RatingLookup!$A$2:$A$11,0))</f>
        <v>8</v>
      </c>
      <c r="AJ434" s="5" t="str">
        <f>INDEX(RatingLookup!$C$2:$C$11,MATCH(A434,RatingLookup!$A$2:$A$11,0))</f>
        <v>Investment Grade</v>
      </c>
    </row>
    <row r="435" spans="1:36" x14ac:dyDescent="0.3">
      <c r="A435" s="3" t="s">
        <v>36</v>
      </c>
      <c r="B435" s="3" t="s">
        <v>574</v>
      </c>
      <c r="C435" s="3" t="s">
        <v>575</v>
      </c>
      <c r="D435" s="3" t="s">
        <v>47</v>
      </c>
      <c r="E435" s="3" t="s">
        <v>580</v>
      </c>
      <c r="F435" s="3" t="s">
        <v>59</v>
      </c>
      <c r="G435" s="3">
        <v>1.627652342</v>
      </c>
      <c r="H435" s="3">
        <v>1.298380283</v>
      </c>
      <c r="I435" s="3">
        <v>0.261022427</v>
      </c>
      <c r="J435" s="3">
        <v>58.43778288</v>
      </c>
      <c r="K435" s="3">
        <v>5.5444391000000003E-2</v>
      </c>
      <c r="L435" s="3">
        <v>7.5533319000000002E-2</v>
      </c>
      <c r="M435" s="3">
        <v>0.21475666500000001</v>
      </c>
      <c r="N435" s="3">
        <v>7.5533319000000002E-2</v>
      </c>
      <c r="O435" s="3">
        <v>5.5907532000000003E-2</v>
      </c>
      <c r="P435" s="3">
        <v>9.7958325999999998E-2</v>
      </c>
      <c r="Q435" s="3">
        <v>0.126847399</v>
      </c>
      <c r="R435" s="3">
        <v>1.00835326</v>
      </c>
      <c r="S435" s="3">
        <v>5.8856692549999998</v>
      </c>
      <c r="T435" s="3">
        <v>1.2688785279999999</v>
      </c>
      <c r="U435" s="3">
        <v>0.55925361900000004</v>
      </c>
      <c r="V435" s="3">
        <v>0.26291405699999998</v>
      </c>
      <c r="W435" s="3">
        <v>0.89397795599999996</v>
      </c>
      <c r="X435" s="3">
        <v>6.7715016849999996</v>
      </c>
      <c r="Y435" s="3">
        <v>7.8481679670000002</v>
      </c>
      <c r="Z435" s="3">
        <v>2.2688785280000001</v>
      </c>
      <c r="AA435" s="3">
        <v>7.5533319000000002E-2</v>
      </c>
      <c r="AB435" s="3">
        <v>10.021325709999999</v>
      </c>
      <c r="AC435" s="3">
        <v>7.5745734459999996</v>
      </c>
      <c r="AD435" s="3">
        <v>0.12196555100000001</v>
      </c>
      <c r="AE435" s="3">
        <v>8.8293994999999992</v>
      </c>
      <c r="AF435" s="4">
        <v>40694</v>
      </c>
      <c r="AG435" s="5">
        <f>YEAR(AF435)</f>
        <v>2011</v>
      </c>
      <c r="AH435" s="5" t="str">
        <f>"Q"&amp;ROUNDUP(MONTH(AF435)/3,0)</f>
        <v>Q2</v>
      </c>
      <c r="AI435" s="5">
        <f>INDEX(RatingLookup!$B$2:$B$11,MATCH(A435,RatingLookup!$A$2:$A$11,0))</f>
        <v>8</v>
      </c>
      <c r="AJ435" s="5" t="str">
        <f>INDEX(RatingLookup!$C$2:$C$11,MATCH(A435,RatingLookup!$A$2:$A$11,0))</f>
        <v>Investment Grade</v>
      </c>
    </row>
    <row r="436" spans="1:36" x14ac:dyDescent="0.3">
      <c r="A436" s="3" t="s">
        <v>36</v>
      </c>
      <c r="B436" s="3" t="s">
        <v>574</v>
      </c>
      <c r="C436" s="3" t="s">
        <v>575</v>
      </c>
      <c r="D436" s="3" t="s">
        <v>47</v>
      </c>
      <c r="E436" s="3" t="s">
        <v>581</v>
      </c>
      <c r="F436" s="3" t="s">
        <v>59</v>
      </c>
      <c r="G436" s="3">
        <v>2.2011482959999999</v>
      </c>
      <c r="H436" s="3">
        <v>1.5629785359999999</v>
      </c>
      <c r="I436" s="3">
        <v>0.51634973100000003</v>
      </c>
      <c r="J436" s="3">
        <v>51.20970415</v>
      </c>
      <c r="K436" s="3">
        <v>7.1019940000000004E-2</v>
      </c>
      <c r="L436" s="3">
        <v>9.8120961000000007E-2</v>
      </c>
      <c r="M436" s="3">
        <v>0.223345143</v>
      </c>
      <c r="N436" s="3">
        <v>9.8120961000000007E-2</v>
      </c>
      <c r="O436" s="3">
        <v>6.6920256999999997E-2</v>
      </c>
      <c r="P436" s="3">
        <v>0.115029548</v>
      </c>
      <c r="Q436" s="3">
        <v>0.176348641</v>
      </c>
      <c r="R436" s="3">
        <v>0.94227418699999999</v>
      </c>
      <c r="S436" s="3">
        <v>7.244916141</v>
      </c>
      <c r="T436" s="3">
        <v>1.6352056880000001</v>
      </c>
      <c r="U436" s="3">
        <v>0.62052298100000003</v>
      </c>
      <c r="V436" s="3">
        <v>0.27586281099999999</v>
      </c>
      <c r="W436" s="3">
        <v>0.87228457199999998</v>
      </c>
      <c r="X436" s="3">
        <v>7.5390540289999999</v>
      </c>
      <c r="Y436" s="3">
        <v>15.54446529</v>
      </c>
      <c r="Z436" s="3">
        <v>2.6352056880000001</v>
      </c>
      <c r="AA436" s="3">
        <v>9.8120961000000007E-2</v>
      </c>
      <c r="AB436" s="3">
        <v>12.149363429999999</v>
      </c>
      <c r="AC436" s="3">
        <v>8.6428836130000004</v>
      </c>
      <c r="AD436" s="3">
        <v>0.102972312</v>
      </c>
      <c r="AE436" s="3">
        <v>8.5283953340000007</v>
      </c>
      <c r="AF436" s="4">
        <v>42705</v>
      </c>
      <c r="AG436" s="5">
        <f>YEAR(AF436)</f>
        <v>2016</v>
      </c>
      <c r="AH436" s="5" t="str">
        <f>"Q"&amp;ROUNDUP(MONTH(AF436)/3,0)</f>
        <v>Q4</v>
      </c>
      <c r="AI436" s="5">
        <f>INDEX(RatingLookup!$B$2:$B$11,MATCH(A436,RatingLookup!$A$2:$A$11,0))</f>
        <v>8</v>
      </c>
      <c r="AJ436" s="5" t="str">
        <f>INDEX(RatingLookup!$C$2:$C$11,MATCH(A436,RatingLookup!$A$2:$A$11,0))</f>
        <v>Investment Grade</v>
      </c>
    </row>
    <row r="437" spans="1:36" x14ac:dyDescent="0.3">
      <c r="A437" s="3" t="s">
        <v>42</v>
      </c>
      <c r="B437" s="3" t="s">
        <v>582</v>
      </c>
      <c r="C437" s="3" t="s">
        <v>583</v>
      </c>
      <c r="D437" s="3" t="s">
        <v>47</v>
      </c>
      <c r="E437" s="3" t="s">
        <v>487</v>
      </c>
      <c r="F437" s="3" t="s">
        <v>215</v>
      </c>
      <c r="G437" s="3">
        <v>1.0949602510000001</v>
      </c>
      <c r="H437" s="3">
        <v>0.28287670999999998</v>
      </c>
      <c r="I437" s="3">
        <v>0.215769136</v>
      </c>
      <c r="J437" s="3">
        <v>26.632970619999998</v>
      </c>
      <c r="K437" s="3">
        <v>0.10024090400000001</v>
      </c>
      <c r="L437" s="3">
        <v>0.15037938200000001</v>
      </c>
      <c r="M437" s="3">
        <v>0.63150291400000003</v>
      </c>
      <c r="N437" s="3">
        <v>0.16461550899999999</v>
      </c>
      <c r="O437" s="3">
        <v>4.7991316999999999E-2</v>
      </c>
      <c r="P437" s="3">
        <v>0.150166832</v>
      </c>
      <c r="Q437" s="3">
        <v>0.36681900200000001</v>
      </c>
      <c r="R437" s="3">
        <v>0.47875982</v>
      </c>
      <c r="S437" s="3">
        <v>7.4135237060000003</v>
      </c>
      <c r="T437" s="3">
        <v>6.6434451750000001</v>
      </c>
      <c r="U437" s="3">
        <v>0.869168944</v>
      </c>
      <c r="V437" s="3">
        <v>0.25891251700000001</v>
      </c>
      <c r="W437" s="3">
        <v>0.78208198200000001</v>
      </c>
      <c r="X437" s="3">
        <v>4.954815323</v>
      </c>
      <c r="Y437" s="3">
        <v>9.7073065219999997</v>
      </c>
      <c r="Z437" s="3">
        <v>7.6434451750000001</v>
      </c>
      <c r="AA437" s="3">
        <v>0.15037938200000001</v>
      </c>
      <c r="AB437" s="3">
        <v>7.6735357229999996</v>
      </c>
      <c r="AC437" s="3">
        <v>6.3354167910000001</v>
      </c>
      <c r="AD437" s="3">
        <v>0.15311614200000001</v>
      </c>
      <c r="AE437" s="3">
        <v>3.269204566</v>
      </c>
      <c r="AF437" s="4">
        <v>42439</v>
      </c>
      <c r="AG437" s="5">
        <f>YEAR(AF437)</f>
        <v>2016</v>
      </c>
      <c r="AH437" s="5" t="str">
        <f>"Q"&amp;ROUNDUP(MONTH(AF437)/3,0)</f>
        <v>Q1</v>
      </c>
      <c r="AI437" s="5">
        <f>INDEX(RatingLookup!$B$2:$B$11,MATCH(A437,RatingLookup!$A$2:$A$11,0))</f>
        <v>7</v>
      </c>
      <c r="AJ437" s="5" t="str">
        <f>INDEX(RatingLookup!$C$2:$C$11,MATCH(A437,RatingLookup!$A$2:$A$11,0))</f>
        <v>Investment Grade</v>
      </c>
    </row>
    <row r="438" spans="1:36" x14ac:dyDescent="0.3">
      <c r="A438" s="3" t="s">
        <v>36</v>
      </c>
      <c r="B438" s="3" t="s">
        <v>584</v>
      </c>
      <c r="C438" s="3" t="s">
        <v>585</v>
      </c>
      <c r="D438" s="3" t="s">
        <v>44</v>
      </c>
      <c r="E438" s="3" t="s">
        <v>586</v>
      </c>
      <c r="F438" s="3" t="s">
        <v>174</v>
      </c>
      <c r="G438" s="3">
        <v>4.633562017</v>
      </c>
      <c r="H438" s="3">
        <v>0.84159514300000005</v>
      </c>
      <c r="I438" s="3">
        <v>0.49627981700000001</v>
      </c>
      <c r="J438" s="3">
        <v>17.096226120000001</v>
      </c>
      <c r="K438" s="3">
        <v>4.4992099000000001E-2</v>
      </c>
      <c r="L438" s="3">
        <v>1.6165194000000001E-2</v>
      </c>
      <c r="M438" s="3">
        <v>0.58059229000000001</v>
      </c>
      <c r="N438" s="3">
        <v>7.5494712000000005E-2</v>
      </c>
      <c r="O438" s="3">
        <v>3.8164058000000001E-2</v>
      </c>
      <c r="P438" s="3">
        <v>1.6067616E-2</v>
      </c>
      <c r="Q438" s="3">
        <v>6.6669067999999998E-2</v>
      </c>
      <c r="R438" s="3">
        <v>0.84823911399999996</v>
      </c>
      <c r="S438" s="3">
        <v>4.714248124</v>
      </c>
      <c r="T438" s="3">
        <v>0.74690720600000005</v>
      </c>
      <c r="U438" s="3">
        <v>0.42755974899999999</v>
      </c>
      <c r="V438" s="3">
        <v>1.1278773559999999</v>
      </c>
      <c r="W438" s="3">
        <v>-0.431937511</v>
      </c>
      <c r="X438" s="3">
        <v>-0.52254859799999998</v>
      </c>
      <c r="Y438" s="3">
        <v>3.1099385929999999</v>
      </c>
      <c r="Z438" s="3">
        <v>1.7469072059999999</v>
      </c>
      <c r="AA438" s="3">
        <v>1.6165194000000001E-2</v>
      </c>
      <c r="AB438" s="3">
        <v>25.936998150000001</v>
      </c>
      <c r="AC438" s="3">
        <v>1.20977823</v>
      </c>
      <c r="AD438" s="3">
        <v>3.8364428999999999E-2</v>
      </c>
      <c r="AE438" s="3">
        <v>4.9422286529999999</v>
      </c>
      <c r="AF438" s="4">
        <v>41904</v>
      </c>
      <c r="AG438" s="5">
        <f>YEAR(AF438)</f>
        <v>2014</v>
      </c>
      <c r="AH438" s="5" t="str">
        <f>"Q"&amp;ROUNDUP(MONTH(AF438)/3,0)</f>
        <v>Q3</v>
      </c>
      <c r="AI438" s="5">
        <f>INDEX(RatingLookup!$B$2:$B$11,MATCH(A438,RatingLookup!$A$2:$A$11,0))</f>
        <v>8</v>
      </c>
      <c r="AJ438" s="5" t="str">
        <f>INDEX(RatingLookup!$C$2:$C$11,MATCH(A438,RatingLookup!$A$2:$A$11,0))</f>
        <v>Investment Grade</v>
      </c>
    </row>
    <row r="439" spans="1:36" x14ac:dyDescent="0.3">
      <c r="A439" s="3" t="s">
        <v>42</v>
      </c>
      <c r="B439" s="3" t="s">
        <v>584</v>
      </c>
      <c r="C439" s="3" t="s">
        <v>585</v>
      </c>
      <c r="D439" s="3" t="s">
        <v>44</v>
      </c>
      <c r="E439" s="3" t="s">
        <v>350</v>
      </c>
      <c r="F439" s="3" t="s">
        <v>174</v>
      </c>
      <c r="G439" s="3">
        <v>5.4881548489999998</v>
      </c>
      <c r="H439" s="3">
        <v>1.408174058</v>
      </c>
      <c r="I439" s="3">
        <v>1.109301509</v>
      </c>
      <c r="J439" s="3">
        <v>16.76183018</v>
      </c>
      <c r="K439" s="3">
        <v>0.11392680299999999</v>
      </c>
      <c r="L439" s="3">
        <v>0.17354167000000001</v>
      </c>
      <c r="M439" s="3">
        <v>0.596994574</v>
      </c>
      <c r="N439" s="3">
        <v>0.20975229400000001</v>
      </c>
      <c r="O439" s="3">
        <v>9.3459970000000003E-2</v>
      </c>
      <c r="P439" s="3">
        <v>0.16307917799999999</v>
      </c>
      <c r="Q439" s="3">
        <v>0.17078268899999999</v>
      </c>
      <c r="R439" s="3">
        <v>0.82035102900000001</v>
      </c>
      <c r="S439" s="3">
        <v>4.7247136489999999</v>
      </c>
      <c r="T439" s="3">
        <v>0.82733516299999998</v>
      </c>
      <c r="U439" s="3">
        <v>0.45275501699999998</v>
      </c>
      <c r="V439" s="3">
        <v>0.34351903700000003</v>
      </c>
      <c r="W439" s="3">
        <v>0.59780984800000003</v>
      </c>
      <c r="X439" s="3">
        <v>2.845690716</v>
      </c>
      <c r="Y439" s="3">
        <v>5.6605118360000004</v>
      </c>
      <c r="Z439" s="3">
        <v>1.8273351630000001</v>
      </c>
      <c r="AA439" s="3">
        <v>0.17354167000000001</v>
      </c>
      <c r="AB439" s="3">
        <v>11.140529129999999</v>
      </c>
      <c r="AC439" s="3">
        <v>4.7601937769999996</v>
      </c>
      <c r="AD439" s="3">
        <v>0.144736375</v>
      </c>
      <c r="AE439" s="3">
        <v>5.3855790299999997</v>
      </c>
      <c r="AF439" s="4">
        <v>42401</v>
      </c>
      <c r="AG439" s="5">
        <f>YEAR(AF439)</f>
        <v>2016</v>
      </c>
      <c r="AH439" s="5" t="str">
        <f>"Q"&amp;ROUNDUP(MONTH(AF439)/3,0)</f>
        <v>Q1</v>
      </c>
      <c r="AI439" s="5">
        <f>INDEX(RatingLookup!$B$2:$B$11,MATCH(A439,RatingLookup!$A$2:$A$11,0))</f>
        <v>7</v>
      </c>
      <c r="AJ439" s="5" t="str">
        <f>INDEX(RatingLookup!$C$2:$C$11,MATCH(A439,RatingLookup!$A$2:$A$11,0))</f>
        <v>Investment Grade</v>
      </c>
    </row>
    <row r="440" spans="1:36" x14ac:dyDescent="0.3">
      <c r="A440" s="3" t="s">
        <v>42</v>
      </c>
      <c r="B440" s="3" t="s">
        <v>584</v>
      </c>
      <c r="C440" s="3" t="s">
        <v>585</v>
      </c>
      <c r="D440" s="3" t="s">
        <v>47</v>
      </c>
      <c r="E440" s="3" t="s">
        <v>587</v>
      </c>
      <c r="F440" s="3" t="s">
        <v>174</v>
      </c>
      <c r="G440" s="3">
        <v>4.8066858469999998</v>
      </c>
      <c r="H440" s="3">
        <v>1.4974654060000001</v>
      </c>
      <c r="I440" s="3">
        <v>1.155774764</v>
      </c>
      <c r="J440" s="3">
        <v>18.352700429999999</v>
      </c>
      <c r="K440" s="3">
        <v>0.11301127900000001</v>
      </c>
      <c r="L440" s="3">
        <v>0.172939657</v>
      </c>
      <c r="M440" s="3">
        <v>0.60690881600000002</v>
      </c>
      <c r="N440" s="3">
        <v>0.185168944</v>
      </c>
      <c r="O440" s="3">
        <v>9.0434137999999997E-2</v>
      </c>
      <c r="P440" s="3">
        <v>0.161348243</v>
      </c>
      <c r="Q440" s="3">
        <v>0.15933915000000001</v>
      </c>
      <c r="R440" s="3">
        <v>0.800222235</v>
      </c>
      <c r="S440" s="3">
        <v>4.3865142119999998</v>
      </c>
      <c r="T440" s="3">
        <v>0.76193583799999998</v>
      </c>
      <c r="U440" s="3">
        <v>0.43244244300000001</v>
      </c>
      <c r="V440" s="3">
        <v>0.34652768</v>
      </c>
      <c r="W440" s="3">
        <v>0.68940511299999996</v>
      </c>
      <c r="X440" s="3">
        <v>4.3820312499999998</v>
      </c>
      <c r="Y440" s="3">
        <v>6.9265625000000002</v>
      </c>
      <c r="Z440" s="3">
        <v>1.7619358380000001</v>
      </c>
      <c r="AA440" s="3">
        <v>0.172939657</v>
      </c>
      <c r="AB440" s="3">
        <v>9.0291917720000008</v>
      </c>
      <c r="AC440" s="3">
        <v>6.3562500000000002</v>
      </c>
      <c r="AD440" s="3">
        <v>0.19820214899999999</v>
      </c>
      <c r="AE440" s="3">
        <v>4.9030689760000001</v>
      </c>
      <c r="AF440" s="4">
        <v>42605</v>
      </c>
      <c r="AG440" s="5">
        <f>YEAR(AF440)</f>
        <v>2016</v>
      </c>
      <c r="AH440" s="5" t="str">
        <f>"Q"&amp;ROUNDUP(MONTH(AF440)/3,0)</f>
        <v>Q3</v>
      </c>
      <c r="AI440" s="5">
        <f>INDEX(RatingLookup!$B$2:$B$11,MATCH(A440,RatingLookup!$A$2:$A$11,0))</f>
        <v>7</v>
      </c>
      <c r="AJ440" s="5" t="str">
        <f>INDEX(RatingLookup!$C$2:$C$11,MATCH(A440,RatingLookup!$A$2:$A$11,0))</f>
        <v>Investment Grade</v>
      </c>
    </row>
    <row r="441" spans="1:36" x14ac:dyDescent="0.3">
      <c r="A441" s="3" t="s">
        <v>36</v>
      </c>
      <c r="B441" s="3" t="s">
        <v>588</v>
      </c>
      <c r="C441" s="3" t="s">
        <v>589</v>
      </c>
      <c r="D441" s="3" t="s">
        <v>39</v>
      </c>
      <c r="E441" s="3" t="s">
        <v>62</v>
      </c>
      <c r="F441" s="3" t="s">
        <v>59</v>
      </c>
      <c r="G441" s="3">
        <v>2.6113460270000002</v>
      </c>
      <c r="H441" s="3">
        <v>1.2358654069999999</v>
      </c>
      <c r="I441" s="3">
        <v>1.2358654069999999</v>
      </c>
      <c r="J441" s="3">
        <v>0</v>
      </c>
      <c r="K441" s="3">
        <v>0.13008208099999999</v>
      </c>
      <c r="L441" s="3">
        <v>0.18272000599999999</v>
      </c>
      <c r="M441" s="3">
        <v>0.44200092499999999</v>
      </c>
      <c r="N441" s="3">
        <v>0.20077783099999999</v>
      </c>
      <c r="O441" s="3">
        <v>9.6072652999999994E-2</v>
      </c>
      <c r="P441" s="3">
        <v>0.15722113900000001</v>
      </c>
      <c r="Q441" s="3">
        <v>0.187955069</v>
      </c>
      <c r="R441" s="3">
        <v>0.73855409299999997</v>
      </c>
      <c r="S441" s="3">
        <v>9.7828990220000005</v>
      </c>
      <c r="T441" s="3">
        <v>0.95638470399999997</v>
      </c>
      <c r="U441" s="3">
        <v>0.48885308799999999</v>
      </c>
      <c r="V441" s="3">
        <v>0.28807970599999999</v>
      </c>
      <c r="W441" s="3">
        <v>0.86955954599999996</v>
      </c>
      <c r="X441" s="3">
        <v>4.013849338</v>
      </c>
      <c r="Y441" s="3">
        <v>6.3869660670000004</v>
      </c>
      <c r="Z441" s="3">
        <v>1.956384704</v>
      </c>
      <c r="AA441" s="3">
        <v>0.18272000599999999</v>
      </c>
      <c r="AB441" s="3">
        <v>12.007741920000001</v>
      </c>
      <c r="AC441" s="3">
        <v>4.6159568459999996</v>
      </c>
      <c r="AD441" s="3">
        <v>0.171322588</v>
      </c>
      <c r="AE441" s="3">
        <v>9.4024258209999996</v>
      </c>
      <c r="AF441" s="4">
        <v>42115</v>
      </c>
      <c r="AG441" s="5">
        <f>YEAR(AF441)</f>
        <v>2015</v>
      </c>
      <c r="AH441" s="5" t="str">
        <f>"Q"&amp;ROUNDUP(MONTH(AF441)/3,0)</f>
        <v>Q2</v>
      </c>
      <c r="AI441" s="5">
        <f>INDEX(RatingLookup!$B$2:$B$11,MATCH(A441,RatingLookup!$A$2:$A$11,0))</f>
        <v>8</v>
      </c>
      <c r="AJ441" s="5" t="str">
        <f>INDEX(RatingLookup!$C$2:$C$11,MATCH(A441,RatingLookup!$A$2:$A$11,0))</f>
        <v>Investment Grade</v>
      </c>
    </row>
    <row r="442" spans="1:36" x14ac:dyDescent="0.3">
      <c r="A442" s="3" t="s">
        <v>36</v>
      </c>
      <c r="B442" s="3" t="s">
        <v>588</v>
      </c>
      <c r="C442" s="3" t="s">
        <v>589</v>
      </c>
      <c r="D442" s="3" t="s">
        <v>39</v>
      </c>
      <c r="E442" s="3" t="s">
        <v>150</v>
      </c>
      <c r="F442" s="3" t="s">
        <v>59</v>
      </c>
      <c r="G442" s="3">
        <v>3.2531967210000001</v>
      </c>
      <c r="H442" s="3">
        <v>1.4432567650000001</v>
      </c>
      <c r="I442" s="3">
        <v>1.4432567650000001</v>
      </c>
      <c r="J442" s="3">
        <v>0</v>
      </c>
      <c r="K442" s="3">
        <v>0.126086269</v>
      </c>
      <c r="L442" s="3">
        <v>0.115373024</v>
      </c>
      <c r="M442" s="3">
        <v>0.43147623899999998</v>
      </c>
      <c r="N442" s="3">
        <v>0.19539901100000001</v>
      </c>
      <c r="O442" s="3">
        <v>8.8383790000000004E-2</v>
      </c>
      <c r="P442" s="3">
        <v>9.0411495999999994E-2</v>
      </c>
      <c r="Q442" s="3">
        <v>0.162248433</v>
      </c>
      <c r="R442" s="3">
        <v>0.70097871</v>
      </c>
      <c r="S442" s="3">
        <v>9.4812354790000004</v>
      </c>
      <c r="T442" s="3">
        <v>0.83572612400000001</v>
      </c>
      <c r="U442" s="3">
        <v>0.45525643100000002</v>
      </c>
      <c r="V442" s="3">
        <v>0.41927803699999999</v>
      </c>
      <c r="W442" s="3">
        <v>0.92145884899999997</v>
      </c>
      <c r="X442" s="3">
        <v>4.5387587869999999</v>
      </c>
      <c r="Y442" s="3">
        <v>5.3930959190000003</v>
      </c>
      <c r="Z442" s="3">
        <v>1.835726124</v>
      </c>
      <c r="AA442" s="3">
        <v>0.115373024</v>
      </c>
      <c r="AB442" s="3">
        <v>13.10641032</v>
      </c>
      <c r="AC442" s="3">
        <v>4.9256228760000003</v>
      </c>
      <c r="AD442" s="3">
        <v>0.19836769400000001</v>
      </c>
      <c r="AE442" s="3">
        <v>8.6321261400000004</v>
      </c>
      <c r="AF442" s="4">
        <v>41766</v>
      </c>
      <c r="AG442" s="5">
        <f>YEAR(AF442)</f>
        <v>2014</v>
      </c>
      <c r="AH442" s="5" t="str">
        <f>"Q"&amp;ROUNDUP(MONTH(AF442)/3,0)</f>
        <v>Q2</v>
      </c>
      <c r="AI442" s="5">
        <f>INDEX(RatingLookup!$B$2:$B$11,MATCH(A442,RatingLookup!$A$2:$A$11,0))</f>
        <v>8</v>
      </c>
      <c r="AJ442" s="5" t="str">
        <f>INDEX(RatingLookup!$C$2:$C$11,MATCH(A442,RatingLookup!$A$2:$A$11,0))</f>
        <v>Investment Grade</v>
      </c>
    </row>
    <row r="443" spans="1:36" x14ac:dyDescent="0.3">
      <c r="A443" s="3" t="s">
        <v>42</v>
      </c>
      <c r="B443" s="3" t="s">
        <v>588</v>
      </c>
      <c r="C443" s="3" t="s">
        <v>589</v>
      </c>
      <c r="D443" s="3" t="s">
        <v>44</v>
      </c>
      <c r="E443" s="3" t="s">
        <v>46</v>
      </c>
      <c r="F443" s="3" t="s">
        <v>59</v>
      </c>
      <c r="G443" s="3">
        <v>3.0554712359999998</v>
      </c>
      <c r="H443" s="3">
        <v>0.89151611799999997</v>
      </c>
      <c r="I443" s="3">
        <v>0.89151611799999997</v>
      </c>
      <c r="J443" s="3">
        <v>0</v>
      </c>
      <c r="K443" s="3">
        <v>0.105445835</v>
      </c>
      <c r="L443" s="3">
        <v>0.148973783</v>
      </c>
      <c r="M443" s="3">
        <v>0.40179096399999997</v>
      </c>
      <c r="N443" s="3">
        <v>0.165713419</v>
      </c>
      <c r="O443" s="3">
        <v>6.8353204000000001E-2</v>
      </c>
      <c r="P443" s="3">
        <v>0.106244828</v>
      </c>
      <c r="Q443" s="3">
        <v>0.12811612999999999</v>
      </c>
      <c r="R443" s="3">
        <v>0.64823047899999997</v>
      </c>
      <c r="S443" s="3">
        <v>8.6022684199999997</v>
      </c>
      <c r="T443" s="3">
        <v>0.87432515899999996</v>
      </c>
      <c r="U443" s="3">
        <v>0.46647464300000002</v>
      </c>
      <c r="V443" s="3">
        <v>0.29218529199999999</v>
      </c>
      <c r="W443" s="3">
        <v>0.83808305100000002</v>
      </c>
      <c r="X443" s="3">
        <v>2.2163978329999998</v>
      </c>
      <c r="Y443" s="3">
        <v>2.8030799200000001</v>
      </c>
      <c r="Z443" s="3">
        <v>1.8743251590000001</v>
      </c>
      <c r="AA443" s="3">
        <v>0.148973783</v>
      </c>
      <c r="AB443" s="3">
        <v>10.219251399999999</v>
      </c>
      <c r="AC443" s="3">
        <v>2.6446040540000002</v>
      </c>
      <c r="AD443" s="3">
        <v>0.11816523800000001</v>
      </c>
      <c r="AE443" s="3">
        <v>9.9099633259999997</v>
      </c>
      <c r="AF443" s="4">
        <v>41075</v>
      </c>
      <c r="AG443" s="5">
        <f>YEAR(AF443)</f>
        <v>2012</v>
      </c>
      <c r="AH443" s="5" t="str">
        <f>"Q"&amp;ROUNDUP(MONTH(AF443)/3,0)</f>
        <v>Q2</v>
      </c>
      <c r="AI443" s="5">
        <f>INDEX(RatingLookup!$B$2:$B$11,MATCH(A443,RatingLookup!$A$2:$A$11,0))</f>
        <v>7</v>
      </c>
      <c r="AJ443" s="5" t="str">
        <f>INDEX(RatingLookup!$C$2:$C$11,MATCH(A443,RatingLookup!$A$2:$A$11,0))</f>
        <v>Investment Grade</v>
      </c>
    </row>
    <row r="444" spans="1:36" x14ac:dyDescent="0.3">
      <c r="A444" s="3" t="s">
        <v>36</v>
      </c>
      <c r="B444" s="3" t="s">
        <v>588</v>
      </c>
      <c r="C444" s="3" t="s">
        <v>589</v>
      </c>
      <c r="D444" s="3" t="s">
        <v>39</v>
      </c>
      <c r="E444" s="3" t="s">
        <v>590</v>
      </c>
      <c r="F444" s="3" t="s">
        <v>59</v>
      </c>
      <c r="G444" s="3">
        <v>2.7864740289999999</v>
      </c>
      <c r="H444" s="3">
        <v>1.059499931</v>
      </c>
      <c r="I444" s="3">
        <v>1.059499931</v>
      </c>
      <c r="J444" s="3">
        <v>0</v>
      </c>
      <c r="K444" s="3">
        <v>0.13995718200000001</v>
      </c>
      <c r="L444" s="3">
        <v>0.19416598900000001</v>
      </c>
      <c r="M444" s="3">
        <v>0.44753269699999998</v>
      </c>
      <c r="N444" s="3">
        <v>0.213661027</v>
      </c>
      <c r="O444" s="3">
        <v>0.100806539</v>
      </c>
      <c r="P444" s="3">
        <v>0.15719920200000001</v>
      </c>
      <c r="Q444" s="3">
        <v>0.19594593199999999</v>
      </c>
      <c r="R444" s="3">
        <v>0.72026699500000002</v>
      </c>
      <c r="S444" s="3">
        <v>8.3864284379999994</v>
      </c>
      <c r="T444" s="3">
        <v>0.94378195399999998</v>
      </c>
      <c r="U444" s="3">
        <v>0.485539004</v>
      </c>
      <c r="V444" s="3">
        <v>0.27918796000000001</v>
      </c>
      <c r="W444" s="3">
        <v>0.87850832999999995</v>
      </c>
      <c r="X444" s="3">
        <v>4.1042579669999997</v>
      </c>
      <c r="Y444" s="3">
        <v>4.2530145480000003</v>
      </c>
      <c r="Z444" s="3">
        <v>1.9437819540000001</v>
      </c>
      <c r="AA444" s="3">
        <v>0.19416598900000001</v>
      </c>
      <c r="AB444" s="3">
        <v>11.93654029</v>
      </c>
      <c r="AC444" s="3">
        <v>4.6718486629999996</v>
      </c>
      <c r="AD444" s="3">
        <v>0.17831776399999999</v>
      </c>
      <c r="AE444" s="3">
        <v>8.6598738659999999</v>
      </c>
      <c r="AF444" s="4">
        <v>42298</v>
      </c>
      <c r="AG444" s="5">
        <f>YEAR(AF444)</f>
        <v>2015</v>
      </c>
      <c r="AH444" s="5" t="str">
        <f>"Q"&amp;ROUNDUP(MONTH(AF444)/3,0)</f>
        <v>Q4</v>
      </c>
      <c r="AI444" s="5">
        <f>INDEX(RatingLookup!$B$2:$B$11,MATCH(A444,RatingLookup!$A$2:$A$11,0))</f>
        <v>8</v>
      </c>
      <c r="AJ444" s="5" t="str">
        <f>INDEX(RatingLookup!$C$2:$C$11,MATCH(A444,RatingLookup!$A$2:$A$11,0))</f>
        <v>Investment Grade</v>
      </c>
    </row>
    <row r="445" spans="1:36" x14ac:dyDescent="0.3">
      <c r="A445" s="3" t="s">
        <v>36</v>
      </c>
      <c r="B445" s="3" t="s">
        <v>591</v>
      </c>
      <c r="C445" s="3" t="s">
        <v>592</v>
      </c>
      <c r="D445" s="3" t="s">
        <v>39</v>
      </c>
      <c r="E445" s="3" t="s">
        <v>593</v>
      </c>
      <c r="F445" s="3" t="s">
        <v>79</v>
      </c>
      <c r="G445" s="3">
        <v>1.3806208630000001</v>
      </c>
      <c r="H445" s="3">
        <v>0.75770372100000005</v>
      </c>
      <c r="I445" s="3">
        <v>0.214334627</v>
      </c>
      <c r="J445" s="3">
        <v>46.335265589999999</v>
      </c>
      <c r="K445" s="3">
        <v>5.917095E-2</v>
      </c>
      <c r="L445" s="3">
        <v>9.0634001000000006E-2</v>
      </c>
      <c r="M445" s="3">
        <v>1</v>
      </c>
      <c r="N445" s="3">
        <v>0.112873236</v>
      </c>
      <c r="O445" s="3">
        <v>1.8695140999999998E-2</v>
      </c>
      <c r="P445" s="3">
        <v>3.1850560999999999E-2</v>
      </c>
      <c r="Q445" s="3">
        <v>7.1788747E-2</v>
      </c>
      <c r="R445" s="3">
        <v>0.31595134400000002</v>
      </c>
      <c r="S445" s="3">
        <v>0.52659972700000002</v>
      </c>
      <c r="T445" s="3">
        <v>2.8399681530000001</v>
      </c>
      <c r="U445" s="3">
        <v>0.73958117400000001</v>
      </c>
      <c r="V445" s="3">
        <v>0.26790024099999998</v>
      </c>
      <c r="W445" s="3">
        <v>-0.363473188</v>
      </c>
      <c r="X445" s="3">
        <v>-1.88372093</v>
      </c>
      <c r="Y445" s="3">
        <v>3.670930233</v>
      </c>
      <c r="Z445" s="3">
        <v>3.8399681530000001</v>
      </c>
      <c r="AA445" s="3">
        <v>9.0634001000000006E-2</v>
      </c>
      <c r="AB445" s="3">
        <v>7.2200459510000004</v>
      </c>
      <c r="AC445" s="3">
        <v>5.1825581400000003</v>
      </c>
      <c r="AD445" s="3">
        <v>0.162492253</v>
      </c>
      <c r="AE445" s="3">
        <v>4.2660761149999997</v>
      </c>
      <c r="AF445" s="4">
        <v>41956</v>
      </c>
      <c r="AG445" s="5">
        <f>YEAR(AF445)</f>
        <v>2014</v>
      </c>
      <c r="AH445" s="5" t="str">
        <f>"Q"&amp;ROUNDUP(MONTH(AF445)/3,0)</f>
        <v>Q4</v>
      </c>
      <c r="AI445" s="5">
        <f>INDEX(RatingLookup!$B$2:$B$11,MATCH(A445,RatingLookup!$A$2:$A$11,0))</f>
        <v>8</v>
      </c>
      <c r="AJ445" s="5" t="str">
        <f>INDEX(RatingLookup!$C$2:$C$11,MATCH(A445,RatingLookup!$A$2:$A$11,0))</f>
        <v>Investment Grade</v>
      </c>
    </row>
    <row r="446" spans="1:36" x14ac:dyDescent="0.3">
      <c r="A446" s="3" t="s">
        <v>42</v>
      </c>
      <c r="B446" s="3" t="s">
        <v>591</v>
      </c>
      <c r="C446" s="3" t="s">
        <v>592</v>
      </c>
      <c r="D446" s="3" t="s">
        <v>44</v>
      </c>
      <c r="E446" s="3" t="s">
        <v>594</v>
      </c>
      <c r="F446" s="3" t="s">
        <v>79</v>
      </c>
      <c r="G446" s="3">
        <v>1.681728449</v>
      </c>
      <c r="H446" s="3">
        <v>1.2123272650000001</v>
      </c>
      <c r="I446" s="3">
        <v>0.71309497700000002</v>
      </c>
      <c r="J446" s="3">
        <v>39.503344990000002</v>
      </c>
      <c r="K446" s="3">
        <v>7.7053689999999994E-2</v>
      </c>
      <c r="L446" s="3">
        <v>0.11308452500000001</v>
      </c>
      <c r="M446" s="3">
        <v>1</v>
      </c>
      <c r="N446" s="3">
        <v>0.149726628</v>
      </c>
      <c r="O446" s="3">
        <v>2.3788057000000001E-2</v>
      </c>
      <c r="P446" s="3">
        <v>3.8601534999999999E-2</v>
      </c>
      <c r="Q446" s="3">
        <v>8.7969604000000007E-2</v>
      </c>
      <c r="R446" s="3">
        <v>0.30872053999999999</v>
      </c>
      <c r="S446" s="3">
        <v>0.51266560999999999</v>
      </c>
      <c r="T446" s="3">
        <v>2.698057613</v>
      </c>
      <c r="U446" s="3">
        <v>0.72958777200000002</v>
      </c>
      <c r="V446" s="3">
        <v>0.322222222</v>
      </c>
      <c r="W446" s="3">
        <v>-1.05042E-3</v>
      </c>
      <c r="X446" s="3">
        <v>-8.9887639999999998E-3</v>
      </c>
      <c r="Y446" s="3">
        <v>8.8393258429999992</v>
      </c>
      <c r="Z446" s="3">
        <v>3.698057613</v>
      </c>
      <c r="AA446" s="3">
        <v>0.11308452500000001</v>
      </c>
      <c r="AB446" s="3">
        <v>5.3549666509999998</v>
      </c>
      <c r="AC446" s="3">
        <v>8.5573033709999997</v>
      </c>
      <c r="AD446" s="3">
        <v>0.258634156</v>
      </c>
      <c r="AE446" s="3">
        <v>4.53832813</v>
      </c>
      <c r="AF446" s="4">
        <v>42454</v>
      </c>
      <c r="AG446" s="5">
        <f>YEAR(AF446)</f>
        <v>2016</v>
      </c>
      <c r="AH446" s="5" t="str">
        <f>"Q"&amp;ROUNDUP(MONTH(AF446)/3,0)</f>
        <v>Q1</v>
      </c>
      <c r="AI446" s="5">
        <f>INDEX(RatingLookup!$B$2:$B$11,MATCH(A446,RatingLookup!$A$2:$A$11,0))</f>
        <v>7</v>
      </c>
      <c r="AJ446" s="5" t="str">
        <f>INDEX(RatingLookup!$C$2:$C$11,MATCH(A446,RatingLookup!$A$2:$A$11,0))</f>
        <v>Investment Grade</v>
      </c>
    </row>
    <row r="447" spans="1:36" x14ac:dyDescent="0.3">
      <c r="A447" s="3" t="s">
        <v>42</v>
      </c>
      <c r="B447" s="3" t="s">
        <v>591</v>
      </c>
      <c r="C447" s="3" t="s">
        <v>592</v>
      </c>
      <c r="D447" s="3" t="s">
        <v>39</v>
      </c>
      <c r="E447" s="3" t="s">
        <v>131</v>
      </c>
      <c r="F447" s="3" t="s">
        <v>79</v>
      </c>
      <c r="G447" s="3">
        <v>1.311723602</v>
      </c>
      <c r="H447" s="3">
        <v>0.654373706</v>
      </c>
      <c r="I447" s="3">
        <v>0.20820393400000001</v>
      </c>
      <c r="J447" s="3">
        <v>39.905376080000003</v>
      </c>
      <c r="K447" s="3">
        <v>6.9069431000000001E-2</v>
      </c>
      <c r="L447" s="3">
        <v>0.111419158</v>
      </c>
      <c r="M447" s="3">
        <v>1</v>
      </c>
      <c r="N447" s="3">
        <v>0.146898104</v>
      </c>
      <c r="O447" s="3">
        <v>2.1507933E-2</v>
      </c>
      <c r="P447" s="3">
        <v>3.8409329999999998E-2</v>
      </c>
      <c r="Q447" s="3">
        <v>7.5620271000000003E-2</v>
      </c>
      <c r="R447" s="3">
        <v>0.31139582599999999</v>
      </c>
      <c r="S447" s="3">
        <v>0.52583984800000005</v>
      </c>
      <c r="T447" s="3">
        <v>2.5159246880000001</v>
      </c>
      <c r="U447" s="3">
        <v>0.71557980099999996</v>
      </c>
      <c r="V447" s="3">
        <v>0.37648755900000003</v>
      </c>
      <c r="W447" s="3">
        <v>0.14945609300000001</v>
      </c>
      <c r="X447" s="3">
        <v>1.1074766359999999</v>
      </c>
      <c r="Y447" s="3">
        <v>2.7289719629999998</v>
      </c>
      <c r="Z447" s="3">
        <v>3.5159246880000001</v>
      </c>
      <c r="AA447" s="3">
        <v>0.111419158</v>
      </c>
      <c r="AB447" s="3">
        <v>5.6429643580000004</v>
      </c>
      <c r="AC447" s="3">
        <v>7.4100467290000003</v>
      </c>
      <c r="AD447" s="3">
        <v>0.25486178100000001</v>
      </c>
      <c r="AE447" s="3">
        <v>4.634399309</v>
      </c>
      <c r="AF447" s="4">
        <v>41619</v>
      </c>
      <c r="AG447" s="5">
        <f>YEAR(AF447)</f>
        <v>2013</v>
      </c>
      <c r="AH447" s="5" t="str">
        <f>"Q"&amp;ROUNDUP(MONTH(AF447)/3,0)</f>
        <v>Q4</v>
      </c>
      <c r="AI447" s="5">
        <f>INDEX(RatingLookup!$B$2:$B$11,MATCH(A447,RatingLookup!$A$2:$A$11,0))</f>
        <v>7</v>
      </c>
      <c r="AJ447" s="5" t="str">
        <f>INDEX(RatingLookup!$C$2:$C$11,MATCH(A447,RatingLookup!$A$2:$A$11,0))</f>
        <v>Investment Grade</v>
      </c>
    </row>
    <row r="448" spans="1:36" x14ac:dyDescent="0.3">
      <c r="A448" s="3" t="s">
        <v>42</v>
      </c>
      <c r="B448" s="3" t="s">
        <v>591</v>
      </c>
      <c r="C448" s="3" t="s">
        <v>592</v>
      </c>
      <c r="D448" s="3" t="s">
        <v>47</v>
      </c>
      <c r="E448" s="3" t="s">
        <v>251</v>
      </c>
      <c r="F448" s="3" t="s">
        <v>79</v>
      </c>
      <c r="G448" s="3">
        <v>1.508962264</v>
      </c>
      <c r="H448" s="3">
        <v>0.95070754700000004</v>
      </c>
      <c r="I448" s="3">
        <v>0.38018867899999997</v>
      </c>
      <c r="J448" s="3">
        <v>37.823428450000002</v>
      </c>
      <c r="K448" s="3">
        <v>0.1374705</v>
      </c>
      <c r="L448" s="3">
        <v>0.22639991400000001</v>
      </c>
      <c r="M448" s="3">
        <v>1</v>
      </c>
      <c r="N448" s="3">
        <v>0.25348637600000001</v>
      </c>
      <c r="O448" s="3">
        <v>4.9062020999999997E-2</v>
      </c>
      <c r="P448" s="3">
        <v>8.7937500000000002E-2</v>
      </c>
      <c r="Q448" s="3">
        <v>0.18901179900000001</v>
      </c>
      <c r="R448" s="3">
        <v>0.35689127100000001</v>
      </c>
      <c r="S448" s="3">
        <v>0.62269129300000003</v>
      </c>
      <c r="T448" s="3">
        <v>2.8525073750000001</v>
      </c>
      <c r="U448" s="3">
        <v>0.74042878999999995</v>
      </c>
      <c r="V448" s="3">
        <v>0.392797915</v>
      </c>
      <c r="W448" s="3">
        <v>0.36575133500000001</v>
      </c>
      <c r="X448" s="3">
        <v>2.9016641449999998</v>
      </c>
      <c r="Y448" s="3">
        <v>3.1754916789999998</v>
      </c>
      <c r="Z448" s="3">
        <v>3.8525073750000001</v>
      </c>
      <c r="AA448" s="3">
        <v>0.22639991400000001</v>
      </c>
      <c r="AB448" s="3">
        <v>4.9945899069999999</v>
      </c>
      <c r="AC448" s="3">
        <v>7.9334341909999999</v>
      </c>
      <c r="AD448" s="3">
        <v>0.28127011400000002</v>
      </c>
      <c r="AE448" s="3">
        <v>0</v>
      </c>
      <c r="AF448" s="4">
        <v>40661</v>
      </c>
      <c r="AG448" s="5">
        <f>YEAR(AF448)</f>
        <v>2011</v>
      </c>
      <c r="AH448" s="5" t="str">
        <f>"Q"&amp;ROUNDUP(MONTH(AF448)/3,0)</f>
        <v>Q2</v>
      </c>
      <c r="AI448" s="5">
        <f>INDEX(RatingLookup!$B$2:$B$11,MATCH(A448,RatingLookup!$A$2:$A$11,0))</f>
        <v>7</v>
      </c>
      <c r="AJ448" s="5" t="str">
        <f>INDEX(RatingLookup!$C$2:$C$11,MATCH(A448,RatingLookup!$A$2:$A$11,0))</f>
        <v>Investment Grade</v>
      </c>
    </row>
    <row r="449" spans="1:36" x14ac:dyDescent="0.3">
      <c r="A449" s="3" t="s">
        <v>42</v>
      </c>
      <c r="B449" s="3" t="s">
        <v>591</v>
      </c>
      <c r="C449" s="3" t="s">
        <v>592</v>
      </c>
      <c r="D449" s="3" t="s">
        <v>47</v>
      </c>
      <c r="E449" s="3" t="s">
        <v>595</v>
      </c>
      <c r="F449" s="3" t="s">
        <v>79</v>
      </c>
      <c r="G449" s="3">
        <v>1.1002204849999999</v>
      </c>
      <c r="H449" s="3">
        <v>0.61354980999999997</v>
      </c>
      <c r="I449" s="3">
        <v>0.20364802600000001</v>
      </c>
      <c r="J449" s="3">
        <v>31.111023039999999</v>
      </c>
      <c r="K449" s="3">
        <v>0.13184316200000001</v>
      </c>
      <c r="L449" s="3">
        <v>0.20883534100000001</v>
      </c>
      <c r="M449" s="3">
        <v>1</v>
      </c>
      <c r="N449" s="3">
        <v>0.236736419</v>
      </c>
      <c r="O449" s="3">
        <v>4.5287882000000002E-2</v>
      </c>
      <c r="P449" s="3">
        <v>7.8877511999999997E-2</v>
      </c>
      <c r="Q449" s="3">
        <v>0.17344456</v>
      </c>
      <c r="R449" s="3">
        <v>0.34349814899999997</v>
      </c>
      <c r="S449" s="3">
        <v>0.58102548399999998</v>
      </c>
      <c r="T449" s="3">
        <v>2.8298227319999998</v>
      </c>
      <c r="U449" s="3">
        <v>0.738891309</v>
      </c>
      <c r="V449" s="3">
        <v>0.36867408899999998</v>
      </c>
      <c r="W449" s="3">
        <v>0.167113126</v>
      </c>
      <c r="X449" s="3">
        <v>1.223227753</v>
      </c>
      <c r="Y449" s="3">
        <v>2.1840120660000002</v>
      </c>
      <c r="Z449" s="3">
        <v>3.8298227319999998</v>
      </c>
      <c r="AA449" s="3">
        <v>0.20883534100000001</v>
      </c>
      <c r="AB449" s="3">
        <v>5.5933608489999997</v>
      </c>
      <c r="AC449" s="3">
        <v>7.3197586729999999</v>
      </c>
      <c r="AD449" s="3">
        <v>0.25644684000000001</v>
      </c>
      <c r="AE449" s="3">
        <v>1.27700831</v>
      </c>
      <c r="AF449" s="4">
        <v>40865</v>
      </c>
      <c r="AG449" s="5">
        <f>YEAR(AF449)</f>
        <v>2011</v>
      </c>
      <c r="AH449" s="5" t="str">
        <f>"Q"&amp;ROUNDUP(MONTH(AF449)/3,0)</f>
        <v>Q4</v>
      </c>
      <c r="AI449" s="5">
        <f>INDEX(RatingLookup!$B$2:$B$11,MATCH(A449,RatingLookup!$A$2:$A$11,0))</f>
        <v>7</v>
      </c>
      <c r="AJ449" s="5" t="str">
        <f>INDEX(RatingLookup!$C$2:$C$11,MATCH(A449,RatingLookup!$A$2:$A$11,0))</f>
        <v>Investment Grade</v>
      </c>
    </row>
    <row r="450" spans="1:36" x14ac:dyDescent="0.3">
      <c r="A450" s="3" t="s">
        <v>42</v>
      </c>
      <c r="B450" s="3" t="s">
        <v>591</v>
      </c>
      <c r="C450" s="3" t="s">
        <v>592</v>
      </c>
      <c r="D450" s="3" t="s">
        <v>47</v>
      </c>
      <c r="E450" s="3" t="s">
        <v>596</v>
      </c>
      <c r="F450" s="3" t="s">
        <v>79</v>
      </c>
      <c r="G450" s="3">
        <v>1.3017728669999999</v>
      </c>
      <c r="H450" s="3">
        <v>0.66945015399999996</v>
      </c>
      <c r="I450" s="3">
        <v>0.19090441899999999</v>
      </c>
      <c r="J450" s="3">
        <v>43.307718510000001</v>
      </c>
      <c r="K450" s="3">
        <v>4.9853122999999999E-2</v>
      </c>
      <c r="L450" s="3">
        <v>7.6546469000000006E-2</v>
      </c>
      <c r="M450" s="3">
        <v>1</v>
      </c>
      <c r="N450" s="3">
        <v>0.101324024</v>
      </c>
      <c r="O450" s="3">
        <v>1.4906943000000001E-2</v>
      </c>
      <c r="P450" s="3">
        <v>2.5406246E-2</v>
      </c>
      <c r="Q450" s="3">
        <v>5.4640474000000001E-2</v>
      </c>
      <c r="R450" s="3">
        <v>0.29901723699999999</v>
      </c>
      <c r="S450" s="3">
        <v>0.51982915100000004</v>
      </c>
      <c r="T450" s="3">
        <v>2.6654379170000002</v>
      </c>
      <c r="U450" s="3">
        <v>0.72718130199999997</v>
      </c>
      <c r="V450" s="3">
        <v>0.34872080100000002</v>
      </c>
      <c r="W450" s="3">
        <v>5.5782090999999999E-2</v>
      </c>
      <c r="X450" s="3">
        <v>0.41911764699999998</v>
      </c>
      <c r="Y450" s="3">
        <v>2.9705882350000001</v>
      </c>
      <c r="Z450" s="3">
        <v>3.6654379170000002</v>
      </c>
      <c r="AA450" s="3">
        <v>7.6546469000000006E-2</v>
      </c>
      <c r="AB450" s="3">
        <v>6.5302678429999998</v>
      </c>
      <c r="AC450" s="3">
        <v>7.513480392</v>
      </c>
      <c r="AD450" s="3">
        <v>0.26101579499999999</v>
      </c>
      <c r="AE450" s="3">
        <v>4.1524938679999996</v>
      </c>
      <c r="AF450" s="4">
        <v>41145</v>
      </c>
      <c r="AG450" s="5">
        <f>YEAR(AF450)</f>
        <v>2012</v>
      </c>
      <c r="AH450" s="5" t="str">
        <f>"Q"&amp;ROUNDUP(MONTH(AF450)/3,0)</f>
        <v>Q3</v>
      </c>
      <c r="AI450" s="5">
        <f>INDEX(RatingLookup!$B$2:$B$11,MATCH(A450,RatingLookup!$A$2:$A$11,0))</f>
        <v>7</v>
      </c>
      <c r="AJ450" s="5" t="str">
        <f>INDEX(RatingLookup!$C$2:$C$11,MATCH(A450,RatingLookup!$A$2:$A$11,0))</f>
        <v>Investment Grade</v>
      </c>
    </row>
    <row r="451" spans="1:36" x14ac:dyDescent="0.3">
      <c r="A451" s="3" t="s">
        <v>42</v>
      </c>
      <c r="B451" s="3" t="s">
        <v>591</v>
      </c>
      <c r="C451" s="3" t="s">
        <v>592</v>
      </c>
      <c r="D451" s="3" t="s">
        <v>47</v>
      </c>
      <c r="E451" s="3" t="s">
        <v>563</v>
      </c>
      <c r="F451" s="3" t="s">
        <v>79</v>
      </c>
      <c r="G451" s="3">
        <v>0.92234524799999995</v>
      </c>
      <c r="H451" s="3">
        <v>0.42431448300000002</v>
      </c>
      <c r="I451" s="3">
        <v>4.7187337000000003E-2</v>
      </c>
      <c r="J451" s="3">
        <v>48.395089290000001</v>
      </c>
      <c r="K451" s="3">
        <v>3.6160713999999997E-2</v>
      </c>
      <c r="L451" s="3">
        <v>6.3424745000000005E-2</v>
      </c>
      <c r="M451" s="3">
        <v>1</v>
      </c>
      <c r="N451" s="3">
        <v>9.9234693999999998E-2</v>
      </c>
      <c r="O451" s="3">
        <v>9.8691079999999997E-3</v>
      </c>
      <c r="P451" s="3">
        <v>1.9606297000000002E-2</v>
      </c>
      <c r="Q451" s="3">
        <v>4.3890545000000003E-2</v>
      </c>
      <c r="R451" s="3">
        <v>0.27292348399999999</v>
      </c>
      <c r="S451" s="3">
        <v>0.43826427200000001</v>
      </c>
      <c r="T451" s="3">
        <v>3.4472655489999999</v>
      </c>
      <c r="U451" s="3">
        <v>0.77514272799999995</v>
      </c>
      <c r="V451" s="3">
        <v>0.382604324</v>
      </c>
      <c r="W451" s="3">
        <v>-1.2788631999999999E-2</v>
      </c>
      <c r="X451" s="3">
        <v>-0.11688311699999999</v>
      </c>
      <c r="Y451" s="3">
        <v>1.6796536799999999</v>
      </c>
      <c r="Z451" s="3">
        <v>4.4472655489999999</v>
      </c>
      <c r="AA451" s="3">
        <v>6.3424745000000005E-2</v>
      </c>
      <c r="AB451" s="3">
        <v>7.5675598529999997</v>
      </c>
      <c r="AC451" s="3">
        <v>9.1396103899999996</v>
      </c>
      <c r="AD451" s="3">
        <v>0.26929209199999998</v>
      </c>
      <c r="AE451" s="3">
        <v>3.6733507699999999</v>
      </c>
      <c r="AF451" s="4">
        <v>42576</v>
      </c>
      <c r="AG451" s="5">
        <f>YEAR(AF451)</f>
        <v>2016</v>
      </c>
      <c r="AH451" s="5" t="str">
        <f>"Q"&amp;ROUNDUP(MONTH(AF451)/3,0)</f>
        <v>Q3</v>
      </c>
      <c r="AI451" s="5">
        <f>INDEX(RatingLookup!$B$2:$B$11,MATCH(A451,RatingLookup!$A$2:$A$11,0))</f>
        <v>7</v>
      </c>
      <c r="AJ451" s="5" t="str">
        <f>INDEX(RatingLookup!$C$2:$C$11,MATCH(A451,RatingLookup!$A$2:$A$11,0))</f>
        <v>Investment Grade</v>
      </c>
    </row>
    <row r="452" spans="1:36" x14ac:dyDescent="0.3">
      <c r="A452" s="3" t="s">
        <v>36</v>
      </c>
      <c r="B452" s="3" t="s">
        <v>597</v>
      </c>
      <c r="C452" s="3" t="s">
        <v>598</v>
      </c>
      <c r="D452" s="3" t="s">
        <v>39</v>
      </c>
      <c r="E452" s="3" t="s">
        <v>599</v>
      </c>
      <c r="F452" s="3" t="s">
        <v>174</v>
      </c>
      <c r="G452" s="3">
        <v>1.061192463</v>
      </c>
      <c r="H452" s="3">
        <v>0.91868397300000004</v>
      </c>
      <c r="I452" s="3">
        <v>0.79978416100000005</v>
      </c>
      <c r="J452" s="3">
        <v>14.5257083</v>
      </c>
      <c r="K452" s="3">
        <v>0.16459576400000001</v>
      </c>
      <c r="L452" s="3">
        <v>7.4300645999999998E-2</v>
      </c>
      <c r="M452" s="3">
        <v>0.198271477</v>
      </c>
      <c r="N452" s="3">
        <v>0.16285928699999999</v>
      </c>
      <c r="O452" s="3">
        <v>4.0494229E-2</v>
      </c>
      <c r="P452" s="3">
        <v>1.9919923999999999E-2</v>
      </c>
      <c r="Q452" s="3">
        <v>6.6737657000000006E-2</v>
      </c>
      <c r="R452" s="3">
        <v>0.246022302</v>
      </c>
      <c r="S452" s="3">
        <v>89.997166719999996</v>
      </c>
      <c r="T452" s="3">
        <v>0.64807822800000003</v>
      </c>
      <c r="U452" s="3">
        <v>0.393232686</v>
      </c>
      <c r="V452" s="3">
        <v>-0.21410731</v>
      </c>
      <c r="W452" s="3">
        <v>0.60925549800000001</v>
      </c>
      <c r="X452" s="3">
        <v>1.5250669569999999</v>
      </c>
      <c r="Y452" s="3">
        <v>1.277555338</v>
      </c>
      <c r="Z452" s="3">
        <v>1.6480782279999999</v>
      </c>
      <c r="AA452" s="3">
        <v>7.4300645999999998E-2</v>
      </c>
      <c r="AB452" s="3">
        <v>16.255489489999999</v>
      </c>
      <c r="AC452" s="3">
        <v>2.5031648670000002</v>
      </c>
      <c r="AD452" s="3">
        <v>0.52450039000000004</v>
      </c>
      <c r="AE452" s="3">
        <v>23.940428480000001</v>
      </c>
      <c r="AF452" s="4">
        <v>41856</v>
      </c>
      <c r="AG452" s="5">
        <f>YEAR(AF452)</f>
        <v>2014</v>
      </c>
      <c r="AH452" s="5" t="str">
        <f>"Q"&amp;ROUNDUP(MONTH(AF452)/3,0)</f>
        <v>Q3</v>
      </c>
      <c r="AI452" s="5">
        <f>INDEX(RatingLookup!$B$2:$B$11,MATCH(A452,RatingLookup!$A$2:$A$11,0))</f>
        <v>8</v>
      </c>
      <c r="AJ452" s="5" t="str">
        <f>INDEX(RatingLookup!$C$2:$C$11,MATCH(A452,RatingLookup!$A$2:$A$11,0))</f>
        <v>Investment Grade</v>
      </c>
    </row>
    <row r="453" spans="1:36" x14ac:dyDescent="0.3">
      <c r="A453" s="3" t="s">
        <v>36</v>
      </c>
      <c r="B453" s="3" t="s">
        <v>597</v>
      </c>
      <c r="C453" s="3" t="s">
        <v>598</v>
      </c>
      <c r="D453" s="3" t="s">
        <v>39</v>
      </c>
      <c r="E453" s="3" t="s">
        <v>600</v>
      </c>
      <c r="F453" s="3" t="s">
        <v>174</v>
      </c>
      <c r="G453" s="3">
        <v>1.880012459</v>
      </c>
      <c r="H453" s="3">
        <v>1.0669583359999999</v>
      </c>
      <c r="I453" s="3">
        <v>0.72305441299999995</v>
      </c>
      <c r="J453" s="3">
        <v>20.294234410000001</v>
      </c>
      <c r="K453" s="3">
        <v>0.21776039899999999</v>
      </c>
      <c r="L453" s="3">
        <v>0.223340606</v>
      </c>
      <c r="M453" s="3">
        <v>0.27023308000000001</v>
      </c>
      <c r="N453" s="3">
        <v>0.247574981</v>
      </c>
      <c r="O453" s="3">
        <v>0.100907855</v>
      </c>
      <c r="P453" s="3">
        <v>0.11187517800000001</v>
      </c>
      <c r="Q453" s="3">
        <v>0.22387594299999999</v>
      </c>
      <c r="R453" s="3">
        <v>0.46338937400000002</v>
      </c>
      <c r="S453" s="3">
        <v>1.9839455589999999</v>
      </c>
      <c r="T453" s="3">
        <v>1.2186176010000001</v>
      </c>
      <c r="U453" s="3">
        <v>0.54926887800000002</v>
      </c>
      <c r="V453" s="3">
        <v>0.13019825600000001</v>
      </c>
      <c r="W453" s="3">
        <v>0.70853655599999998</v>
      </c>
      <c r="X453" s="3">
        <v>3.0725681050000002</v>
      </c>
      <c r="Y453" s="3">
        <v>1.588039057</v>
      </c>
      <c r="Z453" s="3">
        <v>2.2186176010000001</v>
      </c>
      <c r="AA453" s="3">
        <v>0.223340606</v>
      </c>
      <c r="AB453" s="3">
        <v>8.6543720139999998</v>
      </c>
      <c r="AC453" s="3">
        <v>4.3364990519999997</v>
      </c>
      <c r="AD453" s="3">
        <v>0.31922120700000001</v>
      </c>
      <c r="AE453" s="3">
        <v>17.986116920000001</v>
      </c>
      <c r="AF453" s="4">
        <v>41589</v>
      </c>
      <c r="AG453" s="5">
        <f>YEAR(AF453)</f>
        <v>2013</v>
      </c>
      <c r="AH453" s="5" t="str">
        <f>"Q"&amp;ROUNDUP(MONTH(AF453)/3,0)</f>
        <v>Q4</v>
      </c>
      <c r="AI453" s="5">
        <f>INDEX(RatingLookup!$B$2:$B$11,MATCH(A453,RatingLookup!$A$2:$A$11,0))</f>
        <v>8</v>
      </c>
      <c r="AJ453" s="5" t="str">
        <f>INDEX(RatingLookup!$C$2:$C$11,MATCH(A453,RatingLookup!$A$2:$A$11,0))</f>
        <v>Investment Grade</v>
      </c>
    </row>
    <row r="454" spans="1:36" x14ac:dyDescent="0.3">
      <c r="A454" s="3" t="s">
        <v>42</v>
      </c>
      <c r="B454" s="3" t="s">
        <v>597</v>
      </c>
      <c r="C454" s="3" t="s">
        <v>598</v>
      </c>
      <c r="D454" s="3" t="s">
        <v>39</v>
      </c>
      <c r="E454" s="3" t="s">
        <v>601</v>
      </c>
      <c r="F454" s="3" t="s">
        <v>174</v>
      </c>
      <c r="G454" s="3">
        <v>1.777503069</v>
      </c>
      <c r="H454" s="3">
        <v>1.423768438</v>
      </c>
      <c r="I454" s="3">
        <v>0.87083102099999998</v>
      </c>
      <c r="J454" s="3">
        <v>13.546306120000001</v>
      </c>
      <c r="K454" s="3">
        <v>8.4726010000000004E-2</v>
      </c>
      <c r="L454" s="3">
        <v>7.9067820999999996E-2</v>
      </c>
      <c r="M454" s="3">
        <v>0.190456876</v>
      </c>
      <c r="N454" s="3">
        <v>8.4726010000000004E-2</v>
      </c>
      <c r="O454" s="3">
        <v>1.9905030000000001E-2</v>
      </c>
      <c r="P454" s="3">
        <v>1.9064468000000001E-2</v>
      </c>
      <c r="Q454" s="3">
        <v>3.5840054000000003E-2</v>
      </c>
      <c r="R454" s="3">
        <v>0.234934115</v>
      </c>
      <c r="S454" s="3">
        <v>80.817858200000003</v>
      </c>
      <c r="T454" s="3">
        <v>0.80055260399999995</v>
      </c>
      <c r="U454" s="3">
        <v>0.44461494899999998</v>
      </c>
      <c r="V454" s="3">
        <v>-1.9938721999999999E-2</v>
      </c>
      <c r="W454" s="3">
        <v>0.67661037199999996</v>
      </c>
      <c r="X454" s="3">
        <v>0.95602279999999995</v>
      </c>
      <c r="Y454" s="3">
        <v>0.51386494699999996</v>
      </c>
      <c r="Z454" s="3">
        <v>1.8005526039999999</v>
      </c>
      <c r="AA454" s="3">
        <v>7.9067820999999996E-2</v>
      </c>
      <c r="AB454" s="3">
        <v>20.908429600000002</v>
      </c>
      <c r="AC454" s="3">
        <v>1.412959125</v>
      </c>
      <c r="AD454" s="3">
        <v>0.32514673100000002</v>
      </c>
      <c r="AE454" s="3">
        <v>20.536291259999999</v>
      </c>
      <c r="AF454" s="4">
        <v>42265</v>
      </c>
      <c r="AG454" s="5">
        <f>YEAR(AF454)</f>
        <v>2015</v>
      </c>
      <c r="AH454" s="5" t="str">
        <f>"Q"&amp;ROUNDUP(MONTH(AF454)/3,0)</f>
        <v>Q3</v>
      </c>
      <c r="AI454" s="5">
        <f>INDEX(RatingLookup!$B$2:$B$11,MATCH(A454,RatingLookup!$A$2:$A$11,0))</f>
        <v>7</v>
      </c>
      <c r="AJ454" s="5" t="str">
        <f>INDEX(RatingLookup!$C$2:$C$11,MATCH(A454,RatingLookup!$A$2:$A$11,0))</f>
        <v>Investment Grade</v>
      </c>
    </row>
    <row r="455" spans="1:36" x14ac:dyDescent="0.3">
      <c r="A455" s="3" t="s">
        <v>42</v>
      </c>
      <c r="B455" s="3" t="s">
        <v>597</v>
      </c>
      <c r="C455" s="3" t="s">
        <v>598</v>
      </c>
      <c r="D455" s="3" t="s">
        <v>60</v>
      </c>
      <c r="E455" s="3" t="s">
        <v>46</v>
      </c>
      <c r="F455" s="3" t="s">
        <v>174</v>
      </c>
      <c r="G455" s="3">
        <v>1.9326791999999999</v>
      </c>
      <c r="H455" s="3">
        <v>7.9229401240000001</v>
      </c>
      <c r="I455" s="3">
        <v>0.44096807300000002</v>
      </c>
      <c r="J455" s="3">
        <v>23.295003099999999</v>
      </c>
      <c r="K455" s="3">
        <v>0.185407237</v>
      </c>
      <c r="L455" s="3">
        <v>0.205799648</v>
      </c>
      <c r="M455" s="3">
        <v>0.27871711300000002</v>
      </c>
      <c r="N455" s="3">
        <v>0.239336254</v>
      </c>
      <c r="O455" s="3">
        <v>0.107422194</v>
      </c>
      <c r="P455" s="3">
        <v>0.12812612800000001</v>
      </c>
      <c r="Q455" s="3">
        <v>0.20860904899999999</v>
      </c>
      <c r="R455" s="3">
        <v>0.57938511999999998</v>
      </c>
      <c r="S455" s="3">
        <v>3.2252963910000001</v>
      </c>
      <c r="T455" s="3">
        <v>0.94195482799999997</v>
      </c>
      <c r="U455" s="3">
        <v>0.48505496300000001</v>
      </c>
      <c r="V455" s="3">
        <v>9.9088659999999995E-2</v>
      </c>
      <c r="W455" s="3">
        <v>0.66566729099999999</v>
      </c>
      <c r="X455" s="3">
        <v>2.3651236240000002</v>
      </c>
      <c r="Y455" s="3">
        <v>10.82715503</v>
      </c>
      <c r="Z455" s="3">
        <v>1.9419548280000001</v>
      </c>
      <c r="AA455" s="3">
        <v>0.205799648</v>
      </c>
      <c r="AB455" s="3">
        <v>9.7753221030000006</v>
      </c>
      <c r="AC455" s="3">
        <v>3.5530116249999999</v>
      </c>
      <c r="AD455" s="3">
        <v>0.29037874800000002</v>
      </c>
      <c r="AE455" s="3">
        <v>14.73429116</v>
      </c>
      <c r="AF455" s="4">
        <v>41075</v>
      </c>
      <c r="AG455" s="5">
        <f>YEAR(AF455)</f>
        <v>2012</v>
      </c>
      <c r="AH455" s="5" t="str">
        <f>"Q"&amp;ROUNDUP(MONTH(AF455)/3,0)</f>
        <v>Q2</v>
      </c>
      <c r="AI455" s="5">
        <f>INDEX(RatingLookup!$B$2:$B$11,MATCH(A455,RatingLookup!$A$2:$A$11,0))</f>
        <v>7</v>
      </c>
      <c r="AJ455" s="5" t="str">
        <f>INDEX(RatingLookup!$C$2:$C$11,MATCH(A455,RatingLookup!$A$2:$A$11,0))</f>
        <v>Investment Grade</v>
      </c>
    </row>
    <row r="456" spans="1:36" x14ac:dyDescent="0.3">
      <c r="A456" s="3" t="s">
        <v>36</v>
      </c>
      <c r="B456" s="3" t="s">
        <v>602</v>
      </c>
      <c r="C456" s="3" t="s">
        <v>603</v>
      </c>
      <c r="D456" s="3" t="s">
        <v>39</v>
      </c>
      <c r="E456" s="3" t="s">
        <v>604</v>
      </c>
      <c r="F456" s="3" t="s">
        <v>246</v>
      </c>
      <c r="G456" s="3">
        <v>1.1801882560000001</v>
      </c>
      <c r="H456" s="3">
        <v>2.0703720300000001</v>
      </c>
      <c r="I456" s="3">
        <v>0.49350067199999997</v>
      </c>
      <c r="J456" s="3">
        <v>32.850347259999999</v>
      </c>
      <c r="K456" s="3">
        <v>0.14803539099999999</v>
      </c>
      <c r="L456" s="3">
        <v>0.23232803699999999</v>
      </c>
      <c r="M456" s="3">
        <v>1</v>
      </c>
      <c r="N456" s="3">
        <v>0.27437922199999998</v>
      </c>
      <c r="O456" s="3">
        <v>4.5417395999999999E-2</v>
      </c>
      <c r="P456" s="3">
        <v>7.6243404000000001E-2</v>
      </c>
      <c r="Q456" s="3">
        <v>0.12766655700000001</v>
      </c>
      <c r="R456" s="3">
        <v>0.30680093400000003</v>
      </c>
      <c r="S456" s="3">
        <v>0.36254828900000002</v>
      </c>
      <c r="T456" s="3">
        <v>1.8109616019999999</v>
      </c>
      <c r="U456" s="3">
        <v>0.64424985400000001</v>
      </c>
      <c r="V456" s="3">
        <v>0.362817363</v>
      </c>
      <c r="W456" s="3">
        <v>0.17101147</v>
      </c>
      <c r="X456" s="3">
        <v>1.6296787020000001</v>
      </c>
      <c r="Y456" s="3">
        <v>12.16628023</v>
      </c>
      <c r="Z456" s="3">
        <v>2.8109616019999999</v>
      </c>
      <c r="AA456" s="3">
        <v>0.23232803699999999</v>
      </c>
      <c r="AB456" s="3">
        <v>7.6276819680000001</v>
      </c>
      <c r="AC456" s="3">
        <v>9.5296455780000002</v>
      </c>
      <c r="AD456" s="3">
        <v>0.27371325299999999</v>
      </c>
      <c r="AE456" s="3">
        <v>0.85609532499999996</v>
      </c>
      <c r="AF456" s="4">
        <v>42263</v>
      </c>
      <c r="AG456" s="5">
        <f>YEAR(AF456)</f>
        <v>2015</v>
      </c>
      <c r="AH456" s="5" t="str">
        <f>"Q"&amp;ROUNDUP(MONTH(AF456)/3,0)</f>
        <v>Q3</v>
      </c>
      <c r="AI456" s="5">
        <f>INDEX(RatingLookup!$B$2:$B$11,MATCH(A456,RatingLookup!$A$2:$A$11,0))</f>
        <v>8</v>
      </c>
      <c r="AJ456" s="5" t="str">
        <f>INDEX(RatingLookup!$C$2:$C$11,MATCH(A456,RatingLookup!$A$2:$A$11,0))</f>
        <v>Investment Grade</v>
      </c>
    </row>
    <row r="457" spans="1:36" x14ac:dyDescent="0.3">
      <c r="A457" s="3" t="s">
        <v>36</v>
      </c>
      <c r="B457" s="3" t="s">
        <v>602</v>
      </c>
      <c r="C457" s="3" t="s">
        <v>603</v>
      </c>
      <c r="D457" s="3" t="s">
        <v>39</v>
      </c>
      <c r="E457" s="3" t="s">
        <v>605</v>
      </c>
      <c r="F457" s="3" t="s">
        <v>246</v>
      </c>
      <c r="G457" s="3">
        <v>1.3340563990000001</v>
      </c>
      <c r="H457" s="3">
        <v>1.121475054</v>
      </c>
      <c r="I457" s="3">
        <v>0.62603036899999998</v>
      </c>
      <c r="J457" s="3">
        <v>33.237883500000002</v>
      </c>
      <c r="K457" s="3">
        <v>0.169853268</v>
      </c>
      <c r="L457" s="3">
        <v>0.26367274299999999</v>
      </c>
      <c r="M457" s="3">
        <v>1</v>
      </c>
      <c r="N457" s="3">
        <v>0.28963983999999998</v>
      </c>
      <c r="O457" s="3">
        <v>5.8799987999999997E-2</v>
      </c>
      <c r="P457" s="3">
        <v>9.8250380999999998E-2</v>
      </c>
      <c r="Q457" s="3">
        <v>0.16919124799999999</v>
      </c>
      <c r="R457" s="3">
        <v>0.346181079</v>
      </c>
      <c r="S457" s="3">
        <v>0.42203040000000003</v>
      </c>
      <c r="T457" s="3">
        <v>1.877402781</v>
      </c>
      <c r="U457" s="3">
        <v>0.65246436600000002</v>
      </c>
      <c r="V457" s="3">
        <v>0.35581787500000001</v>
      </c>
      <c r="W457" s="3">
        <v>1</v>
      </c>
      <c r="X457" s="3">
        <v>9.8685476110000003</v>
      </c>
      <c r="Y457" s="3">
        <v>5.0048092339999997</v>
      </c>
      <c r="Z457" s="3">
        <v>2.8774027809999998</v>
      </c>
      <c r="AA457" s="3">
        <v>0.26367274299999999</v>
      </c>
      <c r="AB457" s="3">
        <v>11.310053419999999</v>
      </c>
      <c r="AC457" s="3">
        <v>9.8685476110000003</v>
      </c>
      <c r="AD457" s="3">
        <v>0.27372165399999998</v>
      </c>
      <c r="AE457" s="3">
        <v>1.2750988139999999</v>
      </c>
      <c r="AF457" s="4">
        <v>41663</v>
      </c>
      <c r="AG457" s="5">
        <f>YEAR(AF457)</f>
        <v>2014</v>
      </c>
      <c r="AH457" s="5" t="str">
        <f>"Q"&amp;ROUNDUP(MONTH(AF457)/3,0)</f>
        <v>Q1</v>
      </c>
      <c r="AI457" s="5">
        <f>INDEX(RatingLookup!$B$2:$B$11,MATCH(A457,RatingLookup!$A$2:$A$11,0))</f>
        <v>8</v>
      </c>
      <c r="AJ457" s="5" t="str">
        <f>INDEX(RatingLookup!$C$2:$C$11,MATCH(A457,RatingLookup!$A$2:$A$11,0))</f>
        <v>Investment Grade</v>
      </c>
    </row>
    <row r="458" spans="1:36" x14ac:dyDescent="0.3">
      <c r="A458" s="3" t="s">
        <v>36</v>
      </c>
      <c r="B458" s="3" t="s">
        <v>602</v>
      </c>
      <c r="C458" s="3" t="s">
        <v>603</v>
      </c>
      <c r="D458" s="3" t="s">
        <v>39</v>
      </c>
      <c r="E458" s="3" t="s">
        <v>463</v>
      </c>
      <c r="F458" s="3" t="s">
        <v>246</v>
      </c>
      <c r="G458" s="3">
        <v>1.560674157</v>
      </c>
      <c r="H458" s="3">
        <v>2.6443820219999998</v>
      </c>
      <c r="I458" s="3">
        <v>0.546629213</v>
      </c>
      <c r="J458" s="3">
        <v>33.127580870000003</v>
      </c>
      <c r="K458" s="3">
        <v>0.172057811</v>
      </c>
      <c r="L458" s="3">
        <v>0.26961459100000001</v>
      </c>
      <c r="M458" s="3">
        <v>1</v>
      </c>
      <c r="N458" s="3">
        <v>0.30755333800000001</v>
      </c>
      <c r="O458" s="3">
        <v>6.0166662000000003E-2</v>
      </c>
      <c r="P458" s="3">
        <v>9.9615396999999994E-2</v>
      </c>
      <c r="Q458" s="3">
        <v>0.16118633099999999</v>
      </c>
      <c r="R458" s="3">
        <v>0.349688638</v>
      </c>
      <c r="S458" s="3">
        <v>0.41972990500000001</v>
      </c>
      <c r="T458" s="3">
        <v>1.678997421</v>
      </c>
      <c r="U458" s="3">
        <v>0.62672603100000002</v>
      </c>
      <c r="V458" s="3">
        <v>0.36183790700000001</v>
      </c>
      <c r="W458" s="3">
        <v>0.25736325399999999</v>
      </c>
      <c r="X458" s="3">
        <v>2.3723335489999999</v>
      </c>
      <c r="Y458" s="3">
        <v>11.803490630000001</v>
      </c>
      <c r="Z458" s="3">
        <v>2.678997421</v>
      </c>
      <c r="AA458" s="3">
        <v>0.26961459100000001</v>
      </c>
      <c r="AB458" s="3">
        <v>8.7182780839999996</v>
      </c>
      <c r="AC458" s="3">
        <v>9.2178409830000003</v>
      </c>
      <c r="AD458" s="3">
        <v>0.24535443900000001</v>
      </c>
      <c r="AE458" s="3">
        <v>1.276561233</v>
      </c>
      <c r="AF458" s="4">
        <v>41852</v>
      </c>
      <c r="AG458" s="5">
        <f>YEAR(AF458)</f>
        <v>2014</v>
      </c>
      <c r="AH458" s="5" t="str">
        <f>"Q"&amp;ROUNDUP(MONTH(AF458)/3,0)</f>
        <v>Q3</v>
      </c>
      <c r="AI458" s="5">
        <f>INDEX(RatingLookup!$B$2:$B$11,MATCH(A458,RatingLookup!$A$2:$A$11,0))</f>
        <v>8</v>
      </c>
      <c r="AJ458" s="5" t="str">
        <f>INDEX(RatingLookup!$C$2:$C$11,MATCH(A458,RatingLookup!$A$2:$A$11,0))</f>
        <v>Investment Grade</v>
      </c>
    </row>
    <row r="459" spans="1:36" x14ac:dyDescent="0.3">
      <c r="A459" s="3" t="s">
        <v>42</v>
      </c>
      <c r="B459" s="3" t="s">
        <v>602</v>
      </c>
      <c r="C459" s="3" t="s">
        <v>603</v>
      </c>
      <c r="D459" s="3" t="s">
        <v>60</v>
      </c>
      <c r="E459" s="3" t="s">
        <v>46</v>
      </c>
      <c r="F459" s="3" t="s">
        <v>246</v>
      </c>
      <c r="G459" s="3">
        <v>1.0293944740000001</v>
      </c>
      <c r="H459" s="3">
        <v>0.77777777800000003</v>
      </c>
      <c r="I459" s="3">
        <v>0.162257496</v>
      </c>
      <c r="J459" s="3">
        <v>33.389724309999998</v>
      </c>
      <c r="K459" s="3">
        <v>0.171500179</v>
      </c>
      <c r="L459" s="3">
        <v>0.15171858199999999</v>
      </c>
      <c r="M459" s="3">
        <v>1</v>
      </c>
      <c r="N459" s="3">
        <v>0.287593985</v>
      </c>
      <c r="O459" s="3">
        <v>6.7138552000000004E-2</v>
      </c>
      <c r="P459" s="3">
        <v>6.3159070999999997E-2</v>
      </c>
      <c r="Q459" s="3">
        <v>0.19332055300000001</v>
      </c>
      <c r="R459" s="3">
        <v>0.39147802900000001</v>
      </c>
      <c r="S459" s="3">
        <v>0.456577711</v>
      </c>
      <c r="T459" s="3">
        <v>1.879426899</v>
      </c>
      <c r="U459" s="3">
        <v>0.65270866900000002</v>
      </c>
      <c r="V459" s="3">
        <v>0.591150442</v>
      </c>
      <c r="W459" s="3">
        <v>0.33064766000000001</v>
      </c>
      <c r="X459" s="3">
        <v>3.0882778580000001</v>
      </c>
      <c r="Y459" s="3">
        <v>0.87120115799999998</v>
      </c>
      <c r="Z459" s="3">
        <v>2.8794268989999998</v>
      </c>
      <c r="AA459" s="3">
        <v>0.15171858199999999</v>
      </c>
      <c r="AB459" s="3">
        <v>7.9489686429999997</v>
      </c>
      <c r="AC459" s="3">
        <v>9.3400868310000007</v>
      </c>
      <c r="AD459" s="3">
        <v>0.28884711800000001</v>
      </c>
      <c r="AE459" s="3">
        <v>1.4551282050000001</v>
      </c>
      <c r="AF459" s="4">
        <v>41075</v>
      </c>
      <c r="AG459" s="5">
        <f>YEAR(AF459)</f>
        <v>2012</v>
      </c>
      <c r="AH459" s="5" t="str">
        <f>"Q"&amp;ROUNDUP(MONTH(AF459)/3,0)</f>
        <v>Q2</v>
      </c>
      <c r="AI459" s="5">
        <f>INDEX(RatingLookup!$B$2:$B$11,MATCH(A459,RatingLookup!$A$2:$A$11,0))</f>
        <v>7</v>
      </c>
      <c r="AJ459" s="5" t="str">
        <f>INDEX(RatingLookup!$C$2:$C$11,MATCH(A459,RatingLookup!$A$2:$A$11,0))</f>
        <v>Investment Grade</v>
      </c>
    </row>
    <row r="460" spans="1:36" x14ac:dyDescent="0.3">
      <c r="A460" s="3" t="s">
        <v>42</v>
      </c>
      <c r="B460" s="3" t="s">
        <v>602</v>
      </c>
      <c r="C460" s="3" t="s">
        <v>603</v>
      </c>
      <c r="D460" s="3" t="s">
        <v>47</v>
      </c>
      <c r="E460" s="3" t="s">
        <v>606</v>
      </c>
      <c r="F460" s="3" t="s">
        <v>246</v>
      </c>
      <c r="G460" s="3">
        <v>1.077366651</v>
      </c>
      <c r="H460" s="3">
        <v>0.85391638599999997</v>
      </c>
      <c r="I460" s="3">
        <v>0.31379144599999997</v>
      </c>
      <c r="J460" s="3">
        <v>36.665307970000001</v>
      </c>
      <c r="K460" s="3">
        <v>0.158423913</v>
      </c>
      <c r="L460" s="3">
        <v>0.15090579700000001</v>
      </c>
      <c r="M460" s="3">
        <v>1</v>
      </c>
      <c r="N460" s="3">
        <v>0.28297101400000002</v>
      </c>
      <c r="O460" s="3">
        <v>5.7642870999999998E-2</v>
      </c>
      <c r="P460" s="3">
        <v>5.8950496999999998E-2</v>
      </c>
      <c r="Q460" s="3">
        <v>0.17920082000000001</v>
      </c>
      <c r="R460" s="3">
        <v>0.36385208600000002</v>
      </c>
      <c r="S460" s="3">
        <v>0.42897109100000003</v>
      </c>
      <c r="T460" s="3">
        <v>2.108811475</v>
      </c>
      <c r="U460" s="3">
        <v>0.67833366299999998</v>
      </c>
      <c r="V460" s="3">
        <v>0.60564225699999996</v>
      </c>
      <c r="W460" s="3">
        <v>1</v>
      </c>
      <c r="X460" s="3">
        <v>9.5512620750000004</v>
      </c>
      <c r="Y460" s="3">
        <v>2.0816453720000001</v>
      </c>
      <c r="Z460" s="3">
        <v>3.108811475</v>
      </c>
      <c r="AA460" s="3">
        <v>0.15090579700000001</v>
      </c>
      <c r="AB460" s="3">
        <v>9.5825227270000006</v>
      </c>
      <c r="AC460" s="3">
        <v>9.5512620750000004</v>
      </c>
      <c r="AD460" s="3">
        <v>0.277626812</v>
      </c>
      <c r="AE460" s="3">
        <v>1.157856094</v>
      </c>
      <c r="AF460" s="4">
        <v>41124</v>
      </c>
      <c r="AG460" s="5">
        <f>YEAR(AF460)</f>
        <v>2012</v>
      </c>
      <c r="AH460" s="5" t="str">
        <f>"Q"&amp;ROUNDUP(MONTH(AF460)/3,0)</f>
        <v>Q3</v>
      </c>
      <c r="AI460" s="5">
        <f>INDEX(RatingLookup!$B$2:$B$11,MATCH(A460,RatingLookup!$A$2:$A$11,0))</f>
        <v>7</v>
      </c>
      <c r="AJ460" s="5" t="str">
        <f>INDEX(RatingLookup!$C$2:$C$11,MATCH(A460,RatingLookup!$A$2:$A$11,0))</f>
        <v>Investment Grade</v>
      </c>
    </row>
    <row r="461" spans="1:36" x14ac:dyDescent="0.3">
      <c r="A461" s="3" t="s">
        <v>42</v>
      </c>
      <c r="B461" s="3" t="s">
        <v>602</v>
      </c>
      <c r="C461" s="3" t="s">
        <v>603</v>
      </c>
      <c r="D461" s="3" t="s">
        <v>47</v>
      </c>
      <c r="E461" s="3" t="s">
        <v>607</v>
      </c>
      <c r="F461" s="3" t="s">
        <v>246</v>
      </c>
      <c r="G461" s="3">
        <v>0.97947841000000002</v>
      </c>
      <c r="H461" s="3">
        <v>2</v>
      </c>
      <c r="I461" s="3">
        <v>0.40872167599999998</v>
      </c>
      <c r="J461" s="3">
        <v>34.883191750000002</v>
      </c>
      <c r="K461" s="3">
        <v>0.16868932</v>
      </c>
      <c r="L461" s="3">
        <v>0.26112459500000001</v>
      </c>
      <c r="M461" s="3">
        <v>1</v>
      </c>
      <c r="N461" s="3">
        <v>0.31088187699999997</v>
      </c>
      <c r="O461" s="3">
        <v>4.7804654000000002E-2</v>
      </c>
      <c r="P461" s="3">
        <v>7.9316806000000004E-2</v>
      </c>
      <c r="Q461" s="3">
        <v>0.13441856699999999</v>
      </c>
      <c r="R461" s="3">
        <v>0.28338874200000003</v>
      </c>
      <c r="S461" s="3">
        <v>0.33235857600000002</v>
      </c>
      <c r="T461" s="3">
        <v>1.811830123</v>
      </c>
      <c r="U461" s="3">
        <v>0.64435973899999999</v>
      </c>
      <c r="V461" s="3">
        <v>0.35398915600000003</v>
      </c>
      <c r="W461" s="3">
        <v>0.37804877999999997</v>
      </c>
      <c r="X461" s="3">
        <v>3.9026879889999999</v>
      </c>
      <c r="Y461" s="3">
        <v>12.701599180000001</v>
      </c>
      <c r="Z461" s="3">
        <v>2.811830123</v>
      </c>
      <c r="AA461" s="3">
        <v>0.26112459500000001</v>
      </c>
      <c r="AB461" s="3">
        <v>10.798064569999999</v>
      </c>
      <c r="AC461" s="3">
        <v>10.3232392</v>
      </c>
      <c r="AD461" s="3">
        <v>0.30683656999999998</v>
      </c>
      <c r="AE461" s="3">
        <v>0.57448559700000001</v>
      </c>
      <c r="AF461" s="4">
        <v>42629</v>
      </c>
      <c r="AG461" s="5">
        <f>YEAR(AF461)</f>
        <v>2016</v>
      </c>
      <c r="AH461" s="5" t="str">
        <f>"Q"&amp;ROUNDUP(MONTH(AF461)/3,0)</f>
        <v>Q3</v>
      </c>
      <c r="AI461" s="5">
        <f>INDEX(RatingLookup!$B$2:$B$11,MATCH(A461,RatingLookup!$A$2:$A$11,0))</f>
        <v>7</v>
      </c>
      <c r="AJ461" s="5" t="str">
        <f>INDEX(RatingLookup!$C$2:$C$11,MATCH(A461,RatingLookup!$A$2:$A$11,0))</f>
        <v>Investment Grade</v>
      </c>
    </row>
    <row r="462" spans="1:36" x14ac:dyDescent="0.3">
      <c r="A462" s="3" t="s">
        <v>92</v>
      </c>
      <c r="B462" s="3" t="s">
        <v>608</v>
      </c>
      <c r="C462" s="3" t="s">
        <v>609</v>
      </c>
      <c r="D462" s="3" t="s">
        <v>47</v>
      </c>
      <c r="E462" s="3" t="s">
        <v>610</v>
      </c>
      <c r="F462" s="3" t="s">
        <v>96</v>
      </c>
      <c r="G462" s="3">
        <v>2.4921024279999999</v>
      </c>
      <c r="H462" s="3">
        <v>2.356828095</v>
      </c>
      <c r="I462" s="3">
        <v>1.913117019</v>
      </c>
      <c r="J462" s="3">
        <v>57.204998500000002</v>
      </c>
      <c r="K462" s="3">
        <v>0.15594377500000001</v>
      </c>
      <c r="L462" s="3">
        <v>0.15939729</v>
      </c>
      <c r="M462" s="3">
        <v>0.68534634900000002</v>
      </c>
      <c r="N462" s="3">
        <v>0.20203779399999999</v>
      </c>
      <c r="O462" s="3">
        <v>5.5193840000000001E-2</v>
      </c>
      <c r="P462" s="3">
        <v>6.4860481999999997E-2</v>
      </c>
      <c r="Q462" s="3">
        <v>0.14377284400000001</v>
      </c>
      <c r="R462" s="3">
        <v>0.35393423200000002</v>
      </c>
      <c r="S462" s="3">
        <v>9.9326363929999992</v>
      </c>
      <c r="T462" s="3">
        <v>1.6048711849999999</v>
      </c>
      <c r="U462" s="3">
        <v>0.61610385700000003</v>
      </c>
      <c r="V462" s="3">
        <v>2.1604185000000001E-2</v>
      </c>
      <c r="W462" s="3">
        <v>0.866832661</v>
      </c>
      <c r="X462" s="3">
        <v>3.7518668239999999</v>
      </c>
      <c r="Y462" s="3">
        <v>10.666589829999999</v>
      </c>
      <c r="Z462" s="3">
        <v>2.6048711849999999</v>
      </c>
      <c r="AA462" s="3">
        <v>0.15939729</v>
      </c>
      <c r="AB462" s="3">
        <v>7.295155984</v>
      </c>
      <c r="AC462" s="3">
        <v>4.3282481080000004</v>
      </c>
      <c r="AD462" s="3">
        <v>0.28818875700000002</v>
      </c>
      <c r="AE462" s="3">
        <v>2.2295591379999999</v>
      </c>
      <c r="AF462" s="4">
        <v>42718</v>
      </c>
      <c r="AG462" s="5">
        <f>YEAR(AF462)</f>
        <v>2016</v>
      </c>
      <c r="AH462" s="5" t="str">
        <f>"Q"&amp;ROUNDUP(MONTH(AF462)/3,0)</f>
        <v>Q4</v>
      </c>
      <c r="AI462" s="5">
        <f>INDEX(RatingLookup!$B$2:$B$11,MATCH(A462,RatingLookup!$A$2:$A$11,0))</f>
        <v>6</v>
      </c>
      <c r="AJ462" s="5" t="str">
        <f>INDEX(RatingLookup!$C$2:$C$11,MATCH(A462,RatingLookup!$A$2:$A$11,0))</f>
        <v>Speculative Grade</v>
      </c>
    </row>
    <row r="463" spans="1:36" x14ac:dyDescent="0.3">
      <c r="A463" s="3" t="s">
        <v>42</v>
      </c>
      <c r="B463" s="3" t="s">
        <v>608</v>
      </c>
      <c r="C463" s="3" t="s">
        <v>609</v>
      </c>
      <c r="D463" s="3" t="s">
        <v>47</v>
      </c>
      <c r="E463" s="3" t="s">
        <v>611</v>
      </c>
      <c r="F463" s="3" t="s">
        <v>96</v>
      </c>
      <c r="G463" s="3">
        <v>1.759336717</v>
      </c>
      <c r="H463" s="3">
        <v>1.591368554</v>
      </c>
      <c r="I463" s="3">
        <v>1.1192212130000001</v>
      </c>
      <c r="J463" s="3">
        <v>56.000250010000002</v>
      </c>
      <c r="K463" s="3">
        <v>0.12653212899999999</v>
      </c>
      <c r="L463" s="3">
        <v>0.143658706</v>
      </c>
      <c r="M463" s="3">
        <v>0.67504753200000001</v>
      </c>
      <c r="N463" s="3">
        <v>0.18829731599999999</v>
      </c>
      <c r="O463" s="3">
        <v>5.3395753999999997E-2</v>
      </c>
      <c r="P463" s="3">
        <v>7.0698827000000006E-2</v>
      </c>
      <c r="Q463" s="3">
        <v>0.12809766</v>
      </c>
      <c r="R463" s="3">
        <v>0.42199364499999997</v>
      </c>
      <c r="S463" s="3">
        <v>11.544249750000001</v>
      </c>
      <c r="T463" s="3">
        <v>1.399023334</v>
      </c>
      <c r="U463" s="3">
        <v>0.58316370399999995</v>
      </c>
      <c r="V463" s="3">
        <v>0.118920179</v>
      </c>
      <c r="W463" s="3">
        <v>0.85269324400000002</v>
      </c>
      <c r="X463" s="3">
        <v>3.6528601379999999</v>
      </c>
      <c r="Y463" s="3">
        <v>5.8248288180000003</v>
      </c>
      <c r="Z463" s="3">
        <v>2.3990233339999998</v>
      </c>
      <c r="AA463" s="3">
        <v>0.143658706</v>
      </c>
      <c r="AB463" s="3">
        <v>6.0937363539999998</v>
      </c>
      <c r="AC463" s="3">
        <v>4.283908856</v>
      </c>
      <c r="AD463" s="3">
        <v>0.28242680399999998</v>
      </c>
      <c r="AE463" s="3">
        <v>2.4932054520000002</v>
      </c>
      <c r="AF463" s="4">
        <v>42515</v>
      </c>
      <c r="AG463" s="5">
        <f>YEAR(AF463)</f>
        <v>2016</v>
      </c>
      <c r="AH463" s="5" t="str">
        <f>"Q"&amp;ROUNDUP(MONTH(AF463)/3,0)</f>
        <v>Q2</v>
      </c>
      <c r="AI463" s="5">
        <f>INDEX(RatingLookup!$B$2:$B$11,MATCH(A463,RatingLookup!$A$2:$A$11,0))</f>
        <v>7</v>
      </c>
      <c r="AJ463" s="5" t="str">
        <f>INDEX(RatingLookup!$C$2:$C$11,MATCH(A463,RatingLookup!$A$2:$A$11,0))</f>
        <v>Investment Grade</v>
      </c>
    </row>
    <row r="464" spans="1:36" x14ac:dyDescent="0.3">
      <c r="A464" s="3" t="s">
        <v>42</v>
      </c>
      <c r="B464" s="3" t="s">
        <v>608</v>
      </c>
      <c r="C464" s="3" t="s">
        <v>609</v>
      </c>
      <c r="D464" s="3" t="s">
        <v>60</v>
      </c>
      <c r="E464" s="3" t="s">
        <v>546</v>
      </c>
      <c r="F464" s="3" t="s">
        <v>96</v>
      </c>
      <c r="G464" s="3">
        <v>1.2361812619999999</v>
      </c>
      <c r="H464" s="3">
        <v>1.092343643</v>
      </c>
      <c r="I464" s="3">
        <v>0.648433131</v>
      </c>
      <c r="J464" s="3">
        <v>65.808549769999999</v>
      </c>
      <c r="K464" s="3">
        <v>0.13425563800000001</v>
      </c>
      <c r="L464" s="3">
        <v>0.17020691199999999</v>
      </c>
      <c r="M464" s="3">
        <v>0.68506781900000002</v>
      </c>
      <c r="N464" s="3">
        <v>0.184974571</v>
      </c>
      <c r="O464" s="3">
        <v>5.5663472999999998E-2</v>
      </c>
      <c r="P464" s="3">
        <v>8.4859094999999996E-2</v>
      </c>
      <c r="Q464" s="3">
        <v>0.132851889</v>
      </c>
      <c r="R464" s="3">
        <v>0.41460808599999999</v>
      </c>
      <c r="S464" s="3">
        <v>11.42055096</v>
      </c>
      <c r="T464" s="3">
        <v>1.386697818</v>
      </c>
      <c r="U464" s="3">
        <v>0.58101105500000005</v>
      </c>
      <c r="V464" s="3">
        <v>0.21140542800000001</v>
      </c>
      <c r="W464" s="3">
        <v>0.89820845900000001</v>
      </c>
      <c r="X464" s="3">
        <v>3.1307301500000002</v>
      </c>
      <c r="Y464" s="3">
        <v>3.5754633419999999</v>
      </c>
      <c r="Z464" s="3">
        <v>2.386697818</v>
      </c>
      <c r="AA464" s="3">
        <v>0.17020691199999999</v>
      </c>
      <c r="AB464" s="3">
        <v>7.5616991120000003</v>
      </c>
      <c r="AC464" s="3">
        <v>3.4855273489999998</v>
      </c>
      <c r="AD464" s="3">
        <v>0.25674109499999997</v>
      </c>
      <c r="AE464" s="3">
        <v>2.2059115170000001</v>
      </c>
      <c r="AF464" s="4">
        <v>42032</v>
      </c>
      <c r="AG464" s="5">
        <f>YEAR(AF464)</f>
        <v>2015</v>
      </c>
      <c r="AH464" s="5" t="str">
        <f>"Q"&amp;ROUNDUP(MONTH(AF464)/3,0)</f>
        <v>Q1</v>
      </c>
      <c r="AI464" s="5">
        <f>INDEX(RatingLookup!$B$2:$B$11,MATCH(A464,RatingLookup!$A$2:$A$11,0))</f>
        <v>7</v>
      </c>
      <c r="AJ464" s="5" t="str">
        <f>INDEX(RatingLookup!$C$2:$C$11,MATCH(A464,RatingLookup!$A$2:$A$11,0))</f>
        <v>Investment Grade</v>
      </c>
    </row>
    <row r="465" spans="1:36" x14ac:dyDescent="0.3">
      <c r="A465" s="3" t="s">
        <v>42</v>
      </c>
      <c r="B465" s="3" t="s">
        <v>608</v>
      </c>
      <c r="C465" s="3" t="s">
        <v>609</v>
      </c>
      <c r="D465" s="3" t="s">
        <v>47</v>
      </c>
      <c r="E465" s="3" t="s">
        <v>502</v>
      </c>
      <c r="F465" s="3" t="s">
        <v>96</v>
      </c>
      <c r="G465" s="3">
        <v>1.358427909</v>
      </c>
      <c r="H465" s="3">
        <v>1.222566364</v>
      </c>
      <c r="I465" s="3">
        <v>0.89119179800000003</v>
      </c>
      <c r="J465" s="3">
        <v>46.832442630000003</v>
      </c>
      <c r="K465" s="3">
        <v>0.10893866200000001</v>
      </c>
      <c r="L465" s="3">
        <v>0.13071612599999999</v>
      </c>
      <c r="M465" s="3">
        <v>0.64359189500000002</v>
      </c>
      <c r="N465" s="3">
        <v>0.144986269</v>
      </c>
      <c r="O465" s="3">
        <v>5.5943592E-2</v>
      </c>
      <c r="P465" s="3">
        <v>8.3787272999999995E-2</v>
      </c>
      <c r="Q465" s="3">
        <v>0.111067239</v>
      </c>
      <c r="R465" s="3">
        <v>0.51353294800000004</v>
      </c>
      <c r="S465" s="3">
        <v>15.4286361</v>
      </c>
      <c r="T465" s="3">
        <v>0.98534334199999996</v>
      </c>
      <c r="U465" s="3">
        <v>0.49630878499999997</v>
      </c>
      <c r="V465" s="3">
        <v>0.166601201</v>
      </c>
      <c r="W465" s="3">
        <v>0.92684818300000005</v>
      </c>
      <c r="X465" s="3">
        <v>5.0372500169999999</v>
      </c>
      <c r="Y465" s="3">
        <v>8.0275237189999995</v>
      </c>
      <c r="Z465" s="3">
        <v>1.985343342</v>
      </c>
      <c r="AA465" s="3">
        <v>0.13071612599999999</v>
      </c>
      <c r="AB465" s="3">
        <v>2.7197530460000001</v>
      </c>
      <c r="AC465" s="3">
        <v>5.4348167360000001</v>
      </c>
      <c r="AD465" s="3">
        <v>0.23361959199999999</v>
      </c>
      <c r="AE465" s="3">
        <v>2.5785197649999998</v>
      </c>
      <c r="AF465" s="4">
        <v>41530</v>
      </c>
      <c r="AG465" s="5">
        <f>YEAR(AF465)</f>
        <v>2013</v>
      </c>
      <c r="AH465" s="5" t="str">
        <f>"Q"&amp;ROUNDUP(MONTH(AF465)/3,0)</f>
        <v>Q3</v>
      </c>
      <c r="AI465" s="5">
        <f>INDEX(RatingLookup!$B$2:$B$11,MATCH(A465,RatingLookup!$A$2:$A$11,0))</f>
        <v>7</v>
      </c>
      <c r="AJ465" s="5" t="str">
        <f>INDEX(RatingLookup!$C$2:$C$11,MATCH(A465,RatingLookup!$A$2:$A$11,0))</f>
        <v>Investment Grade</v>
      </c>
    </row>
    <row r="466" spans="1:36" x14ac:dyDescent="0.3">
      <c r="A466" s="3" t="s">
        <v>42</v>
      </c>
      <c r="B466" s="3" t="s">
        <v>608</v>
      </c>
      <c r="C466" s="3" t="s">
        <v>609</v>
      </c>
      <c r="D466" s="3" t="s">
        <v>47</v>
      </c>
      <c r="E466" s="3" t="s">
        <v>612</v>
      </c>
      <c r="F466" s="3" t="s">
        <v>96</v>
      </c>
      <c r="G466" s="3">
        <v>1.6563535519999999</v>
      </c>
      <c r="H466" s="3">
        <v>1.5181348670000001</v>
      </c>
      <c r="I466" s="3">
        <v>1.1746730940000001</v>
      </c>
      <c r="J466" s="3">
        <v>49.473039980000003</v>
      </c>
      <c r="K466" s="3">
        <v>0.103666086</v>
      </c>
      <c r="L466" s="3">
        <v>0.113745815</v>
      </c>
      <c r="M466" s="3">
        <v>0.65380758000000005</v>
      </c>
      <c r="N466" s="3">
        <v>0.123696348</v>
      </c>
      <c r="O466" s="3">
        <v>5.1210718000000002E-2</v>
      </c>
      <c r="P466" s="3">
        <v>6.9796928999999994E-2</v>
      </c>
      <c r="Q466" s="3">
        <v>0.106134347</v>
      </c>
      <c r="R466" s="3">
        <v>0.49399683300000002</v>
      </c>
      <c r="S466" s="3">
        <v>14.87823601</v>
      </c>
      <c r="T466" s="3">
        <v>1.0725026120000001</v>
      </c>
      <c r="U466" s="3">
        <v>0.51749156100000004</v>
      </c>
      <c r="V466" s="3">
        <v>8.8616258000000003E-2</v>
      </c>
      <c r="W466" s="3">
        <v>0.90235656099999995</v>
      </c>
      <c r="X466" s="3">
        <v>4.1538953190000001</v>
      </c>
      <c r="Y466" s="3">
        <v>9.6691483849999997</v>
      </c>
      <c r="Z466" s="3">
        <v>2.0725026120000001</v>
      </c>
      <c r="AA466" s="3">
        <v>0.113745815</v>
      </c>
      <c r="AB466" s="3">
        <v>2.1660115420000001</v>
      </c>
      <c r="AC466" s="3">
        <v>4.6033857319999996</v>
      </c>
      <c r="AD466" s="3">
        <v>0.220700587</v>
      </c>
      <c r="AE466" s="3">
        <v>3.173197504</v>
      </c>
      <c r="AF466" s="4">
        <v>41121</v>
      </c>
      <c r="AG466" s="5">
        <f>YEAR(AF466)</f>
        <v>2012</v>
      </c>
      <c r="AH466" s="5" t="str">
        <f>"Q"&amp;ROUNDUP(MONTH(AF466)/3,0)</f>
        <v>Q3</v>
      </c>
      <c r="AI466" s="5">
        <f>INDEX(RatingLookup!$B$2:$B$11,MATCH(A466,RatingLookup!$A$2:$A$11,0))</f>
        <v>7</v>
      </c>
      <c r="AJ466" s="5" t="str">
        <f>INDEX(RatingLookup!$C$2:$C$11,MATCH(A466,RatingLookup!$A$2:$A$11,0))</f>
        <v>Investment Grade</v>
      </c>
    </row>
    <row r="467" spans="1:36" x14ac:dyDescent="0.3">
      <c r="A467" s="3" t="s">
        <v>42</v>
      </c>
      <c r="B467" s="3" t="s">
        <v>608</v>
      </c>
      <c r="C467" s="3" t="s">
        <v>609</v>
      </c>
      <c r="D467" s="3" t="s">
        <v>47</v>
      </c>
      <c r="E467" s="3" t="s">
        <v>613</v>
      </c>
      <c r="F467" s="3" t="s">
        <v>96</v>
      </c>
      <c r="G467" s="3">
        <v>1.240229866</v>
      </c>
      <c r="H467" s="3">
        <v>1.056178423</v>
      </c>
      <c r="I467" s="3">
        <v>0.68405986900000004</v>
      </c>
      <c r="J467" s="3">
        <v>54.599009199999998</v>
      </c>
      <c r="K467" s="3">
        <v>0.11923221000000001</v>
      </c>
      <c r="L467" s="3">
        <v>0.128396027</v>
      </c>
      <c r="M467" s="3">
        <v>0.66997095699999998</v>
      </c>
      <c r="N467" s="3">
        <v>0.14575105299999999</v>
      </c>
      <c r="O467" s="3">
        <v>6.3757689000000006E-2</v>
      </c>
      <c r="P467" s="3">
        <v>8.7457399000000005E-2</v>
      </c>
      <c r="Q467" s="3">
        <v>0.118527676</v>
      </c>
      <c r="R467" s="3">
        <v>0.53473545099999997</v>
      </c>
      <c r="S467" s="3">
        <v>13.27726309</v>
      </c>
      <c r="T467" s="3">
        <v>0.85903342599999999</v>
      </c>
      <c r="U467" s="3">
        <v>0.46208605699999999</v>
      </c>
      <c r="V467" s="3">
        <v>7.1371503000000003E-2</v>
      </c>
      <c r="W467" s="3">
        <v>0.83575918000000005</v>
      </c>
      <c r="X467" s="3">
        <v>3.268549503</v>
      </c>
      <c r="Y467" s="3">
        <v>4.9781873609999998</v>
      </c>
      <c r="Z467" s="3">
        <v>1.8590334260000001</v>
      </c>
      <c r="AA467" s="3">
        <v>0.128396027</v>
      </c>
      <c r="AB467" s="3">
        <v>3.4773724449999999</v>
      </c>
      <c r="AC467" s="3">
        <v>3.9108747830000001</v>
      </c>
      <c r="AD467" s="3">
        <v>0.21602666400000001</v>
      </c>
      <c r="AE467" s="3">
        <v>2.70116991</v>
      </c>
      <c r="AF467" s="4">
        <v>40857</v>
      </c>
      <c r="AG467" s="5">
        <f>YEAR(AF467)</f>
        <v>2011</v>
      </c>
      <c r="AH467" s="5" t="str">
        <f>"Q"&amp;ROUNDUP(MONTH(AF467)/3,0)</f>
        <v>Q4</v>
      </c>
      <c r="AI467" s="5">
        <f>INDEX(RatingLookup!$B$2:$B$11,MATCH(A467,RatingLookup!$A$2:$A$11,0))</f>
        <v>7</v>
      </c>
      <c r="AJ467" s="5" t="str">
        <f>INDEX(RatingLookup!$C$2:$C$11,MATCH(A467,RatingLookup!$A$2:$A$11,0))</f>
        <v>Investment Grade</v>
      </c>
    </row>
    <row r="468" spans="1:36" x14ac:dyDescent="0.3">
      <c r="A468" s="3" t="s">
        <v>36</v>
      </c>
      <c r="B468" s="3" t="s">
        <v>614</v>
      </c>
      <c r="C468" s="3" t="s">
        <v>615</v>
      </c>
      <c r="D468" s="3" t="s">
        <v>47</v>
      </c>
      <c r="E468" s="3" t="s">
        <v>616</v>
      </c>
      <c r="F468" s="3" t="s">
        <v>53</v>
      </c>
      <c r="G468" s="3">
        <v>1.071929726</v>
      </c>
      <c r="H468" s="3">
        <v>0.85827346199999999</v>
      </c>
      <c r="I468" s="3">
        <v>4.2096991E-2</v>
      </c>
      <c r="J468" s="3">
        <v>96.848530600000004</v>
      </c>
      <c r="K468" s="3">
        <v>6.3158281999999996E-2</v>
      </c>
      <c r="L468" s="3">
        <v>0.15433269499999999</v>
      </c>
      <c r="M468" s="3">
        <v>0.27455439300000001</v>
      </c>
      <c r="N468" s="3">
        <v>0.154700965</v>
      </c>
      <c r="O468" s="3">
        <v>4.7990485999999999E-2</v>
      </c>
      <c r="P468" s="3">
        <v>0.22525695900000001</v>
      </c>
      <c r="Q468" s="3">
        <v>0.123665994</v>
      </c>
      <c r="R468" s="3">
        <v>0.75984469600000004</v>
      </c>
      <c r="S468" s="3">
        <v>1.476202126</v>
      </c>
      <c r="T468" s="3">
        <v>1.4881742140000001</v>
      </c>
      <c r="U468" s="3">
        <v>0.57750883200000003</v>
      </c>
      <c r="V468" s="3">
        <v>0.59076537600000001</v>
      </c>
      <c r="W468" s="3">
        <v>0.20011124999999999</v>
      </c>
      <c r="X468" s="3">
        <v>0.71853736199999996</v>
      </c>
      <c r="Y468" s="3">
        <v>0.43991064299999999</v>
      </c>
      <c r="Z468" s="3">
        <v>2.5768856360000001</v>
      </c>
      <c r="AA468" s="3">
        <v>0.222554688</v>
      </c>
      <c r="AB468" s="3">
        <v>6.2053521759999999</v>
      </c>
      <c r="AC468" s="3">
        <v>3.590689485</v>
      </c>
      <c r="AD468" s="3">
        <v>0.132411431</v>
      </c>
      <c r="AE468" s="3">
        <v>3.4390275840000002</v>
      </c>
      <c r="AF468" s="4">
        <v>40925</v>
      </c>
      <c r="AG468" s="5">
        <f>YEAR(AF468)</f>
        <v>2012</v>
      </c>
      <c r="AH468" s="5" t="str">
        <f>"Q"&amp;ROUNDUP(MONTH(AF468)/3,0)</f>
        <v>Q1</v>
      </c>
      <c r="AI468" s="5">
        <f>INDEX(RatingLookup!$B$2:$B$11,MATCH(A468,RatingLookup!$A$2:$A$11,0))</f>
        <v>8</v>
      </c>
      <c r="AJ468" s="5" t="str">
        <f>INDEX(RatingLookup!$C$2:$C$11,MATCH(A468,RatingLookup!$A$2:$A$11,0))</f>
        <v>Investment Grade</v>
      </c>
    </row>
    <row r="469" spans="1:36" x14ac:dyDescent="0.3">
      <c r="A469" s="3" t="s">
        <v>36</v>
      </c>
      <c r="B469" s="3" t="s">
        <v>614</v>
      </c>
      <c r="C469" s="3" t="s">
        <v>615</v>
      </c>
      <c r="D469" s="3" t="s">
        <v>47</v>
      </c>
      <c r="E469" s="3" t="s">
        <v>350</v>
      </c>
      <c r="F469" s="3" t="s">
        <v>53</v>
      </c>
      <c r="G469" s="3">
        <v>1.3819943210000001</v>
      </c>
      <c r="H469" s="3">
        <v>1.0742943039999999</v>
      </c>
      <c r="I469" s="3">
        <v>0.174010356</v>
      </c>
      <c r="J469" s="3">
        <v>107.40841469999999</v>
      </c>
      <c r="K469" s="3">
        <v>-0.12745791300000001</v>
      </c>
      <c r="L469" s="3">
        <v>-8.5003672000000002E-2</v>
      </c>
      <c r="M469" s="3">
        <v>0.22695749100000001</v>
      </c>
      <c r="N469" s="3">
        <v>-4.1828714000000003E-2</v>
      </c>
      <c r="O469" s="3">
        <v>-6.7431169999999999E-2</v>
      </c>
      <c r="P469" s="3">
        <v>3.5327233E-2</v>
      </c>
      <c r="Q469" s="3">
        <v>-0.14583560200000001</v>
      </c>
      <c r="R469" s="3">
        <v>0.529046554</v>
      </c>
      <c r="S469" s="3">
        <v>1.081361665</v>
      </c>
      <c r="T469" s="3">
        <v>1.1627328029999999</v>
      </c>
      <c r="U469" s="3">
        <v>0.53762203099999994</v>
      </c>
      <c r="V469" s="3">
        <v>-0.49944009</v>
      </c>
      <c r="W469" s="3">
        <v>7.7174006000000003E-2</v>
      </c>
      <c r="X469" s="3">
        <v>0.247373185</v>
      </c>
      <c r="Y469" s="3">
        <v>2.8944588800000002</v>
      </c>
      <c r="Z469" s="3">
        <v>2.1627328029999999</v>
      </c>
      <c r="AA469" s="3">
        <v>5.2394679999999999E-2</v>
      </c>
      <c r="AB469" s="3">
        <v>10.943838660000001</v>
      </c>
      <c r="AC469" s="3">
        <v>3.2053951409999999</v>
      </c>
      <c r="AD469" s="3">
        <v>0.15840789799999999</v>
      </c>
      <c r="AE469" s="3">
        <v>3.8045776999999998</v>
      </c>
      <c r="AF469" s="4">
        <v>42401</v>
      </c>
      <c r="AG469" s="5">
        <f>YEAR(AF469)</f>
        <v>2016</v>
      </c>
      <c r="AH469" s="5" t="str">
        <f>"Q"&amp;ROUNDUP(MONTH(AF469)/3,0)</f>
        <v>Q1</v>
      </c>
      <c r="AI469" s="5">
        <f>INDEX(RatingLookup!$B$2:$B$11,MATCH(A469,RatingLookup!$A$2:$A$11,0))</f>
        <v>8</v>
      </c>
      <c r="AJ469" s="5" t="str">
        <f>INDEX(RatingLookup!$C$2:$C$11,MATCH(A469,RatingLookup!$A$2:$A$11,0))</f>
        <v>Investment Grade</v>
      </c>
    </row>
    <row r="470" spans="1:36" x14ac:dyDescent="0.3">
      <c r="A470" s="3" t="s">
        <v>36</v>
      </c>
      <c r="B470" s="3" t="s">
        <v>614</v>
      </c>
      <c r="C470" s="3" t="s">
        <v>615</v>
      </c>
      <c r="D470" s="3" t="s">
        <v>47</v>
      </c>
      <c r="E470" s="3" t="s">
        <v>617</v>
      </c>
      <c r="F470" s="3" t="s">
        <v>53</v>
      </c>
      <c r="G470" s="3">
        <v>1.535215553</v>
      </c>
      <c r="H470" s="3">
        <v>1.2035656699999999</v>
      </c>
      <c r="I470" s="3">
        <v>0.16523167699999999</v>
      </c>
      <c r="J470" s="3">
        <v>105.8040014</v>
      </c>
      <c r="K470" s="3">
        <v>4.9757184000000003E-2</v>
      </c>
      <c r="L470" s="3">
        <v>0.140612458</v>
      </c>
      <c r="M470" s="3">
        <v>0.21628672299999999</v>
      </c>
      <c r="N470" s="3">
        <v>7.8935221999999999E-2</v>
      </c>
      <c r="O470" s="3">
        <v>3.5846205999999999E-2</v>
      </c>
      <c r="P470" s="3">
        <v>0.18919713299999999</v>
      </c>
      <c r="Q470" s="3">
        <v>8.5191548000000006E-2</v>
      </c>
      <c r="R470" s="3">
        <v>0.72042272399999996</v>
      </c>
      <c r="S470" s="3">
        <v>1.5630381259999999</v>
      </c>
      <c r="T470" s="3">
        <v>1.3278130909999999</v>
      </c>
      <c r="U470" s="3">
        <v>0.55870638500000003</v>
      </c>
      <c r="V470" s="3">
        <v>0.64613957499999997</v>
      </c>
      <c r="W470" s="3">
        <v>5.6865590000000001E-2</v>
      </c>
      <c r="X470" s="3">
        <v>0.17252835</v>
      </c>
      <c r="Y470" s="3">
        <v>2.9360087699999999</v>
      </c>
      <c r="Z470" s="3">
        <v>2.3765847789999999</v>
      </c>
      <c r="AA470" s="3">
        <v>0.20022274800000001</v>
      </c>
      <c r="AB470" s="3">
        <v>6.7515926779999997</v>
      </c>
      <c r="AC470" s="3">
        <v>3.03396745</v>
      </c>
      <c r="AD470" s="3">
        <v>0.110631723</v>
      </c>
      <c r="AE470" s="3">
        <v>3.295557149</v>
      </c>
      <c r="AF470" s="4">
        <v>41471</v>
      </c>
      <c r="AG470" s="5">
        <f>YEAR(AF470)</f>
        <v>2013</v>
      </c>
      <c r="AH470" s="5" t="str">
        <f>"Q"&amp;ROUNDUP(MONTH(AF470)/3,0)</f>
        <v>Q3</v>
      </c>
      <c r="AI470" s="5">
        <f>INDEX(RatingLookup!$B$2:$B$11,MATCH(A470,RatingLookup!$A$2:$A$11,0))</f>
        <v>8</v>
      </c>
      <c r="AJ470" s="5" t="str">
        <f>INDEX(RatingLookup!$C$2:$C$11,MATCH(A470,RatingLookup!$A$2:$A$11,0))</f>
        <v>Investment Grade</v>
      </c>
    </row>
    <row r="471" spans="1:36" x14ac:dyDescent="0.3">
      <c r="A471" s="3" t="s">
        <v>36</v>
      </c>
      <c r="B471" s="3" t="s">
        <v>614</v>
      </c>
      <c r="C471" s="3" t="s">
        <v>615</v>
      </c>
      <c r="D471" s="3" t="s">
        <v>39</v>
      </c>
      <c r="E471" s="3" t="s">
        <v>618</v>
      </c>
      <c r="F471" s="3" t="s">
        <v>53</v>
      </c>
      <c r="G471" s="3">
        <v>1.463576693</v>
      </c>
      <c r="H471" s="3">
        <v>1.0893635340000001</v>
      </c>
      <c r="I471" s="3">
        <v>0.177920052</v>
      </c>
      <c r="J471" s="3">
        <v>105.1327331</v>
      </c>
      <c r="K471" s="3">
        <v>8.6508149999999992E-3</v>
      </c>
      <c r="L471" s="3">
        <v>7.3768592999999993E-2</v>
      </c>
      <c r="M471" s="3">
        <v>0.220479974</v>
      </c>
      <c r="N471" s="3">
        <v>9.0284700999999995E-2</v>
      </c>
      <c r="O471" s="3">
        <v>5.8752320000000002E-3</v>
      </c>
      <c r="P471" s="3">
        <v>0.13190502000000001</v>
      </c>
      <c r="Q471" s="3">
        <v>1.4375607E-2</v>
      </c>
      <c r="R471" s="3">
        <v>0.67915352900000003</v>
      </c>
      <c r="S471" s="3">
        <v>1.3798532560000001</v>
      </c>
      <c r="T471" s="3">
        <v>1.4057301600000001</v>
      </c>
      <c r="U471" s="3">
        <v>0.57451421599999997</v>
      </c>
      <c r="V471" s="3">
        <v>0.88273037499999996</v>
      </c>
      <c r="W471" s="3">
        <v>0.21706688399999999</v>
      </c>
      <c r="X471" s="3">
        <v>0.79892965900000001</v>
      </c>
      <c r="Y471" s="3">
        <v>2.969771341</v>
      </c>
      <c r="Z471" s="3">
        <v>2.4468152760000001</v>
      </c>
      <c r="AA471" s="3">
        <v>0.14483821299999999</v>
      </c>
      <c r="AB471" s="3">
        <v>7.9956104410000002</v>
      </c>
      <c r="AC471" s="3">
        <v>3.6805690719999999</v>
      </c>
      <c r="AD471" s="3">
        <v>0.1484637</v>
      </c>
      <c r="AE471" s="3">
        <v>3.265578197</v>
      </c>
      <c r="AF471" s="4">
        <v>41968</v>
      </c>
      <c r="AG471" s="5">
        <f>YEAR(AF471)</f>
        <v>2014</v>
      </c>
      <c r="AH471" s="5" t="str">
        <f>"Q"&amp;ROUNDUP(MONTH(AF471)/3,0)</f>
        <v>Q4</v>
      </c>
      <c r="AI471" s="5">
        <f>INDEX(RatingLookup!$B$2:$B$11,MATCH(A471,RatingLookup!$A$2:$A$11,0))</f>
        <v>8</v>
      </c>
      <c r="AJ471" s="5" t="str">
        <f>INDEX(RatingLookup!$C$2:$C$11,MATCH(A471,RatingLookup!$A$2:$A$11,0))</f>
        <v>Investment Grade</v>
      </c>
    </row>
    <row r="472" spans="1:36" x14ac:dyDescent="0.3">
      <c r="A472" s="3" t="s">
        <v>36</v>
      </c>
      <c r="B472" s="3" t="s">
        <v>614</v>
      </c>
      <c r="C472" s="3" t="s">
        <v>615</v>
      </c>
      <c r="D472" s="3" t="s">
        <v>44</v>
      </c>
      <c r="E472" s="3" t="s">
        <v>619</v>
      </c>
      <c r="F472" s="3" t="s">
        <v>53</v>
      </c>
      <c r="G472" s="3">
        <v>1.4430961360000001</v>
      </c>
      <c r="H472" s="3">
        <v>1.2131538639999999</v>
      </c>
      <c r="I472" s="3">
        <v>0.233741753</v>
      </c>
      <c r="J472" s="3">
        <v>93.666415349999994</v>
      </c>
      <c r="K472" s="3">
        <v>6.7458435999999997E-2</v>
      </c>
      <c r="L472" s="3">
        <v>0.15823468600000001</v>
      </c>
      <c r="M472" s="3">
        <v>0.261338287</v>
      </c>
      <c r="N472" s="3">
        <v>0.118205772</v>
      </c>
      <c r="O472" s="3">
        <v>6.1907955000000001E-2</v>
      </c>
      <c r="P472" s="3">
        <v>0.270001883</v>
      </c>
      <c r="Q472" s="3">
        <v>0.14695225200000001</v>
      </c>
      <c r="R472" s="3">
        <v>0.91771998399999999</v>
      </c>
      <c r="S472" s="3">
        <v>1.985508812</v>
      </c>
      <c r="T472" s="3">
        <v>1.3168811380000001</v>
      </c>
      <c r="U472" s="3">
        <v>0.55477487999999997</v>
      </c>
      <c r="V472" s="3">
        <v>0.57368110800000005</v>
      </c>
      <c r="W472" s="3">
        <v>0.20211665500000001</v>
      </c>
      <c r="X472" s="3">
        <v>0.63415041699999997</v>
      </c>
      <c r="Y472" s="3">
        <v>2.040516282</v>
      </c>
      <c r="Z472" s="3">
        <v>2.3737216390000002</v>
      </c>
      <c r="AA472" s="3">
        <v>0.22295716500000001</v>
      </c>
      <c r="AB472" s="3">
        <v>5.3511262979999996</v>
      </c>
      <c r="AC472" s="3">
        <v>3.137546569</v>
      </c>
      <c r="AD472" s="3">
        <v>9.7678322999999997E-2</v>
      </c>
      <c r="AE472" s="3">
        <v>4.015634243</v>
      </c>
      <c r="AF472" s="4">
        <v>41094</v>
      </c>
      <c r="AG472" s="5">
        <f>YEAR(AF472)</f>
        <v>2012</v>
      </c>
      <c r="AH472" s="5" t="str">
        <f>"Q"&amp;ROUNDUP(MONTH(AF472)/3,0)</f>
        <v>Q3</v>
      </c>
      <c r="AI472" s="5">
        <f>INDEX(RatingLookup!$B$2:$B$11,MATCH(A472,RatingLookup!$A$2:$A$11,0))</f>
        <v>8</v>
      </c>
      <c r="AJ472" s="5" t="str">
        <f>INDEX(RatingLookup!$C$2:$C$11,MATCH(A472,RatingLookup!$A$2:$A$11,0))</f>
        <v>Investment Grade</v>
      </c>
    </row>
    <row r="473" spans="1:36" x14ac:dyDescent="0.3">
      <c r="A473" s="3" t="s">
        <v>42</v>
      </c>
      <c r="B473" s="3" t="s">
        <v>614</v>
      </c>
      <c r="C473" s="3" t="s">
        <v>615</v>
      </c>
      <c r="D473" s="3" t="s">
        <v>60</v>
      </c>
      <c r="E473" s="3" t="s">
        <v>620</v>
      </c>
      <c r="F473" s="3" t="s">
        <v>53</v>
      </c>
      <c r="G473" s="3">
        <v>1.370992201</v>
      </c>
      <c r="H473" s="3">
        <v>1.071309936</v>
      </c>
      <c r="I473" s="3">
        <v>0.20486712900000001</v>
      </c>
      <c r="J473" s="3">
        <v>113.2669818</v>
      </c>
      <c r="K473" s="3">
        <v>-2.5699822000000001E-2</v>
      </c>
      <c r="L473" s="3">
        <v>8.4490150000000007E-3</v>
      </c>
      <c r="M473" s="3">
        <v>0.23662533299999999</v>
      </c>
      <c r="N473" s="3">
        <v>3.8047024999999998E-2</v>
      </c>
      <c r="O473" s="3">
        <v>-1.1698583E-2</v>
      </c>
      <c r="P473" s="3">
        <v>6.9293436E-2</v>
      </c>
      <c r="Q473" s="3">
        <v>-2.7471387999999999E-2</v>
      </c>
      <c r="R473" s="3">
        <v>0.45520093099999998</v>
      </c>
      <c r="S473" s="3">
        <v>0.80082776499999997</v>
      </c>
      <c r="T473" s="3">
        <v>1.347342421</v>
      </c>
      <c r="U473" s="3">
        <v>0.57376048800000001</v>
      </c>
      <c r="V473" s="3">
        <v>4.0417536529999998</v>
      </c>
      <c r="W473" s="3">
        <v>-0.179199791</v>
      </c>
      <c r="X473" s="3">
        <v>-0.37835164599999999</v>
      </c>
      <c r="Y473" s="3">
        <v>3.3234408549999999</v>
      </c>
      <c r="Z473" s="3">
        <v>2.3482663050000001</v>
      </c>
      <c r="AA473" s="3">
        <v>0.118374402</v>
      </c>
      <c r="AB473" s="3">
        <v>8.8075970360000007</v>
      </c>
      <c r="AC473" s="3">
        <v>2.1113397649999999</v>
      </c>
      <c r="AD473" s="3">
        <v>0.135342988</v>
      </c>
      <c r="AE473" s="3">
        <v>2.5910315509999999</v>
      </c>
      <c r="AF473" s="4">
        <v>42627</v>
      </c>
      <c r="AG473" s="5">
        <f>YEAR(AF473)</f>
        <v>2016</v>
      </c>
      <c r="AH473" s="5" t="str">
        <f>"Q"&amp;ROUNDUP(MONTH(AF473)/3,0)</f>
        <v>Q3</v>
      </c>
      <c r="AI473" s="5">
        <f>INDEX(RatingLookup!$B$2:$B$11,MATCH(A473,RatingLookup!$A$2:$A$11,0))</f>
        <v>7</v>
      </c>
      <c r="AJ473" s="5" t="str">
        <f>INDEX(RatingLookup!$C$2:$C$11,MATCH(A473,RatingLookup!$A$2:$A$11,0))</f>
        <v>Investment Grade</v>
      </c>
    </row>
    <row r="474" spans="1:36" x14ac:dyDescent="0.3">
      <c r="A474" s="3" t="s">
        <v>92</v>
      </c>
      <c r="B474" s="3" t="s">
        <v>621</v>
      </c>
      <c r="C474" s="3" t="s">
        <v>622</v>
      </c>
      <c r="D474" s="3" t="s">
        <v>60</v>
      </c>
      <c r="E474" s="3" t="s">
        <v>170</v>
      </c>
      <c r="F474" s="3" t="s">
        <v>219</v>
      </c>
      <c r="G474" s="3">
        <v>9.475390913</v>
      </c>
      <c r="H474" s="3">
        <v>1.012472745</v>
      </c>
      <c r="I474" s="3">
        <v>0.84788199900000005</v>
      </c>
      <c r="J474" s="3">
        <v>6.8172672890000001</v>
      </c>
      <c r="K474" s="3">
        <v>8.3273431999999994E-2</v>
      </c>
      <c r="L474" s="3">
        <v>0.121504029</v>
      </c>
      <c r="M474" s="3">
        <v>0.97901652800000005</v>
      </c>
      <c r="N474" s="3">
        <v>0.121504029</v>
      </c>
      <c r="O474" s="3">
        <v>5.9357961000000001E-2</v>
      </c>
      <c r="P474" s="3">
        <v>9.6454677000000003E-2</v>
      </c>
      <c r="Q474" s="3">
        <v>0.12978060799999999</v>
      </c>
      <c r="R474" s="3">
        <v>0.71280790900000002</v>
      </c>
      <c r="S474" s="3">
        <v>63.070944740000002</v>
      </c>
      <c r="T474" s="3">
        <v>1.186406088</v>
      </c>
      <c r="U474" s="3">
        <v>0.54262842300000003</v>
      </c>
      <c r="V474" s="3">
        <v>0.31370742200000001</v>
      </c>
      <c r="W474" s="3">
        <v>0.84947145000000002</v>
      </c>
      <c r="X474" s="3">
        <v>1.9749245719999999</v>
      </c>
      <c r="Y474" s="3">
        <v>6.3322620079999998</v>
      </c>
      <c r="Z474" s="3">
        <v>2.186406088</v>
      </c>
      <c r="AA474" s="3">
        <v>0.121504029</v>
      </c>
      <c r="AB474" s="3">
        <v>9.7062699529999996</v>
      </c>
      <c r="AC474" s="3">
        <v>2.3248863430000002</v>
      </c>
      <c r="AD474" s="3">
        <v>4.6374799000000001E-2</v>
      </c>
      <c r="AE474" s="3">
        <v>0.48013983999999998</v>
      </c>
      <c r="AF474" s="4">
        <v>42572</v>
      </c>
      <c r="AG474" s="5">
        <f>YEAR(AF474)</f>
        <v>2016</v>
      </c>
      <c r="AH474" s="5" t="str">
        <f>"Q"&amp;ROUNDUP(MONTH(AF474)/3,0)</f>
        <v>Q3</v>
      </c>
      <c r="AI474" s="5">
        <f>INDEX(RatingLookup!$B$2:$B$11,MATCH(A474,RatingLookup!$A$2:$A$11,0))</f>
        <v>6</v>
      </c>
      <c r="AJ474" s="5" t="str">
        <f>INDEX(RatingLookup!$C$2:$C$11,MATCH(A474,RatingLookup!$A$2:$A$11,0))</f>
        <v>Speculative Grade</v>
      </c>
    </row>
    <row r="475" spans="1:36" x14ac:dyDescent="0.3">
      <c r="A475" s="3" t="s">
        <v>109</v>
      </c>
      <c r="B475" s="3" t="s">
        <v>621</v>
      </c>
      <c r="C475" s="3" t="s">
        <v>622</v>
      </c>
      <c r="D475" s="3" t="s">
        <v>60</v>
      </c>
      <c r="E475" s="3" t="s">
        <v>46</v>
      </c>
      <c r="F475" s="3" t="s">
        <v>219</v>
      </c>
      <c r="G475" s="3">
        <v>16.917064849999999</v>
      </c>
      <c r="H475" s="3">
        <v>1.9453545080000001</v>
      </c>
      <c r="I475" s="3">
        <v>1.795851468</v>
      </c>
      <c r="J475" s="3">
        <v>6.3648318379999997</v>
      </c>
      <c r="K475" s="3">
        <v>2.9785955999999999E-2</v>
      </c>
      <c r="L475" s="3">
        <v>3.1651635999999997E-2</v>
      </c>
      <c r="M475" s="3">
        <v>1</v>
      </c>
      <c r="N475" s="3">
        <v>3.1651635999999997E-2</v>
      </c>
      <c r="O475" s="3">
        <v>1.0071251999999999E-2</v>
      </c>
      <c r="P475" s="3">
        <v>1.1517233E-2</v>
      </c>
      <c r="Q475" s="3">
        <v>3.4192506999999997E-2</v>
      </c>
      <c r="R475" s="3">
        <v>0.33812083500000001</v>
      </c>
      <c r="S475" s="3">
        <v>9.6959545180000006</v>
      </c>
      <c r="T475" s="3">
        <v>2.3950601310000001</v>
      </c>
      <c r="U475" s="3">
        <v>0.70545440699999995</v>
      </c>
      <c r="V475" s="3">
        <v>-0.148712924</v>
      </c>
      <c r="W475" s="3">
        <v>1</v>
      </c>
      <c r="X475" s="3">
        <v>-1404.213698</v>
      </c>
      <c r="Y475" s="3">
        <v>6537.8208640000003</v>
      </c>
      <c r="Z475" s="3">
        <v>3.3950601310000001</v>
      </c>
      <c r="AA475" s="3">
        <v>3.1651635999999997E-2</v>
      </c>
      <c r="AB475" s="3">
        <v>-0.87812630999999997</v>
      </c>
      <c r="AC475" s="3">
        <v>-1404.213698</v>
      </c>
      <c r="AD475" s="3">
        <v>-8.3716565000000007E-2</v>
      </c>
      <c r="AE475" s="3">
        <v>10.66143381</v>
      </c>
      <c r="AF475" s="4">
        <v>41075</v>
      </c>
      <c r="AG475" s="5">
        <f>YEAR(AF475)</f>
        <v>2012</v>
      </c>
      <c r="AH475" s="5" t="str">
        <f>"Q"&amp;ROUNDUP(MONTH(AF475)/3,0)</f>
        <v>Q2</v>
      </c>
      <c r="AI475" s="5">
        <f>INDEX(RatingLookup!$B$2:$B$11,MATCH(A475,RatingLookup!$A$2:$A$11,0))</f>
        <v>5</v>
      </c>
      <c r="AJ475" s="5" t="str">
        <f>INDEX(RatingLookup!$C$2:$C$11,MATCH(A475,RatingLookup!$A$2:$A$11,0))</f>
        <v>Speculative Grade</v>
      </c>
    </row>
    <row r="476" spans="1:36" x14ac:dyDescent="0.3">
      <c r="A476" s="3" t="s">
        <v>92</v>
      </c>
      <c r="B476" s="3" t="s">
        <v>621</v>
      </c>
      <c r="C476" s="3" t="s">
        <v>622</v>
      </c>
      <c r="D476" s="3" t="s">
        <v>60</v>
      </c>
      <c r="E476" s="3" t="s">
        <v>623</v>
      </c>
      <c r="F476" s="3" t="s">
        <v>219</v>
      </c>
      <c r="G476" s="3">
        <v>64.470690779999998</v>
      </c>
      <c r="H476" s="3">
        <v>7.2984234920000004</v>
      </c>
      <c r="I476" s="3">
        <v>6.5144741919999998</v>
      </c>
      <c r="J476" s="3">
        <v>7.214460324</v>
      </c>
      <c r="K476" s="3">
        <v>8.2124864000000006E-2</v>
      </c>
      <c r="L476" s="3">
        <v>0.12465391200000001</v>
      </c>
      <c r="M476" s="3">
        <v>1</v>
      </c>
      <c r="N476" s="3">
        <v>0.12465391200000001</v>
      </c>
      <c r="O476" s="3">
        <v>4.9305666999999997E-2</v>
      </c>
      <c r="P476" s="3">
        <v>7.599293E-2</v>
      </c>
      <c r="Q476" s="3">
        <v>0.13236241000000001</v>
      </c>
      <c r="R476" s="3">
        <v>0.60037441700000005</v>
      </c>
      <c r="S476" s="3">
        <v>54.341957479999998</v>
      </c>
      <c r="T476" s="3">
        <v>1.684527307</v>
      </c>
      <c r="U476" s="3">
        <v>0.627494942</v>
      </c>
      <c r="V476" s="3">
        <v>0.351718527</v>
      </c>
      <c r="W476" s="3">
        <v>1</v>
      </c>
      <c r="X476" s="3">
        <v>-3.8993714420000001</v>
      </c>
      <c r="Y476" s="3">
        <v>6.3414289180000001</v>
      </c>
      <c r="Z476" s="3">
        <v>2.6845273070000002</v>
      </c>
      <c r="AA476" s="3">
        <v>0.12465391200000001</v>
      </c>
      <c r="AB476" s="3">
        <v>7.532791467</v>
      </c>
      <c r="AC476" s="3">
        <v>-3.8993714420000001</v>
      </c>
      <c r="AD476" s="3">
        <v>-0.101350521</v>
      </c>
      <c r="AE476" s="3">
        <v>108.7842023</v>
      </c>
      <c r="AF476" s="4">
        <v>42181</v>
      </c>
      <c r="AG476" s="5">
        <f>YEAR(AF476)</f>
        <v>2015</v>
      </c>
      <c r="AH476" s="5" t="str">
        <f>"Q"&amp;ROUNDUP(MONTH(AF476)/3,0)</f>
        <v>Q2</v>
      </c>
      <c r="AI476" s="5">
        <f>INDEX(RatingLookup!$B$2:$B$11,MATCH(A476,RatingLookup!$A$2:$A$11,0))</f>
        <v>6</v>
      </c>
      <c r="AJ476" s="5" t="str">
        <f>INDEX(RatingLookup!$C$2:$C$11,MATCH(A476,RatingLookup!$A$2:$A$11,0))</f>
        <v>Speculative Grade</v>
      </c>
    </row>
    <row r="477" spans="1:36" x14ac:dyDescent="0.3">
      <c r="A477" s="3" t="s">
        <v>92</v>
      </c>
      <c r="B477" s="3" t="s">
        <v>621</v>
      </c>
      <c r="C477" s="3" t="s">
        <v>622</v>
      </c>
      <c r="D477" s="3" t="s">
        <v>60</v>
      </c>
      <c r="E477" s="3" t="s">
        <v>624</v>
      </c>
      <c r="F477" s="3" t="s">
        <v>219</v>
      </c>
      <c r="G477" s="3">
        <v>36.703809530000001</v>
      </c>
      <c r="H477" s="3">
        <v>3.3489901409999998</v>
      </c>
      <c r="I477" s="3">
        <v>2.9527160669999999</v>
      </c>
      <c r="J477" s="3">
        <v>5.9695980840000002</v>
      </c>
      <c r="K477" s="3">
        <v>8.4747026000000003E-2</v>
      </c>
      <c r="L477" s="3">
        <v>0.12767732500000001</v>
      </c>
      <c r="M477" s="3">
        <v>3.9387342999999998E-2</v>
      </c>
      <c r="N477" s="3">
        <v>0.12767732500000001</v>
      </c>
      <c r="O477" s="3">
        <v>5.5681091000000002E-2</v>
      </c>
      <c r="P477" s="3">
        <v>8.6233745000000001E-2</v>
      </c>
      <c r="Q477" s="3">
        <v>0.142131698</v>
      </c>
      <c r="R477" s="3">
        <v>0.65702708700000001</v>
      </c>
      <c r="S477" s="3">
        <v>81.985582870000002</v>
      </c>
      <c r="T477" s="3">
        <v>1.5526025750000001</v>
      </c>
      <c r="U477" s="3">
        <v>0.60824297100000002</v>
      </c>
      <c r="V477" s="3">
        <v>0.32276028099999998</v>
      </c>
      <c r="W477" s="3">
        <v>1</v>
      </c>
      <c r="X477" s="3">
        <v>-2.0451681129999999</v>
      </c>
      <c r="Y477" s="3">
        <v>5.6482949869999999</v>
      </c>
      <c r="Z477" s="3">
        <v>2.5526025749999999</v>
      </c>
      <c r="AA477" s="3">
        <v>0.12767732500000001</v>
      </c>
      <c r="AB477" s="3">
        <v>7.1843451780000001</v>
      </c>
      <c r="AC477" s="3">
        <v>-2.0451681129999999</v>
      </c>
      <c r="AD477" s="3">
        <v>-4.4294452999999998E-2</v>
      </c>
      <c r="AE477" s="3">
        <v>144.58878670000001</v>
      </c>
      <c r="AF477" s="4">
        <v>42426</v>
      </c>
      <c r="AG477" s="5">
        <f>YEAR(AF477)</f>
        <v>2016</v>
      </c>
      <c r="AH477" s="5" t="str">
        <f>"Q"&amp;ROUNDUP(MONTH(AF477)/3,0)</f>
        <v>Q1</v>
      </c>
      <c r="AI477" s="5">
        <f>INDEX(RatingLookup!$B$2:$B$11,MATCH(A477,RatingLookup!$A$2:$A$11,0))</f>
        <v>6</v>
      </c>
      <c r="AJ477" s="5" t="str">
        <f>INDEX(RatingLookup!$C$2:$C$11,MATCH(A477,RatingLookup!$A$2:$A$11,0))</f>
        <v>Speculative Grade</v>
      </c>
    </row>
    <row r="478" spans="1:36" x14ac:dyDescent="0.3">
      <c r="A478" s="3" t="s">
        <v>109</v>
      </c>
      <c r="B478" s="3" t="s">
        <v>621</v>
      </c>
      <c r="C478" s="3" t="s">
        <v>622</v>
      </c>
      <c r="D478" s="3" t="s">
        <v>60</v>
      </c>
      <c r="E478" s="3" t="s">
        <v>625</v>
      </c>
      <c r="F478" s="3" t="s">
        <v>219</v>
      </c>
      <c r="G478" s="3">
        <v>17.9985499</v>
      </c>
      <c r="H478" s="3">
        <v>2.003046367</v>
      </c>
      <c r="I478" s="3">
        <v>1.896914124</v>
      </c>
      <c r="J478" s="3">
        <v>4.7791303449999996</v>
      </c>
      <c r="K478" s="3">
        <v>0.16545009599999999</v>
      </c>
      <c r="L478" s="3">
        <v>5.4112036000000002E-2</v>
      </c>
      <c r="M478" s="3">
        <v>1</v>
      </c>
      <c r="N478" s="3">
        <v>5.4112036000000002E-2</v>
      </c>
      <c r="O478" s="3">
        <v>6.5538553999999999E-2</v>
      </c>
      <c r="P478" s="3">
        <v>2.2966495E-2</v>
      </c>
      <c r="Q478" s="3">
        <v>0.19887875099999999</v>
      </c>
      <c r="R478" s="3">
        <v>0.39612279500000003</v>
      </c>
      <c r="S478" s="3">
        <v>13.088109530000001</v>
      </c>
      <c r="T478" s="3">
        <v>2.0345306440000002</v>
      </c>
      <c r="U478" s="3">
        <v>0.67045974600000002</v>
      </c>
      <c r="V478" s="3">
        <v>-1.9594352450000001</v>
      </c>
      <c r="W478" s="3">
        <v>1</v>
      </c>
      <c r="X478" s="3">
        <v>-2.2749568739999999</v>
      </c>
      <c r="Y478" s="3">
        <v>7.1269674600000004</v>
      </c>
      <c r="Z478" s="3">
        <v>3.0345306440000002</v>
      </c>
      <c r="AA478" s="3">
        <v>5.4112036000000002E-2</v>
      </c>
      <c r="AB478" s="3">
        <v>24.008851180000001</v>
      </c>
      <c r="AC478" s="3">
        <v>-2.2749568739999999</v>
      </c>
      <c r="AD478" s="3">
        <v>-0.103453938</v>
      </c>
      <c r="AE478" s="3">
        <v>12.586157050000001</v>
      </c>
      <c r="AF478" s="4">
        <v>41200</v>
      </c>
      <c r="AG478" s="5">
        <f>YEAR(AF478)</f>
        <v>2012</v>
      </c>
      <c r="AH478" s="5" t="str">
        <f>"Q"&amp;ROUNDUP(MONTH(AF478)/3,0)</f>
        <v>Q4</v>
      </c>
      <c r="AI478" s="5">
        <f>INDEX(RatingLookup!$B$2:$B$11,MATCH(A478,RatingLookup!$A$2:$A$11,0))</f>
        <v>5</v>
      </c>
      <c r="AJ478" s="5" t="str">
        <f>INDEX(RatingLookup!$C$2:$C$11,MATCH(A478,RatingLookup!$A$2:$A$11,0))</f>
        <v>Speculative Grade</v>
      </c>
    </row>
    <row r="479" spans="1:36" x14ac:dyDescent="0.3">
      <c r="A479" s="3" t="s">
        <v>109</v>
      </c>
      <c r="B479" s="3" t="s">
        <v>626</v>
      </c>
      <c r="C479" s="3" t="s">
        <v>627</v>
      </c>
      <c r="D479" s="3" t="s">
        <v>39</v>
      </c>
      <c r="E479" s="3" t="s">
        <v>628</v>
      </c>
      <c r="F479" s="3" t="s">
        <v>113</v>
      </c>
      <c r="G479" s="3">
        <v>1.7089559439999999</v>
      </c>
      <c r="H479" s="3">
        <v>0.43688493299999998</v>
      </c>
      <c r="I479" s="3">
        <v>5.8388356000000002E-2</v>
      </c>
      <c r="J479" s="3">
        <v>13.570556509999999</v>
      </c>
      <c r="K479" s="3">
        <v>9.7708210000000007E-3</v>
      </c>
      <c r="L479" s="3">
        <v>9.8023169999999996E-3</v>
      </c>
      <c r="M479" s="3">
        <v>0.28690807400000001</v>
      </c>
      <c r="N479" s="3">
        <v>9.8023169999999996E-3</v>
      </c>
      <c r="O479" s="3">
        <v>3.591341E-2</v>
      </c>
      <c r="P479" s="3">
        <v>5.6388184000000001E-2</v>
      </c>
      <c r="Q479" s="3">
        <v>-0.11799865800000001</v>
      </c>
      <c r="R479" s="3">
        <v>3.6755777030000001</v>
      </c>
      <c r="S479" s="3">
        <v>13.04145241</v>
      </c>
      <c r="T479" s="3">
        <v>-4.2856433880000004</v>
      </c>
      <c r="U479" s="3">
        <v>1.3043543929999999</v>
      </c>
      <c r="V479" s="3">
        <v>3.213198E-3</v>
      </c>
      <c r="W479" s="3">
        <v>0.40000655200000002</v>
      </c>
      <c r="X479" s="3">
        <v>0.30451453499999998</v>
      </c>
      <c r="Y479" s="3">
        <v>0.158757492</v>
      </c>
      <c r="Z479" s="3">
        <v>-3.285643388</v>
      </c>
      <c r="AA479" s="3">
        <v>9.8023169999999996E-3</v>
      </c>
      <c r="AB479" s="3">
        <v>185.30109780000001</v>
      </c>
      <c r="AC479" s="3">
        <v>0.76127386799999996</v>
      </c>
      <c r="AD479" s="3">
        <v>2.7502728000000001E-2</v>
      </c>
      <c r="AE479" s="3">
        <v>14.084193279999999</v>
      </c>
      <c r="AF479" s="4">
        <v>42107</v>
      </c>
      <c r="AG479" s="5">
        <f>YEAR(AF479)</f>
        <v>2015</v>
      </c>
      <c r="AH479" s="5" t="str">
        <f>"Q"&amp;ROUNDUP(MONTH(AF479)/3,0)</f>
        <v>Q2</v>
      </c>
      <c r="AI479" s="5">
        <f>INDEX(RatingLookup!$B$2:$B$11,MATCH(A479,RatingLookup!$A$2:$A$11,0))</f>
        <v>5</v>
      </c>
      <c r="AJ479" s="5" t="str">
        <f>INDEX(RatingLookup!$C$2:$C$11,MATCH(A479,RatingLookup!$A$2:$A$11,0))</f>
        <v>Speculative Grade</v>
      </c>
    </row>
    <row r="480" spans="1:36" x14ac:dyDescent="0.3">
      <c r="A480" s="3" t="s">
        <v>109</v>
      </c>
      <c r="B480" s="3" t="s">
        <v>626</v>
      </c>
      <c r="C480" s="3" t="s">
        <v>627</v>
      </c>
      <c r="D480" s="3" t="s">
        <v>39</v>
      </c>
      <c r="E480" s="3" t="s">
        <v>629</v>
      </c>
      <c r="F480" s="3" t="s">
        <v>113</v>
      </c>
      <c r="G480" s="3">
        <v>1.710079627</v>
      </c>
      <c r="H480" s="3">
        <v>0.41071260999999998</v>
      </c>
      <c r="I480" s="3">
        <v>5.0208861E-2</v>
      </c>
      <c r="J480" s="3">
        <v>13.36071306</v>
      </c>
      <c r="K480" s="3">
        <v>4.6512200000000002E-3</v>
      </c>
      <c r="L480" s="3">
        <v>2.9556199999999997E-4</v>
      </c>
      <c r="M480" s="3">
        <v>0.28820889300000002</v>
      </c>
      <c r="N480" s="3">
        <v>2.9556199999999997E-4</v>
      </c>
      <c r="O480" s="3">
        <v>1.6684516E-2</v>
      </c>
      <c r="P480" s="3">
        <v>1.667611E-3</v>
      </c>
      <c r="Q480" s="3">
        <v>-4.8021211000000001E-2</v>
      </c>
      <c r="R480" s="3">
        <v>3.5871268519999999</v>
      </c>
      <c r="S480" s="3">
        <v>13.39501649</v>
      </c>
      <c r="T480" s="3">
        <v>-3.8781902669999999</v>
      </c>
      <c r="U480" s="3">
        <v>1.3474405469999999</v>
      </c>
      <c r="V480" s="3">
        <v>-14.73684211</v>
      </c>
      <c r="W480" s="3">
        <v>0.53271643800000001</v>
      </c>
      <c r="X480" s="3">
        <v>0.49081233200000002</v>
      </c>
      <c r="Y480" s="3">
        <v>0.14552330199999999</v>
      </c>
      <c r="Z480" s="3">
        <v>-2.8781902669999999</v>
      </c>
      <c r="AA480" s="3">
        <v>2.9556199999999997E-4</v>
      </c>
      <c r="AB480" s="3">
        <v>93.539316819999996</v>
      </c>
      <c r="AC480" s="3">
        <v>0.921338816</v>
      </c>
      <c r="AD480" s="3">
        <v>3.2277076000000002E-2</v>
      </c>
      <c r="AE480" s="3">
        <v>13.053165290000001</v>
      </c>
      <c r="AF480" s="4">
        <v>41642</v>
      </c>
      <c r="AG480" s="5">
        <f>YEAR(AF480)</f>
        <v>2014</v>
      </c>
      <c r="AH480" s="5" t="str">
        <f>"Q"&amp;ROUNDUP(MONTH(AF480)/3,0)</f>
        <v>Q1</v>
      </c>
      <c r="AI480" s="5">
        <f>INDEX(RatingLookup!$B$2:$B$11,MATCH(A480,RatingLookup!$A$2:$A$11,0))</f>
        <v>5</v>
      </c>
      <c r="AJ480" s="5" t="str">
        <f>INDEX(RatingLookup!$C$2:$C$11,MATCH(A480,RatingLookup!$A$2:$A$11,0))</f>
        <v>Speculative Grade</v>
      </c>
    </row>
    <row r="481" spans="1:36" x14ac:dyDescent="0.3">
      <c r="A481" s="3" t="s">
        <v>116</v>
      </c>
      <c r="B481" s="3" t="s">
        <v>626</v>
      </c>
      <c r="C481" s="3" t="s">
        <v>627</v>
      </c>
      <c r="D481" s="3" t="s">
        <v>47</v>
      </c>
      <c r="E481" s="3" t="s">
        <v>204</v>
      </c>
      <c r="F481" s="3" t="s">
        <v>113</v>
      </c>
      <c r="G481" s="3">
        <v>1.6988965789999999</v>
      </c>
      <c r="H481" s="3">
        <v>0.44136941600000001</v>
      </c>
      <c r="I481" s="3">
        <v>4.6639436999999999E-2</v>
      </c>
      <c r="J481" s="3">
        <v>13.496112480000001</v>
      </c>
      <c r="K481" s="3">
        <v>7.9506296000000004E-2</v>
      </c>
      <c r="L481" s="3">
        <v>1.6089185999999998E-2</v>
      </c>
      <c r="M481" s="3">
        <v>0.28560857699999997</v>
      </c>
      <c r="N481" s="3">
        <v>1.6089185999999998E-2</v>
      </c>
      <c r="O481" s="3">
        <v>0.23796829899999999</v>
      </c>
      <c r="P481" s="3">
        <v>6.6918020999999994E-2</v>
      </c>
      <c r="Q481" s="3">
        <v>36.966716910000002</v>
      </c>
      <c r="R481" s="3">
        <v>2.9930748889999998</v>
      </c>
      <c r="S481" s="3">
        <v>12.68469457</v>
      </c>
      <c r="T481" s="3">
        <v>154.3430314</v>
      </c>
      <c r="U481" s="3">
        <v>0.993562634</v>
      </c>
      <c r="V481" s="3">
        <v>-3.9415983319999999</v>
      </c>
      <c r="W481" s="3">
        <v>0.168844257</v>
      </c>
      <c r="X481" s="3">
        <v>0.112833667</v>
      </c>
      <c r="Y481" s="3">
        <v>0.119347916</v>
      </c>
      <c r="Z481" s="3">
        <v>155.3430314</v>
      </c>
      <c r="AA481" s="3">
        <v>1.6089185999999998E-2</v>
      </c>
      <c r="AB481" s="3">
        <v>208.1989197</v>
      </c>
      <c r="AC481" s="3">
        <v>0.66827068599999995</v>
      </c>
      <c r="AD481" s="3">
        <v>2.4462823000000002E-2</v>
      </c>
      <c r="AE481" s="3">
        <v>16.719285939999999</v>
      </c>
      <c r="AF481" s="4">
        <v>42305</v>
      </c>
      <c r="AG481" s="5">
        <f>YEAR(AF481)</f>
        <v>2015</v>
      </c>
      <c r="AH481" s="5" t="str">
        <f>"Q"&amp;ROUNDUP(MONTH(AF481)/3,0)</f>
        <v>Q4</v>
      </c>
      <c r="AI481" s="5">
        <f>INDEX(RatingLookup!$B$2:$B$11,MATCH(A481,RatingLookup!$A$2:$A$11,0))</f>
        <v>4</v>
      </c>
      <c r="AJ481" s="5" t="str">
        <f>INDEX(RatingLookup!$C$2:$C$11,MATCH(A481,RatingLookup!$A$2:$A$11,0))</f>
        <v>Speculative Grade</v>
      </c>
    </row>
    <row r="482" spans="1:36" x14ac:dyDescent="0.3">
      <c r="A482" s="3" t="s">
        <v>116</v>
      </c>
      <c r="B482" s="3" t="s">
        <v>626</v>
      </c>
      <c r="C482" s="3" t="s">
        <v>627</v>
      </c>
      <c r="D482" s="3" t="s">
        <v>60</v>
      </c>
      <c r="E482" s="3" t="s">
        <v>630</v>
      </c>
      <c r="F482" s="3" t="s">
        <v>113</v>
      </c>
      <c r="G482" s="3">
        <v>1.752539665</v>
      </c>
      <c r="H482" s="3">
        <v>0.45734323199999999</v>
      </c>
      <c r="I482" s="3">
        <v>6.3138077000000001E-2</v>
      </c>
      <c r="J482" s="3">
        <v>14.158221429999999</v>
      </c>
      <c r="K482" s="3">
        <v>-1.4110021E-2</v>
      </c>
      <c r="L482" s="3">
        <v>-1.5016794E-2</v>
      </c>
      <c r="M482" s="3">
        <v>0.260069571</v>
      </c>
      <c r="N482" s="3">
        <v>-1.5016794E-2</v>
      </c>
      <c r="O482" s="3">
        <v>-5.0048401999999999E-2</v>
      </c>
      <c r="P482" s="3">
        <v>-8.1822963999999998E-2</v>
      </c>
      <c r="Q482" s="3">
        <v>0.14248386800000001</v>
      </c>
      <c r="R482" s="3">
        <v>3.5470111110000002</v>
      </c>
      <c r="S482" s="3">
        <v>13.73340357</v>
      </c>
      <c r="T482" s="3">
        <v>-3.8469213949999999</v>
      </c>
      <c r="U482" s="3">
        <v>1.351256625</v>
      </c>
      <c r="V482" s="3">
        <v>6.0383881E-2</v>
      </c>
      <c r="W482" s="3">
        <v>6.1529919000000002E-2</v>
      </c>
      <c r="X482" s="3">
        <v>1.851394E-2</v>
      </c>
      <c r="Y482" s="3">
        <v>0.18320334099999999</v>
      </c>
      <c r="Z482" s="3">
        <v>-2.8469213949999999</v>
      </c>
      <c r="AA482" s="3">
        <v>-1.5016794E-2</v>
      </c>
      <c r="AB482" s="3">
        <v>777.94237769999995</v>
      </c>
      <c r="AC482" s="3">
        <v>0.30089329799999998</v>
      </c>
      <c r="AD482" s="3">
        <v>1.0203848999999999E-2</v>
      </c>
      <c r="AE482" s="3">
        <v>13.55020257</v>
      </c>
      <c r="AF482" s="4">
        <v>41332</v>
      </c>
      <c r="AG482" s="5">
        <f>YEAR(AF482)</f>
        <v>2013</v>
      </c>
      <c r="AH482" s="5" t="str">
        <f>"Q"&amp;ROUNDUP(MONTH(AF482)/3,0)</f>
        <v>Q1</v>
      </c>
      <c r="AI482" s="5">
        <f>INDEX(RatingLookup!$B$2:$B$11,MATCH(A482,RatingLookup!$A$2:$A$11,0))</f>
        <v>4</v>
      </c>
      <c r="AJ482" s="5" t="str">
        <f>INDEX(RatingLookup!$C$2:$C$11,MATCH(A482,RatingLookup!$A$2:$A$11,0))</f>
        <v>Speculative Grade</v>
      </c>
    </row>
    <row r="483" spans="1:36" x14ac:dyDescent="0.3">
      <c r="A483" s="3" t="s">
        <v>109</v>
      </c>
      <c r="B483" s="3" t="s">
        <v>626</v>
      </c>
      <c r="C483" s="3" t="s">
        <v>627</v>
      </c>
      <c r="D483" s="3" t="s">
        <v>47</v>
      </c>
      <c r="E483" s="3" t="s">
        <v>471</v>
      </c>
      <c r="F483" s="3" t="s">
        <v>113</v>
      </c>
      <c r="G483" s="3">
        <v>1.518480627</v>
      </c>
      <c r="H483" s="3">
        <v>0.57575557399999999</v>
      </c>
      <c r="I483" s="3">
        <v>4.1533319999999999E-2</v>
      </c>
      <c r="J483" s="3">
        <v>19.0120845</v>
      </c>
      <c r="K483" s="3">
        <v>5.3833120000000003E-3</v>
      </c>
      <c r="L483" s="3">
        <v>9.0577190000000005E-3</v>
      </c>
      <c r="M483" s="3">
        <v>0.25462284299999999</v>
      </c>
      <c r="N483" s="3">
        <v>9.0577190000000005E-3</v>
      </c>
      <c r="O483" s="3">
        <v>1.4672772000000001E-2</v>
      </c>
      <c r="P483" s="3">
        <v>3.3623205000000003E-2</v>
      </c>
      <c r="Q483" s="3">
        <v>0.28458381799999999</v>
      </c>
      <c r="R483" s="3">
        <v>2.7256034179999999</v>
      </c>
      <c r="S483" s="3">
        <v>13.62804126</v>
      </c>
      <c r="T483" s="3">
        <v>18.395367960000002</v>
      </c>
      <c r="U483" s="3">
        <v>0.94844129799999999</v>
      </c>
      <c r="V483" s="3">
        <v>0.40566586700000001</v>
      </c>
      <c r="W483" s="3">
        <v>0.32825981900000001</v>
      </c>
      <c r="X483" s="3">
        <v>0.31961572700000002</v>
      </c>
      <c r="Y483" s="3">
        <v>0.121508976</v>
      </c>
      <c r="Z483" s="3">
        <v>19.395367960000002</v>
      </c>
      <c r="AA483" s="3">
        <v>9.0577190000000005E-3</v>
      </c>
      <c r="AB483" s="3">
        <v>219.8731295</v>
      </c>
      <c r="AC483" s="3">
        <v>0.97366692099999996</v>
      </c>
      <c r="AD483" s="3">
        <v>3.2449918000000001E-2</v>
      </c>
      <c r="AE483" s="3">
        <v>14.8499135</v>
      </c>
      <c r="AF483" s="4">
        <v>42717</v>
      </c>
      <c r="AG483" s="5">
        <f>YEAR(AF483)</f>
        <v>2016</v>
      </c>
      <c r="AH483" s="5" t="str">
        <f>"Q"&amp;ROUNDUP(MONTH(AF483)/3,0)</f>
        <v>Q4</v>
      </c>
      <c r="AI483" s="5">
        <f>INDEX(RatingLookup!$B$2:$B$11,MATCH(A483,RatingLookup!$A$2:$A$11,0))</f>
        <v>5</v>
      </c>
      <c r="AJ483" s="5" t="str">
        <f>INDEX(RatingLookup!$C$2:$C$11,MATCH(A483,RatingLookup!$A$2:$A$11,0))</f>
        <v>Speculative Grade</v>
      </c>
    </row>
    <row r="484" spans="1:36" x14ac:dyDescent="0.3">
      <c r="A484" s="3" t="s">
        <v>36</v>
      </c>
      <c r="B484" s="3" t="s">
        <v>631</v>
      </c>
      <c r="C484" s="3" t="s">
        <v>199</v>
      </c>
      <c r="D484" s="3" t="s">
        <v>39</v>
      </c>
      <c r="E484" s="3" t="s">
        <v>632</v>
      </c>
      <c r="F484" s="3" t="s">
        <v>79</v>
      </c>
      <c r="G484" s="3">
        <v>0.78007779899999996</v>
      </c>
      <c r="H484" s="3">
        <v>0.32898027200000002</v>
      </c>
      <c r="I484" s="3">
        <v>4.4178939E-2</v>
      </c>
      <c r="J484" s="3">
        <v>44.436313929999997</v>
      </c>
      <c r="K484" s="3">
        <v>0.10533933700000001</v>
      </c>
      <c r="L484" s="3">
        <v>0.14297201700000001</v>
      </c>
      <c r="M484" s="3">
        <v>1</v>
      </c>
      <c r="N484" s="3">
        <v>0.218800257</v>
      </c>
      <c r="O484" s="3">
        <v>2.4113240000000001E-2</v>
      </c>
      <c r="P484" s="3">
        <v>3.7726241000000001E-2</v>
      </c>
      <c r="Q484" s="3">
        <v>0.113370835</v>
      </c>
      <c r="R484" s="3">
        <v>0.228910118</v>
      </c>
      <c r="S484" s="3">
        <v>0.34287289799999998</v>
      </c>
      <c r="T484" s="3">
        <v>3.7016010389999998</v>
      </c>
      <c r="U484" s="3">
        <v>0.78730649600000002</v>
      </c>
      <c r="V484" s="3">
        <v>0.25421822300000002</v>
      </c>
      <c r="W484" s="3">
        <v>-0.55423088099999995</v>
      </c>
      <c r="X484" s="3">
        <v>-3.2709799209999999</v>
      </c>
      <c r="Y484" s="3">
        <v>1.4655912129999999</v>
      </c>
      <c r="Z484" s="3">
        <v>4.7016010389999998</v>
      </c>
      <c r="AA484" s="3">
        <v>0.14297201700000001</v>
      </c>
      <c r="AB484" s="3">
        <v>12.14171954</v>
      </c>
      <c r="AC484" s="3">
        <v>5.9018362790000003</v>
      </c>
      <c r="AD484" s="3">
        <v>0.27653586400000002</v>
      </c>
      <c r="AE484" s="3">
        <v>0</v>
      </c>
      <c r="AF484" s="4">
        <v>41981</v>
      </c>
      <c r="AG484" s="5">
        <f>YEAR(AF484)</f>
        <v>2014</v>
      </c>
      <c r="AH484" s="5" t="str">
        <f>"Q"&amp;ROUNDUP(MONTH(AF484)/3,0)</f>
        <v>Q4</v>
      </c>
      <c r="AI484" s="5">
        <f>INDEX(RatingLookup!$B$2:$B$11,MATCH(A484,RatingLookup!$A$2:$A$11,0))</f>
        <v>8</v>
      </c>
      <c r="AJ484" s="5" t="str">
        <f>INDEX(RatingLookup!$C$2:$C$11,MATCH(A484,RatingLookup!$A$2:$A$11,0))</f>
        <v>Investment Grade</v>
      </c>
    </row>
    <row r="485" spans="1:36" x14ac:dyDescent="0.3">
      <c r="A485" s="3" t="s">
        <v>36</v>
      </c>
      <c r="B485" s="3" t="s">
        <v>631</v>
      </c>
      <c r="C485" s="3" t="s">
        <v>199</v>
      </c>
      <c r="D485" s="3" t="s">
        <v>39</v>
      </c>
      <c r="E485" s="3" t="s">
        <v>323</v>
      </c>
      <c r="F485" s="3" t="s">
        <v>79</v>
      </c>
      <c r="G485" s="3">
        <v>0.84929939899999995</v>
      </c>
      <c r="H485" s="3">
        <v>0.38575922200000001</v>
      </c>
      <c r="I485" s="3">
        <v>4.5181583999999997E-2</v>
      </c>
      <c r="J485" s="3">
        <v>47.155106709999998</v>
      </c>
      <c r="K485" s="3">
        <v>0.12934451199999999</v>
      </c>
      <c r="L485" s="3">
        <v>0.138109756</v>
      </c>
      <c r="M485" s="3">
        <v>1</v>
      </c>
      <c r="N485" s="3">
        <v>0.25274390200000002</v>
      </c>
      <c r="O485" s="3">
        <v>3.3874960000000003E-2</v>
      </c>
      <c r="P485" s="3">
        <v>4.2039813000000002E-2</v>
      </c>
      <c r="Q485" s="3">
        <v>0.145765332</v>
      </c>
      <c r="R485" s="3">
        <v>0.26189715699999999</v>
      </c>
      <c r="S485" s="3">
        <v>0.40210861799999997</v>
      </c>
      <c r="T485" s="3">
        <v>3.3030407149999998</v>
      </c>
      <c r="U485" s="3">
        <v>0.76760619600000002</v>
      </c>
      <c r="V485" s="3">
        <v>0.49227373099999999</v>
      </c>
      <c r="W485" s="3">
        <v>-0.19545587</v>
      </c>
      <c r="X485" s="3">
        <v>-1.1594954209999999</v>
      </c>
      <c r="Y485" s="3">
        <v>1.7331950920000001</v>
      </c>
      <c r="Z485" s="3">
        <v>4.3030407149999998</v>
      </c>
      <c r="AA485" s="3">
        <v>0.138109756</v>
      </c>
      <c r="AB485" s="3">
        <v>12.60833723</v>
      </c>
      <c r="AC485" s="3">
        <v>5.9322619660000004</v>
      </c>
      <c r="AD485" s="3">
        <v>0.26166158499999997</v>
      </c>
      <c r="AE485" s="3">
        <v>3.3261986299999999</v>
      </c>
      <c r="AF485" s="4">
        <v>41509</v>
      </c>
      <c r="AG485" s="5">
        <f>YEAR(AF485)</f>
        <v>2013</v>
      </c>
      <c r="AH485" s="5" t="str">
        <f>"Q"&amp;ROUNDUP(MONTH(AF485)/3,0)</f>
        <v>Q3</v>
      </c>
      <c r="AI485" s="5">
        <f>INDEX(RatingLookup!$B$2:$B$11,MATCH(A485,RatingLookup!$A$2:$A$11,0))</f>
        <v>8</v>
      </c>
      <c r="AJ485" s="5" t="str">
        <f>INDEX(RatingLookup!$C$2:$C$11,MATCH(A485,RatingLookup!$A$2:$A$11,0))</f>
        <v>Investment Grade</v>
      </c>
    </row>
    <row r="486" spans="1:36" x14ac:dyDescent="0.3">
      <c r="A486" s="3" t="s">
        <v>36</v>
      </c>
      <c r="B486" s="3" t="s">
        <v>631</v>
      </c>
      <c r="C486" s="3" t="s">
        <v>199</v>
      </c>
      <c r="D486" s="3" t="s">
        <v>39</v>
      </c>
      <c r="E486" s="3" t="s">
        <v>633</v>
      </c>
      <c r="F486" s="3" t="s">
        <v>79</v>
      </c>
      <c r="G486" s="3">
        <v>0.51613300500000003</v>
      </c>
      <c r="H486" s="3">
        <v>0.253940887</v>
      </c>
      <c r="I486" s="3">
        <v>7.4753694999999995E-2</v>
      </c>
      <c r="J486" s="3">
        <v>37.49037062</v>
      </c>
      <c r="K486" s="3">
        <v>0.16254386700000001</v>
      </c>
      <c r="L486" s="3">
        <v>0.24206111399999999</v>
      </c>
      <c r="M486" s="3">
        <v>1</v>
      </c>
      <c r="N486" s="3">
        <v>0.30266198799999999</v>
      </c>
      <c r="O486" s="3">
        <v>3.2297566E-2</v>
      </c>
      <c r="P486" s="3">
        <v>5.5804408E-2</v>
      </c>
      <c r="Q486" s="3">
        <v>0.14995262200000001</v>
      </c>
      <c r="R486" s="3">
        <v>0.198700614</v>
      </c>
      <c r="S486" s="3">
        <v>0.281152236</v>
      </c>
      <c r="T486" s="3">
        <v>3.6428458620000002</v>
      </c>
      <c r="U486" s="3">
        <v>0.784614861</v>
      </c>
      <c r="V486" s="3">
        <v>0.320014144</v>
      </c>
      <c r="W486" s="3">
        <v>-0.245810056</v>
      </c>
      <c r="X486" s="3">
        <v>-1.856853477</v>
      </c>
      <c r="Y486" s="3">
        <v>1.4550979070000001</v>
      </c>
      <c r="Z486" s="3">
        <v>4.6428458619999997</v>
      </c>
      <c r="AA486" s="3">
        <v>0.24206111399999999</v>
      </c>
      <c r="AB486" s="3">
        <v>12.46560457</v>
      </c>
      <c r="AC486" s="3">
        <v>7.5540175559999998</v>
      </c>
      <c r="AD486" s="3">
        <v>0.383035179</v>
      </c>
      <c r="AE486" s="3">
        <v>0</v>
      </c>
      <c r="AF486" s="4">
        <v>42268</v>
      </c>
      <c r="AG486" s="5">
        <f>YEAR(AF486)</f>
        <v>2015</v>
      </c>
      <c r="AH486" s="5" t="str">
        <f>"Q"&amp;ROUNDUP(MONTH(AF486)/3,0)</f>
        <v>Q3</v>
      </c>
      <c r="AI486" s="5">
        <f>INDEX(RatingLookup!$B$2:$B$11,MATCH(A486,RatingLookup!$A$2:$A$11,0))</f>
        <v>8</v>
      </c>
      <c r="AJ486" s="5" t="str">
        <f>INDEX(RatingLookup!$C$2:$C$11,MATCH(A486,RatingLookup!$A$2:$A$11,0))</f>
        <v>Investment Grade</v>
      </c>
    </row>
    <row r="487" spans="1:36" x14ac:dyDescent="0.3">
      <c r="A487" s="3" t="s">
        <v>36</v>
      </c>
      <c r="B487" s="3" t="s">
        <v>631</v>
      </c>
      <c r="C487" s="3" t="s">
        <v>199</v>
      </c>
      <c r="D487" s="3" t="s">
        <v>39</v>
      </c>
      <c r="E487" s="3" t="s">
        <v>320</v>
      </c>
      <c r="F487" s="3" t="s">
        <v>79</v>
      </c>
      <c r="G487" s="3">
        <v>0.66211516199999998</v>
      </c>
      <c r="H487" s="3">
        <v>0.30748421999999997</v>
      </c>
      <c r="I487" s="3">
        <v>3.1946412E-2</v>
      </c>
      <c r="J487" s="3">
        <v>45.189414190000001</v>
      </c>
      <c r="K487" s="3">
        <v>2.3065760000000001E-2</v>
      </c>
      <c r="L487" s="3">
        <v>3.7959214999999998E-2</v>
      </c>
      <c r="M487" s="3">
        <v>1</v>
      </c>
      <c r="N487" s="3">
        <v>8.8291453000000006E-2</v>
      </c>
      <c r="O487" s="3">
        <v>6.4477559999999998E-3</v>
      </c>
      <c r="P487" s="3">
        <v>1.271913E-2</v>
      </c>
      <c r="Q487" s="3">
        <v>2.8576836000000001E-2</v>
      </c>
      <c r="R487" s="3">
        <v>0.27953798200000002</v>
      </c>
      <c r="S487" s="3">
        <v>0.42547037999999998</v>
      </c>
      <c r="T487" s="3">
        <v>3.432059046</v>
      </c>
      <c r="U487" s="3">
        <v>0.77437123699999999</v>
      </c>
      <c r="V487" s="3">
        <v>0.29376257500000003</v>
      </c>
      <c r="W487" s="3">
        <v>-1.933768E-3</v>
      </c>
      <c r="X487" s="3">
        <v>-1.3964043000000001E-2</v>
      </c>
      <c r="Y487" s="3">
        <v>1.337057078</v>
      </c>
      <c r="Z487" s="3">
        <v>4.432059046</v>
      </c>
      <c r="AA487" s="3">
        <v>3.7959214999999998E-2</v>
      </c>
      <c r="AB487" s="3">
        <v>18.930553289999999</v>
      </c>
      <c r="AC487" s="3">
        <v>7.2211555250000004</v>
      </c>
      <c r="AD487" s="3">
        <v>0.315970366</v>
      </c>
      <c r="AE487" s="3">
        <v>3.2963940190000001</v>
      </c>
      <c r="AF487" s="4">
        <v>41395</v>
      </c>
      <c r="AG487" s="5">
        <f>YEAR(AF487)</f>
        <v>2013</v>
      </c>
      <c r="AH487" s="5" t="str">
        <f>"Q"&amp;ROUNDUP(MONTH(AF487)/3,0)</f>
        <v>Q2</v>
      </c>
      <c r="AI487" s="5">
        <f>INDEX(RatingLookup!$B$2:$B$11,MATCH(A487,RatingLookup!$A$2:$A$11,0))</f>
        <v>8</v>
      </c>
      <c r="AJ487" s="5" t="str">
        <f>INDEX(RatingLookup!$C$2:$C$11,MATCH(A487,RatingLookup!$A$2:$A$11,0))</f>
        <v>Investment Grade</v>
      </c>
    </row>
    <row r="488" spans="1:36" x14ac:dyDescent="0.3">
      <c r="A488" s="3" t="s">
        <v>92</v>
      </c>
      <c r="B488" s="3" t="s">
        <v>634</v>
      </c>
      <c r="C488" s="3" t="s">
        <v>635</v>
      </c>
      <c r="D488" s="3" t="s">
        <v>39</v>
      </c>
      <c r="E488" s="3" t="s">
        <v>636</v>
      </c>
      <c r="F488" s="3" t="s">
        <v>96</v>
      </c>
      <c r="G488" s="3">
        <v>1.49683433</v>
      </c>
      <c r="H488" s="3">
        <v>1.622054168</v>
      </c>
      <c r="I488" s="3">
        <v>0.31023566699999999</v>
      </c>
      <c r="J488" s="3">
        <v>136.08592419999999</v>
      </c>
      <c r="K488" s="3">
        <v>5.7932619999999997E-2</v>
      </c>
      <c r="L488" s="3">
        <v>7.0578825999999997E-2</v>
      </c>
      <c r="M488" s="3">
        <v>0.32415275399999999</v>
      </c>
      <c r="N488" s="3">
        <v>6.2131361000000003E-2</v>
      </c>
      <c r="O488" s="3">
        <v>3.9915965999999997E-2</v>
      </c>
      <c r="P488" s="3">
        <v>6.0471091999999997E-2</v>
      </c>
      <c r="Q488" s="3">
        <v>9.4227642E-2</v>
      </c>
      <c r="R488" s="3">
        <v>0.68900675</v>
      </c>
      <c r="S488" s="3">
        <v>9.8795061729999993</v>
      </c>
      <c r="T488" s="3">
        <v>1.322601626</v>
      </c>
      <c r="U488" s="3">
        <v>0.56027000999999998</v>
      </c>
      <c r="V488" s="3">
        <v>0.17917847000000001</v>
      </c>
      <c r="W488" s="3">
        <v>0.85642105300000004</v>
      </c>
      <c r="X488" s="3">
        <v>6.6086472489999997</v>
      </c>
      <c r="Y488" s="3">
        <v>5.7313931900000004</v>
      </c>
      <c r="Z488" s="3">
        <v>2.3606504070000001</v>
      </c>
      <c r="AA488" s="3">
        <v>7.0578825999999997E-2</v>
      </c>
      <c r="AB488" s="3">
        <v>5.6377423520000001</v>
      </c>
      <c r="AC488" s="3">
        <v>7.7165866359999997</v>
      </c>
      <c r="AD488" s="3">
        <v>0.11871438600000001</v>
      </c>
      <c r="AE488" s="3">
        <v>8.3154981550000002</v>
      </c>
      <c r="AF488" s="4">
        <v>41523</v>
      </c>
      <c r="AG488" s="5">
        <f>YEAR(AF488)</f>
        <v>2013</v>
      </c>
      <c r="AH488" s="5" t="str">
        <f>"Q"&amp;ROUNDUP(MONTH(AF488)/3,0)</f>
        <v>Q3</v>
      </c>
      <c r="AI488" s="5">
        <f>INDEX(RatingLookup!$B$2:$B$11,MATCH(A488,RatingLookup!$A$2:$A$11,0))</f>
        <v>6</v>
      </c>
      <c r="AJ488" s="5" t="str">
        <f>INDEX(RatingLookup!$C$2:$C$11,MATCH(A488,RatingLookup!$A$2:$A$11,0))</f>
        <v>Speculative Grade</v>
      </c>
    </row>
    <row r="489" spans="1:36" x14ac:dyDescent="0.3">
      <c r="A489" s="3" t="s">
        <v>92</v>
      </c>
      <c r="B489" s="3" t="s">
        <v>634</v>
      </c>
      <c r="C489" s="3" t="s">
        <v>635</v>
      </c>
      <c r="D489" s="3" t="s">
        <v>39</v>
      </c>
      <c r="E489" s="3" t="s">
        <v>637</v>
      </c>
      <c r="F489" s="3" t="s">
        <v>96</v>
      </c>
      <c r="G489" s="3">
        <v>1.460500329</v>
      </c>
      <c r="H489" s="3">
        <v>1.3688281760000001</v>
      </c>
      <c r="I489" s="3">
        <v>0.23222514799999999</v>
      </c>
      <c r="J489" s="3">
        <v>198.8082656</v>
      </c>
      <c r="K489" s="3">
        <v>7.9895890999999997E-2</v>
      </c>
      <c r="L489" s="3">
        <v>9.5512263999999999E-2</v>
      </c>
      <c r="M489" s="3">
        <v>0.40302863</v>
      </c>
      <c r="N489" s="3">
        <v>8.5968925000000002E-2</v>
      </c>
      <c r="O489" s="3">
        <v>3.6625931E-2</v>
      </c>
      <c r="P489" s="3">
        <v>5.6111573999999997E-2</v>
      </c>
      <c r="Q489" s="3">
        <v>9.4867953000000005E-2</v>
      </c>
      <c r="R489" s="3">
        <v>0.45842071000000001</v>
      </c>
      <c r="S489" s="3">
        <v>7.6935679610000003</v>
      </c>
      <c r="T489" s="3">
        <v>1.5504776179999999</v>
      </c>
      <c r="U489" s="3">
        <v>0.59859715099999999</v>
      </c>
      <c r="V489" s="3">
        <v>0.16350123899999999</v>
      </c>
      <c r="W489" s="3">
        <v>0.94037809000000006</v>
      </c>
      <c r="X489" s="3">
        <v>6.7977408930000003</v>
      </c>
      <c r="Y489" s="3">
        <v>4.944130103</v>
      </c>
      <c r="Z489" s="3">
        <v>2.5901854279999998</v>
      </c>
      <c r="AA489" s="3">
        <v>9.5512263999999999E-2</v>
      </c>
      <c r="AB489" s="3">
        <v>9.0430122209999997</v>
      </c>
      <c r="AC489" s="3">
        <v>7.2287316820000003</v>
      </c>
      <c r="AD489" s="3">
        <v>0.162709993</v>
      </c>
      <c r="AE489" s="3">
        <v>4.7784090910000003</v>
      </c>
      <c r="AF489" s="4">
        <v>42047</v>
      </c>
      <c r="AG489" s="5">
        <f>YEAR(AF489)</f>
        <v>2015</v>
      </c>
      <c r="AH489" s="5" t="str">
        <f>"Q"&amp;ROUNDUP(MONTH(AF489)/3,0)</f>
        <v>Q1</v>
      </c>
      <c r="AI489" s="5">
        <f>INDEX(RatingLookup!$B$2:$B$11,MATCH(A489,RatingLookup!$A$2:$A$11,0))</f>
        <v>6</v>
      </c>
      <c r="AJ489" s="5" t="str">
        <f>INDEX(RatingLookup!$C$2:$C$11,MATCH(A489,RatingLookup!$A$2:$A$11,0))</f>
        <v>Speculative Grade</v>
      </c>
    </row>
    <row r="490" spans="1:36" x14ac:dyDescent="0.3">
      <c r="A490" s="3" t="s">
        <v>42</v>
      </c>
      <c r="B490" s="3" t="s">
        <v>634</v>
      </c>
      <c r="C490" s="3" t="s">
        <v>635</v>
      </c>
      <c r="D490" s="3" t="s">
        <v>60</v>
      </c>
      <c r="E490" s="3" t="s">
        <v>46</v>
      </c>
      <c r="F490" s="3" t="s">
        <v>96</v>
      </c>
      <c r="G490" s="3">
        <v>1.2399310450000001</v>
      </c>
      <c r="H490" s="3">
        <v>1.54583921</v>
      </c>
      <c r="I490" s="3">
        <v>0.14135715400000001</v>
      </c>
      <c r="J490" s="3">
        <v>149.3666667</v>
      </c>
      <c r="K490" s="3">
        <v>5.9132419999999998E-2</v>
      </c>
      <c r="L490" s="3">
        <v>7.6347031999999995E-2</v>
      </c>
      <c r="M490" s="3">
        <v>0.33442922400000002</v>
      </c>
      <c r="N490" s="3">
        <v>7.0091323999999997E-2</v>
      </c>
      <c r="O490" s="3">
        <v>4.3000398000000002E-2</v>
      </c>
      <c r="P490" s="3">
        <v>7.0444490999999998E-2</v>
      </c>
      <c r="Q490" s="3">
        <v>0.109043449</v>
      </c>
      <c r="R490" s="3">
        <v>0.727188206</v>
      </c>
      <c r="S490" s="3">
        <v>10.20979021</v>
      </c>
      <c r="T490" s="3">
        <v>1.493937353</v>
      </c>
      <c r="U490" s="3">
        <v>0.58912206099999997</v>
      </c>
      <c r="V490" s="3">
        <v>0.22547846899999999</v>
      </c>
      <c r="W490" s="3">
        <v>0.75879653199999997</v>
      </c>
      <c r="X490" s="3">
        <v>4.2911110380000004</v>
      </c>
      <c r="Y490" s="3">
        <v>2.6011976849999998</v>
      </c>
      <c r="Z490" s="3">
        <v>2.5358706639999999</v>
      </c>
      <c r="AA490" s="3">
        <v>7.6347031999999995E-2</v>
      </c>
      <c r="AB490" s="3">
        <v>5.2049787539999999</v>
      </c>
      <c r="AC490" s="3">
        <v>5.655153726</v>
      </c>
      <c r="AD490" s="3">
        <v>8.9543379000000006E-2</v>
      </c>
      <c r="AE490" s="3">
        <v>7.2301587300000003</v>
      </c>
      <c r="AF490" s="4">
        <v>41075</v>
      </c>
      <c r="AG490" s="5">
        <f>YEAR(AF490)</f>
        <v>2012</v>
      </c>
      <c r="AH490" s="5" t="str">
        <f>"Q"&amp;ROUNDUP(MONTH(AF490)/3,0)</f>
        <v>Q2</v>
      </c>
      <c r="AI490" s="5">
        <f>INDEX(RatingLookup!$B$2:$B$11,MATCH(A490,RatingLookup!$A$2:$A$11,0))</f>
        <v>7</v>
      </c>
      <c r="AJ490" s="5" t="str">
        <f>INDEX(RatingLookup!$C$2:$C$11,MATCH(A490,RatingLookup!$A$2:$A$11,0))</f>
        <v>Investment Grade</v>
      </c>
    </row>
    <row r="491" spans="1:36" x14ac:dyDescent="0.3">
      <c r="A491" s="3" t="s">
        <v>92</v>
      </c>
      <c r="B491" s="3" t="s">
        <v>634</v>
      </c>
      <c r="C491" s="3" t="s">
        <v>635</v>
      </c>
      <c r="D491" s="3" t="s">
        <v>39</v>
      </c>
      <c r="E491" s="3" t="s">
        <v>638</v>
      </c>
      <c r="F491" s="3" t="s">
        <v>96</v>
      </c>
      <c r="G491" s="3">
        <v>1.272363913</v>
      </c>
      <c r="H491" s="3">
        <v>1.1960411120000001</v>
      </c>
      <c r="I491" s="3">
        <v>0.23372668399999999</v>
      </c>
      <c r="J491" s="3">
        <v>160.96293069999999</v>
      </c>
      <c r="K491" s="3">
        <v>3.9075446999999999E-2</v>
      </c>
      <c r="L491" s="3">
        <v>5.5909289000000001E-2</v>
      </c>
      <c r="M491" s="3">
        <v>0.39965111199999998</v>
      </c>
      <c r="N491" s="3">
        <v>8.0593108999999996E-2</v>
      </c>
      <c r="O491" s="3">
        <v>1.7540424999999998E-2</v>
      </c>
      <c r="P491" s="3">
        <v>3.1596589000000001E-2</v>
      </c>
      <c r="Q491" s="3">
        <v>4.9371831999999997E-2</v>
      </c>
      <c r="R491" s="3">
        <v>0.44888610499999998</v>
      </c>
      <c r="S491" s="3">
        <v>9.4595709570000004</v>
      </c>
      <c r="T491" s="3">
        <v>1.7715450740000001</v>
      </c>
      <c r="U491" s="3">
        <v>0.62938021200000005</v>
      </c>
      <c r="V491" s="3">
        <v>0.301092044</v>
      </c>
      <c r="W491" s="3">
        <v>0.96523898200000002</v>
      </c>
      <c r="X491" s="3">
        <v>6.1437999479999998</v>
      </c>
      <c r="Y491" s="3">
        <v>4.8518240109999997</v>
      </c>
      <c r="Z491" s="3">
        <v>2.814745426</v>
      </c>
      <c r="AA491" s="3">
        <v>5.5909289000000001E-2</v>
      </c>
      <c r="AB491" s="3">
        <v>10.70743006</v>
      </c>
      <c r="AC491" s="3">
        <v>6.3650557660000002</v>
      </c>
      <c r="AD491" s="3">
        <v>0.14051461000000001</v>
      </c>
      <c r="AE491" s="3">
        <v>5.1289120720000003</v>
      </c>
      <c r="AF491" s="4">
        <v>42240</v>
      </c>
      <c r="AG491" s="5">
        <f>YEAR(AF491)</f>
        <v>2015</v>
      </c>
      <c r="AH491" s="5" t="str">
        <f>"Q"&amp;ROUNDUP(MONTH(AF491)/3,0)</f>
        <v>Q3</v>
      </c>
      <c r="AI491" s="5">
        <f>INDEX(RatingLookup!$B$2:$B$11,MATCH(A491,RatingLookup!$A$2:$A$11,0))</f>
        <v>6</v>
      </c>
      <c r="AJ491" s="5" t="str">
        <f>INDEX(RatingLookup!$C$2:$C$11,MATCH(A491,RatingLookup!$A$2:$A$11,0))</f>
        <v>Speculative Grade</v>
      </c>
    </row>
    <row r="492" spans="1:36" x14ac:dyDescent="0.3">
      <c r="A492" s="3" t="s">
        <v>42</v>
      </c>
      <c r="B492" s="3" t="s">
        <v>634</v>
      </c>
      <c r="C492" s="3" t="s">
        <v>635</v>
      </c>
      <c r="D492" s="3" t="s">
        <v>60</v>
      </c>
      <c r="E492" s="3" t="s">
        <v>639</v>
      </c>
      <c r="F492" s="3" t="s">
        <v>96</v>
      </c>
      <c r="G492" s="3">
        <v>1.5023635580000001</v>
      </c>
      <c r="H492" s="3">
        <v>1.4886119470000001</v>
      </c>
      <c r="I492" s="3">
        <v>0.47765363100000002</v>
      </c>
      <c r="J492" s="3">
        <v>159.43969920000001</v>
      </c>
      <c r="K492" s="3">
        <v>-4.3728530000000002E-2</v>
      </c>
      <c r="L492" s="3">
        <v>-3.7972332999999997E-2</v>
      </c>
      <c r="M492" s="3">
        <v>0.39968433799999997</v>
      </c>
      <c r="N492" s="3">
        <v>5.2734193999999998E-2</v>
      </c>
      <c r="O492" s="3">
        <v>-2.6092737000000001E-2</v>
      </c>
      <c r="P492" s="3">
        <v>-3.0529223000000001E-2</v>
      </c>
      <c r="Q492" s="3">
        <v>-0.100021236</v>
      </c>
      <c r="R492" s="3">
        <v>0.59669824400000004</v>
      </c>
      <c r="S492" s="3">
        <v>9.4898678410000006</v>
      </c>
      <c r="T492" s="3">
        <v>2.7797833939999999</v>
      </c>
      <c r="U492" s="3">
        <v>0.72516758100000001</v>
      </c>
      <c r="V492" s="3">
        <v>-0.15158924200000001</v>
      </c>
      <c r="W492" s="3">
        <v>0.82706766899999995</v>
      </c>
      <c r="X492" s="3">
        <v>2.6041242200000001</v>
      </c>
      <c r="Y492" s="3">
        <v>8.7711638510000007</v>
      </c>
      <c r="Z492" s="3">
        <v>3.83329794</v>
      </c>
      <c r="AA492" s="3">
        <v>-3.7972332999999997E-2</v>
      </c>
      <c r="AB492" s="3">
        <v>67.556875730000002</v>
      </c>
      <c r="AC492" s="3">
        <v>3.1486229209999999</v>
      </c>
      <c r="AD492" s="3">
        <v>7.4087827999999994E-2</v>
      </c>
      <c r="AE492" s="3">
        <v>5.7424511550000004</v>
      </c>
      <c r="AF492" s="4">
        <v>42654</v>
      </c>
      <c r="AG492" s="5">
        <f>YEAR(AF492)</f>
        <v>2016</v>
      </c>
      <c r="AH492" s="5" t="str">
        <f>"Q"&amp;ROUNDUP(MONTH(AF492)/3,0)</f>
        <v>Q4</v>
      </c>
      <c r="AI492" s="5">
        <f>INDEX(RatingLookup!$B$2:$B$11,MATCH(A492,RatingLookup!$A$2:$A$11,0))</f>
        <v>7</v>
      </c>
      <c r="AJ492" s="5" t="str">
        <f>INDEX(RatingLookup!$C$2:$C$11,MATCH(A492,RatingLookup!$A$2:$A$11,0))</f>
        <v>Investment Grade</v>
      </c>
    </row>
    <row r="493" spans="1:36" x14ac:dyDescent="0.3">
      <c r="A493" s="3" t="s">
        <v>109</v>
      </c>
      <c r="B493" s="3" t="s">
        <v>640</v>
      </c>
      <c r="C493" s="3" t="s">
        <v>641</v>
      </c>
      <c r="D493" s="3" t="s">
        <v>39</v>
      </c>
      <c r="E493" s="3" t="s">
        <v>642</v>
      </c>
      <c r="F493" s="3" t="s">
        <v>113</v>
      </c>
      <c r="G493" s="3">
        <v>1.267076503</v>
      </c>
      <c r="H493" s="3">
        <v>0.73497267799999999</v>
      </c>
      <c r="I493" s="3">
        <v>3.8592896000000002E-2</v>
      </c>
      <c r="J493" s="3">
        <v>67.003242659999998</v>
      </c>
      <c r="K493" s="3">
        <v>-1.2069897E-2</v>
      </c>
      <c r="L493" s="3">
        <v>-1.423167E-2</v>
      </c>
      <c r="M493" s="3">
        <v>1</v>
      </c>
      <c r="N493" s="3">
        <v>5.9718970000000003E-2</v>
      </c>
      <c r="O493" s="3">
        <v>-8.3075019999999996E-3</v>
      </c>
      <c r="P493" s="3">
        <v>-1.1967884E-2</v>
      </c>
      <c r="Q493" s="3">
        <v>-0.17748344399999999</v>
      </c>
      <c r="R493" s="3">
        <v>0.68828270300000005</v>
      </c>
      <c r="S493" s="3">
        <v>1.4435053959999999</v>
      </c>
      <c r="T493" s="3">
        <v>20.364238409999999</v>
      </c>
      <c r="U493" s="3">
        <v>0.95319280799999995</v>
      </c>
      <c r="V493" s="3">
        <v>0.41139240500000002</v>
      </c>
      <c r="W493" s="3">
        <v>-0.17317487300000001</v>
      </c>
      <c r="X493" s="3">
        <v>-1.0034629310000001</v>
      </c>
      <c r="Y493" s="3">
        <v>1.121517393</v>
      </c>
      <c r="Z493" s="3">
        <v>21.364238409999999</v>
      </c>
      <c r="AA493" s="3">
        <v>-1.423167E-2</v>
      </c>
      <c r="AB493" s="3">
        <v>12.496906149999999</v>
      </c>
      <c r="AC493" s="3">
        <v>5.7945065319999998</v>
      </c>
      <c r="AD493" s="3">
        <v>5.3053504000000001E-2</v>
      </c>
      <c r="AE493" s="3">
        <v>0</v>
      </c>
      <c r="AF493" s="4">
        <v>41634</v>
      </c>
      <c r="AG493" s="5">
        <f>YEAR(AF493)</f>
        <v>2013</v>
      </c>
      <c r="AH493" s="5" t="str">
        <f>"Q"&amp;ROUNDUP(MONTH(AF493)/3,0)</f>
        <v>Q4</v>
      </c>
      <c r="AI493" s="5">
        <f>INDEX(RatingLookup!$B$2:$B$11,MATCH(A493,RatingLookup!$A$2:$A$11,0))</f>
        <v>5</v>
      </c>
      <c r="AJ493" s="5" t="str">
        <f>INDEX(RatingLookup!$C$2:$C$11,MATCH(A493,RatingLookup!$A$2:$A$11,0))</f>
        <v>Speculative Grade</v>
      </c>
    </row>
    <row r="494" spans="1:36" x14ac:dyDescent="0.3">
      <c r="A494" s="3" t="s">
        <v>116</v>
      </c>
      <c r="B494" s="3" t="s">
        <v>640</v>
      </c>
      <c r="C494" s="3" t="s">
        <v>641</v>
      </c>
      <c r="D494" s="3" t="s">
        <v>60</v>
      </c>
      <c r="E494" s="3" t="s">
        <v>643</v>
      </c>
      <c r="F494" s="3" t="s">
        <v>113</v>
      </c>
      <c r="G494" s="3">
        <v>1.200324977</v>
      </c>
      <c r="H494" s="3">
        <v>0.71077065900000003</v>
      </c>
      <c r="I494" s="3">
        <v>8.2636954999999998E-2</v>
      </c>
      <c r="J494" s="3">
        <v>52.965546850000003</v>
      </c>
      <c r="K494" s="3">
        <v>-7.5131479999999999E-3</v>
      </c>
      <c r="L494" s="3">
        <v>7.7278090000000004E-3</v>
      </c>
      <c r="M494" s="3">
        <v>1</v>
      </c>
      <c r="N494" s="3">
        <v>5.6670602E-2</v>
      </c>
      <c r="O494" s="3">
        <v>-5.9116630000000002E-3</v>
      </c>
      <c r="P494" s="3">
        <v>7.4326419999999997E-3</v>
      </c>
      <c r="Q494" s="3">
        <v>-0.20260491999999999</v>
      </c>
      <c r="R494" s="3">
        <v>0.78684232799999998</v>
      </c>
      <c r="S494" s="3">
        <v>2.3542640559999999</v>
      </c>
      <c r="T494" s="3">
        <v>33.272069459999997</v>
      </c>
      <c r="U494" s="3">
        <v>0.97082172099999997</v>
      </c>
      <c r="V494" s="3">
        <v>0.47222222200000002</v>
      </c>
      <c r="W494" s="3">
        <v>0.17933723200000001</v>
      </c>
      <c r="X494" s="3">
        <v>1.8554559479999999</v>
      </c>
      <c r="Y494" s="3">
        <v>3.6100718989999998</v>
      </c>
      <c r="Z494" s="3">
        <v>34.272069459999997</v>
      </c>
      <c r="AA494" s="3">
        <v>7.7278090000000004E-3</v>
      </c>
      <c r="AB494" s="3">
        <v>8.8930353960000001</v>
      </c>
      <c r="AC494" s="3">
        <v>10.34618371</v>
      </c>
      <c r="AD494" s="3">
        <v>5.5060642E-2</v>
      </c>
      <c r="AE494" s="3">
        <v>0</v>
      </c>
      <c r="AF494" s="4">
        <v>42510</v>
      </c>
      <c r="AG494" s="5">
        <f>YEAR(AF494)</f>
        <v>2016</v>
      </c>
      <c r="AH494" s="5" t="str">
        <f>"Q"&amp;ROUNDUP(MONTH(AF494)/3,0)</f>
        <v>Q2</v>
      </c>
      <c r="AI494" s="5">
        <f>INDEX(RatingLookup!$B$2:$B$11,MATCH(A494,RatingLookup!$A$2:$A$11,0))</f>
        <v>4</v>
      </c>
      <c r="AJ494" s="5" t="str">
        <f>INDEX(RatingLookup!$C$2:$C$11,MATCH(A494,RatingLookup!$A$2:$A$11,0))</f>
        <v>Speculative Grade</v>
      </c>
    </row>
    <row r="495" spans="1:36" x14ac:dyDescent="0.3">
      <c r="A495" s="3" t="s">
        <v>109</v>
      </c>
      <c r="B495" s="3" t="s">
        <v>640</v>
      </c>
      <c r="C495" s="3" t="s">
        <v>641</v>
      </c>
      <c r="D495" s="3" t="s">
        <v>47</v>
      </c>
      <c r="E495" s="3" t="s">
        <v>644</v>
      </c>
      <c r="F495" s="3" t="s">
        <v>113</v>
      </c>
      <c r="G495" s="3">
        <v>1.3031730290000001</v>
      </c>
      <c r="H495" s="3">
        <v>0.90778383699999998</v>
      </c>
      <c r="I495" s="3">
        <v>0.17749132400000001</v>
      </c>
      <c r="J495" s="3">
        <v>53.89149381</v>
      </c>
      <c r="K495" s="3">
        <v>-9.7854340000000008E-3</v>
      </c>
      <c r="L495" s="3">
        <v>1.2639519E-2</v>
      </c>
      <c r="M495" s="3">
        <v>1</v>
      </c>
      <c r="N495" s="3">
        <v>6.2127313000000003E-2</v>
      </c>
      <c r="O495" s="3">
        <v>-7.7729649999999997E-3</v>
      </c>
      <c r="P495" s="3">
        <v>1.1999806E-2</v>
      </c>
      <c r="Q495" s="3">
        <v>-0.460431655</v>
      </c>
      <c r="R495" s="3">
        <v>0.79434031000000005</v>
      </c>
      <c r="S495" s="3">
        <v>2.4364832980000002</v>
      </c>
      <c r="T495" s="3">
        <v>58.235011989999997</v>
      </c>
      <c r="U495" s="3">
        <v>0.983118092</v>
      </c>
      <c r="V495" s="3">
        <v>0.27016129</v>
      </c>
      <c r="W495" s="3">
        <v>-0.56810035800000003</v>
      </c>
      <c r="X495" s="3">
        <v>-3.1916714490000002</v>
      </c>
      <c r="Y495" s="3">
        <v>7.7022986080000004</v>
      </c>
      <c r="Z495" s="3">
        <v>59.235011989999997</v>
      </c>
      <c r="AA495" s="3">
        <v>1.2639519E-2</v>
      </c>
      <c r="AB495" s="3">
        <v>7.7086251089999998</v>
      </c>
      <c r="AC495" s="3">
        <v>5.61814722</v>
      </c>
      <c r="AD495" s="3">
        <v>2.8438917000000001E-2</v>
      </c>
      <c r="AE495" s="3">
        <v>0</v>
      </c>
      <c r="AF495" s="4">
        <v>42690</v>
      </c>
      <c r="AG495" s="5">
        <f>YEAR(AF495)</f>
        <v>2016</v>
      </c>
      <c r="AH495" s="5" t="str">
        <f>"Q"&amp;ROUNDUP(MONTH(AF495)/3,0)</f>
        <v>Q4</v>
      </c>
      <c r="AI495" s="5">
        <f>INDEX(RatingLookup!$B$2:$B$11,MATCH(A495,RatingLookup!$A$2:$A$11,0))</f>
        <v>5</v>
      </c>
      <c r="AJ495" s="5" t="str">
        <f>INDEX(RatingLookup!$C$2:$C$11,MATCH(A495,RatingLookup!$A$2:$A$11,0))</f>
        <v>Speculative Grade</v>
      </c>
    </row>
    <row r="496" spans="1:36" x14ac:dyDescent="0.3">
      <c r="A496" s="3" t="s">
        <v>116</v>
      </c>
      <c r="B496" s="3" t="s">
        <v>640</v>
      </c>
      <c r="C496" s="3" t="s">
        <v>641</v>
      </c>
      <c r="D496" s="3" t="s">
        <v>47</v>
      </c>
      <c r="E496" s="3" t="s">
        <v>645</v>
      </c>
      <c r="F496" s="3" t="s">
        <v>113</v>
      </c>
      <c r="G496" s="3">
        <v>1.520703347</v>
      </c>
      <c r="H496" s="3">
        <v>0.97163925100000004</v>
      </c>
      <c r="I496" s="3">
        <v>0.20646625099999999</v>
      </c>
      <c r="J496" s="3">
        <v>53.835398619999999</v>
      </c>
      <c r="K496" s="3">
        <v>1.5462221999999999E-2</v>
      </c>
      <c r="L496" s="3">
        <v>3.6626823000000003E-2</v>
      </c>
      <c r="M496" s="3">
        <v>1</v>
      </c>
      <c r="N496" s="3">
        <v>8.2136198999999993E-2</v>
      </c>
      <c r="O496" s="3">
        <v>1.5590447E-2</v>
      </c>
      <c r="P496" s="3">
        <v>4.5872820000000002E-2</v>
      </c>
      <c r="Q496" s="3">
        <v>0.12335958</v>
      </c>
      <c r="R496" s="3">
        <v>1.0082927909999999</v>
      </c>
      <c r="S496" s="3">
        <v>2.1241556020000001</v>
      </c>
      <c r="T496" s="3">
        <v>6.9125109360000003</v>
      </c>
      <c r="U496" s="3">
        <v>0.87361786799999996</v>
      </c>
      <c r="V496" s="3">
        <v>0.37425149699999999</v>
      </c>
      <c r="W496" s="3">
        <v>1</v>
      </c>
      <c r="X496" s="3">
        <v>5.690978887</v>
      </c>
      <c r="Y496" s="3">
        <v>3.5316698660000001</v>
      </c>
      <c r="Z496" s="3">
        <v>7.9125109360000003</v>
      </c>
      <c r="AA496" s="3">
        <v>3.6626823000000003E-2</v>
      </c>
      <c r="AB496" s="3">
        <v>7.4180499580000001</v>
      </c>
      <c r="AC496" s="3">
        <v>5.690978887</v>
      </c>
      <c r="AD496" s="3">
        <v>6.502906E-2</v>
      </c>
      <c r="AE496" s="3">
        <v>0</v>
      </c>
      <c r="AF496" s="4">
        <v>41451</v>
      </c>
      <c r="AG496" s="5">
        <f>YEAR(AF496)</f>
        <v>2013</v>
      </c>
      <c r="AH496" s="5" t="str">
        <f>"Q"&amp;ROUNDUP(MONTH(AF496)/3,0)</f>
        <v>Q2</v>
      </c>
      <c r="AI496" s="5">
        <f>INDEX(RatingLookup!$B$2:$B$11,MATCH(A496,RatingLookup!$A$2:$A$11,0))</f>
        <v>4</v>
      </c>
      <c r="AJ496" s="5" t="str">
        <f>INDEX(RatingLookup!$C$2:$C$11,MATCH(A496,RatingLookup!$A$2:$A$11,0))</f>
        <v>Speculative Grade</v>
      </c>
    </row>
    <row r="497" spans="1:36" x14ac:dyDescent="0.3">
      <c r="A497" s="3" t="s">
        <v>92</v>
      </c>
      <c r="B497" s="3" t="s">
        <v>640</v>
      </c>
      <c r="C497" s="3" t="s">
        <v>641</v>
      </c>
      <c r="D497" s="3" t="s">
        <v>47</v>
      </c>
      <c r="E497" s="3" t="s">
        <v>646</v>
      </c>
      <c r="F497" s="3" t="s">
        <v>113</v>
      </c>
      <c r="G497" s="3">
        <v>1.2986225899999999</v>
      </c>
      <c r="H497" s="3">
        <v>0.77961432500000005</v>
      </c>
      <c r="I497" s="3">
        <v>6.2258952999999999E-2</v>
      </c>
      <c r="J497" s="3">
        <v>48.671744570000001</v>
      </c>
      <c r="K497" s="3">
        <v>6.051753E-3</v>
      </c>
      <c r="L497" s="3">
        <v>1.6798831E-2</v>
      </c>
      <c r="M497" s="3">
        <v>1</v>
      </c>
      <c r="N497" s="3">
        <v>6.7821369000000006E-2</v>
      </c>
      <c r="O497" s="3">
        <v>6.8541720000000004E-3</v>
      </c>
      <c r="P497" s="3">
        <v>2.4221453E-2</v>
      </c>
      <c r="Q497" s="3">
        <v>4.0758959999999997E-2</v>
      </c>
      <c r="R497" s="3">
        <v>1.1325927680000001</v>
      </c>
      <c r="S497" s="3">
        <v>2.2032183910000001</v>
      </c>
      <c r="T497" s="3">
        <v>4.9465917079999997</v>
      </c>
      <c r="U497" s="3">
        <v>0.83183644499999998</v>
      </c>
      <c r="V497" s="3">
        <v>0.378881988</v>
      </c>
      <c r="W497" s="3">
        <v>1</v>
      </c>
      <c r="X497" s="3">
        <v>1.0603209549999999</v>
      </c>
      <c r="Y497" s="3">
        <v>0.29228163099999999</v>
      </c>
      <c r="Z497" s="3">
        <v>5.9465917079999997</v>
      </c>
      <c r="AA497" s="3">
        <v>1.6798831E-2</v>
      </c>
      <c r="AB497" s="3">
        <v>13.02858035</v>
      </c>
      <c r="AC497" s="3">
        <v>1.0603209549999999</v>
      </c>
      <c r="AD497" s="3">
        <v>5.1857262000000001E-2</v>
      </c>
      <c r="AE497" s="3">
        <v>0</v>
      </c>
      <c r="AF497" s="4">
        <v>40851</v>
      </c>
      <c r="AG497" s="5">
        <f>YEAR(AF497)</f>
        <v>2011</v>
      </c>
      <c r="AH497" s="5" t="str">
        <f>"Q"&amp;ROUNDUP(MONTH(AF497)/3,0)</f>
        <v>Q4</v>
      </c>
      <c r="AI497" s="5">
        <f>INDEX(RatingLookup!$B$2:$B$11,MATCH(A497,RatingLookup!$A$2:$A$11,0))</f>
        <v>6</v>
      </c>
      <c r="AJ497" s="5" t="str">
        <f>INDEX(RatingLookup!$C$2:$C$11,MATCH(A497,RatingLookup!$A$2:$A$11,0))</f>
        <v>Speculative Grade</v>
      </c>
    </row>
    <row r="498" spans="1:36" x14ac:dyDescent="0.3">
      <c r="A498" s="3" t="s">
        <v>116</v>
      </c>
      <c r="B498" s="3" t="s">
        <v>640</v>
      </c>
      <c r="C498" s="3" t="s">
        <v>641</v>
      </c>
      <c r="D498" s="3" t="s">
        <v>47</v>
      </c>
      <c r="E498" s="3" t="s">
        <v>647</v>
      </c>
      <c r="F498" s="3" t="s">
        <v>113</v>
      </c>
      <c r="G498" s="3">
        <v>1.339710145</v>
      </c>
      <c r="H498" s="3">
        <v>1.082318841</v>
      </c>
      <c r="I498" s="3">
        <v>0.234782609</v>
      </c>
      <c r="J498" s="3">
        <v>45.322650729999999</v>
      </c>
      <c r="K498" s="3">
        <v>0.12156436700000001</v>
      </c>
      <c r="L498" s="3">
        <v>1.7164584E-2</v>
      </c>
      <c r="M498" s="3">
        <v>1</v>
      </c>
      <c r="N498" s="3">
        <v>6.8875611000000003E-2</v>
      </c>
      <c r="O498" s="3">
        <v>0.13164705900000001</v>
      </c>
      <c r="P498" s="3">
        <v>2.3321033000000001E-2</v>
      </c>
      <c r="Q498" s="3">
        <v>0.63363533400000005</v>
      </c>
      <c r="R498" s="3">
        <v>1.0829411760000001</v>
      </c>
      <c r="S498" s="3">
        <v>2.1387081779999999</v>
      </c>
      <c r="T498" s="3">
        <v>3.8131370329999998</v>
      </c>
      <c r="U498" s="3">
        <v>0.79223529400000003</v>
      </c>
      <c r="V498" s="3">
        <v>-6.1835443039999998</v>
      </c>
      <c r="W498" s="3">
        <v>1</v>
      </c>
      <c r="X498" s="3">
        <v>0.97456026100000004</v>
      </c>
      <c r="Y498" s="3">
        <v>1.494876332</v>
      </c>
      <c r="Z498" s="3">
        <v>4.8131370330000003</v>
      </c>
      <c r="AA498" s="3">
        <v>1.7164584E-2</v>
      </c>
      <c r="AB498" s="3">
        <v>15.65692567</v>
      </c>
      <c r="AC498" s="3">
        <v>0.97456026100000004</v>
      </c>
      <c r="AD498" s="3">
        <v>5.1276479999999999E-2</v>
      </c>
      <c r="AE498" s="3">
        <v>0</v>
      </c>
      <c r="AF498" s="4">
        <v>40393</v>
      </c>
      <c r="AG498" s="5">
        <f>YEAR(AF498)</f>
        <v>2010</v>
      </c>
      <c r="AH498" s="5" t="str">
        <f>"Q"&amp;ROUNDUP(MONTH(AF498)/3,0)</f>
        <v>Q3</v>
      </c>
      <c r="AI498" s="5">
        <f>INDEX(RatingLookup!$B$2:$B$11,MATCH(A498,RatingLookup!$A$2:$A$11,0))</f>
        <v>4</v>
      </c>
      <c r="AJ498" s="5" t="str">
        <f>INDEX(RatingLookup!$C$2:$C$11,MATCH(A498,RatingLookup!$A$2:$A$11,0))</f>
        <v>Speculative Grade</v>
      </c>
    </row>
    <row r="499" spans="1:36" x14ac:dyDescent="0.3">
      <c r="A499" s="3" t="s">
        <v>116</v>
      </c>
      <c r="B499" s="3" t="s">
        <v>640</v>
      </c>
      <c r="C499" s="3" t="s">
        <v>641</v>
      </c>
      <c r="D499" s="3" t="s">
        <v>47</v>
      </c>
      <c r="E499" s="3" t="s">
        <v>648</v>
      </c>
      <c r="F499" s="3" t="s">
        <v>113</v>
      </c>
      <c r="G499" s="3">
        <v>1.3187028240000001</v>
      </c>
      <c r="H499" s="3">
        <v>0.72658652499999998</v>
      </c>
      <c r="I499" s="3">
        <v>5.3955828999999997E-2</v>
      </c>
      <c r="J499" s="3">
        <v>52.81131508</v>
      </c>
      <c r="K499" s="3">
        <v>7.2223899999999995E-4</v>
      </c>
      <c r="L499" s="3">
        <v>8.8474269999999997E-3</v>
      </c>
      <c r="M499" s="3">
        <v>1</v>
      </c>
      <c r="N499" s="3">
        <v>5.5672584999999997E-2</v>
      </c>
      <c r="O499" s="3">
        <v>6.6148499999999996E-4</v>
      </c>
      <c r="P499" s="3">
        <v>1.0093381E-2</v>
      </c>
      <c r="Q499" s="3">
        <v>1.843318E-2</v>
      </c>
      <c r="R499" s="3">
        <v>0.91588115299999995</v>
      </c>
      <c r="S499" s="3">
        <v>2.1485839910000002</v>
      </c>
      <c r="T499" s="3">
        <v>26.866359450000001</v>
      </c>
      <c r="U499" s="3">
        <v>0.96411443699999999</v>
      </c>
      <c r="V499" s="3">
        <v>0.33333333300000001</v>
      </c>
      <c r="W499" s="3">
        <v>-0.358078603</v>
      </c>
      <c r="X499" s="3">
        <v>-2.5153117040000001</v>
      </c>
      <c r="Y499" s="3">
        <v>1.9938446439999999</v>
      </c>
      <c r="Z499" s="3">
        <v>27.866359450000001</v>
      </c>
      <c r="AA499" s="3">
        <v>8.8474269999999997E-3</v>
      </c>
      <c r="AB499" s="3">
        <v>8.7397482130000004</v>
      </c>
      <c r="AC499" s="3">
        <v>7.0244680519999996</v>
      </c>
      <c r="AD499" s="3">
        <v>4.1348178999999999E-2</v>
      </c>
      <c r="AE499" s="3">
        <v>0</v>
      </c>
      <c r="AF499" s="4">
        <v>41906</v>
      </c>
      <c r="AG499" s="5">
        <f>YEAR(AF499)</f>
        <v>2014</v>
      </c>
      <c r="AH499" s="5" t="str">
        <f>"Q"&amp;ROUNDUP(MONTH(AF499)/3,0)</f>
        <v>Q3</v>
      </c>
      <c r="AI499" s="5">
        <f>INDEX(RatingLookup!$B$2:$B$11,MATCH(A499,RatingLookup!$A$2:$A$11,0))</f>
        <v>4</v>
      </c>
      <c r="AJ499" s="5" t="str">
        <f>INDEX(RatingLookup!$C$2:$C$11,MATCH(A499,RatingLookup!$A$2:$A$11,0))</f>
        <v>Speculative Grade</v>
      </c>
    </row>
    <row r="500" spans="1:36" x14ac:dyDescent="0.3">
      <c r="A500" s="3" t="s">
        <v>92</v>
      </c>
      <c r="B500" s="3" t="s">
        <v>649</v>
      </c>
      <c r="C500" s="3" t="s">
        <v>650</v>
      </c>
      <c r="D500" s="3" t="s">
        <v>39</v>
      </c>
      <c r="E500" s="3" t="s">
        <v>651</v>
      </c>
      <c r="F500" s="3" t="s">
        <v>113</v>
      </c>
      <c r="G500" s="3">
        <v>1.4103204279999999</v>
      </c>
      <c r="H500" s="3">
        <v>0.990318633</v>
      </c>
      <c r="I500" s="3">
        <v>0.38433394300000001</v>
      </c>
      <c r="J500" s="3">
        <v>65.254817660000001</v>
      </c>
      <c r="K500" s="3">
        <v>7.6252693999999996E-2</v>
      </c>
      <c r="L500" s="3">
        <v>0.135422125</v>
      </c>
      <c r="M500" s="3">
        <v>1</v>
      </c>
      <c r="N500" s="3">
        <v>0.18660137399999999</v>
      </c>
      <c r="O500" s="3">
        <v>3.7046058999999999E-2</v>
      </c>
      <c r="P500" s="3">
        <v>7.6859412000000002E-2</v>
      </c>
      <c r="Q500" s="3">
        <v>0.14291009599999999</v>
      </c>
      <c r="R500" s="3">
        <v>0.48583278299999999</v>
      </c>
      <c r="S500" s="3">
        <v>3.7942601909999998</v>
      </c>
      <c r="T500" s="3">
        <v>2.8576329409999999</v>
      </c>
      <c r="U500" s="3">
        <v>0.74077367800000005</v>
      </c>
      <c r="V500" s="3">
        <v>0.33868484500000001</v>
      </c>
      <c r="W500" s="3">
        <v>0.65173252100000001</v>
      </c>
      <c r="X500" s="3">
        <v>5.5051324250000002</v>
      </c>
      <c r="Y500" s="3">
        <v>4.5396441230000004</v>
      </c>
      <c r="Z500" s="3">
        <v>3.8576329409999999</v>
      </c>
      <c r="AA500" s="3">
        <v>0.135422125</v>
      </c>
      <c r="AB500" s="3">
        <v>6.7332447579999997</v>
      </c>
      <c r="AC500" s="3">
        <v>8.4469199400000008</v>
      </c>
      <c r="AD500" s="3">
        <v>0.21347049200000001</v>
      </c>
      <c r="AE500" s="3">
        <v>0</v>
      </c>
      <c r="AF500" s="4">
        <v>41542</v>
      </c>
      <c r="AG500" s="5">
        <f>YEAR(AF500)</f>
        <v>2013</v>
      </c>
      <c r="AH500" s="5" t="str">
        <f>"Q"&amp;ROUNDUP(MONTH(AF500)/3,0)</f>
        <v>Q3</v>
      </c>
      <c r="AI500" s="5">
        <f>INDEX(RatingLookup!$B$2:$B$11,MATCH(A500,RatingLookup!$A$2:$A$11,0))</f>
        <v>6</v>
      </c>
      <c r="AJ500" s="5" t="str">
        <f>INDEX(RatingLookup!$C$2:$C$11,MATCH(A500,RatingLookup!$A$2:$A$11,0))</f>
        <v>Speculative Grade</v>
      </c>
    </row>
    <row r="501" spans="1:36" x14ac:dyDescent="0.3">
      <c r="A501" s="3" t="s">
        <v>92</v>
      </c>
      <c r="B501" s="3" t="s">
        <v>649</v>
      </c>
      <c r="C501" s="3" t="s">
        <v>650</v>
      </c>
      <c r="D501" s="3" t="s">
        <v>39</v>
      </c>
      <c r="E501" s="3" t="s">
        <v>483</v>
      </c>
      <c r="F501" s="3" t="s">
        <v>113</v>
      </c>
      <c r="G501" s="3">
        <v>1.85612395</v>
      </c>
      <c r="H501" s="3">
        <v>1.3542174570000001</v>
      </c>
      <c r="I501" s="3">
        <v>0.46213586600000001</v>
      </c>
      <c r="J501" s="3">
        <v>62.800367440000002</v>
      </c>
      <c r="K501" s="3">
        <v>8.1538841000000001E-2</v>
      </c>
      <c r="L501" s="3">
        <v>9.7349695E-2</v>
      </c>
      <c r="M501" s="3">
        <v>1</v>
      </c>
      <c r="N501" s="3">
        <v>0.20467657</v>
      </c>
      <c r="O501" s="3">
        <v>4.0301258999999999E-2</v>
      </c>
      <c r="P501" s="3">
        <v>5.4454810999999999E-2</v>
      </c>
      <c r="Q501" s="3">
        <v>0.139853434</v>
      </c>
      <c r="R501" s="3">
        <v>0.49425842199999998</v>
      </c>
      <c r="S501" s="3">
        <v>3.5917304250000002</v>
      </c>
      <c r="T501" s="3">
        <v>2.4702001519999999</v>
      </c>
      <c r="U501" s="3">
        <v>0.71183218400000003</v>
      </c>
      <c r="V501" s="3">
        <v>0.51700161</v>
      </c>
      <c r="W501" s="3">
        <v>0.55985684599999996</v>
      </c>
      <c r="X501" s="3">
        <v>3.8485726269999998</v>
      </c>
      <c r="Y501" s="3">
        <v>6.1357926989999996</v>
      </c>
      <c r="Z501" s="3">
        <v>3.4702001519999999</v>
      </c>
      <c r="AA501" s="3">
        <v>9.7349695E-2</v>
      </c>
      <c r="AB501" s="3">
        <v>9.7559545639999996</v>
      </c>
      <c r="AC501" s="3">
        <v>6.8742083879999996</v>
      </c>
      <c r="AD501" s="3">
        <v>0.16456375500000001</v>
      </c>
      <c r="AE501" s="3">
        <v>0</v>
      </c>
      <c r="AF501" s="4">
        <v>42055</v>
      </c>
      <c r="AG501" s="5">
        <f>YEAR(AF501)</f>
        <v>2015</v>
      </c>
      <c r="AH501" s="5" t="str">
        <f>"Q"&amp;ROUNDUP(MONTH(AF501)/3,0)</f>
        <v>Q1</v>
      </c>
      <c r="AI501" s="5">
        <f>INDEX(RatingLookup!$B$2:$B$11,MATCH(A501,RatingLookup!$A$2:$A$11,0))</f>
        <v>6</v>
      </c>
      <c r="AJ501" s="5" t="str">
        <f>INDEX(RatingLookup!$C$2:$C$11,MATCH(A501,RatingLookup!$A$2:$A$11,0))</f>
        <v>Speculative Grade</v>
      </c>
    </row>
    <row r="502" spans="1:36" x14ac:dyDescent="0.3">
      <c r="A502" s="3" t="s">
        <v>109</v>
      </c>
      <c r="B502" s="3" t="s">
        <v>649</v>
      </c>
      <c r="C502" s="3" t="s">
        <v>650</v>
      </c>
      <c r="D502" s="3" t="s">
        <v>60</v>
      </c>
      <c r="E502" s="3" t="s">
        <v>652</v>
      </c>
      <c r="F502" s="3" t="s">
        <v>113</v>
      </c>
      <c r="G502" s="3">
        <v>1.426434985</v>
      </c>
      <c r="H502" s="3">
        <v>0.97225957699999999</v>
      </c>
      <c r="I502" s="3">
        <v>0.26447075399999997</v>
      </c>
      <c r="J502" s="3">
        <v>70.563472709999999</v>
      </c>
      <c r="K502" s="3">
        <v>7.2908635999999999E-2</v>
      </c>
      <c r="L502" s="3">
        <v>0.13619662900000001</v>
      </c>
      <c r="M502" s="3">
        <v>1</v>
      </c>
      <c r="N502" s="3">
        <v>0.17642840600000001</v>
      </c>
      <c r="O502" s="3">
        <v>3.3462170999999999E-2</v>
      </c>
      <c r="P502" s="3">
        <v>7.1519557999999997E-2</v>
      </c>
      <c r="Q502" s="3">
        <v>0.14243887499999999</v>
      </c>
      <c r="R502" s="3">
        <v>0.458960323</v>
      </c>
      <c r="S502" s="3">
        <v>3.9265209329999999</v>
      </c>
      <c r="T502" s="3">
        <v>3.2567134809999998</v>
      </c>
      <c r="U502" s="3">
        <v>0.76507697699999999</v>
      </c>
      <c r="V502" s="3">
        <v>0.35937637300000003</v>
      </c>
      <c r="W502" s="3">
        <v>0.50025253300000005</v>
      </c>
      <c r="X502" s="3">
        <v>5.7354074219999998</v>
      </c>
      <c r="Y502" s="3">
        <v>5.6331765249999997</v>
      </c>
      <c r="Z502" s="3">
        <v>4.2567134810000002</v>
      </c>
      <c r="AA502" s="3">
        <v>0.13619662900000001</v>
      </c>
      <c r="AB502" s="3">
        <v>8.2485761150000005</v>
      </c>
      <c r="AC502" s="3">
        <v>11.46502426</v>
      </c>
      <c r="AD502" s="3">
        <v>0.14973653100000001</v>
      </c>
      <c r="AE502" s="3">
        <v>0</v>
      </c>
      <c r="AF502" s="4">
        <v>41135</v>
      </c>
      <c r="AG502" s="5">
        <f>YEAR(AF502)</f>
        <v>2012</v>
      </c>
      <c r="AH502" s="5" t="str">
        <f>"Q"&amp;ROUNDUP(MONTH(AF502)/3,0)</f>
        <v>Q3</v>
      </c>
      <c r="AI502" s="5">
        <f>INDEX(RatingLookup!$B$2:$B$11,MATCH(A502,RatingLookup!$A$2:$A$11,0))</f>
        <v>5</v>
      </c>
      <c r="AJ502" s="5" t="str">
        <f>INDEX(RatingLookup!$C$2:$C$11,MATCH(A502,RatingLookup!$A$2:$A$11,0))</f>
        <v>Speculative Grade</v>
      </c>
    </row>
    <row r="503" spans="1:36" x14ac:dyDescent="0.3">
      <c r="A503" s="3" t="s">
        <v>109</v>
      </c>
      <c r="B503" s="3" t="s">
        <v>649</v>
      </c>
      <c r="C503" s="3" t="s">
        <v>650</v>
      </c>
      <c r="D503" s="3" t="s">
        <v>60</v>
      </c>
      <c r="E503" s="3" t="s">
        <v>46</v>
      </c>
      <c r="F503" s="3" t="s">
        <v>113</v>
      </c>
      <c r="G503" s="3">
        <v>1.978645687</v>
      </c>
      <c r="H503" s="3">
        <v>1.3930203029999999</v>
      </c>
      <c r="I503" s="3">
        <v>0.34146781399999998</v>
      </c>
      <c r="J503" s="3">
        <v>62.477961149999999</v>
      </c>
      <c r="K503" s="3">
        <v>6.8459803999999999E-2</v>
      </c>
      <c r="L503" s="3">
        <v>0.12784970500000001</v>
      </c>
      <c r="M503" s="3">
        <v>1</v>
      </c>
      <c r="N503" s="3">
        <v>0.16195178199999999</v>
      </c>
      <c r="O503" s="3">
        <v>5.3755258E-2</v>
      </c>
      <c r="P503" s="3">
        <v>0.11534662599999999</v>
      </c>
      <c r="Q503" s="3">
        <v>0.223252805</v>
      </c>
      <c r="R503" s="3">
        <v>0.78520905799999996</v>
      </c>
      <c r="S503" s="3">
        <v>4.8736321690000004</v>
      </c>
      <c r="T503" s="3">
        <v>3.1531342900000001</v>
      </c>
      <c r="U503" s="3">
        <v>0.75921799499999998</v>
      </c>
      <c r="V503" s="3">
        <v>0.353705832</v>
      </c>
      <c r="W503" s="3">
        <v>0.66089796499999998</v>
      </c>
      <c r="X503" s="3">
        <v>8.2390265750000005</v>
      </c>
      <c r="Y503" s="3">
        <v>4.3435407750000001</v>
      </c>
      <c r="Z503" s="3">
        <v>4.1531342899999997</v>
      </c>
      <c r="AA503" s="3">
        <v>0.12784970500000001</v>
      </c>
      <c r="AB503" s="3">
        <v>5.6961703650000004</v>
      </c>
      <c r="AC503" s="3">
        <v>12.46641238</v>
      </c>
      <c r="AD503" s="3">
        <v>0.16900742399999999</v>
      </c>
      <c r="AE503" s="3">
        <v>0</v>
      </c>
      <c r="AF503" s="4">
        <v>41075</v>
      </c>
      <c r="AG503" s="5">
        <f>YEAR(AF503)</f>
        <v>2012</v>
      </c>
      <c r="AH503" s="5" t="str">
        <f>"Q"&amp;ROUNDUP(MONTH(AF503)/3,0)</f>
        <v>Q2</v>
      </c>
      <c r="AI503" s="5">
        <f>INDEX(RatingLookup!$B$2:$B$11,MATCH(A503,RatingLookup!$A$2:$A$11,0))</f>
        <v>5</v>
      </c>
      <c r="AJ503" s="5" t="str">
        <f>INDEX(RatingLookup!$C$2:$C$11,MATCH(A503,RatingLookup!$A$2:$A$11,0))</f>
        <v>Speculative Grade</v>
      </c>
    </row>
    <row r="504" spans="1:36" x14ac:dyDescent="0.3">
      <c r="A504" s="3" t="s">
        <v>92</v>
      </c>
      <c r="B504" s="3" t="s">
        <v>649</v>
      </c>
      <c r="C504" s="3" t="s">
        <v>650</v>
      </c>
      <c r="D504" s="3" t="s">
        <v>39</v>
      </c>
      <c r="E504" s="3" t="s">
        <v>196</v>
      </c>
      <c r="F504" s="3" t="s">
        <v>113</v>
      </c>
      <c r="G504" s="3">
        <v>1.877040837</v>
      </c>
      <c r="H504" s="3">
        <v>1.513638649</v>
      </c>
      <c r="I504" s="3">
        <v>0.62485609399999997</v>
      </c>
      <c r="J504" s="3">
        <v>66.384461889999997</v>
      </c>
      <c r="K504" s="3">
        <v>2.8451905E-2</v>
      </c>
      <c r="L504" s="3">
        <v>4.5084116E-2</v>
      </c>
      <c r="M504" s="3">
        <v>1</v>
      </c>
      <c r="N504" s="3">
        <v>0.123487399</v>
      </c>
      <c r="O504" s="3">
        <v>1.4568394E-2</v>
      </c>
      <c r="P504" s="3">
        <v>2.6521282E-2</v>
      </c>
      <c r="Q504" s="3">
        <v>5.5377577999999997E-2</v>
      </c>
      <c r="R504" s="3">
        <v>0.51203580900000001</v>
      </c>
      <c r="S504" s="3">
        <v>3.3994847140000002</v>
      </c>
      <c r="T504" s="3">
        <v>2.8012135630000001</v>
      </c>
      <c r="U504" s="3">
        <v>0.73692612000000002</v>
      </c>
      <c r="V504" s="3">
        <v>0.69190238900000001</v>
      </c>
      <c r="W504" s="3">
        <v>0.54533907000000004</v>
      </c>
      <c r="X504" s="3">
        <v>4.008170872</v>
      </c>
      <c r="Y504" s="3">
        <v>9.0018434809999999</v>
      </c>
      <c r="Z504" s="3">
        <v>3.8012135630000001</v>
      </c>
      <c r="AA504" s="3">
        <v>4.5084116E-2</v>
      </c>
      <c r="AB504" s="3">
        <v>12.081362540000001</v>
      </c>
      <c r="AC504" s="3">
        <v>7.349869268</v>
      </c>
      <c r="AD504" s="3">
        <v>0.164256769</v>
      </c>
      <c r="AE504" s="3">
        <v>0</v>
      </c>
      <c r="AF504" s="4">
        <v>42321</v>
      </c>
      <c r="AG504" s="5">
        <f>YEAR(AF504)</f>
        <v>2015</v>
      </c>
      <c r="AH504" s="5" t="str">
        <f>"Q"&amp;ROUNDUP(MONTH(AF504)/3,0)</f>
        <v>Q4</v>
      </c>
      <c r="AI504" s="5">
        <f>INDEX(RatingLookup!$B$2:$B$11,MATCH(A504,RatingLookup!$A$2:$A$11,0))</f>
        <v>6</v>
      </c>
      <c r="AJ504" s="5" t="str">
        <f>INDEX(RatingLookup!$C$2:$C$11,MATCH(A504,RatingLookup!$A$2:$A$11,0))</f>
        <v>Speculative Grade</v>
      </c>
    </row>
    <row r="505" spans="1:36" x14ac:dyDescent="0.3">
      <c r="A505" s="3" t="s">
        <v>42</v>
      </c>
      <c r="B505" s="3" t="s">
        <v>653</v>
      </c>
      <c r="C505" s="3" t="s">
        <v>654</v>
      </c>
      <c r="D505" s="3" t="s">
        <v>39</v>
      </c>
      <c r="E505" s="3" t="s">
        <v>223</v>
      </c>
      <c r="F505" s="3" t="s">
        <v>79</v>
      </c>
      <c r="G505" s="3">
        <v>1.1420450559999999</v>
      </c>
      <c r="H505" s="3">
        <v>0.79928416000000002</v>
      </c>
      <c r="I505" s="3">
        <v>0.27321215500000001</v>
      </c>
      <c r="J505" s="3">
        <v>37.825621640000001</v>
      </c>
      <c r="K505" s="3">
        <v>3.8653452999999997E-2</v>
      </c>
      <c r="L505" s="3">
        <v>7.4221302000000003E-2</v>
      </c>
      <c r="M505" s="3">
        <v>0.39894644699999998</v>
      </c>
      <c r="N505" s="3">
        <v>0.115515588</v>
      </c>
      <c r="O505" s="3">
        <v>2.7785549E-2</v>
      </c>
      <c r="P505" s="3">
        <v>6.2209485000000002E-2</v>
      </c>
      <c r="Q505" s="3">
        <v>0.111574724</v>
      </c>
      <c r="R505" s="3">
        <v>0.71883742299999998</v>
      </c>
      <c r="S505" s="3">
        <v>1.6058881300000001</v>
      </c>
      <c r="T505" s="3">
        <v>3.0155666999999999</v>
      </c>
      <c r="U505" s="3">
        <v>0.75096914699999995</v>
      </c>
      <c r="V505" s="3">
        <v>0.30486891399999999</v>
      </c>
      <c r="W505" s="3">
        <v>0.39363693100000002</v>
      </c>
      <c r="X505" s="3">
        <v>2.7694144289999998</v>
      </c>
      <c r="Y505" s="3">
        <v>3.4523318380000001</v>
      </c>
      <c r="Z505" s="3">
        <v>4.0155666999999999</v>
      </c>
      <c r="AA505" s="3">
        <v>7.4221302000000003E-2</v>
      </c>
      <c r="AB505" s="3">
        <v>5.3351282700000002</v>
      </c>
      <c r="AC505" s="3">
        <v>7.0354537710000002</v>
      </c>
      <c r="AD505" s="3">
        <v>0.111401448</v>
      </c>
      <c r="AE505" s="3">
        <v>9.1560448870000002</v>
      </c>
      <c r="AF505" s="4">
        <v>41694</v>
      </c>
      <c r="AG505" s="5">
        <f>YEAR(AF505)</f>
        <v>2014</v>
      </c>
      <c r="AH505" s="5" t="str">
        <f>"Q"&amp;ROUNDUP(MONTH(AF505)/3,0)</f>
        <v>Q1</v>
      </c>
      <c r="AI505" s="5">
        <f>INDEX(RatingLookup!$B$2:$B$11,MATCH(A505,RatingLookup!$A$2:$A$11,0))</f>
        <v>7</v>
      </c>
      <c r="AJ505" s="5" t="str">
        <f>INDEX(RatingLookup!$C$2:$C$11,MATCH(A505,RatingLookup!$A$2:$A$11,0))</f>
        <v>Investment Grade</v>
      </c>
    </row>
    <row r="506" spans="1:36" x14ac:dyDescent="0.3">
      <c r="A506" s="3" t="s">
        <v>42</v>
      </c>
      <c r="B506" s="3" t="s">
        <v>653</v>
      </c>
      <c r="C506" s="3" t="s">
        <v>654</v>
      </c>
      <c r="D506" s="3" t="s">
        <v>39</v>
      </c>
      <c r="E506" s="3" t="s">
        <v>655</v>
      </c>
      <c r="F506" s="3" t="s">
        <v>79</v>
      </c>
      <c r="G506" s="3">
        <v>1.162205605</v>
      </c>
      <c r="H506" s="3">
        <v>0.77377874099999999</v>
      </c>
      <c r="I506" s="3">
        <v>0.293172129</v>
      </c>
      <c r="J506" s="3">
        <v>30.192876900000002</v>
      </c>
      <c r="K506" s="3">
        <v>4.0737922000000003E-2</v>
      </c>
      <c r="L506" s="3">
        <v>5.9705460000000002E-2</v>
      </c>
      <c r="M506" s="3">
        <v>0.37471156100000003</v>
      </c>
      <c r="N506" s="3">
        <v>0.121488891</v>
      </c>
      <c r="O506" s="3">
        <v>3.3409293999999999E-2</v>
      </c>
      <c r="P506" s="3">
        <v>5.7053140000000002E-2</v>
      </c>
      <c r="Q506" s="3">
        <v>0.12680982299999999</v>
      </c>
      <c r="R506" s="3">
        <v>0.82010304199999995</v>
      </c>
      <c r="S506" s="3">
        <v>1.82170918</v>
      </c>
      <c r="T506" s="3">
        <v>2.7956451430000002</v>
      </c>
      <c r="U506" s="3">
        <v>0.73654017599999999</v>
      </c>
      <c r="V506" s="3">
        <v>0.47592067999999998</v>
      </c>
      <c r="W506" s="3">
        <v>0.54565347099999995</v>
      </c>
      <c r="X506" s="3">
        <v>3.1759999539999999</v>
      </c>
      <c r="Y506" s="3">
        <v>2.4459715279999998</v>
      </c>
      <c r="Z506" s="3">
        <v>3.7956451430000002</v>
      </c>
      <c r="AA506" s="3">
        <v>5.9705460000000002E-2</v>
      </c>
      <c r="AB506" s="3">
        <v>7.0199406360000003</v>
      </c>
      <c r="AC506" s="3">
        <v>5.8205438450000004</v>
      </c>
      <c r="AD506" s="3">
        <v>0.12146472899999999</v>
      </c>
      <c r="AE506" s="3">
        <v>11.25641583</v>
      </c>
      <c r="AF506" s="4">
        <v>41995</v>
      </c>
      <c r="AG506" s="5">
        <f>YEAR(AF506)</f>
        <v>2014</v>
      </c>
      <c r="AH506" s="5" t="str">
        <f>"Q"&amp;ROUNDUP(MONTH(AF506)/3,0)</f>
        <v>Q4</v>
      </c>
      <c r="AI506" s="5">
        <f>INDEX(RatingLookup!$B$2:$B$11,MATCH(A506,RatingLookup!$A$2:$A$11,0))</f>
        <v>7</v>
      </c>
      <c r="AJ506" s="5" t="str">
        <f>INDEX(RatingLookup!$C$2:$C$11,MATCH(A506,RatingLookup!$A$2:$A$11,0))</f>
        <v>Investment Grade</v>
      </c>
    </row>
    <row r="507" spans="1:36" x14ac:dyDescent="0.3">
      <c r="A507" s="3" t="s">
        <v>42</v>
      </c>
      <c r="B507" s="3" t="s">
        <v>653</v>
      </c>
      <c r="C507" s="3" t="s">
        <v>654</v>
      </c>
      <c r="D507" s="3" t="s">
        <v>39</v>
      </c>
      <c r="E507" s="3" t="s">
        <v>656</v>
      </c>
      <c r="F507" s="3" t="s">
        <v>79</v>
      </c>
      <c r="G507" s="3">
        <v>0.869497886</v>
      </c>
      <c r="H507" s="3">
        <v>0.59110131600000004</v>
      </c>
      <c r="I507" s="3">
        <v>0.220203705</v>
      </c>
      <c r="J507" s="3">
        <v>33.804680840000003</v>
      </c>
      <c r="K507" s="3">
        <v>4.1996084000000003E-2</v>
      </c>
      <c r="L507" s="3">
        <v>8.8445845999999995E-2</v>
      </c>
      <c r="M507" s="3">
        <v>0.44157163999999999</v>
      </c>
      <c r="N507" s="3">
        <v>0.12477769</v>
      </c>
      <c r="O507" s="3">
        <v>2.6643658000000001E-2</v>
      </c>
      <c r="P507" s="3">
        <v>6.6736583000000002E-2</v>
      </c>
      <c r="Q507" s="3">
        <v>0.104383358</v>
      </c>
      <c r="R507" s="3">
        <v>0.63443194999999997</v>
      </c>
      <c r="S507" s="3">
        <v>1.339800965</v>
      </c>
      <c r="T507" s="3">
        <v>2.9177563150000001</v>
      </c>
      <c r="U507" s="3">
        <v>0.74475186299999996</v>
      </c>
      <c r="V507" s="3">
        <v>0.300439338</v>
      </c>
      <c r="W507" s="3">
        <v>0.57844990500000004</v>
      </c>
      <c r="X507" s="3">
        <v>3.8887444759999998</v>
      </c>
      <c r="Y507" s="3">
        <v>2.1529041389999999</v>
      </c>
      <c r="Z507" s="3">
        <v>3.9177563150000001</v>
      </c>
      <c r="AA507" s="3">
        <v>8.8445845999999995E-2</v>
      </c>
      <c r="AB507" s="3">
        <v>8.0051505790000004</v>
      </c>
      <c r="AC507" s="3">
        <v>6.7226987840000003</v>
      </c>
      <c r="AD507" s="3">
        <v>0.173932537</v>
      </c>
      <c r="AE507" s="3">
        <v>9.5100534490000008</v>
      </c>
      <c r="AF507" s="4">
        <v>42248</v>
      </c>
      <c r="AG507" s="5">
        <f>YEAR(AF507)</f>
        <v>2015</v>
      </c>
      <c r="AH507" s="5" t="str">
        <f>"Q"&amp;ROUNDUP(MONTH(AF507)/3,0)</f>
        <v>Q3</v>
      </c>
      <c r="AI507" s="5">
        <f>INDEX(RatingLookup!$B$2:$B$11,MATCH(A507,RatingLookup!$A$2:$A$11,0))</f>
        <v>7</v>
      </c>
      <c r="AJ507" s="5" t="str">
        <f>INDEX(RatingLookup!$C$2:$C$11,MATCH(A507,RatingLookup!$A$2:$A$11,0))</f>
        <v>Investment Grade</v>
      </c>
    </row>
    <row r="508" spans="1:36" x14ac:dyDescent="0.3">
      <c r="A508" s="3" t="s">
        <v>109</v>
      </c>
      <c r="B508" s="3" t="s">
        <v>657</v>
      </c>
      <c r="C508" s="3" t="s">
        <v>658</v>
      </c>
      <c r="D508" s="3" t="s">
        <v>39</v>
      </c>
      <c r="E508" s="3" t="s">
        <v>659</v>
      </c>
      <c r="F508" s="3" t="s">
        <v>113</v>
      </c>
      <c r="G508" s="3">
        <v>1.067186363</v>
      </c>
      <c r="H508" s="3">
        <v>0.53054727800000001</v>
      </c>
      <c r="I508" s="3">
        <v>0.13188792799999999</v>
      </c>
      <c r="J508" s="3">
        <v>156.63756420000001</v>
      </c>
      <c r="K508" s="3">
        <v>-0.25070277000000002</v>
      </c>
      <c r="L508" s="3">
        <v>-0.39125041500000002</v>
      </c>
      <c r="M508" s="3">
        <v>0.51322089500000001</v>
      </c>
      <c r="N508" s="3">
        <v>-0.31174292399999998</v>
      </c>
      <c r="O508" s="3">
        <v>-6.6117726000000002E-2</v>
      </c>
      <c r="P508" s="3">
        <v>-0.144129005</v>
      </c>
      <c r="Q508" s="3">
        <v>-0.30374434099999997</v>
      </c>
      <c r="R508" s="3">
        <v>0.26372953900000001</v>
      </c>
      <c r="S508" s="3">
        <v>6.7094688979999999</v>
      </c>
      <c r="T508" s="3">
        <v>3.5939925640000001</v>
      </c>
      <c r="U508" s="3">
        <v>0.78232441900000005</v>
      </c>
      <c r="V508" s="3">
        <v>0.35696867999999998</v>
      </c>
      <c r="W508" s="3">
        <v>0.76189841800000002</v>
      </c>
      <c r="X508" s="3">
        <v>1.751926533</v>
      </c>
      <c r="Y508" s="3">
        <v>2.7881494390000001</v>
      </c>
      <c r="Z508" s="3">
        <v>4.5939925639999997</v>
      </c>
      <c r="AA508" s="3">
        <v>-0.39125041500000002</v>
      </c>
      <c r="AB508" s="3">
        <v>-29.175224750000002</v>
      </c>
      <c r="AC508" s="3">
        <v>2.299422721</v>
      </c>
      <c r="AD508" s="3">
        <v>0.117397959</v>
      </c>
      <c r="AE508" s="3">
        <v>4.5421834060000004</v>
      </c>
      <c r="AF508" s="4">
        <v>42184</v>
      </c>
      <c r="AG508" s="5">
        <f>YEAR(AF508)</f>
        <v>2015</v>
      </c>
      <c r="AH508" s="5" t="str">
        <f>"Q"&amp;ROUNDUP(MONTH(AF508)/3,0)</f>
        <v>Q2</v>
      </c>
      <c r="AI508" s="5">
        <f>INDEX(RatingLookup!$B$2:$B$11,MATCH(A508,RatingLookup!$A$2:$A$11,0))</f>
        <v>5</v>
      </c>
      <c r="AJ508" s="5" t="str">
        <f>INDEX(RatingLookup!$C$2:$C$11,MATCH(A508,RatingLookup!$A$2:$A$11,0))</f>
        <v>Speculative Grade</v>
      </c>
    </row>
    <row r="509" spans="1:36" x14ac:dyDescent="0.3">
      <c r="A509" s="3" t="s">
        <v>92</v>
      </c>
      <c r="B509" s="3" t="s">
        <v>657</v>
      </c>
      <c r="C509" s="3" t="s">
        <v>658</v>
      </c>
      <c r="D509" s="3" t="s">
        <v>47</v>
      </c>
      <c r="E509" s="3" t="s">
        <v>660</v>
      </c>
      <c r="F509" s="3" t="s">
        <v>113</v>
      </c>
      <c r="G509" s="3">
        <v>1.6824153399999999</v>
      </c>
      <c r="H509" s="3">
        <v>1.1919946809999999</v>
      </c>
      <c r="I509" s="3">
        <v>0.76420015200000002</v>
      </c>
      <c r="J509" s="3">
        <v>124.69017940000001</v>
      </c>
      <c r="K509" s="3">
        <v>-0.32256089300000002</v>
      </c>
      <c r="L509" s="3">
        <v>-0.25490744300000001</v>
      </c>
      <c r="M509" s="3">
        <v>0.58271241699999998</v>
      </c>
      <c r="N509" s="3">
        <v>0.268409234</v>
      </c>
      <c r="O509" s="3">
        <v>-0.10428393399999999</v>
      </c>
      <c r="P509" s="3">
        <v>-7.5482484000000002E-2</v>
      </c>
      <c r="Q509" s="3">
        <v>-1.3028812700000001</v>
      </c>
      <c r="R509" s="3">
        <v>0.32329999300000001</v>
      </c>
      <c r="S509" s="3">
        <v>5.7103260880000004</v>
      </c>
      <c r="T509" s="3">
        <v>11.381055399999999</v>
      </c>
      <c r="U509" s="3">
        <v>0.910951183</v>
      </c>
      <c r="V509" s="3">
        <v>-0.26540398100000001</v>
      </c>
      <c r="W509" s="3">
        <v>0.68301302799999997</v>
      </c>
      <c r="X509" s="3">
        <v>1.774676422</v>
      </c>
      <c r="Y509" s="3">
        <v>11.28563853</v>
      </c>
      <c r="Z509" s="3">
        <v>12.493595279999999</v>
      </c>
      <c r="AA509" s="3">
        <v>-0.17319823500000001</v>
      </c>
      <c r="AB509" s="3">
        <v>-90.228180030000004</v>
      </c>
      <c r="AC509" s="3">
        <v>2.5983053759999999</v>
      </c>
      <c r="AD509" s="3">
        <v>0.14049967999999999</v>
      </c>
      <c r="AE509" s="3">
        <v>3.368027777</v>
      </c>
      <c r="AF509" s="4">
        <v>41584</v>
      </c>
      <c r="AG509" s="5">
        <f>YEAR(AF509)</f>
        <v>2013</v>
      </c>
      <c r="AH509" s="5" t="str">
        <f>"Q"&amp;ROUNDUP(MONTH(AF509)/3,0)</f>
        <v>Q4</v>
      </c>
      <c r="AI509" s="5">
        <f>INDEX(RatingLookup!$B$2:$B$11,MATCH(A509,RatingLookup!$A$2:$A$11,0))</f>
        <v>6</v>
      </c>
      <c r="AJ509" s="5" t="str">
        <f>INDEX(RatingLookup!$C$2:$C$11,MATCH(A509,RatingLookup!$A$2:$A$11,0))</f>
        <v>Speculative Grade</v>
      </c>
    </row>
    <row r="510" spans="1:36" x14ac:dyDescent="0.3">
      <c r="A510" s="3" t="s">
        <v>109</v>
      </c>
      <c r="B510" s="3" t="s">
        <v>657</v>
      </c>
      <c r="C510" s="3" t="s">
        <v>658</v>
      </c>
      <c r="D510" s="3" t="s">
        <v>39</v>
      </c>
      <c r="E510" s="3" t="s">
        <v>365</v>
      </c>
      <c r="F510" s="3" t="s">
        <v>113</v>
      </c>
      <c r="G510" s="3">
        <v>1.000241774</v>
      </c>
      <c r="H510" s="3">
        <v>0.36480863000000002</v>
      </c>
      <c r="I510" s="3">
        <v>7.8389045000000004E-2</v>
      </c>
      <c r="J510" s="3">
        <v>111.1148484</v>
      </c>
      <c r="K510" s="3">
        <v>-0.457378703</v>
      </c>
      <c r="L510" s="3">
        <v>-0.439886218</v>
      </c>
      <c r="M510" s="3">
        <v>0.36499538999999998</v>
      </c>
      <c r="N510" s="3">
        <v>-0.285578322</v>
      </c>
      <c r="O510" s="3">
        <v>-7.7261811E-2</v>
      </c>
      <c r="P510" s="3">
        <v>-9.0568267999999993E-2</v>
      </c>
      <c r="Q510" s="3">
        <v>-0.25050845900000002</v>
      </c>
      <c r="R510" s="3">
        <v>0.16892306200000001</v>
      </c>
      <c r="S510" s="3">
        <v>4.874507511</v>
      </c>
      <c r="T510" s="3">
        <v>2.2423322269999999</v>
      </c>
      <c r="U510" s="3">
        <v>0.69158003300000004</v>
      </c>
      <c r="V510" s="3">
        <v>0.79107968500000003</v>
      </c>
      <c r="W510" s="3">
        <v>-1.0272466389999999</v>
      </c>
      <c r="X510" s="3">
        <v>-0.32326737700000002</v>
      </c>
      <c r="Y510" s="3">
        <v>1.38194825</v>
      </c>
      <c r="Z510" s="3">
        <v>3.2423322269999999</v>
      </c>
      <c r="AA510" s="3">
        <v>-0.439886218</v>
      </c>
      <c r="AB510" s="3">
        <v>-69.433812680000003</v>
      </c>
      <c r="AC510" s="3">
        <v>0.314693049</v>
      </c>
      <c r="AD510" s="3">
        <v>1.8975635000000001E-2</v>
      </c>
      <c r="AE510" s="3">
        <v>6.0291895530000001</v>
      </c>
      <c r="AF510" s="4">
        <v>42275</v>
      </c>
      <c r="AG510" s="5">
        <f>YEAR(AF510)</f>
        <v>2015</v>
      </c>
      <c r="AH510" s="5" t="str">
        <f>"Q"&amp;ROUNDUP(MONTH(AF510)/3,0)</f>
        <v>Q3</v>
      </c>
      <c r="AI510" s="5">
        <f>INDEX(RatingLookup!$B$2:$B$11,MATCH(A510,RatingLookup!$A$2:$A$11,0))</f>
        <v>5</v>
      </c>
      <c r="AJ510" s="5" t="str">
        <f>INDEX(RatingLookup!$C$2:$C$11,MATCH(A510,RatingLookup!$A$2:$A$11,0))</f>
        <v>Speculative Grade</v>
      </c>
    </row>
    <row r="511" spans="1:36" x14ac:dyDescent="0.3">
      <c r="A511" s="3" t="s">
        <v>92</v>
      </c>
      <c r="B511" s="3" t="s">
        <v>657</v>
      </c>
      <c r="C511" s="3" t="s">
        <v>658</v>
      </c>
      <c r="D511" s="3" t="s">
        <v>47</v>
      </c>
      <c r="E511" s="3" t="s">
        <v>661</v>
      </c>
      <c r="F511" s="3" t="s">
        <v>113</v>
      </c>
      <c r="G511" s="3">
        <v>1.847624717</v>
      </c>
      <c r="H511" s="3">
        <v>1.378067972</v>
      </c>
      <c r="I511" s="3">
        <v>0.63359100199999996</v>
      </c>
      <c r="J511" s="3">
        <v>116.5051721</v>
      </c>
      <c r="K511" s="3">
        <v>0.15091575800000001</v>
      </c>
      <c r="L511" s="3">
        <v>0.22880629599999999</v>
      </c>
      <c r="M511" s="3">
        <v>0.70589181300000003</v>
      </c>
      <c r="N511" s="3">
        <v>0.27228242899999999</v>
      </c>
      <c r="O511" s="3">
        <v>6.6201494999999999E-2</v>
      </c>
      <c r="P511" s="3">
        <v>0.13828948999999999</v>
      </c>
      <c r="Q511" s="3">
        <v>0.14871804</v>
      </c>
      <c r="R511" s="3">
        <v>0.43866522499999999</v>
      </c>
      <c r="S511" s="3">
        <v>7.9715227940000002</v>
      </c>
      <c r="T511" s="3">
        <v>1.2109961520000001</v>
      </c>
      <c r="U511" s="3">
        <v>0.53907216300000005</v>
      </c>
      <c r="V511" s="3">
        <v>0.34042130599999998</v>
      </c>
      <c r="W511" s="3">
        <v>0.95693778799999996</v>
      </c>
      <c r="X511" s="3">
        <v>3.7555969930000002</v>
      </c>
      <c r="Y511" s="3">
        <v>4.0333276429999998</v>
      </c>
      <c r="Z511" s="3">
        <v>2.246445348</v>
      </c>
      <c r="AA511" s="3">
        <v>0.25595943199999999</v>
      </c>
      <c r="AB511" s="3">
        <v>8.8494530359999999</v>
      </c>
      <c r="AC511" s="3">
        <v>3.924598901</v>
      </c>
      <c r="AD511" s="3">
        <v>0.26432719599999999</v>
      </c>
      <c r="AE511" s="3">
        <v>2.0934371289999998</v>
      </c>
      <c r="AF511" s="4">
        <v>40689</v>
      </c>
      <c r="AG511" s="5">
        <f>YEAR(AF511)</f>
        <v>2011</v>
      </c>
      <c r="AH511" s="5" t="str">
        <f>"Q"&amp;ROUNDUP(MONTH(AF511)/3,0)</f>
        <v>Q2</v>
      </c>
      <c r="AI511" s="5">
        <f>INDEX(RatingLookup!$B$2:$B$11,MATCH(A511,RatingLookup!$A$2:$A$11,0))</f>
        <v>6</v>
      </c>
      <c r="AJ511" s="5" t="str">
        <f>INDEX(RatingLookup!$C$2:$C$11,MATCH(A511,RatingLookup!$A$2:$A$11,0))</f>
        <v>Speculative Grade</v>
      </c>
    </row>
    <row r="512" spans="1:36" x14ac:dyDescent="0.3">
      <c r="A512" s="3" t="s">
        <v>36</v>
      </c>
      <c r="B512" s="3" t="s">
        <v>662</v>
      </c>
      <c r="C512" s="3" t="s">
        <v>663</v>
      </c>
      <c r="D512" s="3" t="s">
        <v>44</v>
      </c>
      <c r="E512" s="3" t="s">
        <v>664</v>
      </c>
      <c r="F512" s="3" t="s">
        <v>53</v>
      </c>
      <c r="G512" s="3">
        <v>2.2853954079999999</v>
      </c>
      <c r="H512" s="3">
        <v>1.2279974490000001</v>
      </c>
      <c r="I512" s="3">
        <v>0.43654336700000002</v>
      </c>
      <c r="J512" s="3">
        <v>47.062132230000003</v>
      </c>
      <c r="K512" s="3">
        <v>9.4900196000000006E-2</v>
      </c>
      <c r="L512" s="3">
        <v>0.131014192</v>
      </c>
      <c r="M512" s="3">
        <v>0.26006692100000001</v>
      </c>
      <c r="N512" s="3">
        <v>0.13003345999999999</v>
      </c>
      <c r="O512" s="3">
        <v>0.13109658900000001</v>
      </c>
      <c r="P512" s="3">
        <v>0.24128771800000001</v>
      </c>
      <c r="Q512" s="3">
        <v>0.249129184</v>
      </c>
      <c r="R512" s="3">
        <v>1.3814153650000001</v>
      </c>
      <c r="S512" s="3">
        <v>6.3634361229999996</v>
      </c>
      <c r="T512" s="3">
        <v>0.900348327</v>
      </c>
      <c r="U512" s="3">
        <v>0.47378068200000001</v>
      </c>
      <c r="V512" s="3">
        <v>0.23469837099999999</v>
      </c>
      <c r="W512" s="3">
        <v>0.54960835500000005</v>
      </c>
      <c r="X512" s="3">
        <v>4.4482758789999997</v>
      </c>
      <c r="Y512" s="3">
        <v>8.5373085750000008</v>
      </c>
      <c r="Z512" s="3">
        <v>1.9003483269999999</v>
      </c>
      <c r="AA512" s="3">
        <v>0.131014192</v>
      </c>
      <c r="AB512" s="3">
        <v>8.128647634</v>
      </c>
      <c r="AC512" s="3">
        <v>8.0935375839999999</v>
      </c>
      <c r="AD512" s="3">
        <v>8.8381215999999999E-2</v>
      </c>
      <c r="AE512" s="3">
        <v>9.5787901420000008</v>
      </c>
      <c r="AF512" s="4">
        <v>41194</v>
      </c>
      <c r="AG512" s="5">
        <f>YEAR(AF512)</f>
        <v>2012</v>
      </c>
      <c r="AH512" s="5" t="str">
        <f>"Q"&amp;ROUNDUP(MONTH(AF512)/3,0)</f>
        <v>Q4</v>
      </c>
      <c r="AI512" s="5">
        <f>INDEX(RatingLookup!$B$2:$B$11,MATCH(A512,RatingLookup!$A$2:$A$11,0))</f>
        <v>8</v>
      </c>
      <c r="AJ512" s="5" t="str">
        <f>INDEX(RatingLookup!$C$2:$C$11,MATCH(A512,RatingLookup!$A$2:$A$11,0))</f>
        <v>Investment Grade</v>
      </c>
    </row>
    <row r="513" spans="1:36" x14ac:dyDescent="0.3">
      <c r="A513" s="3" t="s">
        <v>36</v>
      </c>
      <c r="B513" s="3" t="s">
        <v>662</v>
      </c>
      <c r="C513" s="3" t="s">
        <v>663</v>
      </c>
      <c r="D513" s="3" t="s">
        <v>47</v>
      </c>
      <c r="E513" s="3" t="s">
        <v>665</v>
      </c>
      <c r="F513" s="3" t="s">
        <v>53</v>
      </c>
      <c r="G513" s="3">
        <v>1.9390210560000001</v>
      </c>
      <c r="H513" s="3">
        <v>1.0973475530000001</v>
      </c>
      <c r="I513" s="3">
        <v>0.40579710099999999</v>
      </c>
      <c r="J513" s="3">
        <v>45.544104609999998</v>
      </c>
      <c r="K513" s="3">
        <v>0.10239361700000001</v>
      </c>
      <c r="L513" s="3">
        <v>0.147994238</v>
      </c>
      <c r="M513" s="3">
        <v>0.25426640099999998</v>
      </c>
      <c r="N513" s="3">
        <v>0.14854831600000001</v>
      </c>
      <c r="O513" s="3">
        <v>0.15838189899999999</v>
      </c>
      <c r="P513" s="3">
        <v>0.33341655199999998</v>
      </c>
      <c r="Q513" s="3">
        <v>0.336489439</v>
      </c>
      <c r="R513" s="3">
        <v>1.546794652</v>
      </c>
      <c r="S513" s="3">
        <v>7.8881118880000001</v>
      </c>
      <c r="T513" s="3">
        <v>1.124544792</v>
      </c>
      <c r="U513" s="3">
        <v>0.52931093600000001</v>
      </c>
      <c r="V513" s="3">
        <v>0.27143392</v>
      </c>
      <c r="W513" s="3">
        <v>0.69995176100000001</v>
      </c>
      <c r="X513" s="3">
        <v>7.5192173650000003</v>
      </c>
      <c r="Y513" s="3">
        <v>9.1256662859999995</v>
      </c>
      <c r="Z513" s="3">
        <v>2.124544792</v>
      </c>
      <c r="AA513" s="3">
        <v>0.147994238</v>
      </c>
      <c r="AB513" s="3">
        <v>6.4975457179999996</v>
      </c>
      <c r="AC513" s="3">
        <v>10.74247939</v>
      </c>
      <c r="AD513" s="3">
        <v>0.114860372</v>
      </c>
      <c r="AE513" s="3">
        <v>8.7056921089999992</v>
      </c>
      <c r="AF513" s="4">
        <v>40807</v>
      </c>
      <c r="AG513" s="5">
        <f>YEAR(AF513)</f>
        <v>2011</v>
      </c>
      <c r="AH513" s="5" t="str">
        <f>"Q"&amp;ROUNDUP(MONTH(AF513)/3,0)</f>
        <v>Q3</v>
      </c>
      <c r="AI513" s="5">
        <f>INDEX(RatingLookup!$B$2:$B$11,MATCH(A513,RatingLookup!$A$2:$A$11,0))</f>
        <v>8</v>
      </c>
      <c r="AJ513" s="5" t="str">
        <f>INDEX(RatingLookup!$C$2:$C$11,MATCH(A513,RatingLookup!$A$2:$A$11,0))</f>
        <v>Investment Grade</v>
      </c>
    </row>
    <row r="514" spans="1:36" x14ac:dyDescent="0.3">
      <c r="A514" s="3" t="s">
        <v>42</v>
      </c>
      <c r="B514" s="3" t="s">
        <v>662</v>
      </c>
      <c r="C514" s="3" t="s">
        <v>663</v>
      </c>
      <c r="D514" s="3" t="s">
        <v>47</v>
      </c>
      <c r="E514" s="3" t="s">
        <v>460</v>
      </c>
      <c r="F514" s="3" t="s">
        <v>53</v>
      </c>
      <c r="G514" s="3">
        <v>1.9291411039999999</v>
      </c>
      <c r="H514" s="3">
        <v>1.0113496930000001</v>
      </c>
      <c r="I514" s="3">
        <v>0.313803681</v>
      </c>
      <c r="J514" s="3">
        <v>53.400499019999998</v>
      </c>
      <c r="K514" s="3">
        <v>7.8632995999999997E-2</v>
      </c>
      <c r="L514" s="3">
        <v>1.8297292999999999E-2</v>
      </c>
      <c r="M514" s="3">
        <v>0.239528202</v>
      </c>
      <c r="N514" s="3">
        <v>0.12112505699999999</v>
      </c>
      <c r="O514" s="3">
        <v>9.9980772999999995E-2</v>
      </c>
      <c r="P514" s="3">
        <v>3.3884065999999997E-2</v>
      </c>
      <c r="Q514" s="3">
        <v>0.222698073</v>
      </c>
      <c r="R514" s="3">
        <v>1.271486253</v>
      </c>
      <c r="S514" s="3">
        <v>6.4801567860000002</v>
      </c>
      <c r="T514" s="3">
        <v>1.2274089939999999</v>
      </c>
      <c r="U514" s="3">
        <v>0.55104787499999996</v>
      </c>
      <c r="V514" s="3">
        <v>1.9710743799999999</v>
      </c>
      <c r="W514" s="3">
        <v>0.638170974</v>
      </c>
      <c r="X514" s="3">
        <v>3.2638676050000002</v>
      </c>
      <c r="Y514" s="3">
        <v>6.9242798729999997</v>
      </c>
      <c r="Z514" s="3">
        <v>2.2274089940000001</v>
      </c>
      <c r="AA514" s="3">
        <v>1.8297292999999999E-2</v>
      </c>
      <c r="AB514" s="3">
        <v>10.663973439999999</v>
      </c>
      <c r="AC514" s="3">
        <v>5.114409363</v>
      </c>
      <c r="AD514" s="3">
        <v>7.6062301999999998E-2</v>
      </c>
      <c r="AE514" s="3">
        <v>7.3847283409999998</v>
      </c>
      <c r="AF514" s="4">
        <v>40715</v>
      </c>
      <c r="AG514" s="5">
        <f>YEAR(AF514)</f>
        <v>2011</v>
      </c>
      <c r="AH514" s="5" t="str">
        <f>"Q"&amp;ROUNDUP(MONTH(AF514)/3,0)</f>
        <v>Q2</v>
      </c>
      <c r="AI514" s="5">
        <f>INDEX(RatingLookup!$B$2:$B$11,MATCH(A514,RatingLookup!$A$2:$A$11,0))</f>
        <v>7</v>
      </c>
      <c r="AJ514" s="5" t="str">
        <f>INDEX(RatingLookup!$C$2:$C$11,MATCH(A514,RatingLookup!$A$2:$A$11,0))</f>
        <v>Investment Grade</v>
      </c>
    </row>
    <row r="515" spans="1:36" x14ac:dyDescent="0.3">
      <c r="A515" s="3" t="s">
        <v>49</v>
      </c>
      <c r="B515" s="3" t="s">
        <v>662</v>
      </c>
      <c r="C515" s="3" t="s">
        <v>663</v>
      </c>
      <c r="D515" s="3" t="s">
        <v>39</v>
      </c>
      <c r="E515" s="3" t="s">
        <v>666</v>
      </c>
      <c r="F515" s="3" t="s">
        <v>53</v>
      </c>
      <c r="G515" s="3">
        <v>2.5650237530000002</v>
      </c>
      <c r="H515" s="3">
        <v>1.547209026</v>
      </c>
      <c r="I515" s="3">
        <v>0.80136579600000002</v>
      </c>
      <c r="J515" s="3">
        <v>49.831223629999997</v>
      </c>
      <c r="K515" s="3">
        <v>8.5717588999999997E-2</v>
      </c>
      <c r="L515" s="3">
        <v>0.12247846900000001</v>
      </c>
      <c r="M515" s="3">
        <v>0.253337957</v>
      </c>
      <c r="N515" s="3">
        <v>0.121438067</v>
      </c>
      <c r="O515" s="3">
        <v>0.100692558</v>
      </c>
      <c r="P515" s="3">
        <v>0.18653169</v>
      </c>
      <c r="Q515" s="3">
        <v>0.19747004000000001</v>
      </c>
      <c r="R515" s="3">
        <v>1.1747012489999999</v>
      </c>
      <c r="S515" s="3">
        <v>5.4819391629999998</v>
      </c>
      <c r="T515" s="3">
        <v>0.96111850899999995</v>
      </c>
      <c r="U515" s="3">
        <v>0.49008690900000002</v>
      </c>
      <c r="V515" s="3">
        <v>0.250589901</v>
      </c>
      <c r="W515" s="3">
        <v>0.67640019100000004</v>
      </c>
      <c r="X515" s="3">
        <v>7.5563767469999998</v>
      </c>
      <c r="Y515" s="3">
        <v>15.235751840000001</v>
      </c>
      <c r="Z515" s="3">
        <v>1.9611185090000001</v>
      </c>
      <c r="AA515" s="3">
        <v>0.12247846900000001</v>
      </c>
      <c r="AB515" s="3">
        <v>9.1902066189999996</v>
      </c>
      <c r="AC515" s="3">
        <v>11.171458619999999</v>
      </c>
      <c r="AD515" s="3">
        <v>0.12074446599999999</v>
      </c>
      <c r="AE515" s="3">
        <v>8.2967244699999991</v>
      </c>
      <c r="AF515" s="4">
        <v>41786</v>
      </c>
      <c r="AG515" s="5">
        <f>YEAR(AF515)</f>
        <v>2014</v>
      </c>
      <c r="AH515" s="5" t="str">
        <f>"Q"&amp;ROUNDUP(MONTH(AF515)/3,0)</f>
        <v>Q2</v>
      </c>
      <c r="AI515" s="5">
        <f>INDEX(RatingLookup!$B$2:$B$11,MATCH(A515,RatingLookup!$A$2:$A$11,0))</f>
        <v>9</v>
      </c>
      <c r="AJ515" s="5" t="str">
        <f>INDEX(RatingLookup!$C$2:$C$11,MATCH(A515,RatingLookup!$A$2:$A$11,0))</f>
        <v>Investment Grade</v>
      </c>
    </row>
    <row r="516" spans="1:36" x14ac:dyDescent="0.3">
      <c r="A516" s="3" t="s">
        <v>49</v>
      </c>
      <c r="B516" s="3" t="s">
        <v>662</v>
      </c>
      <c r="C516" s="3" t="s">
        <v>663</v>
      </c>
      <c r="D516" s="3" t="s">
        <v>39</v>
      </c>
      <c r="E516" s="3" t="s">
        <v>667</v>
      </c>
      <c r="F516" s="3" t="s">
        <v>53</v>
      </c>
      <c r="G516" s="3">
        <v>2.0896660530000002</v>
      </c>
      <c r="H516" s="3">
        <v>1.1703917960000001</v>
      </c>
      <c r="I516" s="3">
        <v>0.44990796700000002</v>
      </c>
      <c r="J516" s="3">
        <v>50.423861850000002</v>
      </c>
      <c r="K516" s="3">
        <v>7.3207745000000005E-2</v>
      </c>
      <c r="L516" s="3">
        <v>0.105965463</v>
      </c>
      <c r="M516" s="3">
        <v>0.25886970199999998</v>
      </c>
      <c r="N516" s="3">
        <v>0.107639979</v>
      </c>
      <c r="O516" s="3">
        <v>9.2440861999999999E-2</v>
      </c>
      <c r="P516" s="3">
        <v>0.17871326400000001</v>
      </c>
      <c r="Q516" s="3">
        <v>0.18890089099999999</v>
      </c>
      <c r="R516" s="3">
        <v>1.262719704</v>
      </c>
      <c r="S516" s="3">
        <v>5.1028037380000004</v>
      </c>
      <c r="T516" s="3">
        <v>1.043478261</v>
      </c>
      <c r="U516" s="3">
        <v>0.51063829800000005</v>
      </c>
      <c r="V516" s="3">
        <v>0.274074074</v>
      </c>
      <c r="W516" s="3">
        <v>0.63865954300000005</v>
      </c>
      <c r="X516" s="3">
        <v>7.3860810319999999</v>
      </c>
      <c r="Y516" s="3">
        <v>10.172009689999999</v>
      </c>
      <c r="Z516" s="3">
        <v>2.0434782610000002</v>
      </c>
      <c r="AA516" s="3">
        <v>0.105965463</v>
      </c>
      <c r="AB516" s="3">
        <v>6.1873971819999998</v>
      </c>
      <c r="AC516" s="3">
        <v>11.56497403</v>
      </c>
      <c r="AD516" s="3">
        <v>0.107744636</v>
      </c>
      <c r="AE516" s="3">
        <v>8.3018757329999993</v>
      </c>
      <c r="AF516" s="4">
        <v>42312</v>
      </c>
      <c r="AG516" s="5">
        <f>YEAR(AF516)</f>
        <v>2015</v>
      </c>
      <c r="AH516" s="5" t="str">
        <f>"Q"&amp;ROUNDUP(MONTH(AF516)/3,0)</f>
        <v>Q4</v>
      </c>
      <c r="AI516" s="5">
        <f>INDEX(RatingLookup!$B$2:$B$11,MATCH(A516,RatingLookup!$A$2:$A$11,0))</f>
        <v>9</v>
      </c>
      <c r="AJ516" s="5" t="str">
        <f>INDEX(RatingLookup!$C$2:$C$11,MATCH(A516,RatingLookup!$A$2:$A$11,0))</f>
        <v>Investment Grade</v>
      </c>
    </row>
    <row r="517" spans="1:36" x14ac:dyDescent="0.3">
      <c r="A517" s="3" t="s">
        <v>49</v>
      </c>
      <c r="B517" s="3" t="s">
        <v>662</v>
      </c>
      <c r="C517" s="3" t="s">
        <v>663</v>
      </c>
      <c r="D517" s="3" t="s">
        <v>39</v>
      </c>
      <c r="E517" s="3" t="s">
        <v>499</v>
      </c>
      <c r="F517" s="3" t="s">
        <v>53</v>
      </c>
      <c r="G517" s="3">
        <v>2.2519273809999998</v>
      </c>
      <c r="H517" s="3">
        <v>1.277791594</v>
      </c>
      <c r="I517" s="3">
        <v>0.57224571000000002</v>
      </c>
      <c r="J517" s="3">
        <v>52.10759066</v>
      </c>
      <c r="K517" s="3">
        <v>8.5895634999999998E-2</v>
      </c>
      <c r="L517" s="3">
        <v>0.12663232899999999</v>
      </c>
      <c r="M517" s="3">
        <v>0.25290047300000001</v>
      </c>
      <c r="N517" s="3">
        <v>0.123042506</v>
      </c>
      <c r="O517" s="3">
        <v>0.10465263700000001</v>
      </c>
      <c r="P517" s="3">
        <v>0.207060825</v>
      </c>
      <c r="Q517" s="3">
        <v>0.21305974999999999</v>
      </c>
      <c r="R517" s="3">
        <v>1.2183696749999999</v>
      </c>
      <c r="S517" s="3">
        <v>5.2145957679999997</v>
      </c>
      <c r="T517" s="3">
        <v>1.035875597</v>
      </c>
      <c r="U517" s="3">
        <v>0.50881085199999998</v>
      </c>
      <c r="V517" s="3">
        <v>0.28677074800000002</v>
      </c>
      <c r="W517" s="3">
        <v>0.67210944399999994</v>
      </c>
      <c r="X517" s="3">
        <v>8.3389196250000008</v>
      </c>
      <c r="Y517" s="3">
        <v>13.107927500000001</v>
      </c>
      <c r="Z517" s="3">
        <v>2.035875597</v>
      </c>
      <c r="AA517" s="3">
        <v>0.12663232899999999</v>
      </c>
      <c r="AB517" s="3">
        <v>8.7878139130000008</v>
      </c>
      <c r="AC517" s="3">
        <v>12.407085929999999</v>
      </c>
      <c r="AD517" s="3">
        <v>0.117891889</v>
      </c>
      <c r="AE517" s="3">
        <v>7.6342371079999998</v>
      </c>
      <c r="AF517" s="4">
        <v>41953</v>
      </c>
      <c r="AG517" s="5">
        <f>YEAR(AF517)</f>
        <v>2014</v>
      </c>
      <c r="AH517" s="5" t="str">
        <f>"Q"&amp;ROUNDUP(MONTH(AF517)/3,0)</f>
        <v>Q4</v>
      </c>
      <c r="AI517" s="5">
        <f>INDEX(RatingLookup!$B$2:$B$11,MATCH(A517,RatingLookup!$A$2:$A$11,0))</f>
        <v>9</v>
      </c>
      <c r="AJ517" s="5" t="str">
        <f>INDEX(RatingLookup!$C$2:$C$11,MATCH(A517,RatingLookup!$A$2:$A$11,0))</f>
        <v>Investment Grade</v>
      </c>
    </row>
    <row r="518" spans="1:36" x14ac:dyDescent="0.3">
      <c r="A518" s="3" t="s">
        <v>92</v>
      </c>
      <c r="B518" s="3" t="s">
        <v>668</v>
      </c>
      <c r="C518" s="3" t="s">
        <v>669</v>
      </c>
      <c r="D518" s="3" t="s">
        <v>47</v>
      </c>
      <c r="E518" s="3" t="s">
        <v>398</v>
      </c>
      <c r="F518" s="3" t="s">
        <v>215</v>
      </c>
      <c r="G518" s="3">
        <v>1.6295462999999999</v>
      </c>
      <c r="H518" s="3">
        <v>1.4537926720000001</v>
      </c>
      <c r="I518" s="3">
        <v>1.0758851540000001</v>
      </c>
      <c r="J518" s="3">
        <v>65.448995670000002</v>
      </c>
      <c r="K518" s="3">
        <v>0.28505939699999999</v>
      </c>
      <c r="L518" s="3">
        <v>0.199604688</v>
      </c>
      <c r="M518" s="3">
        <v>0.69039812199999995</v>
      </c>
      <c r="N518" s="3">
        <v>0.33828912</v>
      </c>
      <c r="O518" s="3">
        <v>9.8167181000000006E-2</v>
      </c>
      <c r="P518" s="3">
        <v>8.2164556E-2</v>
      </c>
      <c r="Q518" s="3">
        <v>0.19828758799999999</v>
      </c>
      <c r="R518" s="3">
        <v>0.34437447599999998</v>
      </c>
      <c r="S518" s="3">
        <v>10.59463826</v>
      </c>
      <c r="T518" s="3">
        <v>1.0198969449999999</v>
      </c>
      <c r="U518" s="3">
        <v>0.504925238</v>
      </c>
      <c r="V518" s="3">
        <v>0.54988891200000001</v>
      </c>
      <c r="W518" s="3">
        <v>0.86044236799999996</v>
      </c>
      <c r="X518" s="3">
        <v>2.2725144080000002</v>
      </c>
      <c r="Y518" s="3">
        <v>4.3961654440000002</v>
      </c>
      <c r="Z518" s="3">
        <v>2.0198969450000002</v>
      </c>
      <c r="AA518" s="3">
        <v>0.199604688</v>
      </c>
      <c r="AB518" s="3">
        <v>15.46239282</v>
      </c>
      <c r="AC518" s="3">
        <v>2.6411000800000002</v>
      </c>
      <c r="AD518" s="3">
        <v>0.30669121500000002</v>
      </c>
      <c r="AE518" s="3">
        <v>108.8444444</v>
      </c>
      <c r="AF518" s="4">
        <v>42094</v>
      </c>
      <c r="AG518" s="5">
        <f>YEAR(AF518)</f>
        <v>2015</v>
      </c>
      <c r="AH518" s="5" t="str">
        <f>"Q"&amp;ROUNDUP(MONTH(AF518)/3,0)</f>
        <v>Q1</v>
      </c>
      <c r="AI518" s="5">
        <f>INDEX(RatingLookup!$B$2:$B$11,MATCH(A518,RatingLookup!$A$2:$A$11,0))</f>
        <v>6</v>
      </c>
      <c r="AJ518" s="5" t="str">
        <f>INDEX(RatingLookup!$C$2:$C$11,MATCH(A518,RatingLookup!$A$2:$A$11,0))</f>
        <v>Speculative Grade</v>
      </c>
    </row>
    <row r="519" spans="1:36" x14ac:dyDescent="0.3">
      <c r="A519" s="3" t="s">
        <v>92</v>
      </c>
      <c r="B519" s="3" t="s">
        <v>668</v>
      </c>
      <c r="C519" s="3" t="s">
        <v>669</v>
      </c>
      <c r="D519" s="3" t="s">
        <v>60</v>
      </c>
      <c r="E519" s="3" t="s">
        <v>670</v>
      </c>
      <c r="F519" s="3" t="s">
        <v>215</v>
      </c>
      <c r="G519" s="3">
        <v>2.1345851169999999</v>
      </c>
      <c r="H519" s="3">
        <v>1.979348184</v>
      </c>
      <c r="I519" s="3">
        <v>1.561294959</v>
      </c>
      <c r="J519" s="3">
        <v>70.703549629999998</v>
      </c>
      <c r="K519" s="3">
        <v>0.20804213499999999</v>
      </c>
      <c r="L519" s="3">
        <v>0.32516257900000001</v>
      </c>
      <c r="M519" s="3">
        <v>0.75098440700000002</v>
      </c>
      <c r="N519" s="3">
        <v>0.37571452599999999</v>
      </c>
      <c r="O519" s="3">
        <v>7.1067342000000006E-2</v>
      </c>
      <c r="P519" s="3">
        <v>0.13196339100000001</v>
      </c>
      <c r="Q519" s="3">
        <v>0.24808788100000001</v>
      </c>
      <c r="R519" s="3">
        <v>0.34160071199999997</v>
      </c>
      <c r="S519" s="3">
        <v>10.866839860000001</v>
      </c>
      <c r="T519" s="3">
        <v>2.4908845049999999</v>
      </c>
      <c r="U519" s="3">
        <v>0.713539649</v>
      </c>
      <c r="V519" s="3">
        <v>0.34190997699999998</v>
      </c>
      <c r="W519" s="3">
        <v>0.86714772200000001</v>
      </c>
      <c r="X519" s="3">
        <v>2.4315640919999999</v>
      </c>
      <c r="Y519" s="3">
        <v>7.1268098679999996</v>
      </c>
      <c r="Z519" s="3">
        <v>3.4908845049999999</v>
      </c>
      <c r="AA519" s="3">
        <v>0.32516257900000001</v>
      </c>
      <c r="AB519" s="3">
        <v>17.183225090000001</v>
      </c>
      <c r="AC519" s="3">
        <v>2.8040944250000002</v>
      </c>
      <c r="AD519" s="3">
        <v>0.28464213900000002</v>
      </c>
      <c r="AE519" s="3">
        <v>106.5664809</v>
      </c>
      <c r="AF519" s="4">
        <v>42226</v>
      </c>
      <c r="AG519" s="5">
        <f>YEAR(AF519)</f>
        <v>2015</v>
      </c>
      <c r="AH519" s="5" t="str">
        <f>"Q"&amp;ROUNDUP(MONTH(AF519)/3,0)</f>
        <v>Q3</v>
      </c>
      <c r="AI519" s="5">
        <f>INDEX(RatingLookup!$B$2:$B$11,MATCH(A519,RatingLookup!$A$2:$A$11,0))</f>
        <v>6</v>
      </c>
      <c r="AJ519" s="5" t="str">
        <f>INDEX(RatingLookup!$C$2:$C$11,MATCH(A519,RatingLookup!$A$2:$A$11,0))</f>
        <v>Speculative Grade</v>
      </c>
    </row>
    <row r="520" spans="1:36" x14ac:dyDescent="0.3">
      <c r="A520" s="3" t="s">
        <v>92</v>
      </c>
      <c r="B520" s="3" t="s">
        <v>668</v>
      </c>
      <c r="C520" s="3" t="s">
        <v>669</v>
      </c>
      <c r="D520" s="3" t="s">
        <v>47</v>
      </c>
      <c r="E520" s="3" t="s">
        <v>671</v>
      </c>
      <c r="F520" s="3" t="s">
        <v>215</v>
      </c>
      <c r="G520" s="3">
        <v>1.9674413399999999</v>
      </c>
      <c r="H520" s="3">
        <v>1.8885476269999999</v>
      </c>
      <c r="I520" s="3">
        <v>1.475732896</v>
      </c>
      <c r="J520" s="3">
        <v>70.262568990000005</v>
      </c>
      <c r="K520" s="3">
        <v>0.226698555</v>
      </c>
      <c r="L520" s="3">
        <v>0.33540314399999999</v>
      </c>
      <c r="M520" s="3">
        <v>0.780903978</v>
      </c>
      <c r="N520" s="3">
        <v>0.424191492</v>
      </c>
      <c r="O520" s="3">
        <v>8.4622351999999998E-2</v>
      </c>
      <c r="P520" s="3">
        <v>0.15158554099999999</v>
      </c>
      <c r="Q520" s="3">
        <v>0.821318934</v>
      </c>
      <c r="R520" s="3">
        <v>0.37328138999999999</v>
      </c>
      <c r="S520" s="3">
        <v>12.038175450000001</v>
      </c>
      <c r="T520" s="3">
        <v>8.7056973279999994</v>
      </c>
      <c r="U520" s="3">
        <v>0.89696773299999999</v>
      </c>
      <c r="V520" s="3">
        <v>0.32410128100000002</v>
      </c>
      <c r="W520" s="3">
        <v>0.92573918099999997</v>
      </c>
      <c r="X520" s="3">
        <v>4.1928406230000004</v>
      </c>
      <c r="Y520" s="3">
        <v>8.2494738820000002</v>
      </c>
      <c r="Z520" s="3">
        <v>9.7056973279999994</v>
      </c>
      <c r="AA520" s="3">
        <v>0.33540314399999999</v>
      </c>
      <c r="AB520" s="3">
        <v>16.259126609999999</v>
      </c>
      <c r="AC520" s="3">
        <v>4.529181339</v>
      </c>
      <c r="AD520" s="3">
        <v>0.37781325500000001</v>
      </c>
      <c r="AE520" s="3">
        <v>443.85035210000001</v>
      </c>
      <c r="AF520" s="4">
        <v>42583</v>
      </c>
      <c r="AG520" s="5">
        <f>YEAR(AF520)</f>
        <v>2016</v>
      </c>
      <c r="AH520" s="5" t="str">
        <f>"Q"&amp;ROUNDUP(MONTH(AF520)/3,0)</f>
        <v>Q3</v>
      </c>
      <c r="AI520" s="5">
        <f>INDEX(RatingLookup!$B$2:$B$11,MATCH(A520,RatingLookup!$A$2:$A$11,0))</f>
        <v>6</v>
      </c>
      <c r="AJ520" s="5" t="str">
        <f>INDEX(RatingLookup!$C$2:$C$11,MATCH(A520,RatingLookup!$A$2:$A$11,0))</f>
        <v>Speculative Grade</v>
      </c>
    </row>
    <row r="521" spans="1:36" x14ac:dyDescent="0.3">
      <c r="A521" s="3" t="s">
        <v>92</v>
      </c>
      <c r="B521" s="3" t="s">
        <v>668</v>
      </c>
      <c r="C521" s="3" t="s">
        <v>669</v>
      </c>
      <c r="D521" s="3" t="s">
        <v>60</v>
      </c>
      <c r="E521" s="3" t="s">
        <v>672</v>
      </c>
      <c r="F521" s="3" t="s">
        <v>215</v>
      </c>
      <c r="G521" s="3">
        <v>1.26636795</v>
      </c>
      <c r="H521" s="3">
        <v>1.0494651530000001</v>
      </c>
      <c r="I521" s="3">
        <v>0.71253436599999997</v>
      </c>
      <c r="J521" s="3">
        <v>59.733340929999997</v>
      </c>
      <c r="K521" s="3">
        <v>0.21489243199999999</v>
      </c>
      <c r="L521" s="3">
        <v>0.29130695499999998</v>
      </c>
      <c r="M521" s="3">
        <v>0.68299559600000004</v>
      </c>
      <c r="N521" s="3">
        <v>0.35871182499999998</v>
      </c>
      <c r="O521" s="3">
        <v>7.1001554999999994E-2</v>
      </c>
      <c r="P521" s="3">
        <v>0.114648474</v>
      </c>
      <c r="Q521" s="3">
        <v>0.14118376199999999</v>
      </c>
      <c r="R521" s="3">
        <v>0.33040509699999998</v>
      </c>
      <c r="S521" s="3">
        <v>12.1006099</v>
      </c>
      <c r="T521" s="3">
        <v>0.98846015300000001</v>
      </c>
      <c r="U521" s="3">
        <v>0.497098296</v>
      </c>
      <c r="V521" s="3">
        <v>0.40790594499999999</v>
      </c>
      <c r="W521" s="3">
        <v>0.87437860199999995</v>
      </c>
      <c r="X521" s="3">
        <v>2.3329891759999999</v>
      </c>
      <c r="Y521" s="3">
        <v>2.984462948</v>
      </c>
      <c r="Z521" s="3">
        <v>1.9884601529999999</v>
      </c>
      <c r="AA521" s="3">
        <v>0.29130695499999998</v>
      </c>
      <c r="AB521" s="3">
        <v>12.18865312</v>
      </c>
      <c r="AC521" s="3">
        <v>2.6681681930000001</v>
      </c>
      <c r="AD521" s="3">
        <v>0.30941122999999998</v>
      </c>
      <c r="AE521" s="3">
        <v>274.04924870000002</v>
      </c>
      <c r="AF521" s="4">
        <v>41620</v>
      </c>
      <c r="AG521" s="5">
        <f>YEAR(AF521)</f>
        <v>2013</v>
      </c>
      <c r="AH521" s="5" t="str">
        <f>"Q"&amp;ROUNDUP(MONTH(AF521)/3,0)</f>
        <v>Q4</v>
      </c>
      <c r="AI521" s="5">
        <f>INDEX(RatingLookup!$B$2:$B$11,MATCH(A521,RatingLookup!$A$2:$A$11,0))</f>
        <v>6</v>
      </c>
      <c r="AJ521" s="5" t="str">
        <f>INDEX(RatingLookup!$C$2:$C$11,MATCH(A521,RatingLookup!$A$2:$A$11,0))</f>
        <v>Speculative Grade</v>
      </c>
    </row>
    <row r="522" spans="1:36" x14ac:dyDescent="0.3">
      <c r="A522" s="3" t="s">
        <v>92</v>
      </c>
      <c r="B522" s="3" t="s">
        <v>668</v>
      </c>
      <c r="C522" s="3" t="s">
        <v>669</v>
      </c>
      <c r="D522" s="3" t="s">
        <v>60</v>
      </c>
      <c r="E522" s="3" t="s">
        <v>46</v>
      </c>
      <c r="F522" s="3" t="s">
        <v>215</v>
      </c>
      <c r="G522" s="3">
        <v>1.4972074070000001</v>
      </c>
      <c r="H522" s="3">
        <v>1.266035048</v>
      </c>
      <c r="I522" s="3">
        <v>0.55699694099999997</v>
      </c>
      <c r="J522" s="3">
        <v>73.153058860000002</v>
      </c>
      <c r="K522" s="3">
        <v>0.192525371</v>
      </c>
      <c r="L522" s="3">
        <v>0.292375416</v>
      </c>
      <c r="M522" s="3">
        <v>0.692380522</v>
      </c>
      <c r="N522" s="3">
        <v>0.35740187200000001</v>
      </c>
      <c r="O522" s="3">
        <v>5.6079606999999997E-2</v>
      </c>
      <c r="P522" s="3">
        <v>9.9770433000000006E-2</v>
      </c>
      <c r="Q522" s="3">
        <v>0.13287095800000001</v>
      </c>
      <c r="R522" s="3">
        <v>0.291284243</v>
      </c>
      <c r="S522" s="3">
        <v>23.94654865</v>
      </c>
      <c r="T522" s="3">
        <v>1.369327548</v>
      </c>
      <c r="U522" s="3">
        <v>0.57793931799999998</v>
      </c>
      <c r="V522" s="3">
        <v>0.34151313700000002</v>
      </c>
      <c r="W522" s="3">
        <v>0.90936756100000005</v>
      </c>
      <c r="X522" s="3">
        <v>1.92090592</v>
      </c>
      <c r="Y522" s="3">
        <v>3.253071233</v>
      </c>
      <c r="Z522" s="3">
        <v>2.3693275479999998</v>
      </c>
      <c r="AA522" s="3">
        <v>0.292375416</v>
      </c>
      <c r="AB522" s="3">
        <v>11.49909401</v>
      </c>
      <c r="AC522" s="3">
        <v>2.1123536870000001</v>
      </c>
      <c r="AD522" s="3">
        <v>0.28303407200000003</v>
      </c>
      <c r="AE522" s="3">
        <v>1159.6108790000001</v>
      </c>
      <c r="AF522" s="4">
        <v>41075</v>
      </c>
      <c r="AG522" s="5">
        <f>YEAR(AF522)</f>
        <v>2012</v>
      </c>
      <c r="AH522" s="5" t="str">
        <f>"Q"&amp;ROUNDUP(MONTH(AF522)/3,0)</f>
        <v>Q2</v>
      </c>
      <c r="AI522" s="5">
        <f>INDEX(RatingLookup!$B$2:$B$11,MATCH(A522,RatingLookup!$A$2:$A$11,0))</f>
        <v>6</v>
      </c>
      <c r="AJ522" s="5" t="str">
        <f>INDEX(RatingLookup!$C$2:$C$11,MATCH(A522,RatingLookup!$A$2:$A$11,0))</f>
        <v>Speculative Grade</v>
      </c>
    </row>
    <row r="523" spans="1:36" x14ac:dyDescent="0.3">
      <c r="A523" s="3" t="s">
        <v>49</v>
      </c>
      <c r="B523" s="3" t="s">
        <v>673</v>
      </c>
      <c r="C523" s="3" t="s">
        <v>674</v>
      </c>
      <c r="D523" s="3" t="s">
        <v>39</v>
      </c>
      <c r="E523" s="3" t="s">
        <v>675</v>
      </c>
      <c r="F523" s="3" t="s">
        <v>246</v>
      </c>
      <c r="G523" s="3">
        <v>1.8366627499999999</v>
      </c>
      <c r="H523" s="3">
        <v>3.1485647139999999</v>
      </c>
      <c r="I523" s="3">
        <v>0.63169380600000002</v>
      </c>
      <c r="J523" s="3">
        <v>0</v>
      </c>
      <c r="K523" s="3">
        <v>2.2127157000000001E-2</v>
      </c>
      <c r="L523" s="3">
        <v>3.4286557000000002E-2</v>
      </c>
      <c r="M523" s="3">
        <v>1</v>
      </c>
      <c r="N523" s="3">
        <v>3.9344193E-2</v>
      </c>
      <c r="O523" s="3">
        <v>2.8325554999999999E-2</v>
      </c>
      <c r="P523" s="3">
        <v>5.2294934000000001E-2</v>
      </c>
      <c r="Q523" s="3">
        <v>7.0032681999999999E-2</v>
      </c>
      <c r="R523" s="3">
        <v>1.280126251</v>
      </c>
      <c r="S523" s="3">
        <v>2.273197605</v>
      </c>
      <c r="T523" s="3">
        <v>1.472420463</v>
      </c>
      <c r="U523" s="3">
        <v>0.59553805100000001</v>
      </c>
      <c r="V523" s="3">
        <v>0.35464044300000003</v>
      </c>
      <c r="W523" s="3">
        <v>0.18989936600000001</v>
      </c>
      <c r="X523" s="3">
        <v>3.6007067140000002</v>
      </c>
      <c r="Y523" s="3">
        <v>66.275618370000004</v>
      </c>
      <c r="Z523" s="3">
        <v>2.4724204630000002</v>
      </c>
      <c r="AA523" s="3">
        <v>3.4286557000000002E-2</v>
      </c>
      <c r="AB523" s="3">
        <v>11.551630189999999</v>
      </c>
      <c r="AC523" s="3">
        <v>18.961130740000002</v>
      </c>
      <c r="AD523" s="3">
        <v>0.113080311</v>
      </c>
      <c r="AE523" s="3">
        <v>1.8005808329999999</v>
      </c>
      <c r="AF523" s="4">
        <v>42277</v>
      </c>
      <c r="AG523" s="5">
        <f>YEAR(AF523)</f>
        <v>2015</v>
      </c>
      <c r="AH523" s="5" t="str">
        <f>"Q"&amp;ROUNDUP(MONTH(AF523)/3,0)</f>
        <v>Q3</v>
      </c>
      <c r="AI523" s="5">
        <f>INDEX(RatingLookup!$B$2:$B$11,MATCH(A523,RatingLookup!$A$2:$A$11,0))</f>
        <v>9</v>
      </c>
      <c r="AJ523" s="5" t="str">
        <f>INDEX(RatingLookup!$C$2:$C$11,MATCH(A523,RatingLookup!$A$2:$A$11,0))</f>
        <v>Investment Grade</v>
      </c>
    </row>
    <row r="524" spans="1:36" x14ac:dyDescent="0.3">
      <c r="A524" s="3" t="s">
        <v>36</v>
      </c>
      <c r="B524" s="3" t="s">
        <v>673</v>
      </c>
      <c r="C524" s="3" t="s">
        <v>674</v>
      </c>
      <c r="D524" s="3" t="s">
        <v>39</v>
      </c>
      <c r="E524" s="3" t="s">
        <v>676</v>
      </c>
      <c r="F524" s="3" t="s">
        <v>246</v>
      </c>
      <c r="G524" s="3">
        <v>1.9606956520000001</v>
      </c>
      <c r="H524" s="3">
        <v>3.8808695649999998</v>
      </c>
      <c r="I524" s="3">
        <v>0.85513043499999997</v>
      </c>
      <c r="J524" s="3">
        <v>0</v>
      </c>
      <c r="K524" s="3">
        <v>3.5247364000000003E-2</v>
      </c>
      <c r="L524" s="3">
        <v>5.5433875000000001E-2</v>
      </c>
      <c r="M524" s="3">
        <v>1</v>
      </c>
      <c r="N524" s="3">
        <v>5.7601553999999999E-2</v>
      </c>
      <c r="O524" s="3">
        <v>4.6504007E-2</v>
      </c>
      <c r="P524" s="3">
        <v>8.8255383000000007E-2</v>
      </c>
      <c r="Q524" s="3">
        <v>8.9722957000000006E-2</v>
      </c>
      <c r="R524" s="3">
        <v>1.3193612770000001</v>
      </c>
      <c r="S524" s="3">
        <v>2.3959640769999999</v>
      </c>
      <c r="T524" s="3">
        <v>0.92935969699999998</v>
      </c>
      <c r="U524" s="3">
        <v>0.48169332999999998</v>
      </c>
      <c r="V524" s="3">
        <v>0.36415478600000001</v>
      </c>
      <c r="W524" s="3">
        <v>0.28007679200000002</v>
      </c>
      <c r="X524" s="3">
        <v>4.1682539680000001</v>
      </c>
      <c r="Y524" s="3">
        <v>70.841269839999995</v>
      </c>
      <c r="Z524" s="3">
        <v>1.929359697</v>
      </c>
      <c r="AA524" s="3">
        <v>5.5433875000000001E-2</v>
      </c>
      <c r="AB524" s="3">
        <v>5.8994733640000003</v>
      </c>
      <c r="AC524" s="3">
        <v>14.882539680000001</v>
      </c>
      <c r="AD524" s="3">
        <v>0.105854991</v>
      </c>
      <c r="AE524" s="3">
        <v>2.5258116020000001</v>
      </c>
      <c r="AF524" s="4">
        <v>41656</v>
      </c>
      <c r="AG524" s="5">
        <f>YEAR(AF524)</f>
        <v>2014</v>
      </c>
      <c r="AH524" s="5" t="str">
        <f>"Q"&amp;ROUNDUP(MONTH(AF524)/3,0)</f>
        <v>Q1</v>
      </c>
      <c r="AI524" s="5">
        <f>INDEX(RatingLookup!$B$2:$B$11,MATCH(A524,RatingLookup!$A$2:$A$11,0))</f>
        <v>8</v>
      </c>
      <c r="AJ524" s="5" t="str">
        <f>INDEX(RatingLookup!$C$2:$C$11,MATCH(A524,RatingLookup!$A$2:$A$11,0))</f>
        <v>Investment Grade</v>
      </c>
    </row>
    <row r="525" spans="1:36" x14ac:dyDescent="0.3">
      <c r="A525" s="3" t="s">
        <v>49</v>
      </c>
      <c r="B525" s="3" t="s">
        <v>673</v>
      </c>
      <c r="C525" s="3" t="s">
        <v>674</v>
      </c>
      <c r="D525" s="3" t="s">
        <v>39</v>
      </c>
      <c r="E525" s="3" t="s">
        <v>677</v>
      </c>
      <c r="F525" s="3" t="s">
        <v>246</v>
      </c>
      <c r="G525" s="3">
        <v>1.8228539159999999</v>
      </c>
      <c r="H525" s="3">
        <v>3.4233810240000002</v>
      </c>
      <c r="I525" s="3">
        <v>0.54743975899999997</v>
      </c>
      <c r="J525" s="3">
        <v>0</v>
      </c>
      <c r="K525" s="3">
        <v>4.6020145999999998E-2</v>
      </c>
      <c r="L525" s="3">
        <v>7.2179428000000004E-2</v>
      </c>
      <c r="M525" s="3">
        <v>1</v>
      </c>
      <c r="N525" s="3">
        <v>7.5624904000000007E-2</v>
      </c>
      <c r="O525" s="3">
        <v>6.3410945999999996E-2</v>
      </c>
      <c r="P525" s="3">
        <v>0.118488364</v>
      </c>
      <c r="Q525" s="3">
        <v>0.13726516999999999</v>
      </c>
      <c r="R525" s="3">
        <v>1.3778953730000001</v>
      </c>
      <c r="S525" s="3">
        <v>2.3307928389999999</v>
      </c>
      <c r="T525" s="3">
        <v>1.164692021</v>
      </c>
      <c r="U525" s="3">
        <v>0.53804052000000002</v>
      </c>
      <c r="V525" s="3">
        <v>0.362420189</v>
      </c>
      <c r="W525" s="3">
        <v>0.171435272</v>
      </c>
      <c r="X525" s="3">
        <v>2.3811074919999999</v>
      </c>
      <c r="Y525" s="3">
        <v>59.23452769</v>
      </c>
      <c r="Z525" s="3">
        <v>2.164692021</v>
      </c>
      <c r="AA525" s="3">
        <v>7.2179428000000004E-2</v>
      </c>
      <c r="AB525" s="3">
        <v>8.0064080890000007</v>
      </c>
      <c r="AC525" s="3">
        <v>13.88925081</v>
      </c>
      <c r="AD525" s="3">
        <v>9.3576491999999997E-2</v>
      </c>
      <c r="AE525" s="3">
        <v>2.312024353</v>
      </c>
      <c r="AF525" s="4">
        <v>42173</v>
      </c>
      <c r="AG525" s="5">
        <f>YEAR(AF525)</f>
        <v>2015</v>
      </c>
      <c r="AH525" s="5" t="str">
        <f>"Q"&amp;ROUNDUP(MONTH(AF525)/3,0)</f>
        <v>Q2</v>
      </c>
      <c r="AI525" s="5">
        <f>INDEX(RatingLookup!$B$2:$B$11,MATCH(A525,RatingLookup!$A$2:$A$11,0))</f>
        <v>9</v>
      </c>
      <c r="AJ525" s="5" t="str">
        <f>INDEX(RatingLookup!$C$2:$C$11,MATCH(A525,RatingLookup!$A$2:$A$11,0))</f>
        <v>Investment Grade</v>
      </c>
    </row>
    <row r="526" spans="1:36" x14ac:dyDescent="0.3">
      <c r="A526" s="3" t="s">
        <v>36</v>
      </c>
      <c r="B526" s="3" t="s">
        <v>673</v>
      </c>
      <c r="C526" s="3" t="s">
        <v>674</v>
      </c>
      <c r="D526" s="3" t="s">
        <v>39</v>
      </c>
      <c r="E526" s="3" t="s">
        <v>678</v>
      </c>
      <c r="F526" s="3" t="s">
        <v>246</v>
      </c>
      <c r="G526" s="3">
        <v>1.685150726</v>
      </c>
      <c r="H526" s="3">
        <v>3.2694454780000002</v>
      </c>
      <c r="I526" s="3">
        <v>0.52902865600000004</v>
      </c>
      <c r="J526" s="3">
        <v>0</v>
      </c>
      <c r="K526" s="3">
        <v>4.7610121999999998E-2</v>
      </c>
      <c r="L526" s="3">
        <v>7.3594189000000004E-2</v>
      </c>
      <c r="M526" s="3">
        <v>7.4648546999999996E-2</v>
      </c>
      <c r="N526" s="3">
        <v>7.4648546999999996E-2</v>
      </c>
      <c r="O526" s="3">
        <v>6.7953048000000002E-2</v>
      </c>
      <c r="P526" s="3">
        <v>0.12805250900000001</v>
      </c>
      <c r="Q526" s="3">
        <v>0.13797786400000001</v>
      </c>
      <c r="R526" s="3">
        <v>1.427281544</v>
      </c>
      <c r="S526" s="3">
        <v>2.4744897959999999</v>
      </c>
      <c r="T526" s="3">
        <v>1.030488219</v>
      </c>
      <c r="U526" s="3">
        <v>0.50750760800000005</v>
      </c>
      <c r="V526" s="3">
        <v>0.35307227000000002</v>
      </c>
      <c r="W526" s="3">
        <v>0.171251293</v>
      </c>
      <c r="X526" s="3">
        <v>2.628571429</v>
      </c>
      <c r="Y526" s="3">
        <v>55.777777780000001</v>
      </c>
      <c r="Z526" s="3">
        <v>2.030488219</v>
      </c>
      <c r="AA526" s="3">
        <v>7.3594189000000004E-2</v>
      </c>
      <c r="AB526" s="3">
        <v>5.223844122</v>
      </c>
      <c r="AC526" s="3">
        <v>15.349206349999999</v>
      </c>
      <c r="AD526" s="3">
        <v>0.113284911</v>
      </c>
      <c r="AE526" s="3">
        <v>24.48481091</v>
      </c>
      <c r="AF526" s="4">
        <v>41444</v>
      </c>
      <c r="AG526" s="5">
        <f>YEAR(AF526)</f>
        <v>2013</v>
      </c>
      <c r="AH526" s="5" t="str">
        <f>"Q"&amp;ROUNDUP(MONTH(AF526)/3,0)</f>
        <v>Q2</v>
      </c>
      <c r="AI526" s="5">
        <f>INDEX(RatingLookup!$B$2:$B$11,MATCH(A526,RatingLookup!$A$2:$A$11,0))</f>
        <v>8</v>
      </c>
      <c r="AJ526" s="5" t="str">
        <f>INDEX(RatingLookup!$C$2:$C$11,MATCH(A526,RatingLookup!$A$2:$A$11,0))</f>
        <v>Investment Grade</v>
      </c>
    </row>
    <row r="527" spans="1:36" x14ac:dyDescent="0.3">
      <c r="A527" s="3" t="s">
        <v>36</v>
      </c>
      <c r="B527" s="3" t="s">
        <v>679</v>
      </c>
      <c r="C527" s="3" t="s">
        <v>680</v>
      </c>
      <c r="D527" s="3" t="s">
        <v>39</v>
      </c>
      <c r="E527" s="3" t="s">
        <v>681</v>
      </c>
      <c r="F527" s="3" t="s">
        <v>53</v>
      </c>
      <c r="G527" s="3">
        <v>1.6647294589999999</v>
      </c>
      <c r="H527" s="3">
        <v>0.739278557</v>
      </c>
      <c r="I527" s="3">
        <v>0.36963927899999999</v>
      </c>
      <c r="J527" s="3">
        <v>0</v>
      </c>
      <c r="K527" s="3">
        <v>2.7742961E-2</v>
      </c>
      <c r="L527" s="3">
        <v>4.2432208999999999E-2</v>
      </c>
      <c r="M527" s="3">
        <v>9.7085078000000005E-2</v>
      </c>
      <c r="N527" s="3">
        <v>4.5107149999999999E-2</v>
      </c>
      <c r="O527" s="3">
        <v>7.9692645000000006E-2</v>
      </c>
      <c r="P527" s="3">
        <v>0.15608659</v>
      </c>
      <c r="Q527" s="3">
        <v>0.17555738300000001</v>
      </c>
      <c r="R527" s="3">
        <v>2.872535675</v>
      </c>
      <c r="S527" s="3">
        <v>4.894108846</v>
      </c>
      <c r="T527" s="3">
        <v>1.2029307929999999</v>
      </c>
      <c r="U527" s="3">
        <v>0.54605927600000004</v>
      </c>
      <c r="V527" s="3">
        <v>0.32006484099999999</v>
      </c>
      <c r="W527" s="3">
        <v>0.49233671299999998</v>
      </c>
      <c r="X527" s="3">
        <v>3.969581749</v>
      </c>
      <c r="Y527" s="3">
        <v>14.02661597</v>
      </c>
      <c r="Z527" s="3">
        <v>2.2029307930000002</v>
      </c>
      <c r="AA527" s="3">
        <v>4.2432208999999999E-2</v>
      </c>
      <c r="AB527" s="3">
        <v>4.0189515279999997</v>
      </c>
      <c r="AC527" s="3">
        <v>8.0627376430000002</v>
      </c>
      <c r="AD527" s="3">
        <v>3.2412643999999997E-2</v>
      </c>
      <c r="AE527" s="3">
        <v>17.47647929</v>
      </c>
      <c r="AF527" s="4">
        <v>42170</v>
      </c>
      <c r="AG527" s="5">
        <f>YEAR(AF527)</f>
        <v>2015</v>
      </c>
      <c r="AH527" s="5" t="str">
        <f>"Q"&amp;ROUNDUP(MONTH(AF527)/3,0)</f>
        <v>Q2</v>
      </c>
      <c r="AI527" s="5">
        <f>INDEX(RatingLookup!$B$2:$B$11,MATCH(A527,RatingLookup!$A$2:$A$11,0))</f>
        <v>8</v>
      </c>
      <c r="AJ527" s="5" t="str">
        <f>INDEX(RatingLookup!$C$2:$C$11,MATCH(A527,RatingLookup!$A$2:$A$11,0))</f>
        <v>Investment Grade</v>
      </c>
    </row>
    <row r="528" spans="1:36" x14ac:dyDescent="0.3">
      <c r="A528" s="3" t="s">
        <v>42</v>
      </c>
      <c r="B528" s="3" t="s">
        <v>679</v>
      </c>
      <c r="C528" s="3" t="s">
        <v>680</v>
      </c>
      <c r="D528" s="3" t="s">
        <v>60</v>
      </c>
      <c r="E528" s="3" t="s">
        <v>46</v>
      </c>
      <c r="F528" s="3" t="s">
        <v>53</v>
      </c>
      <c r="G528" s="3">
        <v>1.2568460809999999</v>
      </c>
      <c r="H528" s="3">
        <v>0.16115832499999999</v>
      </c>
      <c r="I528" s="3">
        <v>8.0579162999999995E-2</v>
      </c>
      <c r="J528" s="3">
        <v>0</v>
      </c>
      <c r="K528" s="3">
        <v>1.6589013E-2</v>
      </c>
      <c r="L528" s="3">
        <v>2.63678E-2</v>
      </c>
      <c r="M528" s="3">
        <v>8.1500472000000004E-2</v>
      </c>
      <c r="N528" s="3">
        <v>2.9209362999999999E-2</v>
      </c>
      <c r="O528" s="3">
        <v>4.8851179000000002E-2</v>
      </c>
      <c r="P528" s="3">
        <v>0.11045719</v>
      </c>
      <c r="Q528" s="3">
        <v>0.127260549</v>
      </c>
      <c r="R528" s="3">
        <v>2.9447911549999999</v>
      </c>
      <c r="S528" s="3">
        <v>5.0040513170000001</v>
      </c>
      <c r="T528" s="3">
        <v>1.605066066</v>
      </c>
      <c r="U528" s="3">
        <v>0.61613257600000004</v>
      </c>
      <c r="V528" s="3">
        <v>0.36905478600000002</v>
      </c>
      <c r="W528" s="3">
        <v>0.41679049000000001</v>
      </c>
      <c r="X528" s="3">
        <v>2.9893428059999998</v>
      </c>
      <c r="Y528" s="3">
        <v>3.6376554169999999</v>
      </c>
      <c r="Z528" s="3">
        <v>2.605066066</v>
      </c>
      <c r="AA528" s="3">
        <v>2.63678E-2</v>
      </c>
      <c r="AB528" s="3">
        <v>3.6843057149999998</v>
      </c>
      <c r="AC528" s="3">
        <v>7.1722912970000001</v>
      </c>
      <c r="AD528" s="3">
        <v>3.2050926E-2</v>
      </c>
      <c r="AE528" s="3">
        <v>12.216955240000001</v>
      </c>
      <c r="AF528" s="4">
        <v>41075</v>
      </c>
      <c r="AG528" s="5">
        <f>YEAR(AF528)</f>
        <v>2012</v>
      </c>
      <c r="AH528" s="5" t="str">
        <f>"Q"&amp;ROUNDUP(MONTH(AF528)/3,0)</f>
        <v>Q2</v>
      </c>
      <c r="AI528" s="5">
        <f>INDEX(RatingLookup!$B$2:$B$11,MATCH(A528,RatingLookup!$A$2:$A$11,0))</f>
        <v>7</v>
      </c>
      <c r="AJ528" s="5" t="str">
        <f>INDEX(RatingLookup!$C$2:$C$11,MATCH(A528,RatingLookup!$A$2:$A$11,0))</f>
        <v>Investment Grade</v>
      </c>
    </row>
    <row r="529" spans="1:36" x14ac:dyDescent="0.3">
      <c r="A529" s="3" t="s">
        <v>36</v>
      </c>
      <c r="B529" s="3" t="s">
        <v>679</v>
      </c>
      <c r="C529" s="3" t="s">
        <v>680</v>
      </c>
      <c r="D529" s="3" t="s">
        <v>39</v>
      </c>
      <c r="E529" s="3" t="s">
        <v>162</v>
      </c>
      <c r="F529" s="3" t="s">
        <v>53</v>
      </c>
      <c r="G529" s="3">
        <v>2.03423913</v>
      </c>
      <c r="H529" s="3">
        <v>1.1179347829999999</v>
      </c>
      <c r="I529" s="3">
        <v>0.55896739100000004</v>
      </c>
      <c r="J529" s="3">
        <v>0</v>
      </c>
      <c r="K529" s="3">
        <v>4.5442121000000002E-2</v>
      </c>
      <c r="L529" s="3">
        <v>6.8003735999999995E-2</v>
      </c>
      <c r="M529" s="3">
        <v>0.15879686600000001</v>
      </c>
      <c r="N529" s="3">
        <v>7.2411279999999995E-2</v>
      </c>
      <c r="O529" s="3">
        <v>8.9980379999999999E-2</v>
      </c>
      <c r="P529" s="3">
        <v>0.161452559</v>
      </c>
      <c r="Q529" s="3">
        <v>0.19437813600000001</v>
      </c>
      <c r="R529" s="3">
        <v>1.9801096</v>
      </c>
      <c r="S529" s="3">
        <v>3.2881698689999999</v>
      </c>
      <c r="T529" s="3">
        <v>1.160227992</v>
      </c>
      <c r="U529" s="3">
        <v>0.53708589900000003</v>
      </c>
      <c r="V529" s="3">
        <v>0.31318037199999998</v>
      </c>
      <c r="W529" s="3">
        <v>0.71163785400000001</v>
      </c>
      <c r="X529" s="3">
        <v>8.0342052309999996</v>
      </c>
      <c r="Y529" s="3">
        <v>16.555331989999999</v>
      </c>
      <c r="Z529" s="3">
        <v>2.1602279919999998</v>
      </c>
      <c r="AA529" s="3">
        <v>6.8003735999999995E-2</v>
      </c>
      <c r="AB529" s="3">
        <v>4.5115109760000003</v>
      </c>
      <c r="AC529" s="3">
        <v>11.28973843</v>
      </c>
      <c r="AD529" s="3">
        <v>6.3903694999999996E-2</v>
      </c>
      <c r="AE529" s="3">
        <v>15.052170370000001</v>
      </c>
      <c r="AF529" s="4">
        <v>42342</v>
      </c>
      <c r="AG529" s="5">
        <f>YEAR(AF529)</f>
        <v>2015</v>
      </c>
      <c r="AH529" s="5" t="str">
        <f>"Q"&amp;ROUNDUP(MONTH(AF529)/3,0)</f>
        <v>Q4</v>
      </c>
      <c r="AI529" s="5">
        <f>INDEX(RatingLookup!$B$2:$B$11,MATCH(A529,RatingLookup!$A$2:$A$11,0))</f>
        <v>8</v>
      </c>
      <c r="AJ529" s="5" t="str">
        <f>INDEX(RatingLookup!$C$2:$C$11,MATCH(A529,RatingLookup!$A$2:$A$11,0))</f>
        <v>Investment Grade</v>
      </c>
    </row>
    <row r="530" spans="1:36" x14ac:dyDescent="0.3">
      <c r="A530" s="3" t="s">
        <v>42</v>
      </c>
      <c r="B530" s="3" t="s">
        <v>679</v>
      </c>
      <c r="C530" s="3" t="s">
        <v>680</v>
      </c>
      <c r="D530" s="3" t="s">
        <v>39</v>
      </c>
      <c r="E530" s="3" t="s">
        <v>437</v>
      </c>
      <c r="F530" s="3" t="s">
        <v>53</v>
      </c>
      <c r="G530" s="3">
        <v>1.468947649</v>
      </c>
      <c r="H530" s="3">
        <v>0.65411872299999996</v>
      </c>
      <c r="I530" s="3">
        <v>0.32705936099999999</v>
      </c>
      <c r="J530" s="3">
        <v>0</v>
      </c>
      <c r="K530" s="3">
        <v>1.9699581000000001E-2</v>
      </c>
      <c r="L530" s="3">
        <v>2.8839607999999999E-2</v>
      </c>
      <c r="M530" s="3">
        <v>7.7914740999999996E-2</v>
      </c>
      <c r="N530" s="3">
        <v>2.8701999999999998E-2</v>
      </c>
      <c r="O530" s="3">
        <v>5.7553957000000003E-2</v>
      </c>
      <c r="P530" s="3">
        <v>0.116647626</v>
      </c>
      <c r="Q530" s="3">
        <v>0.13977389500000001</v>
      </c>
      <c r="R530" s="3">
        <v>2.9215827339999998</v>
      </c>
      <c r="S530" s="3">
        <v>5.3710662469999999</v>
      </c>
      <c r="T530" s="3">
        <v>1.428571429</v>
      </c>
      <c r="U530" s="3">
        <v>0.58823529399999996</v>
      </c>
      <c r="V530" s="3">
        <v>0.31491712700000002</v>
      </c>
      <c r="W530" s="3">
        <v>0.61879942499999996</v>
      </c>
      <c r="X530" s="3">
        <v>6.3523985239999998</v>
      </c>
      <c r="Y530" s="3">
        <v>15.83763838</v>
      </c>
      <c r="Z530" s="3">
        <v>2.4285714289999998</v>
      </c>
      <c r="AA530" s="3">
        <v>2.8839607999999999E-2</v>
      </c>
      <c r="AB530" s="3">
        <v>5.302871723</v>
      </c>
      <c r="AC530" s="3">
        <v>10.26568266</v>
      </c>
      <c r="AD530" s="3">
        <v>4.0297232000000002E-2</v>
      </c>
      <c r="AE530" s="3">
        <v>12.820058400000001</v>
      </c>
      <c r="AF530" s="4">
        <v>41729</v>
      </c>
      <c r="AG530" s="5">
        <f>YEAR(AF530)</f>
        <v>2014</v>
      </c>
      <c r="AH530" s="5" t="str">
        <f>"Q"&amp;ROUNDUP(MONTH(AF530)/3,0)</f>
        <v>Q1</v>
      </c>
      <c r="AI530" s="5">
        <f>INDEX(RatingLookup!$B$2:$B$11,MATCH(A530,RatingLookup!$A$2:$A$11,0))</f>
        <v>7</v>
      </c>
      <c r="AJ530" s="5" t="str">
        <f>INDEX(RatingLookup!$C$2:$C$11,MATCH(A530,RatingLookup!$A$2:$A$11,0))</f>
        <v>Investment Grade</v>
      </c>
    </row>
    <row r="531" spans="1:36" x14ac:dyDescent="0.3">
      <c r="A531" s="3" t="s">
        <v>42</v>
      </c>
      <c r="B531" s="3" t="s">
        <v>679</v>
      </c>
      <c r="C531" s="3" t="s">
        <v>680</v>
      </c>
      <c r="D531" s="3" t="s">
        <v>60</v>
      </c>
      <c r="E531" s="3" t="s">
        <v>682</v>
      </c>
      <c r="F531" s="3" t="s">
        <v>53</v>
      </c>
      <c r="G531" s="3">
        <v>2.0172910659999999</v>
      </c>
      <c r="H531" s="3">
        <v>1.1565802110000001</v>
      </c>
      <c r="I531" s="3">
        <v>0.57829010599999997</v>
      </c>
      <c r="J531" s="3">
        <v>0</v>
      </c>
      <c r="K531" s="3">
        <v>3.0254166999999998E-2</v>
      </c>
      <c r="L531" s="3">
        <v>4.2057125000000001E-2</v>
      </c>
      <c r="M531" s="3">
        <v>0.128167171</v>
      </c>
      <c r="N531" s="3">
        <v>4.7211832000000002E-2</v>
      </c>
      <c r="O531" s="3">
        <v>4.9574426999999997E-2</v>
      </c>
      <c r="P531" s="3">
        <v>8.4079798999999997E-2</v>
      </c>
      <c r="Q531" s="3">
        <v>0.11431282500000001</v>
      </c>
      <c r="R531" s="3">
        <v>1.6385983150000001</v>
      </c>
      <c r="S531" s="3">
        <v>2.8580764580000002</v>
      </c>
      <c r="T531" s="3">
        <v>1.30588294</v>
      </c>
      <c r="U531" s="3">
        <v>0.56632664099999996</v>
      </c>
      <c r="V531" s="3">
        <v>0.24041483299999999</v>
      </c>
      <c r="W531" s="3">
        <v>0.73485477200000004</v>
      </c>
      <c r="X531" s="3">
        <v>7.6832971800000003</v>
      </c>
      <c r="Y531" s="3">
        <v>20.89370933</v>
      </c>
      <c r="Z531" s="3">
        <v>2.30588294</v>
      </c>
      <c r="AA531" s="3">
        <v>4.2057125000000001E-2</v>
      </c>
      <c r="AB531" s="3">
        <v>6.3371807540000002</v>
      </c>
      <c r="AC531" s="3">
        <v>10.455531450000001</v>
      </c>
      <c r="AD531" s="3">
        <v>6.3706894999999999E-2</v>
      </c>
      <c r="AE531" s="3">
        <v>10.37627812</v>
      </c>
      <c r="AF531" s="4">
        <v>42620</v>
      </c>
      <c r="AG531" s="5">
        <f>YEAR(AF531)</f>
        <v>2016</v>
      </c>
      <c r="AH531" s="5" t="str">
        <f>"Q"&amp;ROUNDUP(MONTH(AF531)/3,0)</f>
        <v>Q3</v>
      </c>
      <c r="AI531" s="5">
        <f>INDEX(RatingLookup!$B$2:$B$11,MATCH(A531,RatingLookup!$A$2:$A$11,0))</f>
        <v>7</v>
      </c>
      <c r="AJ531" s="5" t="str">
        <f>INDEX(RatingLookup!$C$2:$C$11,MATCH(A531,RatingLookup!$A$2:$A$11,0))</f>
        <v>Investment Grade</v>
      </c>
    </row>
    <row r="532" spans="1:36" x14ac:dyDescent="0.3">
      <c r="A532" s="3" t="s">
        <v>42</v>
      </c>
      <c r="B532" s="3" t="s">
        <v>683</v>
      </c>
      <c r="C532" s="3" t="s">
        <v>684</v>
      </c>
      <c r="D532" s="3" t="s">
        <v>39</v>
      </c>
      <c r="E532" s="3" t="s">
        <v>685</v>
      </c>
      <c r="F532" s="3" t="s">
        <v>219</v>
      </c>
      <c r="G532" s="3">
        <v>2.774036229</v>
      </c>
      <c r="H532" s="3">
        <v>1.0673478869999999</v>
      </c>
      <c r="I532" s="3">
        <v>0.27868091</v>
      </c>
      <c r="J532" s="3">
        <v>57.042797980000003</v>
      </c>
      <c r="K532" s="3">
        <v>6.1113668000000003E-2</v>
      </c>
      <c r="L532" s="3">
        <v>9.0381959999999997E-2</v>
      </c>
      <c r="M532" s="3">
        <v>0.18357109999999999</v>
      </c>
      <c r="N532" s="3">
        <v>9.7560975999999994E-2</v>
      </c>
      <c r="O532" s="3">
        <v>4.3434177999999997E-2</v>
      </c>
      <c r="P532" s="3">
        <v>7.4764932000000006E-2</v>
      </c>
      <c r="Q532" s="3">
        <v>8.8280262999999998E-2</v>
      </c>
      <c r="R532" s="3">
        <v>0.71071136499999998</v>
      </c>
      <c r="S532" s="3">
        <v>1.544420753</v>
      </c>
      <c r="T532" s="3">
        <v>1.032506814</v>
      </c>
      <c r="U532" s="3">
        <v>0.50799672900000004</v>
      </c>
      <c r="V532" s="3">
        <v>0.32382892099999999</v>
      </c>
      <c r="W532" s="3">
        <v>-0.457429048</v>
      </c>
      <c r="X532" s="3">
        <v>-2.056285178</v>
      </c>
      <c r="Y532" s="3">
        <v>2.251407129</v>
      </c>
      <c r="Z532" s="3">
        <v>2.032506814</v>
      </c>
      <c r="AA532" s="3">
        <v>9.0381959999999997E-2</v>
      </c>
      <c r="AB532" s="3">
        <v>10.565594320000001</v>
      </c>
      <c r="AC532" s="3">
        <v>4.4953095679999997</v>
      </c>
      <c r="AD532" s="3">
        <v>0.11026231</v>
      </c>
      <c r="AE532" s="3">
        <v>6.3793599419999998</v>
      </c>
      <c r="AF532" s="4">
        <v>41857</v>
      </c>
      <c r="AG532" s="5">
        <f>YEAR(AF532)</f>
        <v>2014</v>
      </c>
      <c r="AH532" s="5" t="str">
        <f>"Q"&amp;ROUNDUP(MONTH(AF532)/3,0)</f>
        <v>Q3</v>
      </c>
      <c r="AI532" s="5">
        <f>INDEX(RatingLookup!$B$2:$B$11,MATCH(A532,RatingLookup!$A$2:$A$11,0))</f>
        <v>7</v>
      </c>
      <c r="AJ532" s="5" t="str">
        <f>INDEX(RatingLookup!$C$2:$C$11,MATCH(A532,RatingLookup!$A$2:$A$11,0))</f>
        <v>Investment Grade</v>
      </c>
    </row>
    <row r="533" spans="1:36" x14ac:dyDescent="0.3">
      <c r="A533" s="3" t="s">
        <v>42</v>
      </c>
      <c r="B533" s="3" t="s">
        <v>683</v>
      </c>
      <c r="C533" s="3" t="s">
        <v>684</v>
      </c>
      <c r="D533" s="3" t="s">
        <v>60</v>
      </c>
      <c r="E533" s="3" t="s">
        <v>46</v>
      </c>
      <c r="F533" s="3" t="s">
        <v>219</v>
      </c>
      <c r="G533" s="3">
        <v>2.9276681839999998</v>
      </c>
      <c r="H533" s="3">
        <v>1.9787556900000001</v>
      </c>
      <c r="I533" s="3">
        <v>1.245574102</v>
      </c>
      <c r="J533" s="3">
        <v>56.522595670000001</v>
      </c>
      <c r="K533" s="3">
        <v>4.2385528999999998E-2</v>
      </c>
      <c r="L533" s="3">
        <v>5.2414781000000001E-2</v>
      </c>
      <c r="M533" s="3">
        <v>0.148647842</v>
      </c>
      <c r="N533" s="3">
        <v>5.7548803000000003E-2</v>
      </c>
      <c r="O533" s="3">
        <v>3.564436E-2</v>
      </c>
      <c r="P533" s="3">
        <v>5.4995302000000003E-2</v>
      </c>
      <c r="Q533" s="3">
        <v>9.2725610999999999E-2</v>
      </c>
      <c r="R533" s="3">
        <v>0.84095587100000002</v>
      </c>
      <c r="S533" s="3">
        <v>2.526927138</v>
      </c>
      <c r="T533" s="3">
        <v>1.6014104739999999</v>
      </c>
      <c r="U533" s="3">
        <v>0.61559315199999998</v>
      </c>
      <c r="V533" s="3">
        <v>0.18337129799999999</v>
      </c>
      <c r="W533" s="3">
        <v>-0.23987538899999999</v>
      </c>
      <c r="X533" s="3">
        <v>-0.34920634900000003</v>
      </c>
      <c r="Y533" s="3">
        <v>11.859410430000001</v>
      </c>
      <c r="Z533" s="3">
        <v>2.6014104740000001</v>
      </c>
      <c r="AA533" s="3">
        <v>5.2414781000000001E-2</v>
      </c>
      <c r="AB533" s="3">
        <v>15.643977899999999</v>
      </c>
      <c r="AC533" s="3">
        <v>1.455782313</v>
      </c>
      <c r="AD533" s="3">
        <v>3.8326069999999997E-2</v>
      </c>
      <c r="AE533" s="3">
        <v>8.3642228739999993</v>
      </c>
      <c r="AF533" s="4">
        <v>41075</v>
      </c>
      <c r="AG533" s="5">
        <f>YEAR(AF533)</f>
        <v>2012</v>
      </c>
      <c r="AH533" s="5" t="str">
        <f>"Q"&amp;ROUNDUP(MONTH(AF533)/3,0)</f>
        <v>Q2</v>
      </c>
      <c r="AI533" s="5">
        <f>INDEX(RatingLookup!$B$2:$B$11,MATCH(A533,RatingLookup!$A$2:$A$11,0))</f>
        <v>7</v>
      </c>
      <c r="AJ533" s="5" t="str">
        <f>INDEX(RatingLookup!$C$2:$C$11,MATCH(A533,RatingLookup!$A$2:$A$11,0))</f>
        <v>Investment Grade</v>
      </c>
    </row>
    <row r="534" spans="1:36" x14ac:dyDescent="0.3">
      <c r="A534" s="3" t="s">
        <v>42</v>
      </c>
      <c r="B534" s="3" t="s">
        <v>683</v>
      </c>
      <c r="C534" s="3" t="s">
        <v>684</v>
      </c>
      <c r="D534" s="3" t="s">
        <v>39</v>
      </c>
      <c r="E534" s="3" t="s">
        <v>686</v>
      </c>
      <c r="F534" s="3" t="s">
        <v>219</v>
      </c>
      <c r="G534" s="3">
        <v>3.3231915550000002</v>
      </c>
      <c r="H534" s="3">
        <v>1.171685812</v>
      </c>
      <c r="I534" s="3">
        <v>0.21732381200000001</v>
      </c>
      <c r="J534" s="3">
        <v>49.847981320000002</v>
      </c>
      <c r="K534" s="3">
        <v>2.6361881E-2</v>
      </c>
      <c r="L534" s="3">
        <v>4.0014371E-2</v>
      </c>
      <c r="M534" s="3">
        <v>0.14294696200000001</v>
      </c>
      <c r="N534" s="3">
        <v>5.0074101000000003E-2</v>
      </c>
      <c r="O534" s="3">
        <v>2.0200282E-2</v>
      </c>
      <c r="P534" s="3">
        <v>3.4484093E-2</v>
      </c>
      <c r="Q534" s="3">
        <v>4.4271814999999999E-2</v>
      </c>
      <c r="R534" s="3">
        <v>0.76626862600000001</v>
      </c>
      <c r="S534" s="3">
        <v>1.5939155330000001</v>
      </c>
      <c r="T534" s="3">
        <v>1.1916434119999999</v>
      </c>
      <c r="U534" s="3">
        <v>0.54372139399999997</v>
      </c>
      <c r="V534" s="3">
        <v>0.34118967500000003</v>
      </c>
      <c r="W534" s="3">
        <v>0.39667374399999999</v>
      </c>
      <c r="X534" s="3">
        <v>2.1311787070000001</v>
      </c>
      <c r="Y534" s="3">
        <v>1.393536122</v>
      </c>
      <c r="Z534" s="3">
        <v>2.1916434119999999</v>
      </c>
      <c r="AA534" s="3">
        <v>4.0014371E-2</v>
      </c>
      <c r="AB534" s="3">
        <v>10.88019675</v>
      </c>
      <c r="AC534" s="3">
        <v>5.3726235740000003</v>
      </c>
      <c r="AD534" s="3">
        <v>0.126914268</v>
      </c>
      <c r="AE534" s="3">
        <v>11.25899705</v>
      </c>
      <c r="AF534" s="4">
        <v>42303</v>
      </c>
      <c r="AG534" s="5">
        <f>YEAR(AF534)</f>
        <v>2015</v>
      </c>
      <c r="AH534" s="5" t="str">
        <f>"Q"&amp;ROUNDUP(MONTH(AF534)/3,0)</f>
        <v>Q4</v>
      </c>
      <c r="AI534" s="5">
        <f>INDEX(RatingLookup!$B$2:$B$11,MATCH(A534,RatingLookup!$A$2:$A$11,0))</f>
        <v>7</v>
      </c>
      <c r="AJ534" s="5" t="str">
        <f>INDEX(RatingLookup!$C$2:$C$11,MATCH(A534,RatingLookup!$A$2:$A$11,0))</f>
        <v>Investment Grade</v>
      </c>
    </row>
    <row r="535" spans="1:36" x14ac:dyDescent="0.3">
      <c r="A535" s="3" t="s">
        <v>42</v>
      </c>
      <c r="B535" s="3" t="s">
        <v>683</v>
      </c>
      <c r="C535" s="3" t="s">
        <v>684</v>
      </c>
      <c r="D535" s="3" t="s">
        <v>39</v>
      </c>
      <c r="E535" s="3" t="s">
        <v>423</v>
      </c>
      <c r="F535" s="3" t="s">
        <v>219</v>
      </c>
      <c r="G535" s="3">
        <v>3.0424976259999998</v>
      </c>
      <c r="H535" s="3">
        <v>1.429724596</v>
      </c>
      <c r="I535" s="3">
        <v>0.61134852799999995</v>
      </c>
      <c r="J535" s="3">
        <v>54.950037420000001</v>
      </c>
      <c r="K535" s="3">
        <v>6.431307E-2</v>
      </c>
      <c r="L535" s="3">
        <v>9.5435137000000003E-2</v>
      </c>
      <c r="M535" s="3">
        <v>0.190826253</v>
      </c>
      <c r="N535" s="3">
        <v>0.10243430000000001</v>
      </c>
      <c r="O535" s="3">
        <v>5.0678136999999998E-2</v>
      </c>
      <c r="P535" s="3">
        <v>8.8069220000000004E-2</v>
      </c>
      <c r="Q535" s="3">
        <v>0.112117259</v>
      </c>
      <c r="R535" s="3">
        <v>0.787991259</v>
      </c>
      <c r="S535" s="3">
        <v>1.94428278</v>
      </c>
      <c r="T535" s="3">
        <v>1.212339805</v>
      </c>
      <c r="U535" s="3">
        <v>0.54798987099999996</v>
      </c>
      <c r="V535" s="3">
        <v>0.32426199300000003</v>
      </c>
      <c r="W535" s="3">
        <v>-0.56552044599999995</v>
      </c>
      <c r="X535" s="3">
        <v>-2.3005671080000001</v>
      </c>
      <c r="Y535" s="3">
        <v>4.9187145560000003</v>
      </c>
      <c r="Z535" s="3">
        <v>2.212339805</v>
      </c>
      <c r="AA535" s="3">
        <v>9.5435137000000003E-2</v>
      </c>
      <c r="AB535" s="3">
        <v>9.2612500000000004</v>
      </c>
      <c r="AC535" s="3">
        <v>4.0680529300000003</v>
      </c>
      <c r="AD535" s="3">
        <v>9.4730817999999994E-2</v>
      </c>
      <c r="AE535" s="3">
        <v>7.2742382269999997</v>
      </c>
      <c r="AF535" s="4">
        <v>41684</v>
      </c>
      <c r="AG535" s="5">
        <f>YEAR(AF535)</f>
        <v>2014</v>
      </c>
      <c r="AH535" s="5" t="str">
        <f>"Q"&amp;ROUNDUP(MONTH(AF535)/3,0)</f>
        <v>Q1</v>
      </c>
      <c r="AI535" s="5">
        <f>INDEX(RatingLookup!$B$2:$B$11,MATCH(A535,RatingLookup!$A$2:$A$11,0))</f>
        <v>7</v>
      </c>
      <c r="AJ535" s="5" t="str">
        <f>INDEX(RatingLookup!$C$2:$C$11,MATCH(A535,RatingLookup!$A$2:$A$11,0))</f>
        <v>Investment Grade</v>
      </c>
    </row>
    <row r="536" spans="1:36" x14ac:dyDescent="0.3">
      <c r="A536" s="3" t="s">
        <v>42</v>
      </c>
      <c r="B536" s="3" t="s">
        <v>683</v>
      </c>
      <c r="C536" s="3" t="s">
        <v>684</v>
      </c>
      <c r="D536" s="3" t="s">
        <v>60</v>
      </c>
      <c r="E536" s="3" t="s">
        <v>687</v>
      </c>
      <c r="F536" s="3" t="s">
        <v>219</v>
      </c>
      <c r="G536" s="3">
        <v>2.254962108</v>
      </c>
      <c r="H536" s="3">
        <v>1.038975099</v>
      </c>
      <c r="I536" s="3">
        <v>0.38072897900000002</v>
      </c>
      <c r="J536" s="3">
        <v>63.7270173</v>
      </c>
      <c r="K536" s="3">
        <v>5.9742692E-2</v>
      </c>
      <c r="L536" s="3">
        <v>9.2965938999999997E-2</v>
      </c>
      <c r="M536" s="3">
        <v>0.19273426299999999</v>
      </c>
      <c r="N536" s="3">
        <v>0.10356385899999999</v>
      </c>
      <c r="O536" s="3">
        <v>4.6122231999999999E-2</v>
      </c>
      <c r="P536" s="3">
        <v>9.0952932E-2</v>
      </c>
      <c r="Q536" s="3">
        <v>0.1098025</v>
      </c>
      <c r="R536" s="3">
        <v>0.77201461299999996</v>
      </c>
      <c r="S536" s="3">
        <v>2.1941380060000002</v>
      </c>
      <c r="T536" s="3">
        <v>1.380684907</v>
      </c>
      <c r="U536" s="3">
        <v>0.57995281200000004</v>
      </c>
      <c r="V536" s="3">
        <v>0.35524920500000001</v>
      </c>
      <c r="W536" s="3">
        <v>-7.2364316999999997E-2</v>
      </c>
      <c r="X536" s="3">
        <v>-0.24628450099999999</v>
      </c>
      <c r="Y536" s="3">
        <v>4.7048832269999998</v>
      </c>
      <c r="Z536" s="3">
        <v>2.380684907</v>
      </c>
      <c r="AA536" s="3">
        <v>9.2965938999999997E-2</v>
      </c>
      <c r="AB536" s="3">
        <v>8.1025518880000007</v>
      </c>
      <c r="AC536" s="3">
        <v>3.4033970280000001</v>
      </c>
      <c r="AD536" s="3">
        <v>7.9016118999999996E-2</v>
      </c>
      <c r="AE536" s="3">
        <v>6.9364675980000001</v>
      </c>
      <c r="AF536" s="4">
        <v>41326</v>
      </c>
      <c r="AG536" s="5">
        <f>YEAR(AF536)</f>
        <v>2013</v>
      </c>
      <c r="AH536" s="5" t="str">
        <f>"Q"&amp;ROUNDUP(MONTH(AF536)/3,0)</f>
        <v>Q1</v>
      </c>
      <c r="AI536" s="5">
        <f>INDEX(RatingLookup!$B$2:$B$11,MATCH(A536,RatingLookup!$A$2:$A$11,0))</f>
        <v>7</v>
      </c>
      <c r="AJ536" s="5" t="str">
        <f>INDEX(RatingLookup!$C$2:$C$11,MATCH(A536,RatingLookup!$A$2:$A$11,0))</f>
        <v>Investment Grade</v>
      </c>
    </row>
    <row r="537" spans="1:36" x14ac:dyDescent="0.3">
      <c r="A537" s="3" t="s">
        <v>42</v>
      </c>
      <c r="B537" s="3" t="s">
        <v>683</v>
      </c>
      <c r="C537" s="3" t="s">
        <v>684</v>
      </c>
      <c r="D537" s="3" t="s">
        <v>47</v>
      </c>
      <c r="E537" s="3" t="s">
        <v>688</v>
      </c>
      <c r="F537" s="3" t="s">
        <v>219</v>
      </c>
      <c r="G537" s="3">
        <v>3.3825301200000002</v>
      </c>
      <c r="H537" s="3">
        <v>1.1231593040000001</v>
      </c>
      <c r="I537" s="3">
        <v>0.27443105800000001</v>
      </c>
      <c r="J537" s="3">
        <v>51.044446899999997</v>
      </c>
      <c r="K537" s="3">
        <v>6.2313890000000004E-3</v>
      </c>
      <c r="L537" s="3">
        <v>1.1856182E-2</v>
      </c>
      <c r="M537" s="3">
        <v>0.141116135</v>
      </c>
      <c r="N537" s="3">
        <v>2.8454836000000001E-2</v>
      </c>
      <c r="O537" s="3">
        <v>4.043947E-3</v>
      </c>
      <c r="P537" s="3">
        <v>8.6155079999999992E-3</v>
      </c>
      <c r="Q537" s="3">
        <v>1.0227170000000001E-2</v>
      </c>
      <c r="R537" s="3">
        <v>0.64896396199999995</v>
      </c>
      <c r="S537" s="3">
        <v>1.341867693</v>
      </c>
      <c r="T537" s="3">
        <v>1.52900715</v>
      </c>
      <c r="U537" s="3">
        <v>0.60458791099999998</v>
      </c>
      <c r="V537" s="3">
        <v>0.47441860499999999</v>
      </c>
      <c r="W537" s="3">
        <v>0.62942779299999996</v>
      </c>
      <c r="X537" s="3">
        <v>3.3617463619999999</v>
      </c>
      <c r="Y537" s="3">
        <v>1.704781705</v>
      </c>
      <c r="Z537" s="3">
        <v>2.52900715</v>
      </c>
      <c r="AA537" s="3">
        <v>1.1856182E-2</v>
      </c>
      <c r="AB537" s="3">
        <v>14.14409011</v>
      </c>
      <c r="AC537" s="3">
        <v>5.3409563410000001</v>
      </c>
      <c r="AD537" s="3">
        <v>0.14166758600000001</v>
      </c>
      <c r="AE537" s="3">
        <v>9.6177944859999993</v>
      </c>
      <c r="AF537" s="4">
        <v>42702</v>
      </c>
      <c r="AG537" s="5">
        <f>YEAR(AF537)</f>
        <v>2016</v>
      </c>
      <c r="AH537" s="5" t="str">
        <f>"Q"&amp;ROUNDUP(MONTH(AF537)/3,0)</f>
        <v>Q4</v>
      </c>
      <c r="AI537" s="5">
        <f>INDEX(RatingLookup!$B$2:$B$11,MATCH(A537,RatingLookup!$A$2:$A$11,0))</f>
        <v>7</v>
      </c>
      <c r="AJ537" s="5" t="str">
        <f>INDEX(RatingLookup!$C$2:$C$11,MATCH(A537,RatingLookup!$A$2:$A$11,0))</f>
        <v>Investment Grade</v>
      </c>
    </row>
    <row r="538" spans="1:36" x14ac:dyDescent="0.3">
      <c r="A538" s="3" t="s">
        <v>42</v>
      </c>
      <c r="B538" s="3" t="s">
        <v>683</v>
      </c>
      <c r="C538" s="3" t="s">
        <v>684</v>
      </c>
      <c r="D538" s="3" t="s">
        <v>47</v>
      </c>
      <c r="E538" s="3" t="s">
        <v>689</v>
      </c>
      <c r="F538" s="3" t="s">
        <v>219</v>
      </c>
      <c r="G538" s="3">
        <v>3.76146789</v>
      </c>
      <c r="H538" s="3">
        <v>2.5596330279999999</v>
      </c>
      <c r="I538" s="3">
        <v>1.2155963299999999</v>
      </c>
      <c r="J538" s="3">
        <v>57.278798000000002</v>
      </c>
      <c r="K538" s="3">
        <v>1.6694489999999999E-3</v>
      </c>
      <c r="L538" s="3">
        <v>3.3388979999999999E-3</v>
      </c>
      <c r="M538" s="3">
        <v>0.12020033400000001</v>
      </c>
      <c r="N538" s="3">
        <v>9.1819699999999994E-3</v>
      </c>
      <c r="O538" s="3">
        <v>1.263424E-3</v>
      </c>
      <c r="P538" s="3">
        <v>2.9304029999999998E-3</v>
      </c>
      <c r="Q538" s="3">
        <v>3.4904010000000002E-3</v>
      </c>
      <c r="R538" s="3">
        <v>0.75679090299999996</v>
      </c>
      <c r="S538" s="3">
        <v>1.94165316</v>
      </c>
      <c r="T538" s="3">
        <v>1.760907504</v>
      </c>
      <c r="U538" s="3">
        <v>0.63739734699999995</v>
      </c>
      <c r="V538" s="3">
        <v>0.5</v>
      </c>
      <c r="W538" s="3">
        <v>0.61739130399999997</v>
      </c>
      <c r="X538" s="3">
        <v>1.651162791</v>
      </c>
      <c r="Y538" s="3">
        <v>8.6046511629999998</v>
      </c>
      <c r="Z538" s="3">
        <v>2.7626527049999998</v>
      </c>
      <c r="AA538" s="3">
        <v>3.3388979999999999E-3</v>
      </c>
      <c r="AB538" s="3">
        <v>21.38357143</v>
      </c>
      <c r="AC538" s="3">
        <v>2.6744186050000001</v>
      </c>
      <c r="AD538" s="3">
        <v>9.5993322000000006E-2</v>
      </c>
      <c r="AE538" s="3">
        <v>8.1</v>
      </c>
      <c r="AF538" s="4">
        <v>40532</v>
      </c>
      <c r="AG538" s="5">
        <f>YEAR(AF538)</f>
        <v>2010</v>
      </c>
      <c r="AH538" s="5" t="str">
        <f>"Q"&amp;ROUNDUP(MONTH(AF538)/3,0)</f>
        <v>Q4</v>
      </c>
      <c r="AI538" s="5">
        <f>INDEX(RatingLookup!$B$2:$B$11,MATCH(A538,RatingLookup!$A$2:$A$11,0))</f>
        <v>7</v>
      </c>
      <c r="AJ538" s="5" t="str">
        <f>INDEX(RatingLookup!$C$2:$C$11,MATCH(A538,RatingLookup!$A$2:$A$11,0))</f>
        <v>Investment Grade</v>
      </c>
    </row>
    <row r="539" spans="1:36" x14ac:dyDescent="0.3">
      <c r="A539" s="3" t="s">
        <v>49</v>
      </c>
      <c r="B539" s="3" t="s">
        <v>690</v>
      </c>
      <c r="C539" s="3" t="s">
        <v>691</v>
      </c>
      <c r="D539" s="3" t="s">
        <v>39</v>
      </c>
      <c r="E539" s="3" t="s">
        <v>692</v>
      </c>
      <c r="F539" s="3" t="s">
        <v>113</v>
      </c>
      <c r="G539" s="3">
        <v>2.3644010359999998</v>
      </c>
      <c r="H539" s="3">
        <v>1.7569862469999999</v>
      </c>
      <c r="I539" s="3">
        <v>0.578951565</v>
      </c>
      <c r="J539" s="3">
        <v>53.94149144</v>
      </c>
      <c r="K539" s="3">
        <v>0.219598821</v>
      </c>
      <c r="L539" s="3">
        <v>0.27664097100000001</v>
      </c>
      <c r="M539" s="3">
        <v>0.69399039399999995</v>
      </c>
      <c r="N539" s="3">
        <v>0.27664097100000001</v>
      </c>
      <c r="O539" s="3">
        <v>0.12448996700000001</v>
      </c>
      <c r="P539" s="3">
        <v>0.19392836299999999</v>
      </c>
      <c r="Q539" s="3">
        <v>0.234014795</v>
      </c>
      <c r="R539" s="3">
        <v>0.56689724600000002</v>
      </c>
      <c r="S539" s="3">
        <v>4.6093885649999997</v>
      </c>
      <c r="T539" s="3">
        <v>0.879788393</v>
      </c>
      <c r="U539" s="3">
        <v>0.46802522899999999</v>
      </c>
      <c r="V539" s="3">
        <v>0.20619559400000001</v>
      </c>
      <c r="W539" s="3">
        <v>0.79892804900000003</v>
      </c>
      <c r="X539" s="3">
        <v>5.2419011080000004</v>
      </c>
      <c r="Y539" s="3">
        <v>11.753694230000001</v>
      </c>
      <c r="Z539" s="3">
        <v>1.8797883929999999</v>
      </c>
      <c r="AA539" s="3">
        <v>0.27664097100000001</v>
      </c>
      <c r="AB539" s="3">
        <v>11.92414621</v>
      </c>
      <c r="AC539" s="3">
        <v>6.5611679450000002</v>
      </c>
      <c r="AD539" s="3">
        <v>0.24849658999999999</v>
      </c>
      <c r="AE539" s="3">
        <v>2.979955457</v>
      </c>
      <c r="AF539" s="4">
        <v>41835</v>
      </c>
      <c r="AG539" s="5">
        <f>YEAR(AF539)</f>
        <v>2014</v>
      </c>
      <c r="AH539" s="5" t="str">
        <f>"Q"&amp;ROUNDUP(MONTH(AF539)/3,0)</f>
        <v>Q3</v>
      </c>
      <c r="AI539" s="5">
        <f>INDEX(RatingLookup!$B$2:$B$11,MATCH(A539,RatingLookup!$A$2:$A$11,0))</f>
        <v>9</v>
      </c>
      <c r="AJ539" s="5" t="str">
        <f>INDEX(RatingLookup!$C$2:$C$11,MATCH(A539,RatingLookup!$A$2:$A$11,0))</f>
        <v>Investment Grade</v>
      </c>
    </row>
    <row r="540" spans="1:36" x14ac:dyDescent="0.3">
      <c r="A540" s="3" t="s">
        <v>355</v>
      </c>
      <c r="B540" s="3" t="s">
        <v>690</v>
      </c>
      <c r="C540" s="3" t="s">
        <v>691</v>
      </c>
      <c r="D540" s="3" t="s">
        <v>60</v>
      </c>
      <c r="E540" s="3" t="s">
        <v>693</v>
      </c>
      <c r="F540" s="3" t="s">
        <v>113</v>
      </c>
      <c r="G540" s="3">
        <v>2.1969620249999999</v>
      </c>
      <c r="H540" s="3">
        <v>1.593729309</v>
      </c>
      <c r="I540" s="3">
        <v>0.81507302800000003</v>
      </c>
      <c r="J540" s="3">
        <v>59.951270469999997</v>
      </c>
      <c r="K540" s="3">
        <v>0.19395052700000001</v>
      </c>
      <c r="L540" s="3">
        <v>0.23531803900000001</v>
      </c>
      <c r="M540" s="3">
        <v>0.68670069600000005</v>
      </c>
      <c r="N540" s="3">
        <v>0.19395052700000001</v>
      </c>
      <c r="O540" s="3">
        <v>0.10424093500000001</v>
      </c>
      <c r="P540" s="3">
        <v>0.15682005099999999</v>
      </c>
      <c r="Q540" s="3">
        <v>0.18677163699999999</v>
      </c>
      <c r="R540" s="3">
        <v>0.53746146800000005</v>
      </c>
      <c r="S540" s="3">
        <v>4.2676241770000001</v>
      </c>
      <c r="T540" s="3">
        <v>0.79173024700000005</v>
      </c>
      <c r="U540" s="3">
        <v>0.44188027099999999</v>
      </c>
      <c r="V540" s="3">
        <v>9.7729574999999999E-2</v>
      </c>
      <c r="W540" s="3">
        <v>0.79355690800000001</v>
      </c>
      <c r="X540" s="3">
        <v>4.9191940770000002</v>
      </c>
      <c r="Y540" s="3">
        <v>10.396554180000001</v>
      </c>
      <c r="Z540" s="3">
        <v>1.7917302470000001</v>
      </c>
      <c r="AA540" s="3">
        <v>0.23531803900000001</v>
      </c>
      <c r="AB540" s="3">
        <v>13.95940452</v>
      </c>
      <c r="AC540" s="3">
        <v>6.1989178410000001</v>
      </c>
      <c r="AD540" s="3">
        <v>0.244194525</v>
      </c>
      <c r="AE540" s="3">
        <v>3.5655920839999999</v>
      </c>
      <c r="AF540" s="4">
        <v>41610</v>
      </c>
      <c r="AG540" s="5">
        <f>YEAR(AF540)</f>
        <v>2013</v>
      </c>
      <c r="AH540" s="5" t="str">
        <f>"Q"&amp;ROUNDUP(MONTH(AF540)/3,0)</f>
        <v>Q4</v>
      </c>
      <c r="AI540" s="5">
        <f>INDEX(RatingLookup!$B$2:$B$11,MATCH(A540,RatingLookup!$A$2:$A$11,0))</f>
        <v>10</v>
      </c>
      <c r="AJ540" s="5" t="str">
        <f>INDEX(RatingLookup!$C$2:$C$11,MATCH(A540,RatingLookup!$A$2:$A$11,0))</f>
        <v>Investment Grade</v>
      </c>
    </row>
    <row r="541" spans="1:36" x14ac:dyDescent="0.3">
      <c r="A541" s="3" t="s">
        <v>42</v>
      </c>
      <c r="B541" s="3" t="s">
        <v>694</v>
      </c>
      <c r="C541" s="3" t="s">
        <v>695</v>
      </c>
      <c r="D541" s="3" t="s">
        <v>39</v>
      </c>
      <c r="E541" s="3" t="s">
        <v>329</v>
      </c>
      <c r="F541" s="3" t="s">
        <v>219</v>
      </c>
      <c r="G541" s="3">
        <v>1.6506116209999999</v>
      </c>
      <c r="H541" s="3">
        <v>1.0287971460000001</v>
      </c>
      <c r="I541" s="3">
        <v>0.26758409799999999</v>
      </c>
      <c r="J541" s="3">
        <v>43.656382739999998</v>
      </c>
      <c r="K541" s="3">
        <v>4.1940532000000003E-2</v>
      </c>
      <c r="L541" s="3">
        <v>5.6606304000000003E-2</v>
      </c>
      <c r="M541" s="3">
        <v>0.30838363499999999</v>
      </c>
      <c r="N541" s="3">
        <v>5.6606304000000003E-2</v>
      </c>
      <c r="O541" s="3">
        <v>3.0666623E-2</v>
      </c>
      <c r="P541" s="3">
        <v>4.7481529000000001E-2</v>
      </c>
      <c r="Q541" s="3">
        <v>0.24150360500000001</v>
      </c>
      <c r="R541" s="3">
        <v>0.73119299000000004</v>
      </c>
      <c r="S541" s="3">
        <v>1.866861436</v>
      </c>
      <c r="T541" s="3">
        <v>6.8751287330000004</v>
      </c>
      <c r="U541" s="3">
        <v>0.87301794899999996</v>
      </c>
      <c r="V541" s="3">
        <v>0.368088468</v>
      </c>
      <c r="W541" s="3">
        <v>0.42364341100000003</v>
      </c>
      <c r="X541" s="3">
        <v>2.6185912789999999</v>
      </c>
      <c r="Y541" s="3">
        <v>3.2630570200000002</v>
      </c>
      <c r="Z541" s="3">
        <v>7.8751287330000004</v>
      </c>
      <c r="AA541" s="3">
        <v>5.6606304000000003E-2</v>
      </c>
      <c r="AB541" s="3">
        <v>8.8106460940000009</v>
      </c>
      <c r="AC541" s="3">
        <v>6.1811212270000002</v>
      </c>
      <c r="AD541" s="3">
        <v>0.11535882</v>
      </c>
      <c r="AE541" s="3">
        <v>7.4436958610000001</v>
      </c>
      <c r="AF541" s="4">
        <v>42318</v>
      </c>
      <c r="AG541" s="5">
        <f>YEAR(AF541)</f>
        <v>2015</v>
      </c>
      <c r="AH541" s="5" t="str">
        <f>"Q"&amp;ROUNDUP(MONTH(AF541)/3,0)</f>
        <v>Q4</v>
      </c>
      <c r="AI541" s="5">
        <f>INDEX(RatingLookup!$B$2:$B$11,MATCH(A541,RatingLookup!$A$2:$A$11,0))</f>
        <v>7</v>
      </c>
      <c r="AJ541" s="5" t="str">
        <f>INDEX(RatingLookup!$C$2:$C$11,MATCH(A541,RatingLookup!$A$2:$A$11,0))</f>
        <v>Investment Grade</v>
      </c>
    </row>
    <row r="542" spans="1:36" x14ac:dyDescent="0.3">
      <c r="A542" s="3" t="s">
        <v>42</v>
      </c>
      <c r="B542" s="3" t="s">
        <v>694</v>
      </c>
      <c r="C542" s="3" t="s">
        <v>695</v>
      </c>
      <c r="D542" s="3" t="s">
        <v>39</v>
      </c>
      <c r="E542" s="3" t="s">
        <v>138</v>
      </c>
      <c r="F542" s="3" t="s">
        <v>219</v>
      </c>
      <c r="G542" s="3">
        <v>1.7602886680000001</v>
      </c>
      <c r="H542" s="3">
        <v>1.1429685979999999</v>
      </c>
      <c r="I542" s="3">
        <v>0.35147259600000003</v>
      </c>
      <c r="J542" s="3">
        <v>47.143741400000003</v>
      </c>
      <c r="K542" s="3">
        <v>4.7971114000000002E-2</v>
      </c>
      <c r="L542" s="3">
        <v>4.5839064999999998E-2</v>
      </c>
      <c r="M542" s="3">
        <v>0.270185695</v>
      </c>
      <c r="N542" s="3">
        <v>4.7971114000000002E-2</v>
      </c>
      <c r="O542" s="3">
        <v>4.4246384E-2</v>
      </c>
      <c r="P542" s="3">
        <v>5.0490512000000001E-2</v>
      </c>
      <c r="Q542" s="3">
        <v>0.172115978</v>
      </c>
      <c r="R542" s="3">
        <v>0.92235473199999995</v>
      </c>
      <c r="S542" s="3">
        <v>2.1269748389999998</v>
      </c>
      <c r="T542" s="3">
        <v>2.889944479</v>
      </c>
      <c r="U542" s="3">
        <v>0.74292692199999999</v>
      </c>
      <c r="V542" s="3">
        <v>-0.39234808700000001</v>
      </c>
      <c r="W542" s="3">
        <v>0.60435931300000001</v>
      </c>
      <c r="X542" s="3">
        <v>4.1281299349999996</v>
      </c>
      <c r="Y542" s="3">
        <v>4.7462215199999997</v>
      </c>
      <c r="Z542" s="3">
        <v>3.889944479</v>
      </c>
      <c r="AA542" s="3">
        <v>4.5839064999999998E-2</v>
      </c>
      <c r="AB542" s="3">
        <v>9.6130924540000002</v>
      </c>
      <c r="AC542" s="3">
        <v>6.830588766</v>
      </c>
      <c r="AD542" s="3">
        <v>0.104126547</v>
      </c>
      <c r="AE542" s="3">
        <v>7.3182758620000001</v>
      </c>
      <c r="AF542" s="4">
        <v>41582</v>
      </c>
      <c r="AG542" s="5">
        <f>YEAR(AF542)</f>
        <v>2013</v>
      </c>
      <c r="AH542" s="5" t="str">
        <f>"Q"&amp;ROUNDUP(MONTH(AF542)/3,0)</f>
        <v>Q4</v>
      </c>
      <c r="AI542" s="5">
        <f>INDEX(RatingLookup!$B$2:$B$11,MATCH(A542,RatingLookup!$A$2:$A$11,0))</f>
        <v>7</v>
      </c>
      <c r="AJ542" s="5" t="str">
        <f>INDEX(RatingLookup!$C$2:$C$11,MATCH(A542,RatingLookup!$A$2:$A$11,0))</f>
        <v>Investment Grade</v>
      </c>
    </row>
    <row r="543" spans="1:36" x14ac:dyDescent="0.3">
      <c r="A543" s="3" t="s">
        <v>42</v>
      </c>
      <c r="B543" s="3" t="s">
        <v>694</v>
      </c>
      <c r="C543" s="3" t="s">
        <v>695</v>
      </c>
      <c r="D543" s="3" t="s">
        <v>60</v>
      </c>
      <c r="E543" s="3" t="s">
        <v>46</v>
      </c>
      <c r="F543" s="3" t="s">
        <v>219</v>
      </c>
      <c r="G543" s="3">
        <v>2.2068383279999999</v>
      </c>
      <c r="H543" s="3">
        <v>1.6825664840000001</v>
      </c>
      <c r="I543" s="3">
        <v>0.84297171800000004</v>
      </c>
      <c r="J543" s="3">
        <v>48.874164550000003</v>
      </c>
      <c r="K543" s="3">
        <v>5.1509564000000001E-2</v>
      </c>
      <c r="L543" s="3">
        <v>5.6003687000000003E-2</v>
      </c>
      <c r="M543" s="3">
        <v>0.27172159499999998</v>
      </c>
      <c r="N543" s="3">
        <v>5.6003687000000003E-2</v>
      </c>
      <c r="O543" s="3">
        <v>4.9679546999999998E-2</v>
      </c>
      <c r="P543" s="3">
        <v>6.5513368000000002E-2</v>
      </c>
      <c r="Q543" s="3">
        <v>0.20256797600000001</v>
      </c>
      <c r="R543" s="3">
        <v>0.96447227099999999</v>
      </c>
      <c r="S543" s="3">
        <v>2.2030972329999998</v>
      </c>
      <c r="T543" s="3">
        <v>3.077492447</v>
      </c>
      <c r="U543" s="3">
        <v>0.75475123200000005</v>
      </c>
      <c r="V543" s="3">
        <v>0.21330589799999999</v>
      </c>
      <c r="W543" s="3">
        <v>0.56672897200000005</v>
      </c>
      <c r="X543" s="3">
        <v>3.507635354</v>
      </c>
      <c r="Y543" s="3">
        <v>10.379453959999999</v>
      </c>
      <c r="Z543" s="3">
        <v>4.077492447</v>
      </c>
      <c r="AA543" s="3">
        <v>5.6003687000000003E-2</v>
      </c>
      <c r="AB543" s="3">
        <v>6.86926595</v>
      </c>
      <c r="AC543" s="3">
        <v>6.18926423</v>
      </c>
      <c r="AD543" s="3">
        <v>0.10275025</v>
      </c>
      <c r="AE543" s="3">
        <v>7.5839999999999996</v>
      </c>
      <c r="AF543" s="4">
        <v>41075</v>
      </c>
      <c r="AG543" s="5">
        <f>YEAR(AF543)</f>
        <v>2012</v>
      </c>
      <c r="AH543" s="5" t="str">
        <f>"Q"&amp;ROUNDUP(MONTH(AF543)/3,0)</f>
        <v>Q2</v>
      </c>
      <c r="AI543" s="5">
        <f>INDEX(RatingLookup!$B$2:$B$11,MATCH(A543,RatingLookup!$A$2:$A$11,0))</f>
        <v>7</v>
      </c>
      <c r="AJ543" s="5" t="str">
        <f>INDEX(RatingLookup!$C$2:$C$11,MATCH(A543,RatingLookup!$A$2:$A$11,0))</f>
        <v>Investment Grade</v>
      </c>
    </row>
    <row r="544" spans="1:36" x14ac:dyDescent="0.3">
      <c r="A544" s="3" t="s">
        <v>42</v>
      </c>
      <c r="B544" s="3" t="s">
        <v>694</v>
      </c>
      <c r="C544" s="3" t="s">
        <v>695</v>
      </c>
      <c r="D544" s="3" t="s">
        <v>39</v>
      </c>
      <c r="E544" s="3" t="s">
        <v>599</v>
      </c>
      <c r="F544" s="3" t="s">
        <v>219</v>
      </c>
      <c r="G544" s="3">
        <v>1.621307802</v>
      </c>
      <c r="H544" s="3">
        <v>1.0786310859999999</v>
      </c>
      <c r="I544" s="3">
        <v>0.38317376199999997</v>
      </c>
      <c r="J544" s="3">
        <v>47.647669049999998</v>
      </c>
      <c r="K544" s="3">
        <v>2.3500020999999999E-2</v>
      </c>
      <c r="L544" s="3">
        <v>3.6922556000000002E-2</v>
      </c>
      <c r="M544" s="3">
        <v>0.31176694799999999</v>
      </c>
      <c r="N544" s="3">
        <v>3.6922556000000002E-2</v>
      </c>
      <c r="O544" s="3">
        <v>1.9348766E-2</v>
      </c>
      <c r="P544" s="3">
        <v>3.6677182000000003E-2</v>
      </c>
      <c r="Q544" s="3">
        <v>0.108504399</v>
      </c>
      <c r="R544" s="3">
        <v>0.82335099700000003</v>
      </c>
      <c r="S544" s="3">
        <v>1.855515399</v>
      </c>
      <c r="T544" s="3">
        <v>4.607820137</v>
      </c>
      <c r="U544" s="3">
        <v>0.82167758999999996</v>
      </c>
      <c r="V544" s="3">
        <v>0.14105504599999999</v>
      </c>
      <c r="W544" s="3">
        <v>0.55606109800000003</v>
      </c>
      <c r="X544" s="3">
        <v>4.000467617</v>
      </c>
      <c r="Y544" s="3">
        <v>5.1718494269999997</v>
      </c>
      <c r="Z544" s="3">
        <v>5.607820137</v>
      </c>
      <c r="AA544" s="3">
        <v>3.6922556000000002E-2</v>
      </c>
      <c r="AB544" s="3">
        <v>13.12978215</v>
      </c>
      <c r="AC544" s="3">
        <v>7.1942950669999997</v>
      </c>
      <c r="AD544" s="3">
        <v>0.130287505</v>
      </c>
      <c r="AE544" s="3">
        <v>0.142267267</v>
      </c>
      <c r="AF544" s="4">
        <v>41856</v>
      </c>
      <c r="AG544" s="5">
        <f>YEAR(AF544)</f>
        <v>2014</v>
      </c>
      <c r="AH544" s="5" t="str">
        <f>"Q"&amp;ROUNDUP(MONTH(AF544)/3,0)</f>
        <v>Q3</v>
      </c>
      <c r="AI544" s="5">
        <f>INDEX(RatingLookup!$B$2:$B$11,MATCH(A544,RatingLookup!$A$2:$A$11,0))</f>
        <v>7</v>
      </c>
      <c r="AJ544" s="5" t="str">
        <f>INDEX(RatingLookup!$C$2:$C$11,MATCH(A544,RatingLookup!$A$2:$A$11,0))</f>
        <v>Investment Grade</v>
      </c>
    </row>
    <row r="545" spans="1:36" x14ac:dyDescent="0.3">
      <c r="A545" s="3" t="s">
        <v>42</v>
      </c>
      <c r="B545" s="3" t="s">
        <v>694</v>
      </c>
      <c r="C545" s="3" t="s">
        <v>695</v>
      </c>
      <c r="D545" s="3" t="s">
        <v>60</v>
      </c>
      <c r="E545" s="3" t="s">
        <v>696</v>
      </c>
      <c r="F545" s="3" t="s">
        <v>219</v>
      </c>
      <c r="G545" s="3">
        <v>1.711444008</v>
      </c>
      <c r="H545" s="3">
        <v>1.064096267</v>
      </c>
      <c r="I545" s="3">
        <v>0.25368369400000002</v>
      </c>
      <c r="J545" s="3">
        <v>51.964751649999997</v>
      </c>
      <c r="K545" s="3">
        <v>4.2886285000000003E-2</v>
      </c>
      <c r="L545" s="3">
        <v>4.5353194999999999E-2</v>
      </c>
      <c r="M545" s="3">
        <v>0.28118032199999998</v>
      </c>
      <c r="N545" s="3">
        <v>4.5353194999999999E-2</v>
      </c>
      <c r="O545" s="3">
        <v>2.7110511E-2</v>
      </c>
      <c r="P545" s="3">
        <v>3.2658080999999999E-2</v>
      </c>
      <c r="Q545" s="3">
        <v>0.20824694799999999</v>
      </c>
      <c r="R545" s="3">
        <v>0.63214874799999998</v>
      </c>
      <c r="S545" s="3">
        <v>1.5067190850000001</v>
      </c>
      <c r="T545" s="3">
        <v>6.6814098130000001</v>
      </c>
      <c r="U545" s="3">
        <v>0.86981556500000001</v>
      </c>
      <c r="V545" s="3">
        <v>0.25836820100000002</v>
      </c>
      <c r="W545" s="3">
        <v>0.45601291399999999</v>
      </c>
      <c r="X545" s="3">
        <v>2.7487229379999998</v>
      </c>
      <c r="Y545" s="3">
        <v>3.24008757</v>
      </c>
      <c r="Z545" s="3">
        <v>7.6814098130000001</v>
      </c>
      <c r="AA545" s="3">
        <v>4.5353194999999999E-2</v>
      </c>
      <c r="AB545" s="3">
        <v>15.42303207</v>
      </c>
      <c r="AC545" s="3">
        <v>6.0277304789999997</v>
      </c>
      <c r="AD545" s="3">
        <v>0.117557759</v>
      </c>
      <c r="AE545" s="3">
        <v>6.5621481160000004</v>
      </c>
      <c r="AF545" s="4">
        <v>42584</v>
      </c>
      <c r="AG545" s="5">
        <f>YEAR(AF545)</f>
        <v>2016</v>
      </c>
      <c r="AH545" s="5" t="str">
        <f>"Q"&amp;ROUNDUP(MONTH(AF545)/3,0)</f>
        <v>Q3</v>
      </c>
      <c r="AI545" s="5">
        <f>INDEX(RatingLookup!$B$2:$B$11,MATCH(A545,RatingLookup!$A$2:$A$11,0))</f>
        <v>7</v>
      </c>
      <c r="AJ545" s="5" t="str">
        <f>INDEX(RatingLookup!$C$2:$C$11,MATCH(A545,RatingLookup!$A$2:$A$11,0))</f>
        <v>Investment Grade</v>
      </c>
    </row>
    <row r="546" spans="1:36" x14ac:dyDescent="0.3">
      <c r="A546" s="3" t="s">
        <v>36</v>
      </c>
      <c r="B546" s="3" t="s">
        <v>697</v>
      </c>
      <c r="C546" s="3" t="s">
        <v>698</v>
      </c>
      <c r="D546" s="3" t="s">
        <v>39</v>
      </c>
      <c r="E546" s="3" t="s">
        <v>503</v>
      </c>
      <c r="F546" s="3" t="s">
        <v>96</v>
      </c>
      <c r="G546" s="3">
        <v>1.4204605969999999</v>
      </c>
      <c r="H546" s="3">
        <v>0.91613667899999995</v>
      </c>
      <c r="I546" s="3">
        <v>0.33421416799999998</v>
      </c>
      <c r="J546" s="3">
        <v>55.872241359999997</v>
      </c>
      <c r="K546" s="3">
        <v>9.9995124000000005E-2</v>
      </c>
      <c r="L546" s="3">
        <v>0.14113831900000001</v>
      </c>
      <c r="M546" s="3">
        <v>0.383639024</v>
      </c>
      <c r="N546" s="3">
        <v>0.15678145800000001</v>
      </c>
      <c r="O546" s="3">
        <v>8.5280765999999994E-2</v>
      </c>
      <c r="P546" s="3">
        <v>0.155183972</v>
      </c>
      <c r="Q546" s="3">
        <v>0.20948192600000001</v>
      </c>
      <c r="R546" s="3">
        <v>0.85284924699999998</v>
      </c>
      <c r="S546" s="3">
        <v>9.2617550049999995</v>
      </c>
      <c r="T546" s="3">
        <v>1.456379493</v>
      </c>
      <c r="U546" s="3">
        <v>0.59289678000000001</v>
      </c>
      <c r="V546" s="3">
        <v>0.28885485100000002</v>
      </c>
      <c r="W546" s="3">
        <v>0.82525858699999999</v>
      </c>
      <c r="X546" s="3">
        <v>4.7040709810000001</v>
      </c>
      <c r="Y546" s="3">
        <v>4.088864493</v>
      </c>
      <c r="Z546" s="3">
        <v>2.456379493</v>
      </c>
      <c r="AA546" s="3">
        <v>0.14113831900000001</v>
      </c>
      <c r="AB546" s="3">
        <v>7.7369580320000004</v>
      </c>
      <c r="AC546" s="3">
        <v>5.7001175819999998</v>
      </c>
      <c r="AD546" s="3">
        <v>0.122558666</v>
      </c>
      <c r="AE546" s="3">
        <v>7.7656923420000004</v>
      </c>
      <c r="AF546" s="4">
        <v>42117</v>
      </c>
      <c r="AG546" s="5">
        <f>YEAR(AF546)</f>
        <v>2015</v>
      </c>
      <c r="AH546" s="5" t="str">
        <f>"Q"&amp;ROUNDUP(MONTH(AF546)/3,0)</f>
        <v>Q2</v>
      </c>
      <c r="AI546" s="5">
        <f>INDEX(RatingLookup!$B$2:$B$11,MATCH(A546,RatingLookup!$A$2:$A$11,0))</f>
        <v>8</v>
      </c>
      <c r="AJ546" s="5" t="str">
        <f>INDEX(RatingLookup!$C$2:$C$11,MATCH(A546,RatingLookup!$A$2:$A$11,0))</f>
        <v>Investment Grade</v>
      </c>
    </row>
    <row r="547" spans="1:36" x14ac:dyDescent="0.3">
      <c r="A547" s="3" t="s">
        <v>36</v>
      </c>
      <c r="B547" s="3" t="s">
        <v>697</v>
      </c>
      <c r="C547" s="3" t="s">
        <v>698</v>
      </c>
      <c r="D547" s="3" t="s">
        <v>39</v>
      </c>
      <c r="E547" s="3" t="s">
        <v>55</v>
      </c>
      <c r="F547" s="3" t="s">
        <v>96</v>
      </c>
      <c r="G547" s="3">
        <v>1.7706340490000001</v>
      </c>
      <c r="H547" s="3">
        <v>1.0844752200000001</v>
      </c>
      <c r="I547" s="3">
        <v>0.26491352299999998</v>
      </c>
      <c r="J547" s="3">
        <v>58.792490729999997</v>
      </c>
      <c r="K547" s="3">
        <v>0.125041707</v>
      </c>
      <c r="L547" s="3">
        <v>0.115091174</v>
      </c>
      <c r="M547" s="3">
        <v>0.36918188400000002</v>
      </c>
      <c r="N547" s="3">
        <v>0.132363547</v>
      </c>
      <c r="O547" s="3">
        <v>0.10091101099999999</v>
      </c>
      <c r="P547" s="3">
        <v>0.110389667</v>
      </c>
      <c r="Q547" s="3">
        <v>0.23866404199999999</v>
      </c>
      <c r="R547" s="3">
        <v>0.80701882400000002</v>
      </c>
      <c r="S547" s="3">
        <v>8.1429982830000007</v>
      </c>
      <c r="T547" s="3">
        <v>1.365094147</v>
      </c>
      <c r="U547" s="3">
        <v>0.57718385100000003</v>
      </c>
      <c r="V547" s="3">
        <v>0.25571626600000003</v>
      </c>
      <c r="W547" s="3">
        <v>0.83746953599999996</v>
      </c>
      <c r="X547" s="3">
        <v>5.0425900429999997</v>
      </c>
      <c r="Y547" s="3">
        <v>2.2978511469999998</v>
      </c>
      <c r="Z547" s="3">
        <v>2.3650941470000002</v>
      </c>
      <c r="AA547" s="3">
        <v>0.115091174</v>
      </c>
      <c r="AB547" s="3">
        <v>7.8915447360000002</v>
      </c>
      <c r="AC547" s="3">
        <v>6.0212220609999996</v>
      </c>
      <c r="AD547" s="3">
        <v>0.136431364</v>
      </c>
      <c r="AE547" s="3">
        <v>6.7418986600000004</v>
      </c>
      <c r="AF547" s="4">
        <v>42208</v>
      </c>
      <c r="AG547" s="5">
        <f>YEAR(AF547)</f>
        <v>2015</v>
      </c>
      <c r="AH547" s="5" t="str">
        <f>"Q"&amp;ROUNDUP(MONTH(AF547)/3,0)</f>
        <v>Q3</v>
      </c>
      <c r="AI547" s="5">
        <f>INDEX(RatingLookup!$B$2:$B$11,MATCH(A547,RatingLookup!$A$2:$A$11,0))</f>
        <v>8</v>
      </c>
      <c r="AJ547" s="5" t="str">
        <f>INDEX(RatingLookup!$C$2:$C$11,MATCH(A547,RatingLookup!$A$2:$A$11,0))</f>
        <v>Investment Grade</v>
      </c>
    </row>
    <row r="548" spans="1:36" x14ac:dyDescent="0.3">
      <c r="A548" s="3" t="s">
        <v>36</v>
      </c>
      <c r="B548" s="3" t="s">
        <v>697</v>
      </c>
      <c r="C548" s="3" t="s">
        <v>698</v>
      </c>
      <c r="D548" s="3" t="s">
        <v>39</v>
      </c>
      <c r="E548" s="3" t="s">
        <v>699</v>
      </c>
      <c r="F548" s="3" t="s">
        <v>96</v>
      </c>
      <c r="G548" s="3">
        <v>2.0055719930000002</v>
      </c>
      <c r="H548" s="3">
        <v>1.338827542</v>
      </c>
      <c r="I548" s="3">
        <v>0.49758105400000002</v>
      </c>
      <c r="J548" s="3">
        <v>56.825027640000002</v>
      </c>
      <c r="K548" s="3">
        <v>0.114908418</v>
      </c>
      <c r="L548" s="3">
        <v>0.14174553300000001</v>
      </c>
      <c r="M548" s="3">
        <v>0.382571883</v>
      </c>
      <c r="N548" s="3">
        <v>0.15509289800000001</v>
      </c>
      <c r="O548" s="3">
        <v>9.2555183999999999E-2</v>
      </c>
      <c r="P548" s="3">
        <v>0.13417182499999999</v>
      </c>
      <c r="Q548" s="3">
        <v>0.18654549500000001</v>
      </c>
      <c r="R548" s="3">
        <v>0.805469133</v>
      </c>
      <c r="S548" s="3">
        <v>7.379497744</v>
      </c>
      <c r="T548" s="3">
        <v>1.015505646</v>
      </c>
      <c r="U548" s="3">
        <v>0.50384658999999998</v>
      </c>
      <c r="V548" s="3">
        <v>0.21949601299999999</v>
      </c>
      <c r="W548" s="3">
        <v>0.79907015000000003</v>
      </c>
      <c r="X548" s="3">
        <v>5.4991913400000003</v>
      </c>
      <c r="Y548" s="3">
        <v>4.6936258909999999</v>
      </c>
      <c r="Z548" s="3">
        <v>2.0155056459999998</v>
      </c>
      <c r="AA548" s="3">
        <v>0.14174553300000001</v>
      </c>
      <c r="AB548" s="3">
        <v>6.91248766</v>
      </c>
      <c r="AC548" s="3">
        <v>6.8819881939999998</v>
      </c>
      <c r="AD548" s="3">
        <v>0.13501835600000001</v>
      </c>
      <c r="AE548" s="3">
        <v>7.7827092039999997</v>
      </c>
      <c r="AF548" s="4">
        <v>41802</v>
      </c>
      <c r="AG548" s="5">
        <f>YEAR(AF548)</f>
        <v>2014</v>
      </c>
      <c r="AH548" s="5" t="str">
        <f>"Q"&amp;ROUNDUP(MONTH(AF548)/3,0)</f>
        <v>Q2</v>
      </c>
      <c r="AI548" s="5">
        <f>INDEX(RatingLookup!$B$2:$B$11,MATCH(A548,RatingLookup!$A$2:$A$11,0))</f>
        <v>8</v>
      </c>
      <c r="AJ548" s="5" t="str">
        <f>INDEX(RatingLookup!$C$2:$C$11,MATCH(A548,RatingLookup!$A$2:$A$11,0))</f>
        <v>Investment Grade</v>
      </c>
    </row>
    <row r="549" spans="1:36" x14ac:dyDescent="0.3">
      <c r="A549" s="3" t="s">
        <v>36</v>
      </c>
      <c r="B549" s="3" t="s">
        <v>697</v>
      </c>
      <c r="C549" s="3" t="s">
        <v>698</v>
      </c>
      <c r="D549" s="3" t="s">
        <v>60</v>
      </c>
      <c r="E549" s="3" t="s">
        <v>700</v>
      </c>
      <c r="F549" s="3" t="s">
        <v>96</v>
      </c>
      <c r="G549" s="3">
        <v>1.3344158020000001</v>
      </c>
      <c r="H549" s="3">
        <v>0.83200124900000005</v>
      </c>
      <c r="I549" s="3">
        <v>0.179942669</v>
      </c>
      <c r="J549" s="3">
        <v>67.968077699999995</v>
      </c>
      <c r="K549" s="3">
        <v>7.4899380000000002E-2</v>
      </c>
      <c r="L549" s="3">
        <v>0.101456771</v>
      </c>
      <c r="M549" s="3">
        <v>0.36382757900000001</v>
      </c>
      <c r="N549" s="3">
        <v>0.10515308199999999</v>
      </c>
      <c r="O549" s="3">
        <v>5.0305699000000002E-2</v>
      </c>
      <c r="P549" s="3">
        <v>8.4315016000000007E-2</v>
      </c>
      <c r="Q549" s="3">
        <v>0.13392789899999999</v>
      </c>
      <c r="R549" s="3">
        <v>0.67164373700000002</v>
      </c>
      <c r="S549" s="3">
        <v>7.1846859900000002</v>
      </c>
      <c r="T549" s="3">
        <v>1.6622808469999999</v>
      </c>
      <c r="U549" s="3">
        <v>0.62438222799999998</v>
      </c>
      <c r="V549" s="3">
        <v>0.26176066100000001</v>
      </c>
      <c r="W549" s="3">
        <v>0.80834130900000001</v>
      </c>
      <c r="X549" s="3">
        <v>4.4886008589999999</v>
      </c>
      <c r="Y549" s="3">
        <v>2.249202801</v>
      </c>
      <c r="Z549" s="3">
        <v>2.6622808469999999</v>
      </c>
      <c r="AA549" s="3">
        <v>0.101456771</v>
      </c>
      <c r="AB549" s="3">
        <v>12.18946028</v>
      </c>
      <c r="AC549" s="3">
        <v>5.5528534890000003</v>
      </c>
      <c r="AD549" s="3">
        <v>0.12686659</v>
      </c>
      <c r="AE549" s="3">
        <v>5.2056838460000003</v>
      </c>
      <c r="AF549" s="4">
        <v>42676</v>
      </c>
      <c r="AG549" s="5">
        <f>YEAR(AF549)</f>
        <v>2016</v>
      </c>
      <c r="AH549" s="5" t="str">
        <f>"Q"&amp;ROUNDUP(MONTH(AF549)/3,0)</f>
        <v>Q4</v>
      </c>
      <c r="AI549" s="5">
        <f>INDEX(RatingLookup!$B$2:$B$11,MATCH(A549,RatingLookup!$A$2:$A$11,0))</f>
        <v>8</v>
      </c>
      <c r="AJ549" s="5" t="str">
        <f>INDEX(RatingLookup!$C$2:$C$11,MATCH(A549,RatingLookup!$A$2:$A$11,0))</f>
        <v>Investment Grade</v>
      </c>
    </row>
    <row r="550" spans="1:36" x14ac:dyDescent="0.3">
      <c r="A550" s="3" t="s">
        <v>36</v>
      </c>
      <c r="B550" s="3" t="s">
        <v>697</v>
      </c>
      <c r="C550" s="3" t="s">
        <v>698</v>
      </c>
      <c r="D550" s="3" t="s">
        <v>44</v>
      </c>
      <c r="E550" s="3" t="s">
        <v>46</v>
      </c>
      <c r="F550" s="3" t="s">
        <v>96</v>
      </c>
      <c r="G550" s="3">
        <v>2.823926562</v>
      </c>
      <c r="H550" s="3">
        <v>1.992566799</v>
      </c>
      <c r="I550" s="3">
        <v>1.003137207</v>
      </c>
      <c r="J550" s="3">
        <v>54.646424469999999</v>
      </c>
      <c r="K550" s="3">
        <v>0.11260719900000001</v>
      </c>
      <c r="L550" s="3">
        <v>0.13775405199999999</v>
      </c>
      <c r="M550" s="3">
        <v>0.38382015899999999</v>
      </c>
      <c r="N550" s="3">
        <v>0.152301092</v>
      </c>
      <c r="O550" s="3">
        <v>9.4221724000000007E-2</v>
      </c>
      <c r="P550" s="3">
        <v>0.13197181299999999</v>
      </c>
      <c r="Q550" s="3">
        <v>0.181570432</v>
      </c>
      <c r="R550" s="3">
        <v>0.83672913100000001</v>
      </c>
      <c r="S550" s="3">
        <v>7.9432293899999999</v>
      </c>
      <c r="T550" s="3">
        <v>0.92705486500000001</v>
      </c>
      <c r="U550" s="3">
        <v>0.481073415</v>
      </c>
      <c r="V550" s="3">
        <v>0.227179674</v>
      </c>
      <c r="W550" s="3">
        <v>0.74314727700000005</v>
      </c>
      <c r="X550" s="3">
        <v>4230.7485390000002</v>
      </c>
      <c r="Y550" s="3">
        <v>6492.0487190000003</v>
      </c>
      <c r="Z550" s="3">
        <v>1.9270548649999999</v>
      </c>
      <c r="AA550" s="3">
        <v>0.13775405199999999</v>
      </c>
      <c r="AB550" s="3">
        <v>0.65284277199999996</v>
      </c>
      <c r="AC550" s="3">
        <v>5693.0149229999997</v>
      </c>
      <c r="AD550" s="3">
        <v>0.133108222</v>
      </c>
      <c r="AE550" s="3">
        <v>9.0062508730000008</v>
      </c>
      <c r="AF550" s="4">
        <v>41075</v>
      </c>
      <c r="AG550" s="5">
        <f>YEAR(AF550)</f>
        <v>2012</v>
      </c>
      <c r="AH550" s="5" t="str">
        <f>"Q"&amp;ROUNDUP(MONTH(AF550)/3,0)</f>
        <v>Q2</v>
      </c>
      <c r="AI550" s="5">
        <f>INDEX(RatingLookup!$B$2:$B$11,MATCH(A550,RatingLookup!$A$2:$A$11,0))</f>
        <v>8</v>
      </c>
      <c r="AJ550" s="5" t="str">
        <f>INDEX(RatingLookup!$C$2:$C$11,MATCH(A550,RatingLookup!$A$2:$A$11,0))</f>
        <v>Investment Grade</v>
      </c>
    </row>
    <row r="551" spans="1:36" x14ac:dyDescent="0.3">
      <c r="A551" s="3" t="s">
        <v>42</v>
      </c>
      <c r="B551" s="3" t="s">
        <v>701</v>
      </c>
      <c r="C551" s="3" t="s">
        <v>702</v>
      </c>
      <c r="D551" s="3" t="s">
        <v>39</v>
      </c>
      <c r="E551" s="3" t="s">
        <v>703</v>
      </c>
      <c r="F551" s="3" t="s">
        <v>59</v>
      </c>
      <c r="G551" s="3">
        <v>1.4043667799999999</v>
      </c>
      <c r="H551" s="3">
        <v>0.75374583299999998</v>
      </c>
      <c r="I551" s="3">
        <v>0.222771733</v>
      </c>
      <c r="J551" s="3">
        <v>55.173656029999997</v>
      </c>
      <c r="K551" s="3">
        <v>6.8078913000000005E-2</v>
      </c>
      <c r="L551" s="3">
        <v>9.2137416E-2</v>
      </c>
      <c r="M551" s="3">
        <v>0.26823702700000002</v>
      </c>
      <c r="N551" s="3">
        <v>0.10112117299999999</v>
      </c>
      <c r="O551" s="3">
        <v>4.4631077999999998E-2</v>
      </c>
      <c r="P551" s="3">
        <v>8.9029322999999994E-2</v>
      </c>
      <c r="Q551" s="3">
        <v>0.181482901</v>
      </c>
      <c r="R551" s="3">
        <v>0.65557858999999996</v>
      </c>
      <c r="S551" s="3">
        <v>3.2595021960000001</v>
      </c>
      <c r="T551" s="3">
        <v>3.0662898749999998</v>
      </c>
      <c r="U551" s="3">
        <v>0.754075575</v>
      </c>
      <c r="V551" s="3">
        <v>0.25721528900000001</v>
      </c>
      <c r="W551" s="3">
        <v>0.752526739</v>
      </c>
      <c r="X551" s="3">
        <v>11.88623683</v>
      </c>
      <c r="Y551" s="3">
        <v>18.849969000000002</v>
      </c>
      <c r="Z551" s="3">
        <v>4.0662898749999998</v>
      </c>
      <c r="AA551" s="3">
        <v>9.2137416E-2</v>
      </c>
      <c r="AB551" s="3">
        <v>6.8151049910000001</v>
      </c>
      <c r="AC551" s="3">
        <v>15.795102290000001</v>
      </c>
      <c r="AD551" s="3">
        <v>0.18310694299999999</v>
      </c>
      <c r="AE551" s="3">
        <v>6.2083841460000002</v>
      </c>
      <c r="AF551" s="4">
        <v>41666</v>
      </c>
      <c r="AG551" s="5">
        <f>YEAR(AF551)</f>
        <v>2014</v>
      </c>
      <c r="AH551" s="5" t="str">
        <f>"Q"&amp;ROUNDUP(MONTH(AF551)/3,0)</f>
        <v>Q1</v>
      </c>
      <c r="AI551" s="5">
        <f>INDEX(RatingLookup!$B$2:$B$11,MATCH(A551,RatingLookup!$A$2:$A$11,0))</f>
        <v>7</v>
      </c>
      <c r="AJ551" s="5" t="str">
        <f>INDEX(RatingLookup!$C$2:$C$11,MATCH(A551,RatingLookup!$A$2:$A$11,0))</f>
        <v>Investment Grade</v>
      </c>
    </row>
    <row r="552" spans="1:36" x14ac:dyDescent="0.3">
      <c r="A552" s="3" t="s">
        <v>36</v>
      </c>
      <c r="B552" s="3" t="s">
        <v>701</v>
      </c>
      <c r="C552" s="3" t="s">
        <v>702</v>
      </c>
      <c r="D552" s="3" t="s">
        <v>60</v>
      </c>
      <c r="E552" s="3" t="s">
        <v>46</v>
      </c>
      <c r="F552" s="3" t="s">
        <v>59</v>
      </c>
      <c r="G552" s="3">
        <v>1.334967263</v>
      </c>
      <c r="H552" s="3">
        <v>0.57417457400000005</v>
      </c>
      <c r="I552" s="3">
        <v>0.107034067</v>
      </c>
      <c r="J552" s="3">
        <v>62.423509260000003</v>
      </c>
      <c r="K552" s="3">
        <v>8.1944859999999994E-2</v>
      </c>
      <c r="L552" s="3">
        <v>0.11182613299999999</v>
      </c>
      <c r="M552" s="3">
        <v>0.27536665700000001</v>
      </c>
      <c r="N552" s="3">
        <v>0.118943098</v>
      </c>
      <c r="O552" s="3">
        <v>6.0506348000000001E-2</v>
      </c>
      <c r="P552" s="3">
        <v>0.12716271200000001</v>
      </c>
      <c r="Q552" s="3">
        <v>0.381158636</v>
      </c>
      <c r="R552" s="3">
        <v>0.73837880300000003</v>
      </c>
      <c r="S552" s="3">
        <v>4.1777005899999997</v>
      </c>
      <c r="T552" s="3">
        <v>5.2994817850000002</v>
      </c>
      <c r="U552" s="3">
        <v>0.84125678400000004</v>
      </c>
      <c r="V552" s="3">
        <v>0.255762082</v>
      </c>
      <c r="W552" s="3">
        <v>0.641226819</v>
      </c>
      <c r="X552" s="3">
        <v>6.9689922480000002</v>
      </c>
      <c r="Y552" s="3">
        <v>9.4790697670000004</v>
      </c>
      <c r="Z552" s="3">
        <v>6.2994817850000002</v>
      </c>
      <c r="AA552" s="3">
        <v>0.11182613299999999</v>
      </c>
      <c r="AB552" s="3">
        <v>7.5940547519999999</v>
      </c>
      <c r="AC552" s="3">
        <v>10.86821705</v>
      </c>
      <c r="AD552" s="3">
        <v>0.116565233</v>
      </c>
      <c r="AE552" s="3">
        <v>5.3397867909999999</v>
      </c>
      <c r="AF552" s="4">
        <v>41075</v>
      </c>
      <c r="AG552" s="5">
        <f>YEAR(AF552)</f>
        <v>2012</v>
      </c>
      <c r="AH552" s="5" t="str">
        <f>"Q"&amp;ROUNDUP(MONTH(AF552)/3,0)</f>
        <v>Q2</v>
      </c>
      <c r="AI552" s="5">
        <f>INDEX(RatingLookup!$B$2:$B$11,MATCH(A552,RatingLookup!$A$2:$A$11,0))</f>
        <v>8</v>
      </c>
      <c r="AJ552" s="5" t="str">
        <f>INDEX(RatingLookup!$C$2:$C$11,MATCH(A552,RatingLookup!$A$2:$A$11,0))</f>
        <v>Investment Grade</v>
      </c>
    </row>
    <row r="553" spans="1:36" x14ac:dyDescent="0.3">
      <c r="A553" s="3" t="s">
        <v>42</v>
      </c>
      <c r="B553" s="3" t="s">
        <v>701</v>
      </c>
      <c r="C553" s="3" t="s">
        <v>702</v>
      </c>
      <c r="D553" s="3" t="s">
        <v>39</v>
      </c>
      <c r="E553" s="3" t="s">
        <v>704</v>
      </c>
      <c r="F553" s="3" t="s">
        <v>59</v>
      </c>
      <c r="G553" s="3">
        <v>1.3942318039999999</v>
      </c>
      <c r="H553" s="3">
        <v>0.80421135700000002</v>
      </c>
      <c r="I553" s="3">
        <v>0.26333536600000002</v>
      </c>
      <c r="J553" s="3">
        <v>51.174344009999999</v>
      </c>
      <c r="K553" s="3">
        <v>6.6957814000000004E-2</v>
      </c>
      <c r="L553" s="3">
        <v>9.2110031999999994E-2</v>
      </c>
      <c r="M553" s="3">
        <v>0.27937445599999999</v>
      </c>
      <c r="N553" s="3">
        <v>9.6549725000000003E-2</v>
      </c>
      <c r="O553" s="3">
        <v>4.3634344999999998E-2</v>
      </c>
      <c r="P553" s="3">
        <v>8.9483135000000005E-2</v>
      </c>
      <c r="Q553" s="3">
        <v>0.219600618</v>
      </c>
      <c r="R553" s="3">
        <v>0.651669206</v>
      </c>
      <c r="S553" s="3">
        <v>3.32894975</v>
      </c>
      <c r="T553" s="3">
        <v>4.0327469389999999</v>
      </c>
      <c r="U553" s="3">
        <v>0.80130135400000002</v>
      </c>
      <c r="V553" s="3">
        <v>0.27149321300000001</v>
      </c>
      <c r="W553" s="3">
        <v>0.80898597500000002</v>
      </c>
      <c r="X553" s="3">
        <v>10.560596240000001</v>
      </c>
      <c r="Y553" s="3">
        <v>23.78807518</v>
      </c>
      <c r="Z553" s="3">
        <v>5.0327469389999999</v>
      </c>
      <c r="AA553" s="3">
        <v>9.2110031999999994E-2</v>
      </c>
      <c r="AB553" s="3">
        <v>5.5727810619999998</v>
      </c>
      <c r="AC553" s="3">
        <v>13.054115360000001</v>
      </c>
      <c r="AD553" s="3">
        <v>0.146002464</v>
      </c>
      <c r="AE553" s="3">
        <v>6.1039140449999998</v>
      </c>
      <c r="AF553" s="4">
        <v>42048</v>
      </c>
      <c r="AG553" s="5">
        <f>YEAR(AF553)</f>
        <v>2015</v>
      </c>
      <c r="AH553" s="5" t="str">
        <f>"Q"&amp;ROUNDUP(MONTH(AF553)/3,0)</f>
        <v>Q1</v>
      </c>
      <c r="AI553" s="5">
        <f>INDEX(RatingLookup!$B$2:$B$11,MATCH(A553,RatingLookup!$A$2:$A$11,0))</f>
        <v>7</v>
      </c>
      <c r="AJ553" s="5" t="str">
        <f>INDEX(RatingLookup!$C$2:$C$11,MATCH(A553,RatingLookup!$A$2:$A$11,0))</f>
        <v>Investment Grade</v>
      </c>
    </row>
    <row r="554" spans="1:36" x14ac:dyDescent="0.3">
      <c r="A554" s="3" t="s">
        <v>42</v>
      </c>
      <c r="B554" s="3" t="s">
        <v>701</v>
      </c>
      <c r="C554" s="3" t="s">
        <v>702</v>
      </c>
      <c r="D554" s="3" t="s">
        <v>39</v>
      </c>
      <c r="E554" s="3" t="s">
        <v>705</v>
      </c>
      <c r="F554" s="3" t="s">
        <v>59</v>
      </c>
      <c r="G554" s="3">
        <v>1.3085199409999999</v>
      </c>
      <c r="H554" s="3">
        <v>0.745732426</v>
      </c>
      <c r="I554" s="3">
        <v>0.24559936099999999</v>
      </c>
      <c r="J554" s="3">
        <v>51.980919360000001</v>
      </c>
      <c r="K554" s="3">
        <v>4.471294E-2</v>
      </c>
      <c r="L554" s="3">
        <v>6.0730467000000003E-2</v>
      </c>
      <c r="M554" s="3">
        <v>0.28225308999999998</v>
      </c>
      <c r="N554" s="3">
        <v>6.9260385999999993E-2</v>
      </c>
      <c r="O554" s="3">
        <v>2.6778092999999999E-2</v>
      </c>
      <c r="P554" s="3">
        <v>5.4699774E-2</v>
      </c>
      <c r="Q554" s="3">
        <v>0.14121598899999999</v>
      </c>
      <c r="R554" s="3">
        <v>0.59888912999999999</v>
      </c>
      <c r="S554" s="3">
        <v>2.9217526409999999</v>
      </c>
      <c r="T554" s="3">
        <v>4.2735639909999996</v>
      </c>
      <c r="U554" s="3">
        <v>0.81037491900000003</v>
      </c>
      <c r="V554" s="3">
        <v>0.259894921</v>
      </c>
      <c r="W554" s="3">
        <v>0.792059925</v>
      </c>
      <c r="X554" s="3">
        <v>8.8961803800000006</v>
      </c>
      <c r="Y554" s="3">
        <v>21.73986202</v>
      </c>
      <c r="Z554" s="3">
        <v>5.2735639909999996</v>
      </c>
      <c r="AA554" s="3">
        <v>6.0730467000000003E-2</v>
      </c>
      <c r="AB554" s="3">
        <v>5.6133341799999998</v>
      </c>
      <c r="AC554" s="3">
        <v>11.23170116</v>
      </c>
      <c r="AD554" s="3">
        <v>0.14198804500000001</v>
      </c>
      <c r="AE554" s="3">
        <v>6.7174995019999999</v>
      </c>
      <c r="AF554" s="4">
        <v>42300</v>
      </c>
      <c r="AG554" s="5">
        <f>YEAR(AF554)</f>
        <v>2015</v>
      </c>
      <c r="AH554" s="5" t="str">
        <f>"Q"&amp;ROUNDUP(MONTH(AF554)/3,0)</f>
        <v>Q4</v>
      </c>
      <c r="AI554" s="5">
        <f>INDEX(RatingLookup!$B$2:$B$11,MATCH(A554,RatingLookup!$A$2:$A$11,0))</f>
        <v>7</v>
      </c>
      <c r="AJ554" s="5" t="str">
        <f>INDEX(RatingLookup!$C$2:$C$11,MATCH(A554,RatingLookup!$A$2:$A$11,0))</f>
        <v>Investment Grade</v>
      </c>
    </row>
    <row r="555" spans="1:36" x14ac:dyDescent="0.3">
      <c r="A555" s="3" t="s">
        <v>36</v>
      </c>
      <c r="B555" s="3" t="s">
        <v>701</v>
      </c>
      <c r="C555" s="3" t="s">
        <v>702</v>
      </c>
      <c r="D555" s="3" t="s">
        <v>47</v>
      </c>
      <c r="E555" s="3" t="s">
        <v>706</v>
      </c>
      <c r="F555" s="3" t="s">
        <v>59</v>
      </c>
      <c r="G555" s="3">
        <v>1.2232894540000001</v>
      </c>
      <c r="H555" s="3">
        <v>0.777475892</v>
      </c>
      <c r="I555" s="3">
        <v>0.274299709</v>
      </c>
      <c r="J555" s="3">
        <v>56.648545550000001</v>
      </c>
      <c r="K555" s="3">
        <v>-1.738589E-3</v>
      </c>
      <c r="L555" s="3">
        <v>3.6069230000000002E-3</v>
      </c>
      <c r="M555" s="3">
        <v>0.265407271</v>
      </c>
      <c r="N555" s="3">
        <v>1.2922645999999999E-2</v>
      </c>
      <c r="O555" s="3">
        <v>-8.9687299999999996E-4</v>
      </c>
      <c r="P555" s="3">
        <v>2.8617310000000002E-3</v>
      </c>
      <c r="Q555" s="3">
        <v>-5.0707640000000002E-3</v>
      </c>
      <c r="R555" s="3">
        <v>0.51586260399999995</v>
      </c>
      <c r="S555" s="3">
        <v>2.5151416260000001</v>
      </c>
      <c r="T555" s="3">
        <v>4.6538257779999999</v>
      </c>
      <c r="U555" s="3">
        <v>0.82312861400000004</v>
      </c>
      <c r="V555" s="3">
        <v>1.3812949640000001</v>
      </c>
      <c r="W555" s="3">
        <v>0.80224678999999999</v>
      </c>
      <c r="X555" s="3">
        <v>7.6998117410000004</v>
      </c>
      <c r="Y555" s="3">
        <v>24.535341429999999</v>
      </c>
      <c r="Z555" s="3">
        <v>5.6538257779999999</v>
      </c>
      <c r="AA555" s="3">
        <v>3.6069230000000002E-3</v>
      </c>
      <c r="AB555" s="3">
        <v>15.29569564</v>
      </c>
      <c r="AC555" s="3">
        <v>9.5978093449999999</v>
      </c>
      <c r="AD555" s="3">
        <v>0.14552248500000001</v>
      </c>
      <c r="AE555" s="3">
        <v>6.135457304</v>
      </c>
      <c r="AF555" s="4">
        <v>42664</v>
      </c>
      <c r="AG555" s="5">
        <f>YEAR(AF555)</f>
        <v>2016</v>
      </c>
      <c r="AH555" s="5" t="str">
        <f>"Q"&amp;ROUNDUP(MONTH(AF555)/3,0)</f>
        <v>Q4</v>
      </c>
      <c r="AI555" s="5">
        <f>INDEX(RatingLookup!$B$2:$B$11,MATCH(A555,RatingLookup!$A$2:$A$11,0))</f>
        <v>8</v>
      </c>
      <c r="AJ555" s="5" t="str">
        <f>INDEX(RatingLookup!$C$2:$C$11,MATCH(A555,RatingLookup!$A$2:$A$11,0))</f>
        <v>Investment Grade</v>
      </c>
    </row>
    <row r="556" spans="1:36" x14ac:dyDescent="0.3">
      <c r="A556" s="3" t="s">
        <v>36</v>
      </c>
      <c r="B556" s="3" t="s">
        <v>701</v>
      </c>
      <c r="C556" s="3" t="s">
        <v>702</v>
      </c>
      <c r="D556" s="3" t="s">
        <v>47</v>
      </c>
      <c r="E556" s="3" t="s">
        <v>266</v>
      </c>
      <c r="F556" s="3" t="s">
        <v>59</v>
      </c>
      <c r="G556" s="3">
        <v>1.42913796</v>
      </c>
      <c r="H556" s="3">
        <v>0.70818349899999999</v>
      </c>
      <c r="I556" s="3">
        <v>0.184506806</v>
      </c>
      <c r="J556" s="3">
        <v>55.917722959999999</v>
      </c>
      <c r="K556" s="3">
        <v>8.6239089000000005E-2</v>
      </c>
      <c r="L556" s="3">
        <v>0.12502466800000001</v>
      </c>
      <c r="M556" s="3">
        <v>0.28569260000000002</v>
      </c>
      <c r="N556" s="3">
        <v>0.13014041700000001</v>
      </c>
      <c r="O556" s="3">
        <v>6.3577151999999998E-2</v>
      </c>
      <c r="P556" s="3">
        <v>0.13818560099999999</v>
      </c>
      <c r="Q556" s="3">
        <v>0.32311454899999997</v>
      </c>
      <c r="R556" s="3">
        <v>0.73721966100000003</v>
      </c>
      <c r="S556" s="3">
        <v>4.0018832389999996</v>
      </c>
      <c r="T556" s="3">
        <v>4.082243203</v>
      </c>
      <c r="U556" s="3">
        <v>0.80323649200000002</v>
      </c>
      <c r="V556" s="3">
        <v>0.30694511899999999</v>
      </c>
      <c r="W556" s="3">
        <v>0.36080900599999999</v>
      </c>
      <c r="X556" s="3">
        <v>2.8976402079999999</v>
      </c>
      <c r="Y556" s="3">
        <v>16.825007660000001</v>
      </c>
      <c r="Z556" s="3">
        <v>5.082243203</v>
      </c>
      <c r="AA556" s="3">
        <v>0.12502466800000001</v>
      </c>
      <c r="AB556" s="3">
        <v>5.674599508</v>
      </c>
      <c r="AC556" s="3">
        <v>8.0309531110000005</v>
      </c>
      <c r="AD556" s="3">
        <v>7.9559772000000001E-2</v>
      </c>
      <c r="AE556" s="3">
        <v>6.9680142160000003</v>
      </c>
      <c r="AF556" s="4">
        <v>41141</v>
      </c>
      <c r="AG556" s="5">
        <f>YEAR(AF556)</f>
        <v>2012</v>
      </c>
      <c r="AH556" s="5" t="str">
        <f>"Q"&amp;ROUNDUP(MONTH(AF556)/3,0)</f>
        <v>Q3</v>
      </c>
      <c r="AI556" s="5">
        <f>INDEX(RatingLookup!$B$2:$B$11,MATCH(A556,RatingLookup!$A$2:$A$11,0))</f>
        <v>8</v>
      </c>
      <c r="AJ556" s="5" t="str">
        <f>INDEX(RatingLookup!$C$2:$C$11,MATCH(A556,RatingLookup!$A$2:$A$11,0))</f>
        <v>Investment Grade</v>
      </c>
    </row>
    <row r="557" spans="1:36" x14ac:dyDescent="0.3">
      <c r="A557" s="3" t="s">
        <v>355</v>
      </c>
      <c r="B557" s="3" t="s">
        <v>707</v>
      </c>
      <c r="C557" s="3" t="s">
        <v>708</v>
      </c>
      <c r="D557" s="3" t="s">
        <v>39</v>
      </c>
      <c r="E557" s="3" t="s">
        <v>709</v>
      </c>
      <c r="F557" s="3" t="s">
        <v>246</v>
      </c>
      <c r="G557" s="3">
        <v>1.052492746</v>
      </c>
      <c r="H557" s="3">
        <v>1.0991822739999999</v>
      </c>
      <c r="I557" s="3">
        <v>0.37773674499999998</v>
      </c>
      <c r="J557" s="3">
        <v>23.49906661</v>
      </c>
      <c r="K557" s="3">
        <v>0.19979055700000001</v>
      </c>
      <c r="L557" s="3">
        <v>0.32090333700000001</v>
      </c>
      <c r="M557" s="3">
        <v>1</v>
      </c>
      <c r="N557" s="3">
        <v>0.33902472299999997</v>
      </c>
      <c r="O557" s="3">
        <v>8.8234702999999998E-2</v>
      </c>
      <c r="P557" s="3">
        <v>0.15341750100000001</v>
      </c>
      <c r="Q557" s="3">
        <v>0.20673733799999999</v>
      </c>
      <c r="R557" s="3">
        <v>0.44163600200000003</v>
      </c>
      <c r="S557" s="3">
        <v>0.50202290299999996</v>
      </c>
      <c r="T557" s="3">
        <v>1.3430388689999999</v>
      </c>
      <c r="U557" s="3">
        <v>0.57320383699999999</v>
      </c>
      <c r="V557" s="3">
        <v>0.37741203200000001</v>
      </c>
      <c r="W557" s="3">
        <v>0.48761541800000002</v>
      </c>
      <c r="X557" s="3">
        <v>7.1810921649999999</v>
      </c>
      <c r="Y557" s="3">
        <v>5.9421541119999999</v>
      </c>
      <c r="Z557" s="3">
        <v>2.3430388689999999</v>
      </c>
      <c r="AA557" s="3">
        <v>0.32090333700000001</v>
      </c>
      <c r="AB557" s="3">
        <v>5.3091578659999996</v>
      </c>
      <c r="AC557" s="3">
        <v>14.72695877</v>
      </c>
      <c r="AD557" s="3">
        <v>0.31065883500000002</v>
      </c>
      <c r="AE557" s="3">
        <v>1.1451717429999999</v>
      </c>
      <c r="AF557" s="4">
        <v>41681</v>
      </c>
      <c r="AG557" s="5">
        <f>YEAR(AF557)</f>
        <v>2014</v>
      </c>
      <c r="AH557" s="5" t="str">
        <f>"Q"&amp;ROUNDUP(MONTH(AF557)/3,0)</f>
        <v>Q1</v>
      </c>
      <c r="AI557" s="5">
        <f>INDEX(RatingLookup!$B$2:$B$11,MATCH(A557,RatingLookup!$A$2:$A$11,0))</f>
        <v>10</v>
      </c>
      <c r="AJ557" s="5" t="str">
        <f>INDEX(RatingLookup!$C$2:$C$11,MATCH(A557,RatingLookup!$A$2:$A$11,0))</f>
        <v>Investment Grade</v>
      </c>
    </row>
    <row r="558" spans="1:36" x14ac:dyDescent="0.3">
      <c r="A558" s="3" t="s">
        <v>42</v>
      </c>
      <c r="B558" s="3" t="s">
        <v>707</v>
      </c>
      <c r="C558" s="3" t="s">
        <v>708</v>
      </c>
      <c r="D558" s="3" t="s">
        <v>60</v>
      </c>
      <c r="E558" s="3" t="s">
        <v>46</v>
      </c>
      <c r="F558" s="3" t="s">
        <v>246</v>
      </c>
      <c r="G558" s="3">
        <v>1.1236056679999999</v>
      </c>
      <c r="H558" s="3">
        <v>1.1435031659999999</v>
      </c>
      <c r="I558" s="3">
        <v>0.36689779900000002</v>
      </c>
      <c r="J558" s="3">
        <v>26.147415250000002</v>
      </c>
      <c r="K558" s="3">
        <v>0.168328476</v>
      </c>
      <c r="L558" s="3">
        <v>0.26916193700000002</v>
      </c>
      <c r="M558" s="3">
        <v>1</v>
      </c>
      <c r="N558" s="3">
        <v>0.29268292699999998</v>
      </c>
      <c r="O558" s="3">
        <v>7.2999823000000005E-2</v>
      </c>
      <c r="P558" s="3">
        <v>0.125996314</v>
      </c>
      <c r="Q558" s="3">
        <v>0.177198837</v>
      </c>
      <c r="R558" s="3">
        <v>0.43367482699999998</v>
      </c>
      <c r="S558" s="3">
        <v>0.48973306</v>
      </c>
      <c r="T558" s="3">
        <v>1.4273872320000001</v>
      </c>
      <c r="U558" s="3">
        <v>0.58803441499999998</v>
      </c>
      <c r="V558" s="3">
        <v>0.374620061</v>
      </c>
      <c r="W558" s="3">
        <v>0.45922015999999999</v>
      </c>
      <c r="X558" s="3">
        <v>5.5528103770000001</v>
      </c>
      <c r="Y558" s="3">
        <v>4.9248507310000003</v>
      </c>
      <c r="Z558" s="3">
        <v>2.4273872320000001</v>
      </c>
      <c r="AA558" s="3">
        <v>0.26916193700000002</v>
      </c>
      <c r="AB558" s="3">
        <v>4.8398479769999998</v>
      </c>
      <c r="AC558" s="3">
        <v>12.091826230000001</v>
      </c>
      <c r="AD558" s="3">
        <v>0.30030168200000001</v>
      </c>
      <c r="AE558" s="3">
        <v>1.1521879020000001</v>
      </c>
      <c r="AF558" s="4">
        <v>41075</v>
      </c>
      <c r="AG558" s="5">
        <f>YEAR(AF558)</f>
        <v>2012</v>
      </c>
      <c r="AH558" s="5" t="str">
        <f>"Q"&amp;ROUNDUP(MONTH(AF558)/3,0)</f>
        <v>Q2</v>
      </c>
      <c r="AI558" s="5">
        <f>INDEX(RatingLookup!$B$2:$B$11,MATCH(A558,RatingLookup!$A$2:$A$11,0))</f>
        <v>7</v>
      </c>
      <c r="AJ558" s="5" t="str">
        <f>INDEX(RatingLookup!$C$2:$C$11,MATCH(A558,RatingLookup!$A$2:$A$11,0))</f>
        <v>Investment Grade</v>
      </c>
    </row>
    <row r="559" spans="1:36" x14ac:dyDescent="0.3">
      <c r="A559" s="3" t="s">
        <v>49</v>
      </c>
      <c r="B559" s="3" t="s">
        <v>707</v>
      </c>
      <c r="C559" s="3" t="s">
        <v>708</v>
      </c>
      <c r="D559" s="3" t="s">
        <v>39</v>
      </c>
      <c r="E559" s="3" t="s">
        <v>710</v>
      </c>
      <c r="F559" s="3" t="s">
        <v>246</v>
      </c>
      <c r="G559" s="3">
        <v>1.2427622840000001</v>
      </c>
      <c r="H559" s="3">
        <v>1.2183266930000001</v>
      </c>
      <c r="I559" s="3">
        <v>0.42124834</v>
      </c>
      <c r="J559" s="3">
        <v>24.512881440000001</v>
      </c>
      <c r="K559" s="3">
        <v>0.215941304</v>
      </c>
      <c r="L559" s="3">
        <v>0.34779889899999999</v>
      </c>
      <c r="M559" s="3">
        <v>1</v>
      </c>
      <c r="N559" s="3">
        <v>0.364890779</v>
      </c>
      <c r="O559" s="3">
        <v>9.8262387000000007E-2</v>
      </c>
      <c r="P559" s="3">
        <v>0.170435742</v>
      </c>
      <c r="Q559" s="3">
        <v>0.24446646799999999</v>
      </c>
      <c r="R559" s="3">
        <v>0.455042112</v>
      </c>
      <c r="S559" s="3">
        <v>0.518412863</v>
      </c>
      <c r="T559" s="3">
        <v>1.487894662</v>
      </c>
      <c r="U559" s="3">
        <v>0.59805372199999995</v>
      </c>
      <c r="V559" s="3">
        <v>0.37912022099999998</v>
      </c>
      <c r="W559" s="3">
        <v>0.411509817</v>
      </c>
      <c r="X559" s="3">
        <v>3.3875822090000001</v>
      </c>
      <c r="Y559" s="3">
        <v>3.3173559250000002</v>
      </c>
      <c r="Z559" s="3">
        <v>2.487894662</v>
      </c>
      <c r="AA559" s="3">
        <v>0.34779889899999999</v>
      </c>
      <c r="AB559" s="3">
        <v>10.79507282</v>
      </c>
      <c r="AC559" s="3">
        <v>8.2320811500000008</v>
      </c>
      <c r="AD559" s="3">
        <v>0.307862264</v>
      </c>
      <c r="AE559" s="3">
        <v>1.0714501970000001</v>
      </c>
      <c r="AF559" s="4">
        <v>41946</v>
      </c>
      <c r="AG559" s="5">
        <f>YEAR(AF559)</f>
        <v>2014</v>
      </c>
      <c r="AH559" s="5" t="str">
        <f>"Q"&amp;ROUNDUP(MONTH(AF559)/3,0)</f>
        <v>Q4</v>
      </c>
      <c r="AI559" s="5">
        <f>INDEX(RatingLookup!$B$2:$B$11,MATCH(A559,RatingLookup!$A$2:$A$11,0))</f>
        <v>9</v>
      </c>
      <c r="AJ559" s="5" t="str">
        <f>INDEX(RatingLookup!$C$2:$C$11,MATCH(A559,RatingLookup!$A$2:$A$11,0))</f>
        <v>Investment Grade</v>
      </c>
    </row>
    <row r="560" spans="1:36" x14ac:dyDescent="0.3">
      <c r="A560" s="3" t="s">
        <v>42</v>
      </c>
      <c r="B560" s="3" t="s">
        <v>707</v>
      </c>
      <c r="C560" s="3" t="s">
        <v>708</v>
      </c>
      <c r="D560" s="3" t="s">
        <v>60</v>
      </c>
      <c r="E560" s="3" t="s">
        <v>470</v>
      </c>
      <c r="F560" s="3" t="s">
        <v>246</v>
      </c>
      <c r="G560" s="3">
        <v>1.1587047130000001</v>
      </c>
      <c r="H560" s="3">
        <v>1.171208721</v>
      </c>
      <c r="I560" s="3">
        <v>0.34081436399999998</v>
      </c>
      <c r="J560" s="3">
        <v>23.215855869999999</v>
      </c>
      <c r="K560" s="3">
        <v>0.18842588199999999</v>
      </c>
      <c r="L560" s="3">
        <v>0.30192105499999999</v>
      </c>
      <c r="M560" s="3">
        <v>1</v>
      </c>
      <c r="N560" s="3">
        <v>0.32232629299999999</v>
      </c>
      <c r="O560" s="3">
        <v>8.3621402999999997E-2</v>
      </c>
      <c r="P560" s="3">
        <v>0.143480038</v>
      </c>
      <c r="Q560" s="3">
        <v>0.198369975</v>
      </c>
      <c r="R560" s="3">
        <v>0.44378936699999999</v>
      </c>
      <c r="S560" s="3">
        <v>0.49827368599999999</v>
      </c>
      <c r="T560" s="3">
        <v>1.3722392720000001</v>
      </c>
      <c r="U560" s="3">
        <v>0.57845736199999997</v>
      </c>
      <c r="V560" s="3">
        <v>0.37591009800000003</v>
      </c>
      <c r="W560" s="3">
        <v>0.39328031200000002</v>
      </c>
      <c r="X560" s="3">
        <v>5.1215387870000004</v>
      </c>
      <c r="Y560" s="3">
        <v>4.9080532659999996</v>
      </c>
      <c r="Z560" s="3">
        <v>2.3722392719999998</v>
      </c>
      <c r="AA560" s="3">
        <v>0.30192105499999999</v>
      </c>
      <c r="AB560" s="3">
        <v>4.5808228099999999</v>
      </c>
      <c r="AC560" s="3">
        <v>13.02261678</v>
      </c>
      <c r="AD560" s="3">
        <v>0.29441842699999998</v>
      </c>
      <c r="AE560" s="3">
        <v>1.2343482720000001</v>
      </c>
      <c r="AF560" s="4">
        <v>41346</v>
      </c>
      <c r="AG560" s="5">
        <f>YEAR(AF560)</f>
        <v>2013</v>
      </c>
      <c r="AH560" s="5" t="str">
        <f>"Q"&amp;ROUNDUP(MONTH(AF560)/3,0)</f>
        <v>Q1</v>
      </c>
      <c r="AI560" s="5">
        <f>INDEX(RatingLookup!$B$2:$B$11,MATCH(A560,RatingLookup!$A$2:$A$11,0))</f>
        <v>7</v>
      </c>
      <c r="AJ560" s="5" t="str">
        <f>INDEX(RatingLookup!$C$2:$C$11,MATCH(A560,RatingLookup!$A$2:$A$11,0))</f>
        <v>Investment Grade</v>
      </c>
    </row>
    <row r="561" spans="1:36" x14ac:dyDescent="0.3">
      <c r="A561" s="3" t="s">
        <v>49</v>
      </c>
      <c r="B561" s="3" t="s">
        <v>707</v>
      </c>
      <c r="C561" s="3" t="s">
        <v>708</v>
      </c>
      <c r="D561" s="3" t="s">
        <v>39</v>
      </c>
      <c r="E561" s="3" t="s">
        <v>638</v>
      </c>
      <c r="F561" s="3" t="s">
        <v>246</v>
      </c>
      <c r="G561" s="3">
        <v>1.288209607</v>
      </c>
      <c r="H561" s="3">
        <v>1.296631316</v>
      </c>
      <c r="I561" s="3">
        <v>0.43387398599999999</v>
      </c>
      <c r="J561" s="3">
        <v>22.690138910000002</v>
      </c>
      <c r="K561" s="3">
        <v>0.21876862399999999</v>
      </c>
      <c r="L561" s="3">
        <v>0.35098335899999999</v>
      </c>
      <c r="M561" s="3">
        <v>1</v>
      </c>
      <c r="N561" s="3">
        <v>0.36913766999999997</v>
      </c>
      <c r="O561" s="3">
        <v>8.7399267000000003E-2</v>
      </c>
      <c r="P561" s="3">
        <v>0.14896680500000001</v>
      </c>
      <c r="Q561" s="3">
        <v>0.23050913000000001</v>
      </c>
      <c r="R561" s="3">
        <v>0.39950549499999999</v>
      </c>
      <c r="S561" s="3">
        <v>0.44638398899999998</v>
      </c>
      <c r="T561" s="3">
        <v>1.6374263360000001</v>
      </c>
      <c r="U561" s="3">
        <v>0.620842491</v>
      </c>
      <c r="V561" s="3">
        <v>0.376698015</v>
      </c>
      <c r="W561" s="3">
        <v>0.36683006499999998</v>
      </c>
      <c r="X561" s="3">
        <v>3.1101362269999999</v>
      </c>
      <c r="Y561" s="3">
        <v>3.2336642809999998</v>
      </c>
      <c r="Z561" s="3">
        <v>2.6374263359999999</v>
      </c>
      <c r="AA561" s="3">
        <v>0.35098335899999999</v>
      </c>
      <c r="AB561" s="3">
        <v>7.4698330679999998</v>
      </c>
      <c r="AC561" s="3">
        <v>8.4784114519999996</v>
      </c>
      <c r="AD561" s="3">
        <v>0.33667996100000003</v>
      </c>
      <c r="AE561" s="3">
        <v>0</v>
      </c>
      <c r="AF561" s="4">
        <v>42240</v>
      </c>
      <c r="AG561" s="5">
        <f>YEAR(AF561)</f>
        <v>2015</v>
      </c>
      <c r="AH561" s="5" t="str">
        <f>"Q"&amp;ROUNDUP(MONTH(AF561)/3,0)</f>
        <v>Q3</v>
      </c>
      <c r="AI561" s="5">
        <f>INDEX(RatingLookup!$B$2:$B$11,MATCH(A561,RatingLookup!$A$2:$A$11,0))</f>
        <v>9</v>
      </c>
      <c r="AJ561" s="5" t="str">
        <f>INDEX(RatingLookup!$C$2:$C$11,MATCH(A561,RatingLookup!$A$2:$A$11,0))</f>
        <v>Investment Grade</v>
      </c>
    </row>
    <row r="562" spans="1:36" x14ac:dyDescent="0.3">
      <c r="A562" s="3" t="s">
        <v>36</v>
      </c>
      <c r="B562" s="3" t="s">
        <v>707</v>
      </c>
      <c r="C562" s="3" t="s">
        <v>708</v>
      </c>
      <c r="D562" s="3" t="s">
        <v>60</v>
      </c>
      <c r="E562" s="3" t="s">
        <v>696</v>
      </c>
      <c r="F562" s="3" t="s">
        <v>246</v>
      </c>
      <c r="G562" s="3">
        <v>0.98791208799999997</v>
      </c>
      <c r="H562" s="3">
        <v>0.71291208800000005</v>
      </c>
      <c r="I562" s="3">
        <v>0.35082417599999999</v>
      </c>
      <c r="J562" s="3">
        <v>23.026427959999999</v>
      </c>
      <c r="K562" s="3">
        <v>0.21227621499999999</v>
      </c>
      <c r="L562" s="3">
        <v>0.339300938</v>
      </c>
      <c r="M562" s="3">
        <v>1</v>
      </c>
      <c r="N562" s="3">
        <v>0.364675794</v>
      </c>
      <c r="O562" s="3">
        <v>7.5971858000000003E-2</v>
      </c>
      <c r="P562" s="3">
        <v>0.12992050399999999</v>
      </c>
      <c r="Q562" s="3">
        <v>0.212372065</v>
      </c>
      <c r="R562" s="3">
        <v>0.35789152499999999</v>
      </c>
      <c r="S562" s="3">
        <v>0.39574113399999999</v>
      </c>
      <c r="T562" s="3">
        <v>1.7954043749999999</v>
      </c>
      <c r="U562" s="3">
        <v>0.64227000300000003</v>
      </c>
      <c r="V562" s="3">
        <v>0.37437185899999997</v>
      </c>
      <c r="W562" s="3">
        <v>0.53421926900000005</v>
      </c>
      <c r="X562" s="3">
        <v>4.8294089380000003</v>
      </c>
      <c r="Y562" s="3">
        <v>1.6061989430000001</v>
      </c>
      <c r="Z562" s="3">
        <v>2.7954043749999999</v>
      </c>
      <c r="AA562" s="3">
        <v>0.339300938</v>
      </c>
      <c r="AB562" s="3">
        <v>11.13095596</v>
      </c>
      <c r="AC562" s="3">
        <v>9.0401249400000001</v>
      </c>
      <c r="AD562" s="3">
        <v>0.377363222</v>
      </c>
      <c r="AE562" s="3">
        <v>0.51665510100000001</v>
      </c>
      <c r="AF562" s="4">
        <v>42584</v>
      </c>
      <c r="AG562" s="5">
        <f>YEAR(AF562)</f>
        <v>2016</v>
      </c>
      <c r="AH562" s="5" t="str">
        <f>"Q"&amp;ROUNDUP(MONTH(AF562)/3,0)</f>
        <v>Q3</v>
      </c>
      <c r="AI562" s="5">
        <f>INDEX(RatingLookup!$B$2:$B$11,MATCH(A562,RatingLookup!$A$2:$A$11,0))</f>
        <v>8</v>
      </c>
      <c r="AJ562" s="5" t="str">
        <f>INDEX(RatingLookup!$C$2:$C$11,MATCH(A562,RatingLookup!$A$2:$A$11,0))</f>
        <v>Investment Grade</v>
      </c>
    </row>
    <row r="563" spans="1:36" x14ac:dyDescent="0.3">
      <c r="A563" s="3" t="s">
        <v>42</v>
      </c>
      <c r="B563" s="3" t="s">
        <v>711</v>
      </c>
      <c r="C563" s="3" t="s">
        <v>712</v>
      </c>
      <c r="D563" s="3" t="s">
        <v>39</v>
      </c>
      <c r="E563" s="3" t="s">
        <v>713</v>
      </c>
      <c r="F563" s="3" t="s">
        <v>174</v>
      </c>
      <c r="G563" s="3">
        <v>1.756209457</v>
      </c>
      <c r="H563" s="3">
        <v>1.5331187719999999</v>
      </c>
      <c r="I563" s="3">
        <v>1.073868804</v>
      </c>
      <c r="J563" s="3">
        <v>44.148930700000001</v>
      </c>
      <c r="K563" s="3">
        <v>0.16248664199999999</v>
      </c>
      <c r="L563" s="3">
        <v>0.229241263</v>
      </c>
      <c r="M563" s="3">
        <v>1</v>
      </c>
      <c r="N563" s="3">
        <v>0.28308244399999999</v>
      </c>
      <c r="O563" s="3">
        <v>0.19027608300000001</v>
      </c>
      <c r="P563" s="3">
        <v>0.388570841</v>
      </c>
      <c r="Q563" s="3">
        <v>-0.287219479</v>
      </c>
      <c r="R563" s="3">
        <v>1.1710260020000001</v>
      </c>
      <c r="S563" s="3">
        <v>9.804421219</v>
      </c>
      <c r="T563" s="3">
        <v>-2.509488084</v>
      </c>
      <c r="U563" s="3">
        <v>1.662476246</v>
      </c>
      <c r="V563" s="3">
        <v>0.300907009</v>
      </c>
      <c r="W563" s="3">
        <v>0.88609556700000003</v>
      </c>
      <c r="X563" s="3">
        <v>2.8225359430000001</v>
      </c>
      <c r="Y563" s="3">
        <v>3.7258444480000001</v>
      </c>
      <c r="Z563" s="3">
        <v>-1.509488084</v>
      </c>
      <c r="AA563" s="3">
        <v>0.229241263</v>
      </c>
      <c r="AB563" s="3">
        <v>17.398688450000002</v>
      </c>
      <c r="AC563" s="3">
        <v>3.185362896</v>
      </c>
      <c r="AD563" s="3">
        <v>0.24260986600000001</v>
      </c>
      <c r="AE563" s="3">
        <v>0</v>
      </c>
      <c r="AF563" s="4">
        <v>41943</v>
      </c>
      <c r="AG563" s="5">
        <f>YEAR(AF563)</f>
        <v>2014</v>
      </c>
      <c r="AH563" s="5" t="str">
        <f>"Q"&amp;ROUNDUP(MONTH(AF563)/3,0)</f>
        <v>Q4</v>
      </c>
      <c r="AI563" s="5">
        <f>INDEX(RatingLookup!$B$2:$B$11,MATCH(A563,RatingLookup!$A$2:$A$11,0))</f>
        <v>7</v>
      </c>
      <c r="AJ563" s="5" t="str">
        <f>INDEX(RatingLookup!$C$2:$C$11,MATCH(A563,RatingLookup!$A$2:$A$11,0))</f>
        <v>Investment Grade</v>
      </c>
    </row>
    <row r="564" spans="1:36" x14ac:dyDescent="0.3">
      <c r="A564" s="3" t="s">
        <v>42</v>
      </c>
      <c r="B564" s="3" t="s">
        <v>711</v>
      </c>
      <c r="C564" s="3" t="s">
        <v>712</v>
      </c>
      <c r="D564" s="3" t="s">
        <v>39</v>
      </c>
      <c r="E564" s="3" t="s">
        <v>138</v>
      </c>
      <c r="F564" s="3" t="s">
        <v>174</v>
      </c>
      <c r="G564" s="3">
        <v>1.7607979899999999</v>
      </c>
      <c r="H564" s="3">
        <v>1.2717594560000001</v>
      </c>
      <c r="I564" s="3">
        <v>0.962469456</v>
      </c>
      <c r="J564" s="3">
        <v>26.95806941</v>
      </c>
      <c r="K564" s="3">
        <v>0.15691575199999999</v>
      </c>
      <c r="L564" s="3">
        <v>0.21896363799999999</v>
      </c>
      <c r="M564" s="3">
        <v>1</v>
      </c>
      <c r="N564" s="3">
        <v>0.27081763599999997</v>
      </c>
      <c r="O564" s="3">
        <v>0.20435748400000001</v>
      </c>
      <c r="P564" s="3">
        <v>0.41528040999999999</v>
      </c>
      <c r="Q564" s="3">
        <v>-0.25108474600000003</v>
      </c>
      <c r="R564" s="3">
        <v>1.302338872</v>
      </c>
      <c r="S564" s="3">
        <v>10.679862050000001</v>
      </c>
      <c r="T564" s="3">
        <v>-2.2286545179999999</v>
      </c>
      <c r="U564" s="3">
        <v>1.8138984440000001</v>
      </c>
      <c r="V564" s="3">
        <v>0.285633256</v>
      </c>
      <c r="W564" s="3">
        <v>0.78301378099999996</v>
      </c>
      <c r="X564" s="3">
        <v>2.0805524379999998</v>
      </c>
      <c r="Y564" s="3">
        <v>2.9036685370000002</v>
      </c>
      <c r="Z564" s="3">
        <v>-1.2286545179999999</v>
      </c>
      <c r="AA564" s="3">
        <v>0.21896363799999999</v>
      </c>
      <c r="AB564" s="3">
        <v>16.615974349999998</v>
      </c>
      <c r="AC564" s="3">
        <v>2.6571083299999998</v>
      </c>
      <c r="AD564" s="3">
        <v>0.21239632899999999</v>
      </c>
      <c r="AE564" s="3">
        <v>0</v>
      </c>
      <c r="AF564" s="4">
        <v>41582</v>
      </c>
      <c r="AG564" s="5">
        <f>YEAR(AF564)</f>
        <v>2013</v>
      </c>
      <c r="AH564" s="5" t="str">
        <f>"Q"&amp;ROUNDUP(MONTH(AF564)/3,0)</f>
        <v>Q4</v>
      </c>
      <c r="AI564" s="5">
        <f>INDEX(RatingLookup!$B$2:$B$11,MATCH(A564,RatingLookup!$A$2:$A$11,0))</f>
        <v>7</v>
      </c>
      <c r="AJ564" s="5" t="str">
        <f>INDEX(RatingLookup!$C$2:$C$11,MATCH(A564,RatingLookup!$A$2:$A$11,0))</f>
        <v>Investment Grade</v>
      </c>
    </row>
    <row r="565" spans="1:36" x14ac:dyDescent="0.3">
      <c r="A565" s="3" t="s">
        <v>42</v>
      </c>
      <c r="B565" s="3" t="s">
        <v>711</v>
      </c>
      <c r="C565" s="3" t="s">
        <v>712</v>
      </c>
      <c r="D565" s="3" t="s">
        <v>39</v>
      </c>
      <c r="E565" s="3" t="s">
        <v>670</v>
      </c>
      <c r="F565" s="3" t="s">
        <v>174</v>
      </c>
      <c r="G565" s="3">
        <v>1.494851358</v>
      </c>
      <c r="H565" s="3">
        <v>1.444441774</v>
      </c>
      <c r="I565" s="3">
        <v>0.92993327400000003</v>
      </c>
      <c r="J565" s="3">
        <v>37.928031650000001</v>
      </c>
      <c r="K565" s="3">
        <v>0.148892052</v>
      </c>
      <c r="L565" s="3">
        <v>0.2139664</v>
      </c>
      <c r="M565" s="3">
        <v>1</v>
      </c>
      <c r="N565" s="3">
        <v>0.26203600999999999</v>
      </c>
      <c r="O565" s="3">
        <v>0.178559574</v>
      </c>
      <c r="P565" s="3">
        <v>0.36146791499999997</v>
      </c>
      <c r="Q565" s="3">
        <v>-0.32338803599999999</v>
      </c>
      <c r="R565" s="3">
        <v>1.1992552409999999</v>
      </c>
      <c r="S565" s="3">
        <v>9.7538283539999995</v>
      </c>
      <c r="T565" s="3">
        <v>-2.8110932329999998</v>
      </c>
      <c r="U565" s="3">
        <v>1.55215269</v>
      </c>
      <c r="V565" s="3">
        <v>0.30413348899999998</v>
      </c>
      <c r="W565" s="3">
        <v>0.82632981400000005</v>
      </c>
      <c r="X565" s="3">
        <v>2.3252543389999998</v>
      </c>
      <c r="Y565" s="3">
        <v>3.7158974900000001</v>
      </c>
      <c r="Z565" s="3">
        <v>-1.811093233</v>
      </c>
      <c r="AA565" s="3">
        <v>0.2139664</v>
      </c>
      <c r="AB565" s="3">
        <v>13.107278450000001</v>
      </c>
      <c r="AC565" s="3">
        <v>2.8139543069999999</v>
      </c>
      <c r="AD565" s="3">
        <v>0.18592405000000001</v>
      </c>
      <c r="AE565" s="3">
        <v>0</v>
      </c>
      <c r="AF565" s="4">
        <v>42226</v>
      </c>
      <c r="AG565" s="5">
        <f>YEAR(AF565)</f>
        <v>2015</v>
      </c>
      <c r="AH565" s="5" t="str">
        <f>"Q"&amp;ROUNDUP(MONTH(AF565)/3,0)</f>
        <v>Q3</v>
      </c>
      <c r="AI565" s="5">
        <f>INDEX(RatingLookup!$B$2:$B$11,MATCH(A565,RatingLookup!$A$2:$A$11,0))</f>
        <v>7</v>
      </c>
      <c r="AJ565" s="5" t="str">
        <f>INDEX(RatingLookup!$C$2:$C$11,MATCH(A565,RatingLookup!$A$2:$A$11,0))</f>
        <v>Investment Grade</v>
      </c>
    </row>
    <row r="566" spans="1:36" x14ac:dyDescent="0.3">
      <c r="A566" s="3" t="s">
        <v>42</v>
      </c>
      <c r="B566" s="3" t="s">
        <v>714</v>
      </c>
      <c r="C566" s="3" t="s">
        <v>715</v>
      </c>
      <c r="D566" s="3" t="s">
        <v>39</v>
      </c>
      <c r="E566" s="3" t="s">
        <v>716</v>
      </c>
      <c r="F566" s="3" t="s">
        <v>59</v>
      </c>
      <c r="G566" s="3">
        <v>1.658178114</v>
      </c>
      <c r="H566" s="3">
        <v>1.7668800929999999</v>
      </c>
      <c r="I566" s="3">
        <v>0.362630966</v>
      </c>
      <c r="J566" s="3">
        <v>52.537878790000001</v>
      </c>
      <c r="K566" s="3">
        <v>3.8690476000000001E-2</v>
      </c>
      <c r="L566" s="3">
        <v>4.7808442E-2</v>
      </c>
      <c r="M566" s="3">
        <v>0.14145021599999999</v>
      </c>
      <c r="N566" s="3">
        <v>7.2402596999999999E-2</v>
      </c>
      <c r="O566" s="3">
        <v>4.3875798000000001E-2</v>
      </c>
      <c r="P566" s="3">
        <v>6.8701399999999996E-2</v>
      </c>
      <c r="Q566" s="3">
        <v>1.261022928</v>
      </c>
      <c r="R566" s="3">
        <v>1.134020619</v>
      </c>
      <c r="S566" s="3">
        <v>3.4831778340000001</v>
      </c>
      <c r="T566" s="3">
        <v>27.74074074</v>
      </c>
      <c r="U566" s="3">
        <v>0.96520618599999997</v>
      </c>
      <c r="V566" s="3">
        <v>0.190718732</v>
      </c>
      <c r="W566" s="3">
        <v>0.35144472399999999</v>
      </c>
      <c r="X566" s="3">
        <v>1.478203435</v>
      </c>
      <c r="Y566" s="3">
        <v>9.0118890359999995</v>
      </c>
      <c r="Z566" s="3">
        <v>28.74074074</v>
      </c>
      <c r="AA566" s="3">
        <v>4.7808442E-2</v>
      </c>
      <c r="AB566" s="3">
        <v>6.6962459890000003</v>
      </c>
      <c r="AC566" s="3">
        <v>4.206076618</v>
      </c>
      <c r="AD566" s="3">
        <v>8.6147186000000001E-2</v>
      </c>
      <c r="AE566" s="3">
        <v>7.1420211570000003</v>
      </c>
      <c r="AF566" s="4">
        <v>41978</v>
      </c>
      <c r="AG566" s="5">
        <f>YEAR(AF566)</f>
        <v>2014</v>
      </c>
      <c r="AH566" s="5" t="str">
        <f>"Q"&amp;ROUNDUP(MONTH(AF566)/3,0)</f>
        <v>Q4</v>
      </c>
      <c r="AI566" s="5">
        <f>INDEX(RatingLookup!$B$2:$B$11,MATCH(A566,RatingLookup!$A$2:$A$11,0))</f>
        <v>7</v>
      </c>
      <c r="AJ566" s="5" t="str">
        <f>INDEX(RatingLookup!$C$2:$C$11,MATCH(A566,RatingLookup!$A$2:$A$11,0))</f>
        <v>Investment Grade</v>
      </c>
    </row>
    <row r="567" spans="1:36" x14ac:dyDescent="0.3">
      <c r="A567" s="3" t="s">
        <v>92</v>
      </c>
      <c r="B567" s="3" t="s">
        <v>714</v>
      </c>
      <c r="C567" s="3" t="s">
        <v>715</v>
      </c>
      <c r="D567" s="3" t="s">
        <v>39</v>
      </c>
      <c r="E567" s="3" t="s">
        <v>717</v>
      </c>
      <c r="F567" s="3" t="s">
        <v>59</v>
      </c>
      <c r="G567" s="3">
        <v>1.4957277769999999</v>
      </c>
      <c r="H567" s="3">
        <v>1.4570529160000001</v>
      </c>
      <c r="I567" s="3">
        <v>0.230849948</v>
      </c>
      <c r="J567" s="3">
        <v>52.121722320000003</v>
      </c>
      <c r="K567" s="3">
        <v>2.9464035E-2</v>
      </c>
      <c r="L567" s="3">
        <v>2.6907368000000001E-2</v>
      </c>
      <c r="M567" s="3">
        <v>0.149253266</v>
      </c>
      <c r="N567" s="3">
        <v>7.4922831999999995E-2</v>
      </c>
      <c r="O567" s="3">
        <v>3.1198415E-2</v>
      </c>
      <c r="P567" s="3">
        <v>3.6538380000000002E-2</v>
      </c>
      <c r="Q567" s="3">
        <v>2.8125</v>
      </c>
      <c r="R567" s="3">
        <v>1.0588643120000001</v>
      </c>
      <c r="S567" s="3">
        <v>3.0300425130000002</v>
      </c>
      <c r="T567" s="3">
        <v>89.14880952</v>
      </c>
      <c r="U567" s="3">
        <v>0.98890723000000003</v>
      </c>
      <c r="V567" s="3">
        <v>-9.5017380999999998E-2</v>
      </c>
      <c r="W567" s="3">
        <v>-0.12959641299999999</v>
      </c>
      <c r="X567" s="3">
        <v>-0.37679269900000001</v>
      </c>
      <c r="Y567" s="3">
        <v>6.7014341589999997</v>
      </c>
      <c r="Z567" s="3">
        <v>90.14880952</v>
      </c>
      <c r="AA567" s="3">
        <v>2.6907368000000001E-2</v>
      </c>
      <c r="AB567" s="3">
        <v>7.0885070690000003</v>
      </c>
      <c r="AC567" s="3">
        <v>2.9074315510000002</v>
      </c>
      <c r="AD567" s="3">
        <v>6.9528886999999998E-2</v>
      </c>
      <c r="AE567" s="3">
        <v>6.12068192</v>
      </c>
      <c r="AF567" s="4">
        <v>41646</v>
      </c>
      <c r="AG567" s="5">
        <f>YEAR(AF567)</f>
        <v>2014</v>
      </c>
      <c r="AH567" s="5" t="str">
        <f>"Q"&amp;ROUNDUP(MONTH(AF567)/3,0)</f>
        <v>Q1</v>
      </c>
      <c r="AI567" s="5">
        <f>INDEX(RatingLookup!$B$2:$B$11,MATCH(A567,RatingLookup!$A$2:$A$11,0))</f>
        <v>6</v>
      </c>
      <c r="AJ567" s="5" t="str">
        <f>INDEX(RatingLookup!$C$2:$C$11,MATCH(A567,RatingLookup!$A$2:$A$11,0))</f>
        <v>Speculative Grade</v>
      </c>
    </row>
    <row r="568" spans="1:36" x14ac:dyDescent="0.3">
      <c r="A568" s="3" t="s">
        <v>42</v>
      </c>
      <c r="B568" s="3" t="s">
        <v>714</v>
      </c>
      <c r="C568" s="3" t="s">
        <v>715</v>
      </c>
      <c r="D568" s="3" t="s">
        <v>39</v>
      </c>
      <c r="E568" s="3" t="s">
        <v>315</v>
      </c>
      <c r="F568" s="3" t="s">
        <v>59</v>
      </c>
      <c r="G568" s="3">
        <v>1.607837529</v>
      </c>
      <c r="H568" s="3">
        <v>2.0645022879999999</v>
      </c>
      <c r="I568" s="3">
        <v>0.40403318100000002</v>
      </c>
      <c r="J568" s="3">
        <v>50.404806440000002</v>
      </c>
      <c r="K568" s="3">
        <v>6.0362275999999999E-2</v>
      </c>
      <c r="L568" s="3">
        <v>6.9867541000000005E-2</v>
      </c>
      <c r="M568" s="3">
        <v>0.162793677</v>
      </c>
      <c r="N568" s="3">
        <v>9.1747585000000006E-2</v>
      </c>
      <c r="O568" s="3">
        <v>7.3562930999999998E-2</v>
      </c>
      <c r="P568" s="3">
        <v>0.108927501</v>
      </c>
      <c r="Q568" s="3">
        <v>0.78142620200000001</v>
      </c>
      <c r="R568" s="3">
        <v>1.21869048</v>
      </c>
      <c r="S568" s="3">
        <v>3.7307398200000002</v>
      </c>
      <c r="T568" s="3">
        <v>9.6225538969999995</v>
      </c>
      <c r="U568" s="3">
        <v>0.90586067999999997</v>
      </c>
      <c r="V568" s="3">
        <v>0.13604693800000001</v>
      </c>
      <c r="W568" s="3">
        <v>0.48755296599999998</v>
      </c>
      <c r="X568" s="3">
        <v>2.425559947</v>
      </c>
      <c r="Y568" s="3">
        <v>11.91699605</v>
      </c>
      <c r="Z568" s="3">
        <v>10.6225539</v>
      </c>
      <c r="AA568" s="3">
        <v>6.9867541000000005E-2</v>
      </c>
      <c r="AB568" s="3">
        <v>3.7450817609999998</v>
      </c>
      <c r="AC568" s="3">
        <v>4.9749670620000002</v>
      </c>
      <c r="AD568" s="3">
        <v>9.6743614000000006E-2</v>
      </c>
      <c r="AE568" s="3">
        <v>7.9178580079999996</v>
      </c>
      <c r="AF568" s="4">
        <v>42338</v>
      </c>
      <c r="AG568" s="5">
        <f>YEAR(AF568)</f>
        <v>2015</v>
      </c>
      <c r="AH568" s="5" t="str">
        <f>"Q"&amp;ROUNDUP(MONTH(AF568)/3,0)</f>
        <v>Q4</v>
      </c>
      <c r="AI568" s="5">
        <f>INDEX(RatingLookup!$B$2:$B$11,MATCH(A568,RatingLookup!$A$2:$A$11,0))</f>
        <v>7</v>
      </c>
      <c r="AJ568" s="5" t="str">
        <f>INDEX(RatingLookup!$C$2:$C$11,MATCH(A568,RatingLookup!$A$2:$A$11,0))</f>
        <v>Investment Grade</v>
      </c>
    </row>
    <row r="569" spans="1:36" x14ac:dyDescent="0.3">
      <c r="A569" s="3" t="s">
        <v>36</v>
      </c>
      <c r="B569" s="3" t="s">
        <v>718</v>
      </c>
      <c r="C569" s="3" t="s">
        <v>719</v>
      </c>
      <c r="D569" s="3" t="s">
        <v>39</v>
      </c>
      <c r="E569" s="3" t="s">
        <v>720</v>
      </c>
      <c r="F569" s="3" t="s">
        <v>41</v>
      </c>
      <c r="G569" s="3">
        <v>1.12004104</v>
      </c>
      <c r="H569" s="3">
        <v>0.68074555400000003</v>
      </c>
      <c r="I569" s="3">
        <v>0.18023255799999999</v>
      </c>
      <c r="J569" s="3">
        <v>43.916650910000001</v>
      </c>
      <c r="K569" s="3">
        <v>0.10126702</v>
      </c>
      <c r="L569" s="3">
        <v>0.13923033300000001</v>
      </c>
      <c r="M569" s="3">
        <v>0.34228441799999998</v>
      </c>
      <c r="N569" s="3">
        <v>0.151664145</v>
      </c>
      <c r="O569" s="3">
        <v>0.11321951500000001</v>
      </c>
      <c r="P569" s="3">
        <v>0.22530793399999999</v>
      </c>
      <c r="Q569" s="3">
        <v>0.44110378900000002</v>
      </c>
      <c r="R569" s="3">
        <v>1.118029494</v>
      </c>
      <c r="S569" s="3">
        <v>2.6612984399999999</v>
      </c>
      <c r="T569" s="3">
        <v>2.8960049419999998</v>
      </c>
      <c r="U569" s="3">
        <v>0.743326814</v>
      </c>
      <c r="V569" s="3">
        <v>0.31544991500000003</v>
      </c>
      <c r="W569" s="3">
        <v>0.68651315800000001</v>
      </c>
      <c r="X569" s="3">
        <v>5.4348958329999997</v>
      </c>
      <c r="Y569" s="3">
        <v>3.7395833330000001</v>
      </c>
      <c r="Z569" s="3">
        <v>3.8960049419999998</v>
      </c>
      <c r="AA569" s="3">
        <v>0.13923033300000001</v>
      </c>
      <c r="AB569" s="3">
        <v>10.959498890000001</v>
      </c>
      <c r="AC569" s="3">
        <v>7.9166666670000003</v>
      </c>
      <c r="AD569" s="3">
        <v>0.14372163399999999</v>
      </c>
      <c r="AE569" s="3">
        <v>5.3548883759999999</v>
      </c>
      <c r="AF569" s="4">
        <v>41478</v>
      </c>
      <c r="AG569" s="5">
        <f>YEAR(AF569)</f>
        <v>2013</v>
      </c>
      <c r="AH569" s="5" t="str">
        <f>"Q"&amp;ROUNDUP(MONTH(AF569)/3,0)</f>
        <v>Q3</v>
      </c>
      <c r="AI569" s="5">
        <f>INDEX(RatingLookup!$B$2:$B$11,MATCH(A569,RatingLookup!$A$2:$A$11,0))</f>
        <v>8</v>
      </c>
      <c r="AJ569" s="5" t="str">
        <f>INDEX(RatingLookup!$C$2:$C$11,MATCH(A569,RatingLookup!$A$2:$A$11,0))</f>
        <v>Investment Grade</v>
      </c>
    </row>
    <row r="570" spans="1:36" x14ac:dyDescent="0.3">
      <c r="A570" s="3" t="s">
        <v>36</v>
      </c>
      <c r="B570" s="3" t="s">
        <v>718</v>
      </c>
      <c r="C570" s="3" t="s">
        <v>719</v>
      </c>
      <c r="D570" s="3" t="s">
        <v>39</v>
      </c>
      <c r="E570" s="3" t="s">
        <v>204</v>
      </c>
      <c r="F570" s="3" t="s">
        <v>41</v>
      </c>
      <c r="G570" s="3">
        <v>0.85462277499999995</v>
      </c>
      <c r="H570" s="3">
        <v>0.49566860899999998</v>
      </c>
      <c r="I570" s="3">
        <v>9.7495668999999993E-2</v>
      </c>
      <c r="J570" s="3">
        <v>44.783228440000002</v>
      </c>
      <c r="K570" s="3">
        <v>5.4488730999999999E-2</v>
      </c>
      <c r="L570" s="3">
        <v>7.1808940000000002E-2</v>
      </c>
      <c r="M570" s="3">
        <v>0.35630143600000003</v>
      </c>
      <c r="N570" s="3">
        <v>8.6762411999999997E-2</v>
      </c>
      <c r="O570" s="3">
        <v>6.8252256999999997E-2</v>
      </c>
      <c r="P570" s="3">
        <v>0.15718827299999999</v>
      </c>
      <c r="Q570" s="3">
        <v>-5.8218390800000002</v>
      </c>
      <c r="R570" s="3">
        <v>1.25259399</v>
      </c>
      <c r="S570" s="3">
        <v>2.6169763509999999</v>
      </c>
      <c r="T570" s="3">
        <v>-86.298850569999999</v>
      </c>
      <c r="U570" s="3">
        <v>1.011723487</v>
      </c>
      <c r="V570" s="3">
        <v>0.31310861400000001</v>
      </c>
      <c r="W570" s="3">
        <v>0.54206418000000001</v>
      </c>
      <c r="X570" s="3">
        <v>3.435953821</v>
      </c>
      <c r="Y570" s="3">
        <v>2.3804288069999999</v>
      </c>
      <c r="Z570" s="3">
        <v>-85.298850569999999</v>
      </c>
      <c r="AA570" s="3">
        <v>7.1808940000000002E-2</v>
      </c>
      <c r="AB570" s="3">
        <v>22.83815006</v>
      </c>
      <c r="AC570" s="3">
        <v>6.3386476089999997</v>
      </c>
      <c r="AD570" s="3">
        <v>0.124038513</v>
      </c>
      <c r="AE570" s="3">
        <v>4.5815467080000003</v>
      </c>
      <c r="AF570" s="4">
        <v>42305</v>
      </c>
      <c r="AG570" s="5">
        <f>YEAR(AF570)</f>
        <v>2015</v>
      </c>
      <c r="AH570" s="5" t="str">
        <f>"Q"&amp;ROUNDUP(MONTH(AF570)/3,0)</f>
        <v>Q4</v>
      </c>
      <c r="AI570" s="5">
        <f>INDEX(RatingLookup!$B$2:$B$11,MATCH(A570,RatingLookup!$A$2:$A$11,0))</f>
        <v>8</v>
      </c>
      <c r="AJ570" s="5" t="str">
        <f>INDEX(RatingLookup!$C$2:$C$11,MATCH(A570,RatingLookup!$A$2:$A$11,0))</f>
        <v>Investment Grade</v>
      </c>
    </row>
    <row r="571" spans="1:36" x14ac:dyDescent="0.3">
      <c r="A571" s="3" t="s">
        <v>36</v>
      </c>
      <c r="B571" s="3" t="s">
        <v>718</v>
      </c>
      <c r="C571" s="3" t="s">
        <v>719</v>
      </c>
      <c r="D571" s="3" t="s">
        <v>60</v>
      </c>
      <c r="E571" s="3" t="s">
        <v>46</v>
      </c>
      <c r="F571" s="3" t="s">
        <v>41</v>
      </c>
      <c r="G571" s="3">
        <v>1.1641652769999999</v>
      </c>
      <c r="H571" s="3">
        <v>0.686307208</v>
      </c>
      <c r="I571" s="3">
        <v>0.14156012600000001</v>
      </c>
      <c r="J571" s="3">
        <v>45.559339919999999</v>
      </c>
      <c r="K571" s="3">
        <v>7.6321596000000005E-2</v>
      </c>
      <c r="L571" s="3">
        <v>0.10472033</v>
      </c>
      <c r="M571" s="3">
        <v>0.295116569</v>
      </c>
      <c r="N571" s="3">
        <v>0.11714477600000001</v>
      </c>
      <c r="O571" s="3">
        <v>8.2124606000000003E-2</v>
      </c>
      <c r="P571" s="3">
        <v>0.15619633699999999</v>
      </c>
      <c r="Q571" s="3">
        <v>0.30310535300000002</v>
      </c>
      <c r="R571" s="3">
        <v>1.076033655</v>
      </c>
      <c r="S571" s="3">
        <v>2.5898869420000001</v>
      </c>
      <c r="T571" s="3">
        <v>2.690798247</v>
      </c>
      <c r="U571" s="3">
        <v>0.72905590300000001</v>
      </c>
      <c r="V571" s="3">
        <v>0.30233623500000001</v>
      </c>
      <c r="W571" s="3">
        <v>0.57692307700000001</v>
      </c>
      <c r="X571" s="3">
        <v>3.3358604999999999</v>
      </c>
      <c r="Y571" s="3">
        <v>2.7849380840000002</v>
      </c>
      <c r="Z571" s="3">
        <v>3.690798247</v>
      </c>
      <c r="AA571" s="3">
        <v>0.10472033</v>
      </c>
      <c r="AB571" s="3">
        <v>9.1802660629999995</v>
      </c>
      <c r="AC571" s="3">
        <v>5.7821582009999997</v>
      </c>
      <c r="AD571" s="3">
        <v>0.10975726800000001</v>
      </c>
      <c r="AE571" s="3">
        <v>6.1532663320000003</v>
      </c>
      <c r="AF571" s="4">
        <v>41075</v>
      </c>
      <c r="AG571" s="5">
        <f>YEAR(AF571)</f>
        <v>2012</v>
      </c>
      <c r="AH571" s="5" t="str">
        <f>"Q"&amp;ROUNDUP(MONTH(AF571)/3,0)</f>
        <v>Q2</v>
      </c>
      <c r="AI571" s="5">
        <f>INDEX(RatingLookup!$B$2:$B$11,MATCH(A571,RatingLookup!$A$2:$A$11,0))</f>
        <v>8</v>
      </c>
      <c r="AJ571" s="5" t="str">
        <f>INDEX(RatingLookup!$C$2:$C$11,MATCH(A571,RatingLookup!$A$2:$A$11,0))</f>
        <v>Investment Grade</v>
      </c>
    </row>
    <row r="572" spans="1:36" x14ac:dyDescent="0.3">
      <c r="A572" s="3" t="s">
        <v>36</v>
      </c>
      <c r="B572" s="3" t="s">
        <v>718</v>
      </c>
      <c r="C572" s="3" t="s">
        <v>719</v>
      </c>
      <c r="D572" s="3" t="s">
        <v>39</v>
      </c>
      <c r="E572" s="3" t="s">
        <v>721</v>
      </c>
      <c r="F572" s="3" t="s">
        <v>41</v>
      </c>
      <c r="G572" s="3">
        <v>0.89286861500000003</v>
      </c>
      <c r="H572" s="3">
        <v>0.52505621599999996</v>
      </c>
      <c r="I572" s="3">
        <v>0.12672663000000001</v>
      </c>
      <c r="J572" s="3">
        <v>41.137446769999997</v>
      </c>
      <c r="K572" s="3">
        <v>7.7367673999999997E-2</v>
      </c>
      <c r="L572" s="3">
        <v>0.11432772300000001</v>
      </c>
      <c r="M572" s="3">
        <v>0.33882579600000001</v>
      </c>
      <c r="N572" s="3">
        <v>0.12781383099999999</v>
      </c>
      <c r="O572" s="3">
        <v>9.8286744999999995E-2</v>
      </c>
      <c r="P572" s="3">
        <v>0.24247311799999999</v>
      </c>
      <c r="Q572" s="3">
        <v>2.0932784639999999</v>
      </c>
      <c r="R572" s="3">
        <v>1.27038516</v>
      </c>
      <c r="S572" s="3">
        <v>2.680255469</v>
      </c>
      <c r="T572" s="3">
        <v>20.297668040000001</v>
      </c>
      <c r="U572" s="3">
        <v>0.95304650300000004</v>
      </c>
      <c r="V572" s="3">
        <v>0.379600887</v>
      </c>
      <c r="W572" s="3">
        <v>0.63479789099999995</v>
      </c>
      <c r="X572" s="3">
        <v>4.8224299070000001</v>
      </c>
      <c r="Y572" s="3">
        <v>2.7930574099999999</v>
      </c>
      <c r="Z572" s="3">
        <v>21.297668040000001</v>
      </c>
      <c r="AA572" s="3">
        <v>0.11432772300000001</v>
      </c>
      <c r="AB572" s="3">
        <v>13.774170850000001</v>
      </c>
      <c r="AC572" s="3">
        <v>7.596795728</v>
      </c>
      <c r="AD572" s="3">
        <v>0.14424051900000001</v>
      </c>
      <c r="AE572" s="3">
        <v>4.9850917429999999</v>
      </c>
      <c r="AF572" s="4">
        <v>41934</v>
      </c>
      <c r="AG572" s="5">
        <f>YEAR(AF572)</f>
        <v>2014</v>
      </c>
      <c r="AH572" s="5" t="str">
        <f>"Q"&amp;ROUNDUP(MONTH(AF572)/3,0)</f>
        <v>Q4</v>
      </c>
      <c r="AI572" s="5">
        <f>INDEX(RatingLookup!$B$2:$B$11,MATCH(A572,RatingLookup!$A$2:$A$11,0))</f>
        <v>8</v>
      </c>
      <c r="AJ572" s="5" t="str">
        <f>INDEX(RatingLookup!$C$2:$C$11,MATCH(A572,RatingLookup!$A$2:$A$11,0))</f>
        <v>Investment Grade</v>
      </c>
    </row>
    <row r="573" spans="1:36" x14ac:dyDescent="0.3">
      <c r="A573" s="3" t="s">
        <v>92</v>
      </c>
      <c r="B573" s="3" t="s">
        <v>722</v>
      </c>
      <c r="C573" s="3" t="s">
        <v>723</v>
      </c>
      <c r="D573" s="3" t="s">
        <v>39</v>
      </c>
      <c r="E573" s="3" t="s">
        <v>724</v>
      </c>
      <c r="F573" s="3" t="s">
        <v>219</v>
      </c>
      <c r="G573" s="3">
        <v>1.8019052959999999</v>
      </c>
      <c r="H573" s="3">
        <v>0.54104791299999999</v>
      </c>
      <c r="I573" s="3">
        <v>0.37937797699999998</v>
      </c>
      <c r="J573" s="3">
        <v>0</v>
      </c>
      <c r="K573" s="3">
        <v>5.8262410000000002E-3</v>
      </c>
      <c r="L573" s="3">
        <v>9.7104019999999999E-3</v>
      </c>
      <c r="M573" s="3">
        <v>0.117210259</v>
      </c>
      <c r="N573" s="3">
        <v>2.3590564000000001E-2</v>
      </c>
      <c r="O573" s="3">
        <v>8.2832549999999998E-3</v>
      </c>
      <c r="P573" s="3">
        <v>1.9439680000000001E-2</v>
      </c>
      <c r="Q573" s="3">
        <v>2.6849171000000002E-2</v>
      </c>
      <c r="R573" s="3">
        <v>1.4217151210000001</v>
      </c>
      <c r="S573" s="3">
        <v>3.8275032790000001</v>
      </c>
      <c r="T573" s="3">
        <v>2.2413793100000001</v>
      </c>
      <c r="U573" s="3">
        <v>0.691489362</v>
      </c>
      <c r="V573" s="3">
        <v>0.4</v>
      </c>
      <c r="W573" s="3">
        <v>0.71916890099999997</v>
      </c>
      <c r="X573" s="3">
        <v>7.3916398010000002</v>
      </c>
      <c r="Y573" s="3">
        <v>13.30219614</v>
      </c>
      <c r="Z573" s="3">
        <v>3.2413793100000001</v>
      </c>
      <c r="AA573" s="3">
        <v>9.7104019999999999E-3</v>
      </c>
      <c r="AB573" s="3">
        <v>5.4728924619999999</v>
      </c>
      <c r="AC573" s="3">
        <v>10.27803037</v>
      </c>
      <c r="AD573" s="3">
        <v>8.5223054000000006E-2</v>
      </c>
      <c r="AE573" s="3">
        <v>8.2602886160000004</v>
      </c>
      <c r="AF573" s="4">
        <v>42130</v>
      </c>
      <c r="AG573" s="5">
        <f>YEAR(AF573)</f>
        <v>2015</v>
      </c>
      <c r="AH573" s="5" t="str">
        <f>"Q"&amp;ROUNDUP(MONTH(AF573)/3,0)</f>
        <v>Q2</v>
      </c>
      <c r="AI573" s="5">
        <f>INDEX(RatingLookup!$B$2:$B$11,MATCH(A573,RatingLookup!$A$2:$A$11,0))</f>
        <v>6</v>
      </c>
      <c r="AJ573" s="5" t="str">
        <f>INDEX(RatingLookup!$C$2:$C$11,MATCH(A573,RatingLookup!$A$2:$A$11,0))</f>
        <v>Speculative Grade</v>
      </c>
    </row>
    <row r="574" spans="1:36" x14ac:dyDescent="0.3">
      <c r="A574" s="3" t="s">
        <v>109</v>
      </c>
      <c r="B574" s="3" t="s">
        <v>722</v>
      </c>
      <c r="C574" s="3" t="s">
        <v>723</v>
      </c>
      <c r="D574" s="3" t="s">
        <v>39</v>
      </c>
      <c r="E574" s="3" t="s">
        <v>725</v>
      </c>
      <c r="F574" s="3" t="s">
        <v>219</v>
      </c>
      <c r="G574" s="3">
        <v>1.8730354389999999</v>
      </c>
      <c r="H574" s="3">
        <v>0.37750385199999997</v>
      </c>
      <c r="I574" s="3">
        <v>0.186132512</v>
      </c>
      <c r="J574" s="3">
        <v>0</v>
      </c>
      <c r="K574" s="3">
        <v>-9.5959595999999994E-2</v>
      </c>
      <c r="L574" s="3">
        <v>-0.12809917400000001</v>
      </c>
      <c r="M574" s="3">
        <v>8.0808081000000004E-2</v>
      </c>
      <c r="N574" s="3">
        <v>-0.10904499500000001</v>
      </c>
      <c r="O574" s="3">
        <v>-0.12721600899999999</v>
      </c>
      <c r="P574" s="3">
        <v>-0.22550010100000001</v>
      </c>
      <c r="Q574" s="3">
        <v>-0.49940262800000002</v>
      </c>
      <c r="R574" s="3">
        <v>1.32572472</v>
      </c>
      <c r="S574" s="3">
        <v>2.9422492400000002</v>
      </c>
      <c r="T574" s="3">
        <v>2.9256272399999999</v>
      </c>
      <c r="U574" s="3">
        <v>0.74526363799999995</v>
      </c>
      <c r="V574" s="3">
        <v>0.25089605700000001</v>
      </c>
      <c r="W574" s="3">
        <v>-0.18115941999999999</v>
      </c>
      <c r="X574" s="3">
        <v>-0.51875112400000001</v>
      </c>
      <c r="Y574" s="3">
        <v>8.472935025</v>
      </c>
      <c r="Z574" s="3">
        <v>3.9256272399999999</v>
      </c>
      <c r="AA574" s="3">
        <v>-0.12809917400000001</v>
      </c>
      <c r="AB574" s="3">
        <v>-5.8612507730000001</v>
      </c>
      <c r="AC574" s="3">
        <v>2.8635062040000001</v>
      </c>
      <c r="AD574" s="3">
        <v>2.3760330999999999E-2</v>
      </c>
      <c r="AE574" s="3">
        <v>9.5276621059999993</v>
      </c>
      <c r="AF574" s="4">
        <v>41669</v>
      </c>
      <c r="AG574" s="5">
        <f>YEAR(AF574)</f>
        <v>2014</v>
      </c>
      <c r="AH574" s="5" t="str">
        <f>"Q"&amp;ROUNDUP(MONTH(AF574)/3,0)</f>
        <v>Q1</v>
      </c>
      <c r="AI574" s="5">
        <f>INDEX(RatingLookup!$B$2:$B$11,MATCH(A574,RatingLookup!$A$2:$A$11,0))</f>
        <v>5</v>
      </c>
      <c r="AJ574" s="5" t="str">
        <f>INDEX(RatingLookup!$C$2:$C$11,MATCH(A574,RatingLookup!$A$2:$A$11,0))</f>
        <v>Speculative Grade</v>
      </c>
    </row>
    <row r="575" spans="1:36" x14ac:dyDescent="0.3">
      <c r="A575" s="3" t="s">
        <v>116</v>
      </c>
      <c r="B575" s="3" t="s">
        <v>722</v>
      </c>
      <c r="C575" s="3" t="s">
        <v>723</v>
      </c>
      <c r="D575" s="3" t="s">
        <v>60</v>
      </c>
      <c r="E575" s="3" t="s">
        <v>726</v>
      </c>
      <c r="F575" s="3" t="s">
        <v>219</v>
      </c>
      <c r="G575" s="3">
        <v>1.823556797</v>
      </c>
      <c r="H575" s="3">
        <v>0.60288640599999999</v>
      </c>
      <c r="I575" s="3">
        <v>0.35148975799999999</v>
      </c>
      <c r="J575" s="3">
        <v>0</v>
      </c>
      <c r="K575" s="3">
        <v>-0.14186970800000001</v>
      </c>
      <c r="L575" s="3">
        <v>-0.12605840700000001</v>
      </c>
      <c r="M575" s="3">
        <v>3.7411438999999998E-2</v>
      </c>
      <c r="N575" s="3">
        <v>-0.10385346500000001</v>
      </c>
      <c r="O575" s="3">
        <v>-0.17867247</v>
      </c>
      <c r="P575" s="3">
        <v>-0.20718545899999999</v>
      </c>
      <c r="Q575" s="3">
        <v>-0.67405582900000005</v>
      </c>
      <c r="R575" s="3">
        <v>1.259412405</v>
      </c>
      <c r="S575" s="3">
        <v>2.6238948080000002</v>
      </c>
      <c r="T575" s="3">
        <v>2.772577997</v>
      </c>
      <c r="U575" s="3">
        <v>0.73492927100000005</v>
      </c>
      <c r="V575" s="3">
        <v>-0.12542837600000001</v>
      </c>
      <c r="W575" s="3">
        <v>-0.46239554300000002</v>
      </c>
      <c r="X575" s="3">
        <v>-1.13625474</v>
      </c>
      <c r="Y575" s="3">
        <v>8.8641559539999992</v>
      </c>
      <c r="Z575" s="3">
        <v>3.772577997</v>
      </c>
      <c r="AA575" s="3">
        <v>-0.12605840700000001</v>
      </c>
      <c r="AB575" s="3">
        <v>-5.2345923660000002</v>
      </c>
      <c r="AC575" s="3">
        <v>2.4573219979999998</v>
      </c>
      <c r="AD575" s="3">
        <v>3.1017798999999999E-2</v>
      </c>
      <c r="AE575" s="3">
        <v>7.8902266289999998</v>
      </c>
      <c r="AF575" s="4">
        <v>42492</v>
      </c>
      <c r="AG575" s="5">
        <f>YEAR(AF575)</f>
        <v>2016</v>
      </c>
      <c r="AH575" s="5" t="str">
        <f>"Q"&amp;ROUNDUP(MONTH(AF575)/3,0)</f>
        <v>Q2</v>
      </c>
      <c r="AI575" s="5">
        <f>INDEX(RatingLookup!$B$2:$B$11,MATCH(A575,RatingLookup!$A$2:$A$11,0))</f>
        <v>4</v>
      </c>
      <c r="AJ575" s="5" t="str">
        <f>INDEX(RatingLookup!$C$2:$C$11,MATCH(A575,RatingLookup!$A$2:$A$11,0))</f>
        <v>Speculative Grade</v>
      </c>
    </row>
    <row r="576" spans="1:36" x14ac:dyDescent="0.3">
      <c r="A576" s="3" t="s">
        <v>109</v>
      </c>
      <c r="B576" s="3" t="s">
        <v>722</v>
      </c>
      <c r="C576" s="3" t="s">
        <v>723</v>
      </c>
      <c r="D576" s="3" t="s">
        <v>60</v>
      </c>
      <c r="E576" s="3" t="s">
        <v>46</v>
      </c>
      <c r="F576" s="3" t="s">
        <v>219</v>
      </c>
      <c r="G576" s="3">
        <v>1.582351329</v>
      </c>
      <c r="H576" s="3">
        <v>0.29898602400000002</v>
      </c>
      <c r="I576" s="3">
        <v>0.111811455</v>
      </c>
      <c r="J576" s="3">
        <v>0</v>
      </c>
      <c r="K576" s="3">
        <v>-2.6654600000000001E-3</v>
      </c>
      <c r="L576" s="3">
        <v>1.357876E-3</v>
      </c>
      <c r="M576" s="3">
        <v>7.8354456000000003E-2</v>
      </c>
      <c r="N576" s="3">
        <v>1.3327298E-2</v>
      </c>
      <c r="O576" s="3">
        <v>-3.2974549999999999E-3</v>
      </c>
      <c r="P576" s="3">
        <v>2.1732129999999998E-3</v>
      </c>
      <c r="Q576" s="3">
        <v>-1.5142856999999999E-2</v>
      </c>
      <c r="R576" s="3">
        <v>1.2371057050000001</v>
      </c>
      <c r="S576" s="3">
        <v>3.0223438210000002</v>
      </c>
      <c r="T576" s="3">
        <v>3.592285714</v>
      </c>
      <c r="U576" s="3">
        <v>0.78224351400000003</v>
      </c>
      <c r="V576" s="3">
        <v>2.9629629629999998</v>
      </c>
      <c r="W576" s="3">
        <v>-4.0476190479999996</v>
      </c>
      <c r="X576" s="3">
        <v>-4.7233046459999999</v>
      </c>
      <c r="Y576" s="3">
        <v>7.5781255429999996</v>
      </c>
      <c r="Z576" s="3">
        <v>4.592285714</v>
      </c>
      <c r="AA576" s="3">
        <v>1.357876E-3</v>
      </c>
      <c r="AB576" s="3">
        <v>8.0086383829999992</v>
      </c>
      <c r="AC576" s="3">
        <v>1.166934089</v>
      </c>
      <c r="AD576" s="3">
        <v>8.4490039999999995E-3</v>
      </c>
      <c r="AE576" s="3">
        <v>9.2696004050000003</v>
      </c>
      <c r="AF576" s="4">
        <v>41075</v>
      </c>
      <c r="AG576" s="5">
        <f>YEAR(AF576)</f>
        <v>2012</v>
      </c>
      <c r="AH576" s="5" t="str">
        <f>"Q"&amp;ROUNDUP(MONTH(AF576)/3,0)</f>
        <v>Q2</v>
      </c>
      <c r="AI576" s="5">
        <f>INDEX(RatingLookup!$B$2:$B$11,MATCH(A576,RatingLookup!$A$2:$A$11,0))</f>
        <v>5</v>
      </c>
      <c r="AJ576" s="5" t="str">
        <f>INDEX(RatingLookup!$C$2:$C$11,MATCH(A576,RatingLookup!$A$2:$A$11,0))</f>
        <v>Speculative Grade</v>
      </c>
    </row>
    <row r="577" spans="1:36" x14ac:dyDescent="0.3">
      <c r="A577" s="3" t="s">
        <v>109</v>
      </c>
      <c r="B577" s="3" t="s">
        <v>722</v>
      </c>
      <c r="C577" s="3" t="s">
        <v>723</v>
      </c>
      <c r="D577" s="3" t="s">
        <v>60</v>
      </c>
      <c r="E577" s="3" t="s">
        <v>727</v>
      </c>
      <c r="F577" s="3" t="s">
        <v>219</v>
      </c>
      <c r="G577" s="3">
        <v>1.7973244150000001</v>
      </c>
      <c r="H577" s="3">
        <v>0.39431438099999999</v>
      </c>
      <c r="I577" s="3">
        <v>0.19063545200000001</v>
      </c>
      <c r="J577" s="3">
        <v>0</v>
      </c>
      <c r="K577" s="3">
        <v>-6.415563E-3</v>
      </c>
      <c r="L577" s="3">
        <v>3.1042999999999999E-4</v>
      </c>
      <c r="M577" s="3">
        <v>8.7851820999999997E-2</v>
      </c>
      <c r="N577" s="3">
        <v>1.2779387E-2</v>
      </c>
      <c r="O577" s="3">
        <v>-8.1487810000000008E-3</v>
      </c>
      <c r="P577" s="3">
        <v>4.90717E-4</v>
      </c>
      <c r="Q577" s="3">
        <v>-3.5662928000000003E-2</v>
      </c>
      <c r="R577" s="3">
        <v>1.2701583759999999</v>
      </c>
      <c r="S577" s="3">
        <v>3.016229713</v>
      </c>
      <c r="T577" s="3">
        <v>3.3764739719999999</v>
      </c>
      <c r="U577" s="3">
        <v>0.77150555300000001</v>
      </c>
      <c r="V577" s="3">
        <v>21.833333329999999</v>
      </c>
      <c r="W577" s="3">
        <v>0.362995595</v>
      </c>
      <c r="X577" s="3">
        <v>2.8564099359999999</v>
      </c>
      <c r="Y577" s="3">
        <v>8.1740468810000007</v>
      </c>
      <c r="Z577" s="3">
        <v>4.3764739720000003</v>
      </c>
      <c r="AA577" s="3">
        <v>3.1042999999999999E-4</v>
      </c>
      <c r="AB577" s="3">
        <v>7.2548125990000001</v>
      </c>
      <c r="AC577" s="3">
        <v>7.8689933930000002</v>
      </c>
      <c r="AD577" s="3">
        <v>5.8723096000000002E-2</v>
      </c>
      <c r="AE577" s="3">
        <v>10.10894495</v>
      </c>
      <c r="AF577" s="4">
        <v>41353</v>
      </c>
      <c r="AG577" s="5">
        <f>YEAR(AF577)</f>
        <v>2013</v>
      </c>
      <c r="AH577" s="5" t="str">
        <f>"Q"&amp;ROUNDUP(MONTH(AF577)/3,0)</f>
        <v>Q1</v>
      </c>
      <c r="AI577" s="5">
        <f>INDEX(RatingLookup!$B$2:$B$11,MATCH(A577,RatingLookup!$A$2:$A$11,0))</f>
        <v>5</v>
      </c>
      <c r="AJ577" s="5" t="str">
        <f>INDEX(RatingLookup!$C$2:$C$11,MATCH(A577,RatingLookup!$A$2:$A$11,0))</f>
        <v>Speculative Grade</v>
      </c>
    </row>
    <row r="578" spans="1:36" x14ac:dyDescent="0.3">
      <c r="A578" s="3" t="s">
        <v>92</v>
      </c>
      <c r="B578" s="3" t="s">
        <v>722</v>
      </c>
      <c r="C578" s="3" t="s">
        <v>723</v>
      </c>
      <c r="D578" s="3" t="s">
        <v>47</v>
      </c>
      <c r="E578" s="3" t="s">
        <v>728</v>
      </c>
      <c r="F578" s="3" t="s">
        <v>219</v>
      </c>
      <c r="G578" s="3">
        <v>2.0633549320000002</v>
      </c>
      <c r="H578" s="3">
        <v>0.51079913600000004</v>
      </c>
      <c r="I578" s="3">
        <v>0.26061915000000002</v>
      </c>
      <c r="J578" s="3">
        <v>0</v>
      </c>
      <c r="K578" s="3">
        <v>9.4008724000000002E-2</v>
      </c>
      <c r="L578" s="3">
        <v>0.13384670200000001</v>
      </c>
      <c r="M578" s="3">
        <v>0.12209561100000001</v>
      </c>
      <c r="N578" s="3">
        <v>0.136606427</v>
      </c>
      <c r="O578" s="3">
        <v>0.131286132</v>
      </c>
      <c r="P578" s="3">
        <v>0.22593733599999999</v>
      </c>
      <c r="Q578" s="3">
        <v>0.43146067399999999</v>
      </c>
      <c r="R578" s="3">
        <v>1.3965313610000001</v>
      </c>
      <c r="S578" s="3">
        <v>3.3651887359999999</v>
      </c>
      <c r="T578" s="3">
        <v>2.2529111340000001</v>
      </c>
      <c r="U578" s="3">
        <v>0.68552247200000005</v>
      </c>
      <c r="V578" s="3">
        <v>0.28367143299999997</v>
      </c>
      <c r="W578" s="3">
        <v>1</v>
      </c>
      <c r="X578" s="3">
        <v>6.2934859440000004</v>
      </c>
      <c r="Y578" s="3">
        <v>12.08451496</v>
      </c>
      <c r="Z578" s="3">
        <v>3.2864147090000002</v>
      </c>
      <c r="AA578" s="3">
        <v>0.13384670200000001</v>
      </c>
      <c r="AB578" s="3">
        <v>0.96585620400000005</v>
      </c>
      <c r="AC578" s="3">
        <v>6.2934859440000004</v>
      </c>
      <c r="AD578" s="3">
        <v>3.2894151000000003E-2</v>
      </c>
      <c r="AE578" s="3">
        <v>13.69652778</v>
      </c>
      <c r="AF578" s="4">
        <v>39931</v>
      </c>
      <c r="AG578" s="5">
        <f>YEAR(AF578)</f>
        <v>2009</v>
      </c>
      <c r="AH578" s="5" t="str">
        <f>"Q"&amp;ROUNDUP(MONTH(AF578)/3,0)</f>
        <v>Q2</v>
      </c>
      <c r="AI578" s="5">
        <f>INDEX(RatingLookup!$B$2:$B$11,MATCH(A578,RatingLookup!$A$2:$A$11,0))</f>
        <v>6</v>
      </c>
      <c r="AJ578" s="5" t="str">
        <f>INDEX(RatingLookup!$C$2:$C$11,MATCH(A578,RatingLookup!$A$2:$A$11,0))</f>
        <v>Speculative Grade</v>
      </c>
    </row>
    <row r="579" spans="1:36" x14ac:dyDescent="0.3">
      <c r="A579" s="3" t="s">
        <v>92</v>
      </c>
      <c r="B579" s="3" t="s">
        <v>722</v>
      </c>
      <c r="C579" s="3" t="s">
        <v>723</v>
      </c>
      <c r="D579" s="3" t="s">
        <v>47</v>
      </c>
      <c r="E579" s="3" t="s">
        <v>729</v>
      </c>
      <c r="F579" s="3" t="s">
        <v>219</v>
      </c>
      <c r="G579" s="3">
        <v>1.8687258689999999</v>
      </c>
      <c r="H579" s="3">
        <v>0.87644787599999996</v>
      </c>
      <c r="I579" s="3">
        <v>0.64993564999999998</v>
      </c>
      <c r="J579" s="3">
        <v>0</v>
      </c>
      <c r="K579" s="3">
        <v>-4.2880810999999998E-2</v>
      </c>
      <c r="L579" s="3">
        <v>-4.0541858E-2</v>
      </c>
      <c r="M579" s="3">
        <v>6.2177176000000001E-2</v>
      </c>
      <c r="N579" s="3">
        <v>-1.6080304E-2</v>
      </c>
      <c r="O579" s="3">
        <v>-4.8034934000000001E-2</v>
      </c>
      <c r="P579" s="3">
        <v>-6.0916679000000001E-2</v>
      </c>
      <c r="Q579" s="3">
        <v>-0.19349164499999999</v>
      </c>
      <c r="R579" s="3">
        <v>1.120196507</v>
      </c>
      <c r="S579" s="3">
        <v>2.57878864</v>
      </c>
      <c r="T579" s="3">
        <v>3.028144239</v>
      </c>
      <c r="U579" s="3">
        <v>0.75174672499999995</v>
      </c>
      <c r="V579" s="3">
        <v>-5.7692307999999998E-2</v>
      </c>
      <c r="W579" s="3">
        <v>0.57909215999999997</v>
      </c>
      <c r="X579" s="3">
        <v>2.687125414</v>
      </c>
      <c r="Y579" s="3">
        <v>13.039898389999999</v>
      </c>
      <c r="Z579" s="3">
        <v>4.0281442390000004</v>
      </c>
      <c r="AA579" s="3">
        <v>-4.0541858E-2</v>
      </c>
      <c r="AB579" s="3">
        <v>19.550318709999999</v>
      </c>
      <c r="AC579" s="3">
        <v>4.6402379480000002</v>
      </c>
      <c r="AD579" s="3">
        <v>7.0850793999999995E-2</v>
      </c>
      <c r="AE579" s="3">
        <v>6.0068664170000003</v>
      </c>
      <c r="AF579" s="4">
        <v>42628</v>
      </c>
      <c r="AG579" s="5">
        <f>YEAR(AF579)</f>
        <v>2016</v>
      </c>
      <c r="AH579" s="5" t="str">
        <f>"Q"&amp;ROUNDUP(MONTH(AF579)/3,0)</f>
        <v>Q3</v>
      </c>
      <c r="AI579" s="5">
        <f>INDEX(RatingLookup!$B$2:$B$11,MATCH(A579,RatingLookup!$A$2:$A$11,0))</f>
        <v>6</v>
      </c>
      <c r="AJ579" s="5" t="str">
        <f>INDEX(RatingLookup!$C$2:$C$11,MATCH(A579,RatingLookup!$A$2:$A$11,0))</f>
        <v>Speculative Grade</v>
      </c>
    </row>
    <row r="580" spans="1:36" x14ac:dyDescent="0.3">
      <c r="A580" s="3" t="s">
        <v>49</v>
      </c>
      <c r="B580" s="3" t="s">
        <v>730</v>
      </c>
      <c r="C580" s="3" t="s">
        <v>731</v>
      </c>
      <c r="D580" s="3" t="s">
        <v>39</v>
      </c>
      <c r="E580" s="3" t="s">
        <v>675</v>
      </c>
      <c r="F580" s="3" t="s">
        <v>96</v>
      </c>
      <c r="G580" s="3">
        <v>4.1320384539999999</v>
      </c>
      <c r="H580" s="3">
        <v>3.9229612189999998</v>
      </c>
      <c r="I580" s="3">
        <v>1.420181806</v>
      </c>
      <c r="J580" s="3">
        <v>53.643331760000002</v>
      </c>
      <c r="K580" s="3">
        <v>0.25998011799999998</v>
      </c>
      <c r="L580" s="3">
        <v>0.335740072</v>
      </c>
      <c r="M580" s="3">
        <v>0.92337675900000005</v>
      </c>
      <c r="N580" s="3">
        <v>0.362868205</v>
      </c>
      <c r="O580" s="3">
        <v>8.9609838999999997E-2</v>
      </c>
      <c r="P580" s="3">
        <v>0.13423001300000001</v>
      </c>
      <c r="Q580" s="3">
        <v>0.204220866</v>
      </c>
      <c r="R580" s="3">
        <v>0.34467958500000001</v>
      </c>
      <c r="S580" s="3">
        <v>10.370591429999999</v>
      </c>
      <c r="T580" s="3">
        <v>1.279000473</v>
      </c>
      <c r="U580" s="3">
        <v>0.56121114800000005</v>
      </c>
      <c r="V580" s="3">
        <v>0.225650616</v>
      </c>
      <c r="W580" s="3">
        <v>1</v>
      </c>
      <c r="X580" s="3">
        <v>3.2552225250000002</v>
      </c>
      <c r="Y580" s="3">
        <v>12.345140779999999</v>
      </c>
      <c r="Z580" s="3">
        <v>2.279000473</v>
      </c>
      <c r="AA580" s="3">
        <v>0.335740072</v>
      </c>
      <c r="AB580" s="3">
        <v>14.254430109999999</v>
      </c>
      <c r="AC580" s="3">
        <v>3.2552225250000002</v>
      </c>
      <c r="AD580" s="3">
        <v>0.3750327</v>
      </c>
      <c r="AE580" s="3">
        <v>3.633995037</v>
      </c>
      <c r="AF580" s="4">
        <v>42277</v>
      </c>
      <c r="AG580" s="5">
        <f>YEAR(AF580)</f>
        <v>2015</v>
      </c>
      <c r="AH580" s="5" t="str">
        <f>"Q"&amp;ROUNDUP(MONTH(AF580)/3,0)</f>
        <v>Q3</v>
      </c>
      <c r="AI580" s="5">
        <f>INDEX(RatingLookup!$B$2:$B$11,MATCH(A580,RatingLookup!$A$2:$A$11,0))</f>
        <v>9</v>
      </c>
      <c r="AJ580" s="5" t="str">
        <f>INDEX(RatingLookup!$C$2:$C$11,MATCH(A580,RatingLookup!$A$2:$A$11,0))</f>
        <v>Investment Grade</v>
      </c>
    </row>
    <row r="581" spans="1:36" x14ac:dyDescent="0.3">
      <c r="A581" s="3" t="s">
        <v>49</v>
      </c>
      <c r="B581" s="3" t="s">
        <v>730</v>
      </c>
      <c r="C581" s="3" t="s">
        <v>731</v>
      </c>
      <c r="D581" s="3" t="s">
        <v>39</v>
      </c>
      <c r="E581" s="3" t="s">
        <v>732</v>
      </c>
      <c r="F581" s="3" t="s">
        <v>96</v>
      </c>
      <c r="G581" s="3">
        <v>3.238968303</v>
      </c>
      <c r="H581" s="3">
        <v>2.97273151</v>
      </c>
      <c r="I581" s="3">
        <v>1.1352548170000001</v>
      </c>
      <c r="J581" s="3">
        <v>59.383674020000001</v>
      </c>
      <c r="K581" s="3">
        <v>0.293840775</v>
      </c>
      <c r="L581" s="3">
        <v>0.37380311999999999</v>
      </c>
      <c r="M581" s="3">
        <v>0.90459924700000005</v>
      </c>
      <c r="N581" s="3">
        <v>0.39494351799999999</v>
      </c>
      <c r="O581" s="3">
        <v>0.133537867</v>
      </c>
      <c r="P581" s="3">
        <v>0.20159558999999999</v>
      </c>
      <c r="Q581" s="3">
        <v>0.24469181200000001</v>
      </c>
      <c r="R581" s="3">
        <v>0.45445655899999998</v>
      </c>
      <c r="S581" s="3">
        <v>12.178185389999999</v>
      </c>
      <c r="T581" s="3">
        <v>0.83237771000000005</v>
      </c>
      <c r="U581" s="3">
        <v>0.454260989</v>
      </c>
      <c r="V581" s="3">
        <v>0.213915671</v>
      </c>
      <c r="W581" s="3">
        <v>1</v>
      </c>
      <c r="X581" s="3">
        <v>2.9825959320000002</v>
      </c>
      <c r="Y581" s="3">
        <v>6.7552946110000001</v>
      </c>
      <c r="Z581" s="3">
        <v>1.83237771</v>
      </c>
      <c r="AA581" s="3">
        <v>0.37380311999999999</v>
      </c>
      <c r="AB581" s="3">
        <v>10.41337442</v>
      </c>
      <c r="AC581" s="3">
        <v>2.9825959320000002</v>
      </c>
      <c r="AD581" s="3">
        <v>0.38257127499999999</v>
      </c>
      <c r="AE581" s="3">
        <v>8.4653937950000007</v>
      </c>
      <c r="AF581" s="4">
        <v>41653</v>
      </c>
      <c r="AG581" s="5">
        <f>YEAR(AF581)</f>
        <v>2014</v>
      </c>
      <c r="AH581" s="5" t="str">
        <f>"Q"&amp;ROUNDUP(MONTH(AF581)/3,0)</f>
        <v>Q1</v>
      </c>
      <c r="AI581" s="5">
        <f>INDEX(RatingLookup!$B$2:$B$11,MATCH(A581,RatingLookup!$A$2:$A$11,0))</f>
        <v>9</v>
      </c>
      <c r="AJ581" s="5" t="str">
        <f>INDEX(RatingLookup!$C$2:$C$11,MATCH(A581,RatingLookup!$A$2:$A$11,0))</f>
        <v>Investment Grade</v>
      </c>
    </row>
    <row r="582" spans="1:36" x14ac:dyDescent="0.3">
      <c r="A582" s="3" t="s">
        <v>49</v>
      </c>
      <c r="B582" s="3" t="s">
        <v>730</v>
      </c>
      <c r="C582" s="3" t="s">
        <v>731</v>
      </c>
      <c r="D582" s="3" t="s">
        <v>39</v>
      </c>
      <c r="E582" s="3" t="s">
        <v>733</v>
      </c>
      <c r="F582" s="3" t="s">
        <v>96</v>
      </c>
      <c r="G582" s="3">
        <v>3.345472236</v>
      </c>
      <c r="H582" s="3">
        <v>3.1208562099999999</v>
      </c>
      <c r="I582" s="3">
        <v>1.2349016610000001</v>
      </c>
      <c r="J582" s="3">
        <v>58.047158719999999</v>
      </c>
      <c r="K582" s="3">
        <v>0.286218158</v>
      </c>
      <c r="L582" s="3">
        <v>0.35804049599999999</v>
      </c>
      <c r="M582" s="3">
        <v>0.92282168499999995</v>
      </c>
      <c r="N582" s="3">
        <v>0.38560418000000002</v>
      </c>
      <c r="O582" s="3">
        <v>0.121258744</v>
      </c>
      <c r="P582" s="3">
        <v>0.18042261900000001</v>
      </c>
      <c r="Q582" s="3">
        <v>0.23369171</v>
      </c>
      <c r="R582" s="3">
        <v>0.42365846099999999</v>
      </c>
      <c r="S582" s="3">
        <v>12.50408363</v>
      </c>
      <c r="T582" s="3">
        <v>0.92721532500000003</v>
      </c>
      <c r="U582" s="3">
        <v>0.48111662100000002</v>
      </c>
      <c r="V582" s="3">
        <v>0.200598365</v>
      </c>
      <c r="W582" s="3">
        <v>1</v>
      </c>
      <c r="X582" s="3">
        <v>3.2952738519999998</v>
      </c>
      <c r="Y582" s="3">
        <v>8.573100707</v>
      </c>
      <c r="Z582" s="3">
        <v>1.9272153249999999</v>
      </c>
      <c r="AA582" s="3">
        <v>0.35804049599999999</v>
      </c>
      <c r="AB582" s="3">
        <v>12.86847618</v>
      </c>
      <c r="AC582" s="3">
        <v>3.2952738519999998</v>
      </c>
      <c r="AD582" s="3">
        <v>0.38983670799999998</v>
      </c>
      <c r="AE582" s="3">
        <v>6.2717622080000002</v>
      </c>
      <c r="AF582" s="4">
        <v>41905</v>
      </c>
      <c r="AG582" s="5">
        <f>YEAR(AF582)</f>
        <v>2014</v>
      </c>
      <c r="AH582" s="5" t="str">
        <f>"Q"&amp;ROUNDUP(MONTH(AF582)/3,0)</f>
        <v>Q3</v>
      </c>
      <c r="AI582" s="5">
        <f>INDEX(RatingLookup!$B$2:$B$11,MATCH(A582,RatingLookup!$A$2:$A$11,0))</f>
        <v>9</v>
      </c>
      <c r="AJ582" s="5" t="str">
        <f>INDEX(RatingLookup!$C$2:$C$11,MATCH(A582,RatingLookup!$A$2:$A$11,0))</f>
        <v>Investment Grade</v>
      </c>
    </row>
    <row r="583" spans="1:36" x14ac:dyDescent="0.3">
      <c r="A583" s="3" t="s">
        <v>36</v>
      </c>
      <c r="B583" s="3" t="s">
        <v>730</v>
      </c>
      <c r="C583" s="3" t="s">
        <v>731</v>
      </c>
      <c r="D583" s="3" t="s">
        <v>47</v>
      </c>
      <c r="E583" s="3" t="s">
        <v>734</v>
      </c>
      <c r="F583" s="3" t="s">
        <v>96</v>
      </c>
      <c r="G583" s="3">
        <v>2.7602874860000002</v>
      </c>
      <c r="H583" s="3">
        <v>2.4997181510000002</v>
      </c>
      <c r="I583" s="3">
        <v>1.1388810599999999</v>
      </c>
      <c r="J583" s="3">
        <v>67.913648870000003</v>
      </c>
      <c r="K583" s="3">
        <v>0.23993599500000001</v>
      </c>
      <c r="L583" s="3">
        <v>0.32033574799999998</v>
      </c>
      <c r="M583" s="3">
        <v>0.94225478600000001</v>
      </c>
      <c r="N583" s="3">
        <v>0.337796867</v>
      </c>
      <c r="O583" s="3">
        <v>0.116230366</v>
      </c>
      <c r="P583" s="3">
        <v>0.19228889699999999</v>
      </c>
      <c r="Q583" s="3">
        <v>0.21487831900000001</v>
      </c>
      <c r="R583" s="3">
        <v>0.48442238399999998</v>
      </c>
      <c r="S583" s="3">
        <v>12.468323420000001</v>
      </c>
      <c r="T583" s="3">
        <v>0.84872787599999999</v>
      </c>
      <c r="U583" s="3">
        <v>0.459087509</v>
      </c>
      <c r="V583" s="3">
        <v>0.25098589100000002</v>
      </c>
      <c r="W583" s="3">
        <v>1</v>
      </c>
      <c r="X583" s="3">
        <v>2.2214738509999998</v>
      </c>
      <c r="Y583" s="3">
        <v>5.7147385100000001</v>
      </c>
      <c r="Z583" s="3">
        <v>1.8487278760000001</v>
      </c>
      <c r="AA583" s="3">
        <v>0.32033574799999998</v>
      </c>
      <c r="AB583" s="3">
        <v>13.958088589999999</v>
      </c>
      <c r="AC583" s="3">
        <v>2.2214738509999998</v>
      </c>
      <c r="AD583" s="3">
        <v>0.31480545700000001</v>
      </c>
      <c r="AE583" s="3">
        <v>2.934379458</v>
      </c>
      <c r="AF583" s="4">
        <v>41023</v>
      </c>
      <c r="AG583" s="5">
        <f>YEAR(AF583)</f>
        <v>2012</v>
      </c>
      <c r="AH583" s="5" t="str">
        <f>"Q"&amp;ROUNDUP(MONTH(AF583)/3,0)</f>
        <v>Q2</v>
      </c>
      <c r="AI583" s="5">
        <f>INDEX(RatingLookup!$B$2:$B$11,MATCH(A583,RatingLookup!$A$2:$A$11,0))</f>
        <v>8</v>
      </c>
      <c r="AJ583" s="5" t="str">
        <f>INDEX(RatingLookup!$C$2:$C$11,MATCH(A583,RatingLookup!$A$2:$A$11,0))</f>
        <v>Investment Grade</v>
      </c>
    </row>
    <row r="584" spans="1:36" x14ac:dyDescent="0.3">
      <c r="A584" s="3" t="s">
        <v>49</v>
      </c>
      <c r="B584" s="3" t="s">
        <v>735</v>
      </c>
      <c r="C584" s="3" t="s">
        <v>736</v>
      </c>
      <c r="D584" s="3" t="s">
        <v>39</v>
      </c>
      <c r="E584" s="3" t="s">
        <v>52</v>
      </c>
      <c r="F584" s="3" t="s">
        <v>113</v>
      </c>
      <c r="G584" s="3">
        <v>2.1668906809999999</v>
      </c>
      <c r="H584" s="3">
        <v>1.4722222220000001</v>
      </c>
      <c r="I584" s="3">
        <v>0.40210573500000002</v>
      </c>
      <c r="J584" s="3">
        <v>59.305426359999998</v>
      </c>
      <c r="K584" s="3">
        <v>5.3229973999999999E-2</v>
      </c>
      <c r="L584" s="3">
        <v>0.119896641</v>
      </c>
      <c r="M584" s="3">
        <v>0.65984496100000001</v>
      </c>
      <c r="N584" s="3">
        <v>0.12878553000000001</v>
      </c>
      <c r="O584" s="3">
        <v>2.9074691E-2</v>
      </c>
      <c r="P584" s="3">
        <v>8.7553777999999999E-2</v>
      </c>
      <c r="Q584" s="3">
        <v>5.9918556999999997E-2</v>
      </c>
      <c r="R584" s="3">
        <v>0.54620899899999997</v>
      </c>
      <c r="S584" s="3">
        <v>8.8114754099999999</v>
      </c>
      <c r="T584" s="3">
        <v>1.060849331</v>
      </c>
      <c r="U584" s="3">
        <v>0.51476316799999999</v>
      </c>
      <c r="V584" s="3">
        <v>0.55603448300000002</v>
      </c>
      <c r="W584" s="3">
        <v>0.869248036</v>
      </c>
      <c r="X584" s="3">
        <v>4.0924702770000003</v>
      </c>
      <c r="Y584" s="3">
        <v>13.210039630000001</v>
      </c>
      <c r="Z584" s="3">
        <v>2.060849331</v>
      </c>
      <c r="AA584" s="3">
        <v>0.119896641</v>
      </c>
      <c r="AB584" s="3">
        <v>22.561838049999999</v>
      </c>
      <c r="AC584" s="3">
        <v>4.7080581239999999</v>
      </c>
      <c r="AD584" s="3">
        <v>0.18418604699999999</v>
      </c>
      <c r="AE584" s="3">
        <v>10.003039510000001</v>
      </c>
      <c r="AF584" s="4">
        <v>41838</v>
      </c>
      <c r="AG584" s="5">
        <f>YEAR(AF584)</f>
        <v>2014</v>
      </c>
      <c r="AH584" s="5" t="str">
        <f>"Q"&amp;ROUNDUP(MONTH(AF584)/3,0)</f>
        <v>Q3</v>
      </c>
      <c r="AI584" s="5">
        <f>INDEX(RatingLookup!$B$2:$B$11,MATCH(A584,RatingLookup!$A$2:$A$11,0))</f>
        <v>9</v>
      </c>
      <c r="AJ584" s="5" t="str">
        <f>INDEX(RatingLookup!$C$2:$C$11,MATCH(A584,RatingLookup!$A$2:$A$11,0))</f>
        <v>Investment Grade</v>
      </c>
    </row>
    <row r="585" spans="1:36" x14ac:dyDescent="0.3">
      <c r="A585" s="3" t="s">
        <v>42</v>
      </c>
      <c r="B585" s="3" t="s">
        <v>735</v>
      </c>
      <c r="C585" s="3" t="s">
        <v>736</v>
      </c>
      <c r="D585" s="3" t="s">
        <v>60</v>
      </c>
      <c r="E585" s="3" t="s">
        <v>737</v>
      </c>
      <c r="F585" s="3" t="s">
        <v>113</v>
      </c>
      <c r="G585" s="3">
        <v>2.267770482</v>
      </c>
      <c r="H585" s="3">
        <v>1.638880959</v>
      </c>
      <c r="I585" s="3">
        <v>0.96460177000000003</v>
      </c>
      <c r="J585" s="3">
        <v>60.99235874</v>
      </c>
      <c r="K585" s="3">
        <v>0.144681279</v>
      </c>
      <c r="L585" s="3">
        <v>0.17444198699999999</v>
      </c>
      <c r="M585" s="3">
        <v>0.66378443600000003</v>
      </c>
      <c r="N585" s="3">
        <v>0.18711039600000001</v>
      </c>
      <c r="O585" s="3">
        <v>8.8570198000000003E-2</v>
      </c>
      <c r="P585" s="3">
        <v>0.136142498</v>
      </c>
      <c r="Q585" s="3">
        <v>0.169075314</v>
      </c>
      <c r="R585" s="3">
        <v>0.61217455499999995</v>
      </c>
      <c r="S585" s="3">
        <v>8.2952460380000002</v>
      </c>
      <c r="T585" s="3">
        <v>0.90894136999999997</v>
      </c>
      <c r="U585" s="3">
        <v>0.47614944300000001</v>
      </c>
      <c r="V585" s="3">
        <v>0.17060518699999999</v>
      </c>
      <c r="W585" s="3">
        <v>0.69966629599999997</v>
      </c>
      <c r="X585" s="3">
        <v>1.670207116</v>
      </c>
      <c r="Y585" s="3">
        <v>10.83112055</v>
      </c>
      <c r="Z585" s="3">
        <v>1.90894137</v>
      </c>
      <c r="AA585" s="3">
        <v>0.17444198699999999</v>
      </c>
      <c r="AB585" s="3">
        <v>16.821474760000001</v>
      </c>
      <c r="AC585" s="3">
        <v>2.387148168</v>
      </c>
      <c r="AD585" s="3">
        <v>9.0388096000000001E-2</v>
      </c>
      <c r="AE585" s="3">
        <v>8.1560975609999993</v>
      </c>
      <c r="AF585" s="4">
        <v>42432</v>
      </c>
      <c r="AG585" s="5">
        <f>YEAR(AF585)</f>
        <v>2016</v>
      </c>
      <c r="AH585" s="5" t="str">
        <f>"Q"&amp;ROUNDUP(MONTH(AF585)/3,0)</f>
        <v>Q1</v>
      </c>
      <c r="AI585" s="5">
        <f>INDEX(RatingLookup!$B$2:$B$11,MATCH(A585,RatingLookup!$A$2:$A$11,0))</f>
        <v>7</v>
      </c>
      <c r="AJ585" s="5" t="str">
        <f>INDEX(RatingLookup!$C$2:$C$11,MATCH(A585,RatingLookup!$A$2:$A$11,0))</f>
        <v>Investment Grade</v>
      </c>
    </row>
    <row r="586" spans="1:36" x14ac:dyDescent="0.3">
      <c r="A586" s="3" t="s">
        <v>49</v>
      </c>
      <c r="B586" s="3" t="s">
        <v>735</v>
      </c>
      <c r="C586" s="3" t="s">
        <v>736</v>
      </c>
      <c r="D586" s="3" t="s">
        <v>39</v>
      </c>
      <c r="E586" s="3" t="s">
        <v>54</v>
      </c>
      <c r="F586" s="3" t="s">
        <v>113</v>
      </c>
      <c r="G586" s="3">
        <v>3.136996613</v>
      </c>
      <c r="H586" s="3">
        <v>2.0692510350000002</v>
      </c>
      <c r="I586" s="3">
        <v>0.50395182500000002</v>
      </c>
      <c r="J586" s="3">
        <v>61.420019949999997</v>
      </c>
      <c r="K586" s="3">
        <v>0.11151757</v>
      </c>
      <c r="L586" s="3">
        <v>2.1394524000000002E-2</v>
      </c>
      <c r="M586" s="3">
        <v>0.66999224000000002</v>
      </c>
      <c r="N586" s="3">
        <v>0.13923068399999999</v>
      </c>
      <c r="O586" s="3">
        <v>6.3901417000000002E-2</v>
      </c>
      <c r="P586" s="3">
        <v>1.4748585999999999E-2</v>
      </c>
      <c r="Q586" s="3">
        <v>0.111197082</v>
      </c>
      <c r="R586" s="3">
        <v>0.57301657900000003</v>
      </c>
      <c r="S586" s="3">
        <v>8.3450508790000004</v>
      </c>
      <c r="T586" s="3">
        <v>0.74013485099999998</v>
      </c>
      <c r="U586" s="3">
        <v>0.42533189399999999</v>
      </c>
      <c r="V586" s="3">
        <v>1.0673575129999999</v>
      </c>
      <c r="W586" s="3">
        <v>0.89660657499999996</v>
      </c>
      <c r="X586" s="3">
        <v>4.4664553619999996</v>
      </c>
      <c r="Y586" s="3">
        <v>10.512414160000001</v>
      </c>
      <c r="Z586" s="3">
        <v>1.7401348510000001</v>
      </c>
      <c r="AA586" s="3">
        <v>2.1394524000000002E-2</v>
      </c>
      <c r="AB586" s="3">
        <v>19.83928599</v>
      </c>
      <c r="AC586" s="3">
        <v>4.9815108290000003</v>
      </c>
      <c r="AD586" s="3">
        <v>0.20906773100000001</v>
      </c>
      <c r="AE586" s="3">
        <v>9.4808917200000007</v>
      </c>
      <c r="AF586" s="4">
        <v>41772</v>
      </c>
      <c r="AG586" s="5">
        <f>YEAR(AF586)</f>
        <v>2014</v>
      </c>
      <c r="AH586" s="5" t="str">
        <f>"Q"&amp;ROUNDUP(MONTH(AF586)/3,0)</f>
        <v>Q2</v>
      </c>
      <c r="AI586" s="5">
        <f>INDEX(RatingLookup!$B$2:$B$11,MATCH(A586,RatingLookup!$A$2:$A$11,0))</f>
        <v>9</v>
      </c>
      <c r="AJ586" s="5" t="str">
        <f>INDEX(RatingLookup!$C$2:$C$11,MATCH(A586,RatingLookup!$A$2:$A$11,0))</f>
        <v>Investment Grade</v>
      </c>
    </row>
    <row r="587" spans="1:36" x14ac:dyDescent="0.3">
      <c r="A587" s="3" t="s">
        <v>36</v>
      </c>
      <c r="B587" s="3" t="s">
        <v>735</v>
      </c>
      <c r="C587" s="3" t="s">
        <v>736</v>
      </c>
      <c r="D587" s="3" t="s">
        <v>60</v>
      </c>
      <c r="E587" s="3" t="s">
        <v>46</v>
      </c>
      <c r="F587" s="3" t="s">
        <v>113</v>
      </c>
      <c r="G587" s="3">
        <v>3.9447483590000001</v>
      </c>
      <c r="H587" s="3">
        <v>2.6449671769999998</v>
      </c>
      <c r="I587" s="3">
        <v>0.49507658599999999</v>
      </c>
      <c r="J587" s="3">
        <v>62.261345849999998</v>
      </c>
      <c r="K587" s="3">
        <v>0.161911641</v>
      </c>
      <c r="L587" s="3">
        <v>0.20296135800000001</v>
      </c>
      <c r="M587" s="3">
        <v>0.66161068999999995</v>
      </c>
      <c r="N587" s="3">
        <v>0.20296135800000001</v>
      </c>
      <c r="O587" s="3">
        <v>0.10842402299999999</v>
      </c>
      <c r="P587" s="3">
        <v>0.15940247699999999</v>
      </c>
      <c r="Q587" s="3">
        <v>0.175061825</v>
      </c>
      <c r="R587" s="3">
        <v>0.66964933500000001</v>
      </c>
      <c r="S587" s="3">
        <v>9.3547297300000007</v>
      </c>
      <c r="T587" s="3">
        <v>0.61460367000000005</v>
      </c>
      <c r="U587" s="3">
        <v>0.38065296300000001</v>
      </c>
      <c r="V587" s="3">
        <v>0.20225385500000001</v>
      </c>
      <c r="W587" s="3">
        <v>0.84239888399999996</v>
      </c>
      <c r="X587" s="3">
        <v>3.1254851229999998</v>
      </c>
      <c r="Y587" s="3">
        <v>8.8434670119999996</v>
      </c>
      <c r="Z587" s="3">
        <v>1.6146036699999999</v>
      </c>
      <c r="AA587" s="3">
        <v>0.20296135800000001</v>
      </c>
      <c r="AB587" s="3">
        <v>10.211458240000001</v>
      </c>
      <c r="AC587" s="3">
        <v>3.7102199219999998</v>
      </c>
      <c r="AD587" s="3">
        <v>0.17262549699999999</v>
      </c>
      <c r="AE587" s="3">
        <v>8.1478260870000003</v>
      </c>
      <c r="AF587" s="4">
        <v>41075</v>
      </c>
      <c r="AG587" s="5">
        <f>YEAR(AF587)</f>
        <v>2012</v>
      </c>
      <c r="AH587" s="5" t="str">
        <f>"Q"&amp;ROUNDUP(MONTH(AF587)/3,0)</f>
        <v>Q2</v>
      </c>
      <c r="AI587" s="5">
        <f>INDEX(RatingLookup!$B$2:$B$11,MATCH(A587,RatingLookup!$A$2:$A$11,0))</f>
        <v>8</v>
      </c>
      <c r="AJ587" s="5" t="str">
        <f>INDEX(RatingLookup!$C$2:$C$11,MATCH(A587,RatingLookup!$A$2:$A$11,0))</f>
        <v>Investment Grade</v>
      </c>
    </row>
    <row r="588" spans="1:36" x14ac:dyDescent="0.3">
      <c r="A588" s="3" t="s">
        <v>36</v>
      </c>
      <c r="B588" s="3" t="s">
        <v>735</v>
      </c>
      <c r="C588" s="3" t="s">
        <v>736</v>
      </c>
      <c r="D588" s="3" t="s">
        <v>60</v>
      </c>
      <c r="E588" s="3" t="s">
        <v>727</v>
      </c>
      <c r="F588" s="3" t="s">
        <v>113</v>
      </c>
      <c r="G588" s="3">
        <v>4.3432835819999998</v>
      </c>
      <c r="H588" s="3">
        <v>3.0463752670000002</v>
      </c>
      <c r="I588" s="3">
        <v>0.74360341200000002</v>
      </c>
      <c r="J588" s="3">
        <v>60.292249050000002</v>
      </c>
      <c r="K588" s="3">
        <v>0.14993646799999999</v>
      </c>
      <c r="L588" s="3">
        <v>0.196950445</v>
      </c>
      <c r="M588" s="3">
        <v>0.67875707500000004</v>
      </c>
      <c r="N588" s="3">
        <v>0.20110892899999999</v>
      </c>
      <c r="O588" s="3">
        <v>9.8288657000000001E-2</v>
      </c>
      <c r="P588" s="3">
        <v>0.150485437</v>
      </c>
      <c r="Q588" s="3">
        <v>0.150982901</v>
      </c>
      <c r="R588" s="3">
        <v>0.65553536300000004</v>
      </c>
      <c r="S588" s="3">
        <v>9.1318565399999994</v>
      </c>
      <c r="T588" s="3">
        <v>0.53611724999999999</v>
      </c>
      <c r="U588" s="3">
        <v>0.349008027</v>
      </c>
      <c r="V588" s="3">
        <v>0.23870967700000001</v>
      </c>
      <c r="W588" s="3">
        <v>0.87326493699999996</v>
      </c>
      <c r="X588" s="3">
        <v>3.8018917499999998</v>
      </c>
      <c r="Y588" s="3">
        <v>11.258539150000001</v>
      </c>
      <c r="Z588" s="3">
        <v>1.53611725</v>
      </c>
      <c r="AA588" s="3">
        <v>0.196950445</v>
      </c>
      <c r="AB588" s="3">
        <v>12.135494550000001</v>
      </c>
      <c r="AC588" s="3">
        <v>4.3536521280000002</v>
      </c>
      <c r="AD588" s="3">
        <v>0.19140579899999999</v>
      </c>
      <c r="AE588" s="3">
        <v>9.65625</v>
      </c>
      <c r="AF588" s="4">
        <v>41353</v>
      </c>
      <c r="AG588" s="5">
        <f>YEAR(AF588)</f>
        <v>2013</v>
      </c>
      <c r="AH588" s="5" t="str">
        <f>"Q"&amp;ROUNDUP(MONTH(AF588)/3,0)</f>
        <v>Q1</v>
      </c>
      <c r="AI588" s="5">
        <f>INDEX(RatingLookup!$B$2:$B$11,MATCH(A588,RatingLookup!$A$2:$A$11,0))</f>
        <v>8</v>
      </c>
      <c r="AJ588" s="5" t="str">
        <f>INDEX(RatingLookup!$C$2:$C$11,MATCH(A588,RatingLookup!$A$2:$A$11,0))</f>
        <v>Investment Grade</v>
      </c>
    </row>
    <row r="589" spans="1:36" x14ac:dyDescent="0.3">
      <c r="A589" s="3" t="s">
        <v>42</v>
      </c>
      <c r="B589" s="3" t="s">
        <v>738</v>
      </c>
      <c r="C589" s="3" t="s">
        <v>739</v>
      </c>
      <c r="D589" s="3" t="s">
        <v>39</v>
      </c>
      <c r="E589" s="3" t="s">
        <v>642</v>
      </c>
      <c r="F589" s="3" t="s">
        <v>79</v>
      </c>
      <c r="G589" s="3">
        <v>0.91485465799999999</v>
      </c>
      <c r="H589" s="3">
        <v>0.53055619099999995</v>
      </c>
      <c r="I589" s="3">
        <v>0.206912337</v>
      </c>
      <c r="J589" s="3">
        <v>45.223074740000001</v>
      </c>
      <c r="K589" s="3">
        <v>9.4818604000000001E-2</v>
      </c>
      <c r="L589" s="3">
        <v>0.135455148</v>
      </c>
      <c r="M589" s="3">
        <v>1</v>
      </c>
      <c r="N589" s="3">
        <v>5.1056170999999997E-2</v>
      </c>
      <c r="O589" s="3">
        <v>2.6876812E-2</v>
      </c>
      <c r="P589" s="3">
        <v>4.3498098999999998E-2</v>
      </c>
      <c r="Q589" s="3">
        <v>9.0933866000000002E-2</v>
      </c>
      <c r="R589" s="3">
        <v>0.28345505300000001</v>
      </c>
      <c r="S589" s="3">
        <v>0.41465043200000001</v>
      </c>
      <c r="T589" s="3">
        <v>2.3833575580000002</v>
      </c>
      <c r="U589" s="3">
        <v>0.70443561399999999</v>
      </c>
      <c r="V589" s="3">
        <v>0.25594405599999998</v>
      </c>
      <c r="W589" s="3">
        <v>-0.44170403600000002</v>
      </c>
      <c r="X589" s="3">
        <v>-3.2313225050000001</v>
      </c>
      <c r="Y589" s="3">
        <v>4.1416697080000002</v>
      </c>
      <c r="Z589" s="3">
        <v>3.3833575580000002</v>
      </c>
      <c r="AA589" s="3">
        <v>0.135455148</v>
      </c>
      <c r="AB589" s="3">
        <v>16.613987470000001</v>
      </c>
      <c r="AC589" s="3">
        <v>7.3155829299999997</v>
      </c>
      <c r="AD589" s="3">
        <v>0.16898740200000001</v>
      </c>
      <c r="AE589" s="3">
        <v>0</v>
      </c>
      <c r="AF589" s="4">
        <v>41634</v>
      </c>
      <c r="AG589" s="5">
        <f>YEAR(AF589)</f>
        <v>2013</v>
      </c>
      <c r="AH589" s="5" t="str">
        <f>"Q"&amp;ROUNDUP(MONTH(AF589)/3,0)</f>
        <v>Q4</v>
      </c>
      <c r="AI589" s="5">
        <f>INDEX(RatingLookup!$B$2:$B$11,MATCH(A589,RatingLookup!$A$2:$A$11,0))</f>
        <v>7</v>
      </c>
      <c r="AJ589" s="5" t="str">
        <f>INDEX(RatingLookup!$C$2:$C$11,MATCH(A589,RatingLookup!$A$2:$A$11,0))</f>
        <v>Investment Grade</v>
      </c>
    </row>
    <row r="590" spans="1:36" x14ac:dyDescent="0.3">
      <c r="A590" s="3" t="s">
        <v>36</v>
      </c>
      <c r="B590" s="3" t="s">
        <v>738</v>
      </c>
      <c r="C590" s="3" t="s">
        <v>739</v>
      </c>
      <c r="D590" s="3" t="s">
        <v>39</v>
      </c>
      <c r="E590" s="3" t="s">
        <v>740</v>
      </c>
      <c r="F590" s="3" t="s">
        <v>79</v>
      </c>
      <c r="G590" s="3">
        <v>0.62684301799999997</v>
      </c>
      <c r="H590" s="3">
        <v>0.38291413699999999</v>
      </c>
      <c r="I590" s="3">
        <v>8.7380745999999995E-2</v>
      </c>
      <c r="J590" s="3">
        <v>45.772163030000002</v>
      </c>
      <c r="K590" s="3">
        <v>0.13185416899999999</v>
      </c>
      <c r="L590" s="3">
        <v>0.116215424</v>
      </c>
      <c r="M590" s="3">
        <v>0.99354901799999995</v>
      </c>
      <c r="N590" s="3">
        <v>5.9427230999999997E-2</v>
      </c>
      <c r="O590" s="3">
        <v>3.2782502999999998E-2</v>
      </c>
      <c r="P590" s="3">
        <v>3.2541463999999999E-2</v>
      </c>
      <c r="Q590" s="3">
        <v>0.114234906</v>
      </c>
      <c r="R590" s="3">
        <v>0.248626974</v>
      </c>
      <c r="S590" s="3">
        <v>0.36488462500000002</v>
      </c>
      <c r="T590" s="3">
        <v>2.4846303669999998</v>
      </c>
      <c r="U590" s="3">
        <v>0.71302551599999997</v>
      </c>
      <c r="V590" s="3">
        <v>0.286795627</v>
      </c>
      <c r="W590" s="3">
        <v>-8.6402753999999998E-2</v>
      </c>
      <c r="X590" s="3">
        <v>-1.011081616</v>
      </c>
      <c r="Y590" s="3">
        <v>1.9456271730000001</v>
      </c>
      <c r="Z590" s="3">
        <v>3.4846303669999998</v>
      </c>
      <c r="AA590" s="3">
        <v>0.116215424</v>
      </c>
      <c r="AB590" s="3">
        <v>16.023972730000001</v>
      </c>
      <c r="AC590" s="3">
        <v>11.701960529999999</v>
      </c>
      <c r="AD590" s="3">
        <v>0.28394096400000002</v>
      </c>
      <c r="AE590" s="3">
        <v>5.8252427000000002E-2</v>
      </c>
      <c r="AF590" s="4">
        <v>42314</v>
      </c>
      <c r="AG590" s="5">
        <f>YEAR(AF590)</f>
        <v>2015</v>
      </c>
      <c r="AH590" s="5" t="str">
        <f>"Q"&amp;ROUNDUP(MONTH(AF590)/3,0)</f>
        <v>Q4</v>
      </c>
      <c r="AI590" s="5">
        <f>INDEX(RatingLookup!$B$2:$B$11,MATCH(A590,RatingLookup!$A$2:$A$11,0))</f>
        <v>8</v>
      </c>
      <c r="AJ590" s="5" t="str">
        <f>INDEX(RatingLookup!$C$2:$C$11,MATCH(A590,RatingLookup!$A$2:$A$11,0))</f>
        <v>Investment Grade</v>
      </c>
    </row>
    <row r="591" spans="1:36" x14ac:dyDescent="0.3">
      <c r="A591" s="3" t="s">
        <v>36</v>
      </c>
      <c r="B591" s="3" t="s">
        <v>738</v>
      </c>
      <c r="C591" s="3" t="s">
        <v>739</v>
      </c>
      <c r="D591" s="3" t="s">
        <v>39</v>
      </c>
      <c r="E591" s="3" t="s">
        <v>741</v>
      </c>
      <c r="F591" s="3" t="s">
        <v>79</v>
      </c>
      <c r="G591" s="3">
        <v>0.82540935100000001</v>
      </c>
      <c r="H591" s="3">
        <v>0.37581376999999999</v>
      </c>
      <c r="I591" s="3">
        <v>0.112448215</v>
      </c>
      <c r="J591" s="3">
        <v>41.081105569999998</v>
      </c>
      <c r="K591" s="3">
        <v>0.10521069299999999</v>
      </c>
      <c r="L591" s="3">
        <v>0.13810602599999999</v>
      </c>
      <c r="M591" s="3">
        <v>0.99293158100000001</v>
      </c>
      <c r="N591" s="3">
        <v>4.7213412000000003E-2</v>
      </c>
      <c r="O591" s="3">
        <v>2.9220778999999999E-2</v>
      </c>
      <c r="P591" s="3">
        <v>4.3966189000000003E-2</v>
      </c>
      <c r="Q591" s="3">
        <v>0.102507505</v>
      </c>
      <c r="R591" s="3">
        <v>0.27773583000000002</v>
      </c>
      <c r="S591" s="3">
        <v>0.426028878</v>
      </c>
      <c r="T591" s="3">
        <v>2.5080346109999998</v>
      </c>
      <c r="U591" s="3">
        <v>0.714940099</v>
      </c>
      <c r="V591" s="3">
        <v>0.19685039400000001</v>
      </c>
      <c r="W591" s="3">
        <v>-0.44516427600000003</v>
      </c>
      <c r="X591" s="3">
        <v>-3.9123026059999999</v>
      </c>
      <c r="Y591" s="3">
        <v>2.696316661</v>
      </c>
      <c r="Z591" s="3">
        <v>3.5080346109999998</v>
      </c>
      <c r="AA591" s="3">
        <v>0.13810602599999999</v>
      </c>
      <c r="AB591" s="3">
        <v>18.778994650000001</v>
      </c>
      <c r="AC591" s="3">
        <v>8.7884469129999996</v>
      </c>
      <c r="AD591" s="3">
        <v>0.19583144499999999</v>
      </c>
      <c r="AE591" s="3">
        <v>6.5108514000000006E-2</v>
      </c>
      <c r="AF591" s="4">
        <v>42108</v>
      </c>
      <c r="AG591" s="5">
        <f>YEAR(AF591)</f>
        <v>2015</v>
      </c>
      <c r="AH591" s="5" t="str">
        <f>"Q"&amp;ROUNDUP(MONTH(AF591)/3,0)</f>
        <v>Q2</v>
      </c>
      <c r="AI591" s="5">
        <f>INDEX(RatingLookup!$B$2:$B$11,MATCH(A591,RatingLookup!$A$2:$A$11,0))</f>
        <v>8</v>
      </c>
      <c r="AJ591" s="5" t="str">
        <f>INDEX(RatingLookup!$C$2:$C$11,MATCH(A591,RatingLookup!$A$2:$A$11,0))</f>
        <v>Investment Grade</v>
      </c>
    </row>
    <row r="592" spans="1:36" x14ac:dyDescent="0.3">
      <c r="A592" s="3" t="s">
        <v>42</v>
      </c>
      <c r="B592" s="3" t="s">
        <v>738</v>
      </c>
      <c r="C592" s="3" t="s">
        <v>739</v>
      </c>
      <c r="D592" s="3" t="s">
        <v>44</v>
      </c>
      <c r="E592" s="3" t="s">
        <v>46</v>
      </c>
      <c r="F592" s="3" t="s">
        <v>79</v>
      </c>
      <c r="G592" s="3">
        <v>0.56017295199999995</v>
      </c>
      <c r="H592" s="3">
        <v>0.36872447800000002</v>
      </c>
      <c r="I592" s="3">
        <v>6.0533269000000001E-2</v>
      </c>
      <c r="J592" s="3">
        <v>43.570147470000002</v>
      </c>
      <c r="K592" s="3">
        <v>0.13521323199999999</v>
      </c>
      <c r="L592" s="3">
        <v>0.17148266200000001</v>
      </c>
      <c r="M592" s="3">
        <v>1</v>
      </c>
      <c r="N592" s="3">
        <v>4.8425667999999998E-2</v>
      </c>
      <c r="O592" s="3">
        <v>4.0682335999999999E-2</v>
      </c>
      <c r="P592" s="3">
        <v>5.8952488999999997E-2</v>
      </c>
      <c r="Q592" s="3">
        <v>0.13793453999999999</v>
      </c>
      <c r="R592" s="3">
        <v>0.30087540499999998</v>
      </c>
      <c r="S592" s="3">
        <v>0.42575937600000002</v>
      </c>
      <c r="T592" s="3">
        <v>2.3905265299999998</v>
      </c>
      <c r="U592" s="3">
        <v>0.70506055899999998</v>
      </c>
      <c r="V592" s="3">
        <v>0.21266705399999999</v>
      </c>
      <c r="W592" s="3">
        <v>-0.52329941099999999</v>
      </c>
      <c r="X592" s="3">
        <v>-4.0755881860000001</v>
      </c>
      <c r="Y592" s="3">
        <v>1.4058067750000001</v>
      </c>
      <c r="Z592" s="3">
        <v>3.3905265299999998</v>
      </c>
      <c r="AA592" s="3">
        <v>0.17148266200000001</v>
      </c>
      <c r="AB592" s="3">
        <v>13.26955343</v>
      </c>
      <c r="AC592" s="3">
        <v>7.7882529619999996</v>
      </c>
      <c r="AD592" s="3">
        <v>0.18603029099999999</v>
      </c>
      <c r="AE592" s="3">
        <v>0</v>
      </c>
      <c r="AF592" s="4">
        <v>41075</v>
      </c>
      <c r="AG592" s="5">
        <f>YEAR(AF592)</f>
        <v>2012</v>
      </c>
      <c r="AH592" s="5" t="str">
        <f>"Q"&amp;ROUNDUP(MONTH(AF592)/3,0)</f>
        <v>Q2</v>
      </c>
      <c r="AI592" s="5">
        <f>INDEX(RatingLookup!$B$2:$B$11,MATCH(A592,RatingLookup!$A$2:$A$11,0))</f>
        <v>7</v>
      </c>
      <c r="AJ592" s="5" t="str">
        <f>INDEX(RatingLookup!$C$2:$C$11,MATCH(A592,RatingLookup!$A$2:$A$11,0))</f>
        <v>Investment Grade</v>
      </c>
    </row>
    <row r="593" spans="1:36" x14ac:dyDescent="0.3">
      <c r="A593" s="3" t="s">
        <v>42</v>
      </c>
      <c r="B593" s="3" t="s">
        <v>738</v>
      </c>
      <c r="C593" s="3" t="s">
        <v>739</v>
      </c>
      <c r="D593" s="3" t="s">
        <v>60</v>
      </c>
      <c r="E593" s="3" t="s">
        <v>742</v>
      </c>
      <c r="F593" s="3" t="s">
        <v>79</v>
      </c>
      <c r="G593" s="3">
        <v>0.52471739500000003</v>
      </c>
      <c r="H593" s="3">
        <v>0.30740678300000002</v>
      </c>
      <c r="I593" s="3">
        <v>5.8883076999999999E-2</v>
      </c>
      <c r="J593" s="3">
        <v>49.823234800000002</v>
      </c>
      <c r="K593" s="3">
        <v>0.13453795499999999</v>
      </c>
      <c r="L593" s="3">
        <v>0.179711284</v>
      </c>
      <c r="M593" s="3">
        <v>0.99204556600000005</v>
      </c>
      <c r="N593" s="3">
        <v>5.4699008E-2</v>
      </c>
      <c r="O593" s="3">
        <v>2.8669485000000001E-2</v>
      </c>
      <c r="P593" s="3">
        <v>4.3718197E-2</v>
      </c>
      <c r="Q593" s="3">
        <v>0.10578333700000001</v>
      </c>
      <c r="R593" s="3">
        <v>0.21309588600000001</v>
      </c>
      <c r="S593" s="3">
        <v>0.30922231300000003</v>
      </c>
      <c r="T593" s="3">
        <v>2.6897536870000001</v>
      </c>
      <c r="U593" s="3">
        <v>0.72897919899999997</v>
      </c>
      <c r="V593" s="3">
        <v>0.21256830600000001</v>
      </c>
      <c r="W593" s="3">
        <v>-0.81716257000000003</v>
      </c>
      <c r="X593" s="3">
        <v>-7.5734262660000002</v>
      </c>
      <c r="Y593" s="3">
        <v>1.726501397</v>
      </c>
      <c r="Z593" s="3">
        <v>3.6897536870000001</v>
      </c>
      <c r="AA593" s="3">
        <v>0.179711284</v>
      </c>
      <c r="AB593" s="3">
        <v>17.151333879999999</v>
      </c>
      <c r="AC593" s="3">
        <v>9.2679554149999994</v>
      </c>
      <c r="AD593" s="3">
        <v>0.22773249500000001</v>
      </c>
      <c r="AE593" s="3">
        <v>6.0178306000000001E-2</v>
      </c>
      <c r="AF593" s="4">
        <v>42649</v>
      </c>
      <c r="AG593" s="5">
        <f>YEAR(AF593)</f>
        <v>2016</v>
      </c>
      <c r="AH593" s="5" t="str">
        <f>"Q"&amp;ROUNDUP(MONTH(AF593)/3,0)</f>
        <v>Q4</v>
      </c>
      <c r="AI593" s="5">
        <f>INDEX(RatingLookup!$B$2:$B$11,MATCH(A593,RatingLookup!$A$2:$A$11,0))</f>
        <v>7</v>
      </c>
      <c r="AJ593" s="5" t="str">
        <f>INDEX(RatingLookup!$C$2:$C$11,MATCH(A593,RatingLookup!$A$2:$A$11,0))</f>
        <v>Investment Grade</v>
      </c>
    </row>
    <row r="594" spans="1:36" x14ac:dyDescent="0.3">
      <c r="A594" s="3" t="s">
        <v>42</v>
      </c>
      <c r="B594" s="3" t="s">
        <v>738</v>
      </c>
      <c r="C594" s="3" t="s">
        <v>739</v>
      </c>
      <c r="D594" s="3" t="s">
        <v>60</v>
      </c>
      <c r="E594" s="3" t="s">
        <v>743</v>
      </c>
      <c r="F594" s="3" t="s">
        <v>79</v>
      </c>
      <c r="G594" s="3">
        <v>0.8677783</v>
      </c>
      <c r="H594" s="3">
        <v>0.40300610599999998</v>
      </c>
      <c r="I594" s="3">
        <v>0.111554721</v>
      </c>
      <c r="J594" s="3">
        <v>43.359593660000002</v>
      </c>
      <c r="K594" s="3">
        <v>8.9043226000000003E-2</v>
      </c>
      <c r="L594" s="3">
        <v>9.7750595999999995E-2</v>
      </c>
      <c r="M594" s="3">
        <v>1</v>
      </c>
      <c r="N594" s="3">
        <v>4.3536851000000001E-2</v>
      </c>
      <c r="O594" s="3">
        <v>2.3534890999999999E-2</v>
      </c>
      <c r="P594" s="3">
        <v>2.9248472000000001E-2</v>
      </c>
      <c r="Q594" s="3">
        <v>8.3544058000000004E-2</v>
      </c>
      <c r="R594" s="3">
        <v>0.26430861100000003</v>
      </c>
      <c r="S594" s="3">
        <v>0.38295423000000001</v>
      </c>
      <c r="T594" s="3">
        <v>2.5497957599999999</v>
      </c>
      <c r="U594" s="3">
        <v>0.71829365199999995</v>
      </c>
      <c r="V594" s="3">
        <v>6.2566278000000003E-2</v>
      </c>
      <c r="W594" s="3">
        <v>-0.46481665</v>
      </c>
      <c r="X594" s="3">
        <v>-3.8865202380000001</v>
      </c>
      <c r="Y594" s="3">
        <v>2.3617447079999998</v>
      </c>
      <c r="Z594" s="3">
        <v>3.5497957599999999</v>
      </c>
      <c r="AA594" s="3">
        <v>9.7750595999999995E-2</v>
      </c>
      <c r="AB594" s="3">
        <v>16.021011089999998</v>
      </c>
      <c r="AC594" s="3">
        <v>8.3614049480000006</v>
      </c>
      <c r="AD594" s="3">
        <v>0.20918420200000001</v>
      </c>
      <c r="AE594" s="3">
        <v>0</v>
      </c>
      <c r="AF594" s="4">
        <v>41171</v>
      </c>
      <c r="AG594" s="5">
        <f>YEAR(AF594)</f>
        <v>2012</v>
      </c>
      <c r="AH594" s="5" t="str">
        <f>"Q"&amp;ROUNDUP(MONTH(AF594)/3,0)</f>
        <v>Q3</v>
      </c>
      <c r="AI594" s="5">
        <f>INDEX(RatingLookup!$B$2:$B$11,MATCH(A594,RatingLookup!$A$2:$A$11,0))</f>
        <v>7</v>
      </c>
      <c r="AJ594" s="5" t="str">
        <f>INDEX(RatingLookup!$C$2:$C$11,MATCH(A594,RatingLookup!$A$2:$A$11,0))</f>
        <v>Investment Grade</v>
      </c>
    </row>
    <row r="595" spans="1:36" x14ac:dyDescent="0.3">
      <c r="A595" s="3" t="s">
        <v>92</v>
      </c>
      <c r="B595" s="3" t="s">
        <v>744</v>
      </c>
      <c r="C595" s="3" t="s">
        <v>745</v>
      </c>
      <c r="D595" s="3" t="s">
        <v>39</v>
      </c>
      <c r="E595" s="3" t="s">
        <v>332</v>
      </c>
      <c r="F595" s="3" t="s">
        <v>215</v>
      </c>
      <c r="G595" s="3">
        <v>1.59806165</v>
      </c>
      <c r="H595" s="3">
        <v>1.2834387759999999</v>
      </c>
      <c r="I595" s="3">
        <v>0.461434917</v>
      </c>
      <c r="J595" s="3">
        <v>63.803517069999998</v>
      </c>
      <c r="K595" s="3">
        <v>2.0152094999999998E-2</v>
      </c>
      <c r="L595" s="3">
        <v>1.9942176999999998E-2</v>
      </c>
      <c r="M595" s="3">
        <v>0.22236958900000001</v>
      </c>
      <c r="N595" s="3">
        <v>5.5313302000000002E-2</v>
      </c>
      <c r="O595" s="3">
        <v>2.9178525E-2</v>
      </c>
      <c r="P595" s="3">
        <v>4.1720730999999997E-2</v>
      </c>
      <c r="Q595" s="3">
        <v>0.33428300100000002</v>
      </c>
      <c r="R595" s="3">
        <v>1.4479152280000001</v>
      </c>
      <c r="S595" s="3">
        <v>7.3283686460000004</v>
      </c>
      <c r="T595" s="3">
        <v>10.45647357</v>
      </c>
      <c r="U595" s="3">
        <v>0.91271310500000002</v>
      </c>
      <c r="V595" s="3">
        <v>-4.4019138999999999E-2</v>
      </c>
      <c r="W595" s="3">
        <v>0.68825561300000004</v>
      </c>
      <c r="X595" s="3">
        <v>2.6289169870000002</v>
      </c>
      <c r="Y595" s="3">
        <v>5.6536558550000002</v>
      </c>
      <c r="Z595" s="3">
        <v>11.45647357</v>
      </c>
      <c r="AA595" s="3">
        <v>1.9942176999999998E-2</v>
      </c>
      <c r="AB595" s="3">
        <v>6.14487937</v>
      </c>
      <c r="AC595" s="3">
        <v>3.8196811429999999</v>
      </c>
      <c r="AD595" s="3">
        <v>6.6295811999999996E-2</v>
      </c>
      <c r="AE595" s="3">
        <v>7.1301837270000004</v>
      </c>
      <c r="AF595" s="4">
        <v>41794</v>
      </c>
      <c r="AG595" s="5">
        <f>YEAR(AF595)</f>
        <v>2014</v>
      </c>
      <c r="AH595" s="5" t="str">
        <f>"Q"&amp;ROUNDUP(MONTH(AF595)/3,0)</f>
        <v>Q2</v>
      </c>
      <c r="AI595" s="5">
        <f>INDEX(RatingLookup!$B$2:$B$11,MATCH(A595,RatingLookup!$A$2:$A$11,0))</f>
        <v>6</v>
      </c>
      <c r="AJ595" s="5" t="str">
        <f>INDEX(RatingLookup!$C$2:$C$11,MATCH(A595,RatingLookup!$A$2:$A$11,0))</f>
        <v>Speculative Grade</v>
      </c>
    </row>
    <row r="596" spans="1:36" x14ac:dyDescent="0.3">
      <c r="A596" s="3" t="s">
        <v>109</v>
      </c>
      <c r="B596" s="3" t="s">
        <v>744</v>
      </c>
      <c r="C596" s="3" t="s">
        <v>745</v>
      </c>
      <c r="D596" s="3" t="s">
        <v>39</v>
      </c>
      <c r="E596" s="3" t="s">
        <v>670</v>
      </c>
      <c r="F596" s="3" t="s">
        <v>215</v>
      </c>
      <c r="G596" s="3">
        <v>1.327044025</v>
      </c>
      <c r="H596" s="3">
        <v>0.166688059</v>
      </c>
      <c r="I596" s="3">
        <v>0.166688059</v>
      </c>
      <c r="J596" s="3">
        <v>0</v>
      </c>
      <c r="K596" s="3">
        <v>1.3422998E-2</v>
      </c>
      <c r="L596" s="3">
        <v>2.3790064999999999E-2</v>
      </c>
      <c r="M596" s="3">
        <v>0.353075474</v>
      </c>
      <c r="N596" s="3">
        <v>5.2181791999999998E-2</v>
      </c>
      <c r="O596" s="3">
        <v>2.075749E-2</v>
      </c>
      <c r="P596" s="3">
        <v>5.4188588000000003E-2</v>
      </c>
      <c r="Q596" s="3">
        <v>0.22132708400000001</v>
      </c>
      <c r="R596" s="3">
        <v>1.5464124299999999</v>
      </c>
      <c r="S596" s="3">
        <v>7.7734963060000002</v>
      </c>
      <c r="T596" s="3">
        <v>9.6625164790000007</v>
      </c>
      <c r="U596" s="3">
        <v>0.90621351000000006</v>
      </c>
      <c r="V596" s="3">
        <v>0.48319641499999999</v>
      </c>
      <c r="W596" s="3">
        <v>0.68159509200000001</v>
      </c>
      <c r="X596" s="3">
        <v>2.1614785990000001</v>
      </c>
      <c r="Y596" s="3">
        <v>1.894941634</v>
      </c>
      <c r="Z596" s="3">
        <v>10.662516480000001</v>
      </c>
      <c r="AA596" s="3">
        <v>2.3790064999999999E-2</v>
      </c>
      <c r="AB596" s="3">
        <v>5.6707624350000003</v>
      </c>
      <c r="AC596" s="3">
        <v>3.1712062259999998</v>
      </c>
      <c r="AD596" s="3">
        <v>5.7920546000000003E-2</v>
      </c>
      <c r="AE596" s="3">
        <v>5.5072978900000003</v>
      </c>
      <c r="AF596" s="4">
        <v>42226</v>
      </c>
      <c r="AG596" s="5">
        <f>YEAR(AF596)</f>
        <v>2015</v>
      </c>
      <c r="AH596" s="5" t="str">
        <f>"Q"&amp;ROUNDUP(MONTH(AF596)/3,0)</f>
        <v>Q3</v>
      </c>
      <c r="AI596" s="5">
        <f>INDEX(RatingLookup!$B$2:$B$11,MATCH(A596,RatingLookup!$A$2:$A$11,0))</f>
        <v>5</v>
      </c>
      <c r="AJ596" s="5" t="str">
        <f>INDEX(RatingLookup!$C$2:$C$11,MATCH(A596,RatingLookup!$A$2:$A$11,0))</f>
        <v>Speculative Grade</v>
      </c>
    </row>
    <row r="597" spans="1:36" x14ac:dyDescent="0.3">
      <c r="A597" s="3" t="s">
        <v>92</v>
      </c>
      <c r="B597" s="3" t="s">
        <v>744</v>
      </c>
      <c r="C597" s="3" t="s">
        <v>745</v>
      </c>
      <c r="D597" s="3" t="s">
        <v>60</v>
      </c>
      <c r="E597" s="3" t="s">
        <v>46</v>
      </c>
      <c r="F597" s="3" t="s">
        <v>215</v>
      </c>
      <c r="G597" s="3">
        <v>1.3976459510000001</v>
      </c>
      <c r="H597" s="3">
        <v>1.079896422</v>
      </c>
      <c r="I597" s="3">
        <v>0.21172316399999999</v>
      </c>
      <c r="J597" s="3">
        <v>63.430402409999999</v>
      </c>
      <c r="K597" s="3">
        <v>-1.1554048000000001E-2</v>
      </c>
      <c r="L597" s="3">
        <v>-2.2373008999999999E-2</v>
      </c>
      <c r="M597" s="3">
        <v>0.322853642</v>
      </c>
      <c r="N597" s="3">
        <v>6.1445670000000001E-3</v>
      </c>
      <c r="O597" s="3">
        <v>-1.4803724000000001E-2</v>
      </c>
      <c r="P597" s="3">
        <v>-3.8553355999999997E-2</v>
      </c>
      <c r="Q597" s="3">
        <v>-0.11757936099999999</v>
      </c>
      <c r="R597" s="3">
        <v>1.281258679</v>
      </c>
      <c r="S597" s="3">
        <v>5.7214493690000001</v>
      </c>
      <c r="T597" s="3">
        <v>6.942552987</v>
      </c>
      <c r="U597" s="3">
        <v>0.87409589799999998</v>
      </c>
      <c r="V597" s="3">
        <v>0.48989048000000002</v>
      </c>
      <c r="W597" s="3">
        <v>0.73486209400000002</v>
      </c>
      <c r="X597" s="3">
        <v>3.588235294</v>
      </c>
      <c r="Y597" s="3">
        <v>2.3204334370000002</v>
      </c>
      <c r="Z597" s="3">
        <v>7.942552987</v>
      </c>
      <c r="AA597" s="3">
        <v>-2.2373008999999999E-2</v>
      </c>
      <c r="AB597" s="3">
        <v>8.7960169080000004</v>
      </c>
      <c r="AC597" s="3">
        <v>4.8828689369999996</v>
      </c>
      <c r="AD597" s="3">
        <v>8.9181039000000004E-2</v>
      </c>
      <c r="AE597" s="3">
        <v>6.7574532119999997</v>
      </c>
      <c r="AF597" s="4">
        <v>41075</v>
      </c>
      <c r="AG597" s="5">
        <f>YEAR(AF597)</f>
        <v>2012</v>
      </c>
      <c r="AH597" s="5" t="str">
        <f>"Q"&amp;ROUNDUP(MONTH(AF597)/3,0)</f>
        <v>Q2</v>
      </c>
      <c r="AI597" s="5">
        <f>INDEX(RatingLookup!$B$2:$B$11,MATCH(A597,RatingLookup!$A$2:$A$11,0))</f>
        <v>6</v>
      </c>
      <c r="AJ597" s="5" t="str">
        <f>INDEX(RatingLookup!$C$2:$C$11,MATCH(A597,RatingLookup!$A$2:$A$11,0))</f>
        <v>Speculative Grade</v>
      </c>
    </row>
    <row r="598" spans="1:36" x14ac:dyDescent="0.3">
      <c r="A598" s="3" t="s">
        <v>92</v>
      </c>
      <c r="B598" s="3" t="s">
        <v>744</v>
      </c>
      <c r="C598" s="3" t="s">
        <v>745</v>
      </c>
      <c r="D598" s="3" t="s">
        <v>39</v>
      </c>
      <c r="E598" s="3" t="s">
        <v>632</v>
      </c>
      <c r="F598" s="3" t="s">
        <v>215</v>
      </c>
      <c r="G598" s="3">
        <v>1.424956702</v>
      </c>
      <c r="H598" s="3">
        <v>1.081780932</v>
      </c>
      <c r="I598" s="3">
        <v>0.22299666300000001</v>
      </c>
      <c r="J598" s="3">
        <v>63.950652390000002</v>
      </c>
      <c r="K598" s="3">
        <v>1.0117724E-2</v>
      </c>
      <c r="L598" s="3">
        <v>1.2677318999999999E-2</v>
      </c>
      <c r="M598" s="3">
        <v>0.21981488199999999</v>
      </c>
      <c r="N598" s="3">
        <v>4.4461106E-2</v>
      </c>
      <c r="O598" s="3">
        <v>1.53679E-2</v>
      </c>
      <c r="P598" s="3">
        <v>2.7902124E-2</v>
      </c>
      <c r="Q598" s="3">
        <v>0.19770966700000001</v>
      </c>
      <c r="R598" s="3">
        <v>1.518908801</v>
      </c>
      <c r="S598" s="3">
        <v>7.6564830089999996</v>
      </c>
      <c r="T598" s="3">
        <v>11.8651061</v>
      </c>
      <c r="U598" s="3">
        <v>0.92227036500000004</v>
      </c>
      <c r="V598" s="3">
        <v>0.17878993900000001</v>
      </c>
      <c r="W598" s="3">
        <v>0.69060467699999994</v>
      </c>
      <c r="X598" s="3">
        <v>2.5143576830000001</v>
      </c>
      <c r="Y598" s="3">
        <v>2.6594458439999999</v>
      </c>
      <c r="Z598" s="3">
        <v>12.8651061</v>
      </c>
      <c r="AA598" s="3">
        <v>1.2677318999999999E-2</v>
      </c>
      <c r="AB598" s="3">
        <v>6.438928175</v>
      </c>
      <c r="AC598" s="3">
        <v>3.6408060450000002</v>
      </c>
      <c r="AD598" s="3">
        <v>6.2283469000000001E-2</v>
      </c>
      <c r="AE598" s="3">
        <v>6.9819528000000002</v>
      </c>
      <c r="AF598" s="4">
        <v>41981</v>
      </c>
      <c r="AG598" s="5">
        <f>YEAR(AF598)</f>
        <v>2014</v>
      </c>
      <c r="AH598" s="5" t="str">
        <f>"Q"&amp;ROUNDUP(MONTH(AF598)/3,0)</f>
        <v>Q4</v>
      </c>
      <c r="AI598" s="5">
        <f>INDEX(RatingLookup!$B$2:$B$11,MATCH(A598,RatingLookup!$A$2:$A$11,0))</f>
        <v>6</v>
      </c>
      <c r="AJ598" s="5" t="str">
        <f>INDEX(RatingLookup!$C$2:$C$11,MATCH(A598,RatingLookup!$A$2:$A$11,0))</f>
        <v>Speculative Grade</v>
      </c>
    </row>
    <row r="599" spans="1:36" x14ac:dyDescent="0.3">
      <c r="A599" s="3" t="s">
        <v>92</v>
      </c>
      <c r="B599" s="3" t="s">
        <v>744</v>
      </c>
      <c r="C599" s="3" t="s">
        <v>745</v>
      </c>
      <c r="D599" s="3" t="s">
        <v>44</v>
      </c>
      <c r="E599" s="3" t="s">
        <v>746</v>
      </c>
      <c r="F599" s="3" t="s">
        <v>215</v>
      </c>
      <c r="G599" s="3">
        <v>1.449632407</v>
      </c>
      <c r="H599" s="3">
        <v>1.1240566729999999</v>
      </c>
      <c r="I599" s="3">
        <v>0.209698622</v>
      </c>
      <c r="J599" s="3">
        <v>67.058961640000007</v>
      </c>
      <c r="K599" s="3">
        <v>-6.3725922000000004E-2</v>
      </c>
      <c r="L599" s="3">
        <v>-6.3941146000000004E-2</v>
      </c>
      <c r="M599" s="3">
        <v>0.327502715</v>
      </c>
      <c r="N599" s="3">
        <v>-3.6177226999999999E-2</v>
      </c>
      <c r="O599" s="3">
        <v>-8.9691162000000005E-2</v>
      </c>
      <c r="P599" s="3">
        <v>-0.125479957</v>
      </c>
      <c r="Q599" s="3">
        <v>-12.337121209999999</v>
      </c>
      <c r="R599" s="3">
        <v>1.4074517740000001</v>
      </c>
      <c r="S599" s="3">
        <v>6.3230854880000003</v>
      </c>
      <c r="T599" s="3">
        <v>136.55113639999999</v>
      </c>
      <c r="U599" s="3">
        <v>0.99272997600000001</v>
      </c>
      <c r="V599" s="3">
        <v>-2.0807834000000001E-2</v>
      </c>
      <c r="W599" s="3">
        <v>0.70241364399999995</v>
      </c>
      <c r="X599" s="3">
        <v>2.6940133039999998</v>
      </c>
      <c r="Y599" s="3">
        <v>2.3874722839999998</v>
      </c>
      <c r="Z599" s="3">
        <v>137.55113639999999</v>
      </c>
      <c r="AA599" s="3">
        <v>-6.3941146000000004E-2</v>
      </c>
      <c r="AB599" s="3">
        <v>41.281431130000001</v>
      </c>
      <c r="AC599" s="3">
        <v>3.835365854</v>
      </c>
      <c r="AD599" s="3">
        <v>6.7688002999999997E-2</v>
      </c>
      <c r="AE599" s="3">
        <v>5.6797488229999997</v>
      </c>
      <c r="AF599" s="4">
        <v>41176</v>
      </c>
      <c r="AG599" s="5">
        <f>YEAR(AF599)</f>
        <v>2012</v>
      </c>
      <c r="AH599" s="5" t="str">
        <f>"Q"&amp;ROUNDUP(MONTH(AF599)/3,0)</f>
        <v>Q3</v>
      </c>
      <c r="AI599" s="5">
        <f>INDEX(RatingLookup!$B$2:$B$11,MATCH(A599,RatingLookup!$A$2:$A$11,0))</f>
        <v>6</v>
      </c>
      <c r="AJ599" s="5" t="str">
        <f>INDEX(RatingLookup!$C$2:$C$11,MATCH(A599,RatingLookup!$A$2:$A$11,0))</f>
        <v>Speculative Grade</v>
      </c>
    </row>
    <row r="600" spans="1:36" x14ac:dyDescent="0.3">
      <c r="A600" s="3" t="s">
        <v>109</v>
      </c>
      <c r="B600" s="3" t="s">
        <v>744</v>
      </c>
      <c r="C600" s="3" t="s">
        <v>745</v>
      </c>
      <c r="D600" s="3" t="s">
        <v>60</v>
      </c>
      <c r="E600" s="3" t="s">
        <v>620</v>
      </c>
      <c r="F600" s="3" t="s">
        <v>215</v>
      </c>
      <c r="G600" s="3">
        <v>1.62265489</v>
      </c>
      <c r="H600" s="3">
        <v>1.2890851649999999</v>
      </c>
      <c r="I600" s="3">
        <v>0.204693443</v>
      </c>
      <c r="J600" s="3">
        <v>71.669301160000003</v>
      </c>
      <c r="K600" s="3">
        <v>-7.1914380999999999E-2</v>
      </c>
      <c r="L600" s="3">
        <v>-7.2102904999999995E-2</v>
      </c>
      <c r="M600" s="3">
        <v>0.396087417</v>
      </c>
      <c r="N600" s="3">
        <v>-4.3592383999999998E-2</v>
      </c>
      <c r="O600" s="3">
        <v>-0.115737391</v>
      </c>
      <c r="P600" s="3">
        <v>-0.18188469400000001</v>
      </c>
      <c r="Q600" s="3">
        <v>4.6915799429999998</v>
      </c>
      <c r="R600" s="3">
        <v>1.6093775530000001</v>
      </c>
      <c r="S600" s="3">
        <v>10.60387513</v>
      </c>
      <c r="T600" s="3">
        <v>-41.536423839999998</v>
      </c>
      <c r="U600" s="3">
        <v>1.0246691720000001</v>
      </c>
      <c r="V600" s="3">
        <v>2.4738535999999998E-2</v>
      </c>
      <c r="W600" s="3">
        <v>-0.37460063900000001</v>
      </c>
      <c r="X600" s="3">
        <v>-0.67</v>
      </c>
      <c r="Y600" s="3">
        <v>9.2214285710000006</v>
      </c>
      <c r="Z600" s="3">
        <v>-40.536423839999998</v>
      </c>
      <c r="AA600" s="3">
        <v>-7.2102904999999995E-2</v>
      </c>
      <c r="AB600" s="3">
        <v>51.929712459999998</v>
      </c>
      <c r="AC600" s="3">
        <v>1.7885714290000001</v>
      </c>
      <c r="AD600" s="3">
        <v>1.8156242E-2</v>
      </c>
      <c r="AE600" s="3">
        <v>4.1594087100000001</v>
      </c>
      <c r="AF600" s="4">
        <v>42627</v>
      </c>
      <c r="AG600" s="5">
        <f>YEAR(AF600)</f>
        <v>2016</v>
      </c>
      <c r="AH600" s="5" t="str">
        <f>"Q"&amp;ROUNDUP(MONTH(AF600)/3,0)</f>
        <v>Q3</v>
      </c>
      <c r="AI600" s="5">
        <f>INDEX(RatingLookup!$B$2:$B$11,MATCH(A600,RatingLookup!$A$2:$A$11,0))</f>
        <v>5</v>
      </c>
      <c r="AJ600" s="5" t="str">
        <f>INDEX(RatingLookup!$C$2:$C$11,MATCH(A600,RatingLookup!$A$2:$A$11,0))</f>
        <v>Speculative Grade</v>
      </c>
    </row>
    <row r="601" spans="1:36" x14ac:dyDescent="0.3">
      <c r="A601" s="3" t="s">
        <v>92</v>
      </c>
      <c r="B601" s="3" t="s">
        <v>747</v>
      </c>
      <c r="C601" s="3" t="s">
        <v>748</v>
      </c>
      <c r="D601" s="3" t="s">
        <v>47</v>
      </c>
      <c r="E601" s="3" t="s">
        <v>675</v>
      </c>
      <c r="F601" s="3" t="s">
        <v>79</v>
      </c>
      <c r="G601" s="3">
        <v>1.364595545</v>
      </c>
      <c r="H601" s="3">
        <v>0.87576068100000004</v>
      </c>
      <c r="I601" s="3">
        <v>4.5774387999999999E-2</v>
      </c>
      <c r="J601" s="3">
        <v>91.290251429999998</v>
      </c>
      <c r="K601" s="3">
        <v>9.7044550000000007E-3</v>
      </c>
      <c r="L601" s="3">
        <v>5.6021173E-2</v>
      </c>
      <c r="M601" s="3">
        <v>0.55535950599999995</v>
      </c>
      <c r="N601" s="3">
        <v>6.5284517E-2</v>
      </c>
      <c r="O601" s="3">
        <v>2.009683E-3</v>
      </c>
      <c r="P601" s="3">
        <v>3.8700558000000003E-2</v>
      </c>
      <c r="Q601" s="3">
        <v>6.5456710000000003E-3</v>
      </c>
      <c r="R601" s="3">
        <v>0.20708869999999999</v>
      </c>
      <c r="S601" s="3">
        <v>0.31604628499999998</v>
      </c>
      <c r="T601" s="3">
        <v>1.950907468</v>
      </c>
      <c r="U601" s="3">
        <v>0.59897688900000001</v>
      </c>
      <c r="V601" s="3">
        <v>0.82677165399999997</v>
      </c>
      <c r="W601" s="3">
        <v>-0.14583333300000001</v>
      </c>
      <c r="X601" s="3">
        <v>-0.229032392</v>
      </c>
      <c r="Y601" s="3">
        <v>1.69459976</v>
      </c>
      <c r="Z601" s="3">
        <v>3.257066349</v>
      </c>
      <c r="AA601" s="3">
        <v>0.16674018500000001</v>
      </c>
      <c r="AB601" s="3">
        <v>7.3278354050000001</v>
      </c>
      <c r="AC601" s="3">
        <v>1.5705078290000001</v>
      </c>
      <c r="AD601" s="3">
        <v>0.19056021200000001</v>
      </c>
      <c r="AE601" s="3">
        <v>3.0179640719999998</v>
      </c>
      <c r="AF601" s="4">
        <v>42277</v>
      </c>
      <c r="AG601" s="5">
        <f>YEAR(AF601)</f>
        <v>2015</v>
      </c>
      <c r="AH601" s="5" t="str">
        <f>"Q"&amp;ROUNDUP(MONTH(AF601)/3,0)</f>
        <v>Q3</v>
      </c>
      <c r="AI601" s="5">
        <f>INDEX(RatingLookup!$B$2:$B$11,MATCH(A601,RatingLookup!$A$2:$A$11,0))</f>
        <v>6</v>
      </c>
      <c r="AJ601" s="5" t="str">
        <f>INDEX(RatingLookup!$C$2:$C$11,MATCH(A601,RatingLookup!$A$2:$A$11,0))</f>
        <v>Speculative Grade</v>
      </c>
    </row>
    <row r="602" spans="1:36" x14ac:dyDescent="0.3">
      <c r="A602" s="3" t="s">
        <v>92</v>
      </c>
      <c r="B602" s="3" t="s">
        <v>747</v>
      </c>
      <c r="C602" s="3" t="s">
        <v>748</v>
      </c>
      <c r="D602" s="3" t="s">
        <v>47</v>
      </c>
      <c r="E602" s="3" t="s">
        <v>749</v>
      </c>
      <c r="F602" s="3" t="s">
        <v>79</v>
      </c>
      <c r="G602" s="3">
        <v>1.276910435</v>
      </c>
      <c r="H602" s="3">
        <v>0.82087099399999996</v>
      </c>
      <c r="I602" s="3">
        <v>0.18647043899999999</v>
      </c>
      <c r="J602" s="3">
        <v>107.0483938</v>
      </c>
      <c r="K602" s="3">
        <v>7.0504797999999994E-2</v>
      </c>
      <c r="L602" s="3">
        <v>8.6357947000000004E-2</v>
      </c>
      <c r="M602" s="3">
        <v>0.59824781000000005</v>
      </c>
      <c r="N602" s="3">
        <v>0.20108468900000001</v>
      </c>
      <c r="O602" s="3">
        <v>1.5369225E-2</v>
      </c>
      <c r="P602" s="3">
        <v>4.6579444999999997E-2</v>
      </c>
      <c r="Q602" s="3">
        <v>4.8134435000000003E-2</v>
      </c>
      <c r="R602" s="3">
        <v>0.21798835899999999</v>
      </c>
      <c r="S602" s="3">
        <v>0.35126025799999999</v>
      </c>
      <c r="T602" s="3">
        <v>1.803759613</v>
      </c>
      <c r="U602" s="3">
        <v>0.57593670399999997</v>
      </c>
      <c r="V602" s="3">
        <v>0.183574879</v>
      </c>
      <c r="W602" s="3">
        <v>0.52688172</v>
      </c>
      <c r="X602" s="3">
        <v>1.3800038189999999</v>
      </c>
      <c r="Y602" s="3">
        <v>2.2518564350000001</v>
      </c>
      <c r="Z602" s="3">
        <v>3.1318712620000002</v>
      </c>
      <c r="AA602" s="3">
        <v>0.18189403400000001</v>
      </c>
      <c r="AB602" s="3">
        <v>6.2380661899999996</v>
      </c>
      <c r="AC602" s="3">
        <v>2.6191909209999999</v>
      </c>
      <c r="AD602" s="3">
        <v>0.31038798499999998</v>
      </c>
      <c r="AE602" s="3">
        <v>2.331719128</v>
      </c>
      <c r="AF602" s="4">
        <v>42643</v>
      </c>
      <c r="AG602" s="5">
        <f>YEAR(AF602)</f>
        <v>2016</v>
      </c>
      <c r="AH602" s="5" t="str">
        <f>"Q"&amp;ROUNDUP(MONTH(AF602)/3,0)</f>
        <v>Q3</v>
      </c>
      <c r="AI602" s="5">
        <f>INDEX(RatingLookup!$B$2:$B$11,MATCH(A602,RatingLookup!$A$2:$A$11,0))</f>
        <v>6</v>
      </c>
      <c r="AJ602" s="5" t="str">
        <f>INDEX(RatingLookup!$C$2:$C$11,MATCH(A602,RatingLookup!$A$2:$A$11,0))</f>
        <v>Speculative Grade</v>
      </c>
    </row>
    <row r="603" spans="1:36" x14ac:dyDescent="0.3">
      <c r="A603" s="3" t="s">
        <v>109</v>
      </c>
      <c r="B603" s="3" t="s">
        <v>750</v>
      </c>
      <c r="C603" s="3" t="s">
        <v>751</v>
      </c>
      <c r="D603" s="3" t="s">
        <v>60</v>
      </c>
      <c r="E603" s="3" t="s">
        <v>504</v>
      </c>
      <c r="F603" s="3" t="s">
        <v>53</v>
      </c>
      <c r="G603" s="3">
        <v>0.86491754300000001</v>
      </c>
      <c r="H603" s="3">
        <v>0.58469249000000001</v>
      </c>
      <c r="I603" s="3">
        <v>0.16910193200000001</v>
      </c>
      <c r="J603" s="3">
        <v>62.898202490000003</v>
      </c>
      <c r="K603" s="3">
        <v>-0.74868879200000005</v>
      </c>
      <c r="L603" s="3">
        <v>-1.0821547730000001</v>
      </c>
      <c r="M603" s="3">
        <v>1</v>
      </c>
      <c r="N603" s="3">
        <v>-1.0821547730000001</v>
      </c>
      <c r="O603" s="3">
        <v>-0.197570049</v>
      </c>
      <c r="P603" s="3">
        <v>-0.33427037700000001</v>
      </c>
      <c r="Q603" s="3">
        <v>-0.42791584599999999</v>
      </c>
      <c r="R603" s="3">
        <v>0.26388808200000002</v>
      </c>
      <c r="S603" s="3">
        <v>0.308919051</v>
      </c>
      <c r="T603" s="3">
        <v>1.165894314</v>
      </c>
      <c r="U603" s="3">
        <v>0.53829695499999997</v>
      </c>
      <c r="V603" s="3">
        <v>0.31273859300000001</v>
      </c>
      <c r="W603" s="3">
        <v>-1.154641536</v>
      </c>
      <c r="X603" s="3">
        <v>-7.8368648360000002</v>
      </c>
      <c r="Y603" s="3">
        <v>2.6181117729999999</v>
      </c>
      <c r="Z603" s="3">
        <v>2.165894314</v>
      </c>
      <c r="AA603" s="3">
        <v>-1.0821547730000001</v>
      </c>
      <c r="AB603" s="3">
        <v>-3.9215102650000002</v>
      </c>
      <c r="AC603" s="3">
        <v>6.7872708460000002</v>
      </c>
      <c r="AD603" s="3">
        <v>0.39015423300000002</v>
      </c>
      <c r="AE603" s="3">
        <v>0</v>
      </c>
      <c r="AF603" s="4">
        <v>42418</v>
      </c>
      <c r="AG603" s="5">
        <f>YEAR(AF603)</f>
        <v>2016</v>
      </c>
      <c r="AH603" s="5" t="str">
        <f>"Q"&amp;ROUNDUP(MONTH(AF603)/3,0)</f>
        <v>Q1</v>
      </c>
      <c r="AI603" s="5">
        <f>INDEX(RatingLookup!$B$2:$B$11,MATCH(A603,RatingLookup!$A$2:$A$11,0))</f>
        <v>5</v>
      </c>
      <c r="AJ603" s="5" t="str">
        <f>INDEX(RatingLookup!$C$2:$C$11,MATCH(A603,RatingLookup!$A$2:$A$11,0))</f>
        <v>Speculative Grade</v>
      </c>
    </row>
    <row r="604" spans="1:36" x14ac:dyDescent="0.3">
      <c r="A604" s="3" t="s">
        <v>36</v>
      </c>
      <c r="B604" s="3" t="s">
        <v>750</v>
      </c>
      <c r="C604" s="3" t="s">
        <v>751</v>
      </c>
      <c r="D604" s="3" t="s">
        <v>39</v>
      </c>
      <c r="E604" s="3" t="s">
        <v>593</v>
      </c>
      <c r="F604" s="3" t="s">
        <v>53</v>
      </c>
      <c r="G604" s="3">
        <v>1.0416984469999999</v>
      </c>
      <c r="H604" s="3">
        <v>0.80304598000000005</v>
      </c>
      <c r="I604" s="3">
        <v>0.37908222200000002</v>
      </c>
      <c r="J604" s="3">
        <v>58.206942220000002</v>
      </c>
      <c r="K604" s="3">
        <v>0.16537565900000001</v>
      </c>
      <c r="L604" s="3">
        <v>0.228679838</v>
      </c>
      <c r="M604" s="3">
        <v>1</v>
      </c>
      <c r="N604" s="3">
        <v>0.228679838</v>
      </c>
      <c r="O604" s="3">
        <v>5.4091172E-2</v>
      </c>
      <c r="P604" s="3">
        <v>9.2116471000000005E-2</v>
      </c>
      <c r="Q604" s="3">
        <v>0.105629903</v>
      </c>
      <c r="R604" s="3">
        <v>0.32708061100000002</v>
      </c>
      <c r="S604" s="3">
        <v>0.41077673799999997</v>
      </c>
      <c r="T604" s="3">
        <v>0.95281225700000005</v>
      </c>
      <c r="U604" s="3">
        <v>0.48791800299999999</v>
      </c>
      <c r="V604" s="3">
        <v>0.18150798200000001</v>
      </c>
      <c r="W604" s="3">
        <v>-0.206920203</v>
      </c>
      <c r="X604" s="3">
        <v>-3.5270596780000001</v>
      </c>
      <c r="Y604" s="3">
        <v>9.251293166</v>
      </c>
      <c r="Z604" s="3">
        <v>1.9528122569999999</v>
      </c>
      <c r="AA604" s="3">
        <v>0.228679838</v>
      </c>
      <c r="AB604" s="3">
        <v>3.0360051910000001</v>
      </c>
      <c r="AC604" s="3">
        <v>17.045506580000001</v>
      </c>
      <c r="AD604" s="3">
        <v>0.55671881599999995</v>
      </c>
      <c r="AE604" s="3">
        <v>0</v>
      </c>
      <c r="AF604" s="4">
        <v>41956</v>
      </c>
      <c r="AG604" s="5">
        <f>YEAR(AF604)</f>
        <v>2014</v>
      </c>
      <c r="AH604" s="5" t="str">
        <f>"Q"&amp;ROUNDUP(MONTH(AF604)/3,0)</f>
        <v>Q4</v>
      </c>
      <c r="AI604" s="5">
        <f>INDEX(RatingLookup!$B$2:$B$11,MATCH(A604,RatingLookup!$A$2:$A$11,0))</f>
        <v>8</v>
      </c>
      <c r="AJ604" s="5" t="str">
        <f>INDEX(RatingLookup!$C$2:$C$11,MATCH(A604,RatingLookup!$A$2:$A$11,0))</f>
        <v>Investment Grade</v>
      </c>
    </row>
    <row r="605" spans="1:36" x14ac:dyDescent="0.3">
      <c r="A605" s="3" t="s">
        <v>36</v>
      </c>
      <c r="B605" s="3" t="s">
        <v>750</v>
      </c>
      <c r="C605" s="3" t="s">
        <v>751</v>
      </c>
      <c r="D605" s="3" t="s">
        <v>39</v>
      </c>
      <c r="E605" s="3" t="s">
        <v>323</v>
      </c>
      <c r="F605" s="3" t="s">
        <v>53</v>
      </c>
      <c r="G605" s="3">
        <v>1.0882783069999999</v>
      </c>
      <c r="H605" s="3">
        <v>0.659072137</v>
      </c>
      <c r="I605" s="3">
        <v>0.23267611299999999</v>
      </c>
      <c r="J605" s="3">
        <v>67.708210379999997</v>
      </c>
      <c r="K605" s="3">
        <v>0.20843310800000001</v>
      </c>
      <c r="L605" s="3">
        <v>-1.077904E-3</v>
      </c>
      <c r="M605" s="3">
        <v>1</v>
      </c>
      <c r="N605" s="3">
        <v>0.20843310800000001</v>
      </c>
      <c r="O605" s="3">
        <v>6.4163683999999999E-2</v>
      </c>
      <c r="P605" s="3">
        <v>-4.0670700000000002E-4</v>
      </c>
      <c r="Q605" s="3">
        <v>0.13070129</v>
      </c>
      <c r="R605" s="3">
        <v>0.30783825500000001</v>
      </c>
      <c r="S605" s="3">
        <v>0.39982694200000002</v>
      </c>
      <c r="T605" s="3">
        <v>1.036997905</v>
      </c>
      <c r="U605" s="3">
        <v>0.50908147800000003</v>
      </c>
      <c r="V605" s="3">
        <v>-100.61101549999999</v>
      </c>
      <c r="W605" s="3">
        <v>1.3231599E-2</v>
      </c>
      <c r="X605" s="3">
        <v>0.25618735599999998</v>
      </c>
      <c r="Y605" s="3">
        <v>5.9865402420000002</v>
      </c>
      <c r="Z605" s="3">
        <v>2.0369979050000002</v>
      </c>
      <c r="AA605" s="3">
        <v>-1.077904E-3</v>
      </c>
      <c r="AB605" s="3">
        <v>4.7259424570000004</v>
      </c>
      <c r="AC605" s="3">
        <v>19.361783939999999</v>
      </c>
      <c r="AD605" s="3">
        <v>0.67503282399999998</v>
      </c>
      <c r="AE605" s="3">
        <v>0</v>
      </c>
      <c r="AF605" s="4">
        <v>41509</v>
      </c>
      <c r="AG605" s="5">
        <f>YEAR(AF605)</f>
        <v>2013</v>
      </c>
      <c r="AH605" s="5" t="str">
        <f>"Q"&amp;ROUNDUP(MONTH(AF605)/3,0)</f>
        <v>Q3</v>
      </c>
      <c r="AI605" s="5">
        <f>INDEX(RatingLookup!$B$2:$B$11,MATCH(A605,RatingLookup!$A$2:$A$11,0))</f>
        <v>8</v>
      </c>
      <c r="AJ605" s="5" t="str">
        <f>INDEX(RatingLookup!$C$2:$C$11,MATCH(A605,RatingLookup!$A$2:$A$11,0))</f>
        <v>Investment Grade</v>
      </c>
    </row>
    <row r="606" spans="1:36" x14ac:dyDescent="0.3">
      <c r="A606" s="3" t="s">
        <v>42</v>
      </c>
      <c r="B606" s="3" t="s">
        <v>750</v>
      </c>
      <c r="C606" s="3" t="s">
        <v>751</v>
      </c>
      <c r="D606" s="3" t="s">
        <v>60</v>
      </c>
      <c r="E606" s="3" t="s">
        <v>46</v>
      </c>
      <c r="F606" s="3" t="s">
        <v>53</v>
      </c>
      <c r="G606" s="3">
        <v>1.2204456180000001</v>
      </c>
      <c r="H606" s="3">
        <v>0.92043053799999996</v>
      </c>
      <c r="I606" s="3">
        <v>0.18190658300000001</v>
      </c>
      <c r="J606" s="3">
        <v>20.445699600000001</v>
      </c>
      <c r="K606" s="3">
        <v>3.1453766000000001E-2</v>
      </c>
      <c r="L606" s="3">
        <v>5.5900245000000001E-2</v>
      </c>
      <c r="M606" s="3">
        <v>0.211574548</v>
      </c>
      <c r="N606" s="3">
        <v>5.5900245000000001E-2</v>
      </c>
      <c r="O606" s="3">
        <v>6.1726798999999999E-2</v>
      </c>
      <c r="P606" s="3">
        <v>0.13709486500000001</v>
      </c>
      <c r="Q606" s="3">
        <v>9.9414734000000005E-2</v>
      </c>
      <c r="R606" s="3">
        <v>1.9624613230000001</v>
      </c>
      <c r="S606" s="3">
        <v>2.648702085</v>
      </c>
      <c r="T606" s="3">
        <v>0.61056033399999998</v>
      </c>
      <c r="U606" s="3">
        <v>0.379098082</v>
      </c>
      <c r="V606" s="3">
        <v>0.52228231999999997</v>
      </c>
      <c r="W606" s="3">
        <v>-0.22281408699999999</v>
      </c>
      <c r="X606" s="3">
        <v>-2.471552333</v>
      </c>
      <c r="Y606" s="3">
        <v>5.4080350020000001</v>
      </c>
      <c r="Z606" s="3">
        <v>1.6105603340000001</v>
      </c>
      <c r="AA606" s="3">
        <v>5.5900245000000001E-2</v>
      </c>
      <c r="AB606" s="3">
        <v>3.615432567</v>
      </c>
      <c r="AC606" s="3">
        <v>11.09244198</v>
      </c>
      <c r="AD606" s="3">
        <v>7.7323574000000006E-2</v>
      </c>
      <c r="AE606" s="3">
        <v>11.270070499999999</v>
      </c>
      <c r="AF606" s="4">
        <v>41075</v>
      </c>
      <c r="AG606" s="5">
        <f>YEAR(AF606)</f>
        <v>2012</v>
      </c>
      <c r="AH606" s="5" t="str">
        <f>"Q"&amp;ROUNDUP(MONTH(AF606)/3,0)</f>
        <v>Q2</v>
      </c>
      <c r="AI606" s="5">
        <f>INDEX(RatingLookup!$B$2:$B$11,MATCH(A606,RatingLookup!$A$2:$A$11,0))</f>
        <v>7</v>
      </c>
      <c r="AJ606" s="5" t="str">
        <f>INDEX(RatingLookup!$C$2:$C$11,MATCH(A606,RatingLookup!$A$2:$A$11,0))</f>
        <v>Investment Grade</v>
      </c>
    </row>
    <row r="607" spans="1:36" x14ac:dyDescent="0.3">
      <c r="A607" s="3" t="s">
        <v>42</v>
      </c>
      <c r="B607" s="3" t="s">
        <v>750</v>
      </c>
      <c r="C607" s="3" t="s">
        <v>751</v>
      </c>
      <c r="D607" s="3" t="s">
        <v>60</v>
      </c>
      <c r="E607" s="3" t="s">
        <v>169</v>
      </c>
      <c r="F607" s="3" t="s">
        <v>53</v>
      </c>
      <c r="G607" s="3">
        <v>1.2051878499999999</v>
      </c>
      <c r="H607" s="3">
        <v>0.85544549999999997</v>
      </c>
      <c r="I607" s="3">
        <v>0.27788016799999998</v>
      </c>
      <c r="J607" s="3">
        <v>23.631550789999999</v>
      </c>
      <c r="K607" s="3">
        <v>3.3915826000000003E-2</v>
      </c>
      <c r="L607" s="3">
        <v>8.0339769999999994E-3</v>
      </c>
      <c r="M607" s="3">
        <v>0.21577342499999999</v>
      </c>
      <c r="N607" s="3">
        <v>3.3915826000000003E-2</v>
      </c>
      <c r="O607" s="3">
        <v>5.5406938000000003E-2</v>
      </c>
      <c r="P607" s="3">
        <v>1.6295035999999999E-2</v>
      </c>
      <c r="Q607" s="3">
        <v>0.10857439100000001</v>
      </c>
      <c r="R607" s="3">
        <v>1.6336602870000001</v>
      </c>
      <c r="S607" s="3">
        <v>2.2000394110000001</v>
      </c>
      <c r="T607" s="3">
        <v>0.95958112399999995</v>
      </c>
      <c r="U607" s="3">
        <v>0.489686858</v>
      </c>
      <c r="V607" s="3">
        <v>2.8651758190000001</v>
      </c>
      <c r="W607" s="3">
        <v>-0.202317784</v>
      </c>
      <c r="X607" s="3">
        <v>-3.188924981</v>
      </c>
      <c r="Y607" s="3">
        <v>5.4817235699999998</v>
      </c>
      <c r="Z607" s="3">
        <v>1.9595811240000001</v>
      </c>
      <c r="AA607" s="3">
        <v>8.0339769999999994E-3</v>
      </c>
      <c r="AB607" s="3">
        <v>4.730256657</v>
      </c>
      <c r="AC607" s="3">
        <v>15.761960780000001</v>
      </c>
      <c r="AD607" s="3">
        <v>0.106765741</v>
      </c>
      <c r="AE607" s="3">
        <v>8.0082624990000006</v>
      </c>
      <c r="AF607" s="4">
        <v>41240</v>
      </c>
      <c r="AG607" s="5">
        <f>YEAR(AF607)</f>
        <v>2012</v>
      </c>
      <c r="AH607" s="5" t="str">
        <f>"Q"&amp;ROUNDUP(MONTH(AF607)/3,0)</f>
        <v>Q4</v>
      </c>
      <c r="AI607" s="5">
        <f>INDEX(RatingLookup!$B$2:$B$11,MATCH(A607,RatingLookup!$A$2:$A$11,0))</f>
        <v>7</v>
      </c>
      <c r="AJ607" s="5" t="str">
        <f>INDEX(RatingLookup!$C$2:$C$11,MATCH(A607,RatingLookup!$A$2:$A$11,0))</f>
        <v>Investment Grade</v>
      </c>
    </row>
    <row r="608" spans="1:36" x14ac:dyDescent="0.3">
      <c r="A608" s="3" t="s">
        <v>42</v>
      </c>
      <c r="B608" s="3" t="s">
        <v>750</v>
      </c>
      <c r="C608" s="3" t="s">
        <v>751</v>
      </c>
      <c r="D608" s="3" t="s">
        <v>44</v>
      </c>
      <c r="E608" s="3" t="s">
        <v>752</v>
      </c>
      <c r="F608" s="3" t="s">
        <v>53</v>
      </c>
      <c r="G608" s="3">
        <v>1.037772758</v>
      </c>
      <c r="H608" s="3">
        <v>0.89284440200000004</v>
      </c>
      <c r="I608" s="3">
        <v>0.58092279700000005</v>
      </c>
      <c r="J608" s="3">
        <v>69.547579170000006</v>
      </c>
      <c r="K608" s="3">
        <v>-0.147252404</v>
      </c>
      <c r="L608" s="3">
        <v>-0.26311689300000002</v>
      </c>
      <c r="M608" s="3">
        <v>1</v>
      </c>
      <c r="N608" s="3">
        <v>-0.26311689300000002</v>
      </c>
      <c r="O608" s="3">
        <v>-2.6803977999999999E-2</v>
      </c>
      <c r="P608" s="3">
        <v>-5.6077675E-2</v>
      </c>
      <c r="Q608" s="3">
        <v>-5.6129351000000001E-2</v>
      </c>
      <c r="R608" s="3">
        <v>0.18202743599999999</v>
      </c>
      <c r="S608" s="3">
        <v>0.22535914300000001</v>
      </c>
      <c r="T608" s="3">
        <v>1.094067967</v>
      </c>
      <c r="U608" s="3">
        <v>0.52246058100000003</v>
      </c>
      <c r="V608" s="3">
        <v>0.44446427300000002</v>
      </c>
      <c r="W608" s="3">
        <v>-0.54286903200000003</v>
      </c>
      <c r="X608" s="3">
        <v>-1.8943328930000001</v>
      </c>
      <c r="Y608" s="3">
        <v>5.717150374</v>
      </c>
      <c r="Z608" s="3">
        <v>2.094067967</v>
      </c>
      <c r="AA608" s="3">
        <v>-0.26311689300000002</v>
      </c>
      <c r="AB608" s="3">
        <v>11.52823154</v>
      </c>
      <c r="AC608" s="3">
        <v>3.489484171</v>
      </c>
      <c r="AD608" s="3">
        <v>0.32057291700000001</v>
      </c>
      <c r="AE608" s="3">
        <v>0</v>
      </c>
      <c r="AF608" s="4">
        <v>42594</v>
      </c>
      <c r="AG608" s="5">
        <f>YEAR(AF608)</f>
        <v>2016</v>
      </c>
      <c r="AH608" s="5" t="str">
        <f>"Q"&amp;ROUNDUP(MONTH(AF608)/3,0)</f>
        <v>Q3</v>
      </c>
      <c r="AI608" s="5">
        <f>INDEX(RatingLookup!$B$2:$B$11,MATCH(A608,RatingLookup!$A$2:$A$11,0))</f>
        <v>7</v>
      </c>
      <c r="AJ608" s="5" t="str">
        <f>INDEX(RatingLookup!$C$2:$C$11,MATCH(A608,RatingLookup!$A$2:$A$11,0))</f>
        <v>Investment Grade</v>
      </c>
    </row>
    <row r="609" spans="1:36" x14ac:dyDescent="0.3">
      <c r="A609" s="3" t="s">
        <v>109</v>
      </c>
      <c r="B609" s="3" t="s">
        <v>753</v>
      </c>
      <c r="C609" s="3" t="s">
        <v>754</v>
      </c>
      <c r="D609" s="3" t="s">
        <v>39</v>
      </c>
      <c r="E609" s="3" t="s">
        <v>755</v>
      </c>
      <c r="F609" s="3" t="s">
        <v>219</v>
      </c>
      <c r="G609" s="3">
        <v>0.86146682200000002</v>
      </c>
      <c r="H609" s="3">
        <v>0.32130384200000001</v>
      </c>
      <c r="I609" s="3">
        <v>0.23050058200000001</v>
      </c>
      <c r="J609" s="3">
        <v>0</v>
      </c>
      <c r="K609" s="3">
        <v>-4.2944790000000004E-3</v>
      </c>
      <c r="L609" s="3">
        <v>4.7852761000000001E-2</v>
      </c>
      <c r="M609" s="3">
        <v>1</v>
      </c>
      <c r="N609" s="3">
        <v>0.13558282199999999</v>
      </c>
      <c r="O609" s="3">
        <v>-1.598904E-3</v>
      </c>
      <c r="P609" s="3">
        <v>2.2165388000000001E-2</v>
      </c>
      <c r="Q609" s="3">
        <v>-7.7177510000000001E-3</v>
      </c>
      <c r="R609" s="3">
        <v>0.37231612600000002</v>
      </c>
      <c r="S609" s="3">
        <v>0.61836115300000005</v>
      </c>
      <c r="T609" s="3">
        <v>3.8269018739999998</v>
      </c>
      <c r="U609" s="3">
        <v>0.79282777500000001</v>
      </c>
      <c r="V609" s="3">
        <v>0.51282051299999998</v>
      </c>
      <c r="W609" s="3">
        <v>0.40506329099999999</v>
      </c>
      <c r="X609" s="3">
        <v>0.99224806200000004</v>
      </c>
      <c r="Y609" s="3">
        <v>2.1395348840000001</v>
      </c>
      <c r="Z609" s="3">
        <v>4.8269018739999998</v>
      </c>
      <c r="AA609" s="3">
        <v>4.7852761000000001E-2</v>
      </c>
      <c r="AB609" s="3">
        <v>9.5830821920000009</v>
      </c>
      <c r="AC609" s="3">
        <v>2.4496124030000002</v>
      </c>
      <c r="AD609" s="3">
        <v>0.19386503099999999</v>
      </c>
      <c r="AE609" s="3">
        <v>0</v>
      </c>
      <c r="AF609" s="4">
        <v>41764</v>
      </c>
      <c r="AG609" s="5">
        <f>YEAR(AF609)</f>
        <v>2014</v>
      </c>
      <c r="AH609" s="5" t="str">
        <f>"Q"&amp;ROUNDUP(MONTH(AF609)/3,0)</f>
        <v>Q2</v>
      </c>
      <c r="AI609" s="5">
        <f>INDEX(RatingLookup!$B$2:$B$11,MATCH(A609,RatingLookup!$A$2:$A$11,0))</f>
        <v>5</v>
      </c>
      <c r="AJ609" s="5" t="str">
        <f>INDEX(RatingLookup!$C$2:$C$11,MATCH(A609,RatingLookup!$A$2:$A$11,0))</f>
        <v>Speculative Grade</v>
      </c>
    </row>
    <row r="610" spans="1:36" x14ac:dyDescent="0.3">
      <c r="A610" s="3" t="s">
        <v>109</v>
      </c>
      <c r="B610" s="3" t="s">
        <v>753</v>
      </c>
      <c r="C610" s="3" t="s">
        <v>754</v>
      </c>
      <c r="D610" s="3" t="s">
        <v>39</v>
      </c>
      <c r="E610" s="3" t="s">
        <v>756</v>
      </c>
      <c r="F610" s="3" t="s">
        <v>219</v>
      </c>
      <c r="G610" s="3">
        <v>1.622107969</v>
      </c>
      <c r="H610" s="3">
        <v>0.35218508999999998</v>
      </c>
      <c r="I610" s="3">
        <v>0.233933162</v>
      </c>
      <c r="J610" s="3">
        <v>0</v>
      </c>
      <c r="K610" s="3">
        <v>-1.1890609999999999E-3</v>
      </c>
      <c r="L610" s="3">
        <v>2.378121E-3</v>
      </c>
      <c r="M610" s="3">
        <v>1</v>
      </c>
      <c r="N610" s="3">
        <v>8.5612365999999995E-2</v>
      </c>
      <c r="O610" s="3">
        <v>-4.75737E-4</v>
      </c>
      <c r="P610" s="3">
        <v>1.048493E-3</v>
      </c>
      <c r="Q610" s="3">
        <v>-2.557545E-3</v>
      </c>
      <c r="R610" s="3">
        <v>0.40009514699999998</v>
      </c>
      <c r="S610" s="3">
        <v>0.63399924600000002</v>
      </c>
      <c r="T610" s="3">
        <v>4.3759590790000003</v>
      </c>
      <c r="U610" s="3">
        <v>0.81398667899999999</v>
      </c>
      <c r="V610" s="3">
        <v>3.75</v>
      </c>
      <c r="W610" s="3">
        <v>0.366568915</v>
      </c>
      <c r="X610" s="3">
        <v>0.96153846200000004</v>
      </c>
      <c r="Y610" s="3">
        <v>1.0538461539999999</v>
      </c>
      <c r="Z610" s="3">
        <v>5.3759590790000003</v>
      </c>
      <c r="AA610" s="3">
        <v>2.378121E-3</v>
      </c>
      <c r="AB610" s="3">
        <v>12.53922652</v>
      </c>
      <c r="AC610" s="3">
        <v>2.6230769230000002</v>
      </c>
      <c r="AD610" s="3">
        <v>0.202734839</v>
      </c>
      <c r="AE610" s="3">
        <v>0</v>
      </c>
      <c r="AF610" s="4">
        <v>42087</v>
      </c>
      <c r="AG610" s="5">
        <f>YEAR(AF610)</f>
        <v>2015</v>
      </c>
      <c r="AH610" s="5" t="str">
        <f>"Q"&amp;ROUNDUP(MONTH(AF610)/3,0)</f>
        <v>Q1</v>
      </c>
      <c r="AI610" s="5">
        <f>INDEX(RatingLookup!$B$2:$B$11,MATCH(A610,RatingLookup!$A$2:$A$11,0))</f>
        <v>5</v>
      </c>
      <c r="AJ610" s="5" t="str">
        <f>INDEX(RatingLookup!$C$2:$C$11,MATCH(A610,RatingLookup!$A$2:$A$11,0))</f>
        <v>Speculative Grade</v>
      </c>
    </row>
    <row r="611" spans="1:36" x14ac:dyDescent="0.3">
      <c r="A611" s="3" t="s">
        <v>109</v>
      </c>
      <c r="B611" s="3" t="s">
        <v>753</v>
      </c>
      <c r="C611" s="3" t="s">
        <v>754</v>
      </c>
      <c r="D611" s="3" t="s">
        <v>39</v>
      </c>
      <c r="E611" s="3" t="s">
        <v>757</v>
      </c>
      <c r="F611" s="3" t="s">
        <v>219</v>
      </c>
      <c r="G611" s="3">
        <v>1.892183288</v>
      </c>
      <c r="H611" s="3">
        <v>0.26954177899999998</v>
      </c>
      <c r="I611" s="3">
        <v>0.25336927199999998</v>
      </c>
      <c r="J611" s="3">
        <v>0</v>
      </c>
      <c r="K611" s="3">
        <v>4.1337385999999997E-2</v>
      </c>
      <c r="L611" s="3">
        <v>-1.7021277000000001E-2</v>
      </c>
      <c r="M611" s="3">
        <v>1</v>
      </c>
      <c r="N611" s="3">
        <v>6.0790273999999998E-2</v>
      </c>
      <c r="O611" s="3">
        <v>1.5966188999999999E-2</v>
      </c>
      <c r="P611" s="3">
        <v>-7.2016459999999999E-3</v>
      </c>
      <c r="Q611" s="3">
        <v>0.106583072</v>
      </c>
      <c r="R611" s="3">
        <v>0.386240902</v>
      </c>
      <c r="S611" s="3">
        <v>0.61152416399999998</v>
      </c>
      <c r="T611" s="3">
        <v>5.6755485889999999</v>
      </c>
      <c r="U611" s="3">
        <v>0.85019957700000004</v>
      </c>
      <c r="V611" s="3">
        <v>3</v>
      </c>
      <c r="W611" s="3">
        <v>-0.51004016100000005</v>
      </c>
      <c r="X611" s="3">
        <v>-0.962121212</v>
      </c>
      <c r="Y611" s="3">
        <v>0.75757575799999999</v>
      </c>
      <c r="Z611" s="3">
        <v>6.6755485889999999</v>
      </c>
      <c r="AA611" s="3">
        <v>-1.7021277000000001E-2</v>
      </c>
      <c r="AB611" s="3">
        <v>13.259738560000001</v>
      </c>
      <c r="AC611" s="3">
        <v>1.886363636</v>
      </c>
      <c r="AD611" s="3">
        <v>0.15136778100000001</v>
      </c>
      <c r="AE611" s="3">
        <v>0</v>
      </c>
      <c r="AF611" s="4">
        <v>42216</v>
      </c>
      <c r="AG611" s="5">
        <f>YEAR(AF611)</f>
        <v>2015</v>
      </c>
      <c r="AH611" s="5" t="str">
        <f>"Q"&amp;ROUNDUP(MONTH(AF611)/3,0)</f>
        <v>Q3</v>
      </c>
      <c r="AI611" s="5">
        <f>INDEX(RatingLookup!$B$2:$B$11,MATCH(A611,RatingLookup!$A$2:$A$11,0))</f>
        <v>5</v>
      </c>
      <c r="AJ611" s="5" t="str">
        <f>INDEX(RatingLookup!$C$2:$C$11,MATCH(A611,RatingLookup!$A$2:$A$11,0))</f>
        <v>Speculative Grade</v>
      </c>
    </row>
    <row r="612" spans="1:36" x14ac:dyDescent="0.3">
      <c r="A612" s="3" t="s">
        <v>92</v>
      </c>
      <c r="B612" s="3" t="s">
        <v>753</v>
      </c>
      <c r="C612" s="3" t="s">
        <v>754</v>
      </c>
      <c r="D612" s="3" t="s">
        <v>44</v>
      </c>
      <c r="E612" s="3" t="s">
        <v>758</v>
      </c>
      <c r="F612" s="3" t="s">
        <v>219</v>
      </c>
      <c r="G612" s="3">
        <v>1.9111111110000001</v>
      </c>
      <c r="H612" s="3">
        <v>1.35</v>
      </c>
      <c r="I612" s="3">
        <v>0.68333333299999999</v>
      </c>
      <c r="J612" s="3">
        <v>0</v>
      </c>
      <c r="K612" s="3">
        <v>6.9343065999999995E-2</v>
      </c>
      <c r="L612" s="3">
        <v>8.1508516000000003E-2</v>
      </c>
      <c r="M612" s="3">
        <v>1</v>
      </c>
      <c r="N612" s="3">
        <v>0.15328467200000001</v>
      </c>
      <c r="O612" s="3">
        <v>2.5187804000000001E-2</v>
      </c>
      <c r="P612" s="3">
        <v>3.2165145999999999E-2</v>
      </c>
      <c r="Q612" s="3">
        <v>0.108778626</v>
      </c>
      <c r="R612" s="3">
        <v>0.363234644</v>
      </c>
      <c r="S612" s="3">
        <v>0.64193674300000003</v>
      </c>
      <c r="T612" s="3">
        <v>3.3187022900000001</v>
      </c>
      <c r="U612" s="3">
        <v>0.76844896200000001</v>
      </c>
      <c r="V612" s="3">
        <v>0.194029851</v>
      </c>
      <c r="W612" s="3">
        <v>0.63157894699999995</v>
      </c>
      <c r="X612" s="3">
        <v>1.636363636</v>
      </c>
      <c r="Y612" s="3">
        <v>3.6818181820000002</v>
      </c>
      <c r="Z612" s="3">
        <v>4.3187022900000001</v>
      </c>
      <c r="AA612" s="3">
        <v>8.1508516000000003E-2</v>
      </c>
      <c r="AB612" s="3">
        <v>9.4945132739999991</v>
      </c>
      <c r="AC612" s="3">
        <v>2.5909090909999999</v>
      </c>
      <c r="AD612" s="3">
        <v>0.208029197</v>
      </c>
      <c r="AE612" s="3">
        <v>0</v>
      </c>
      <c r="AF612" s="4">
        <v>41214</v>
      </c>
      <c r="AG612" s="5">
        <f>YEAR(AF612)</f>
        <v>2012</v>
      </c>
      <c r="AH612" s="5" t="str">
        <f>"Q"&amp;ROUNDUP(MONTH(AF612)/3,0)</f>
        <v>Q4</v>
      </c>
      <c r="AI612" s="5">
        <f>INDEX(RatingLookup!$B$2:$B$11,MATCH(A612,RatingLookup!$A$2:$A$11,0))</f>
        <v>6</v>
      </c>
      <c r="AJ612" s="5" t="str">
        <f>INDEX(RatingLookup!$C$2:$C$11,MATCH(A612,RatingLookup!$A$2:$A$11,0))</f>
        <v>Speculative Grade</v>
      </c>
    </row>
    <row r="613" spans="1:36" x14ac:dyDescent="0.3">
      <c r="A613" s="3" t="s">
        <v>42</v>
      </c>
      <c r="B613" s="3" t="s">
        <v>759</v>
      </c>
      <c r="C613" s="3" t="s">
        <v>760</v>
      </c>
      <c r="D613" s="3" t="s">
        <v>60</v>
      </c>
      <c r="E613" s="3" t="s">
        <v>761</v>
      </c>
      <c r="F613" s="3" t="s">
        <v>53</v>
      </c>
      <c r="G613" s="3">
        <v>0.64783743500000002</v>
      </c>
      <c r="H613" s="3">
        <v>0.54166666699999999</v>
      </c>
      <c r="I613" s="3">
        <v>7.3639074999999998E-2</v>
      </c>
      <c r="J613" s="3">
        <v>55.673643599999998</v>
      </c>
      <c r="K613" s="3">
        <v>1.9108086999999999E-2</v>
      </c>
      <c r="L613" s="3">
        <v>2.2844644000000001E-2</v>
      </c>
      <c r="M613" s="3">
        <v>0.185643113</v>
      </c>
      <c r="N613" s="3">
        <v>3.7365574999999998E-2</v>
      </c>
      <c r="O613" s="3">
        <v>1.0926208999999999E-2</v>
      </c>
      <c r="P613" s="3">
        <v>3.6272417000000001E-2</v>
      </c>
      <c r="Q613" s="3">
        <v>4.6606401999999998E-2</v>
      </c>
      <c r="R613" s="3">
        <v>0.57181072799999999</v>
      </c>
      <c r="S613" s="3">
        <v>0.77858984399999998</v>
      </c>
      <c r="T613" s="3">
        <v>2.9681387080000001</v>
      </c>
      <c r="U613" s="3">
        <v>0.69583796600000003</v>
      </c>
      <c r="V613" s="3">
        <v>0.16356382999999999</v>
      </c>
      <c r="W613" s="3">
        <v>-1.528284945</v>
      </c>
      <c r="X613" s="3">
        <v>-6.3421590559999999</v>
      </c>
      <c r="Y613" s="3">
        <v>0.98125845199999995</v>
      </c>
      <c r="Z613" s="3">
        <v>4.2655601660000002</v>
      </c>
      <c r="AA613" s="3">
        <v>5.1613099000000003E-2</v>
      </c>
      <c r="AB613" s="3">
        <v>18.964905309999999</v>
      </c>
      <c r="AC613" s="3">
        <v>4.149853781</v>
      </c>
      <c r="AD613" s="3">
        <v>0.10149462300000001</v>
      </c>
      <c r="AE613" s="3">
        <v>3.995081967</v>
      </c>
      <c r="AF613" s="4">
        <v>41708</v>
      </c>
      <c r="AG613" s="5">
        <f>YEAR(AF613)</f>
        <v>2014</v>
      </c>
      <c r="AH613" s="5" t="str">
        <f>"Q"&amp;ROUNDUP(MONTH(AF613)/3,0)</f>
        <v>Q1</v>
      </c>
      <c r="AI613" s="5">
        <f>INDEX(RatingLookup!$B$2:$B$11,MATCH(A613,RatingLookup!$A$2:$A$11,0))</f>
        <v>7</v>
      </c>
      <c r="AJ613" s="5" t="str">
        <f>INDEX(RatingLookup!$C$2:$C$11,MATCH(A613,RatingLookup!$A$2:$A$11,0))</f>
        <v>Investment Grade</v>
      </c>
    </row>
    <row r="614" spans="1:36" x14ac:dyDescent="0.3">
      <c r="A614" s="3" t="s">
        <v>42</v>
      </c>
      <c r="B614" s="3" t="s">
        <v>759</v>
      </c>
      <c r="C614" s="3" t="s">
        <v>760</v>
      </c>
      <c r="D614" s="3" t="s">
        <v>60</v>
      </c>
      <c r="E614" s="3" t="s">
        <v>46</v>
      </c>
      <c r="F614" s="3" t="s">
        <v>53</v>
      </c>
      <c r="G614" s="3">
        <v>0.91597729100000003</v>
      </c>
      <c r="H614" s="3">
        <v>0.78248175200000003</v>
      </c>
      <c r="I614" s="3">
        <v>0.120032441</v>
      </c>
      <c r="J614" s="3">
        <v>55.644480940000001</v>
      </c>
      <c r="K614" s="3">
        <v>3.0385605999999999E-2</v>
      </c>
      <c r="L614" s="3">
        <v>4.9908544999999999E-2</v>
      </c>
      <c r="M614" s="3">
        <v>0.21953040400000001</v>
      </c>
      <c r="N614" s="3">
        <v>9.6718802000000006E-2</v>
      </c>
      <c r="O614" s="3">
        <v>1.9617294E-2</v>
      </c>
      <c r="P614" s="3">
        <v>6.4111636E-2</v>
      </c>
      <c r="Q614" s="3">
        <v>0.108910891</v>
      </c>
      <c r="R614" s="3">
        <v>0.64561141399999999</v>
      </c>
      <c r="S614" s="3">
        <v>0.92140744299999999</v>
      </c>
      <c r="T614" s="3">
        <v>4.1315226120000004</v>
      </c>
      <c r="U614" s="3">
        <v>0.74417988099999999</v>
      </c>
      <c r="V614" s="3">
        <v>0.39117427100000002</v>
      </c>
      <c r="W614" s="3">
        <v>-9.1960842000000001E-2</v>
      </c>
      <c r="X614" s="3">
        <v>-0.40229175700000003</v>
      </c>
      <c r="Y614" s="3">
        <v>0.96030935500000003</v>
      </c>
      <c r="Z614" s="3">
        <v>5.5517795019999996</v>
      </c>
      <c r="AA614" s="3">
        <v>8.4549629000000001E-2</v>
      </c>
      <c r="AB614" s="3">
        <v>13.6896088</v>
      </c>
      <c r="AC614" s="3">
        <v>4.3745984279999997</v>
      </c>
      <c r="AD614" s="3">
        <v>0.12583523099999999</v>
      </c>
      <c r="AE614" s="3">
        <v>4.3549260570000001</v>
      </c>
      <c r="AF614" s="4">
        <v>41075</v>
      </c>
      <c r="AG614" s="5">
        <f>YEAR(AF614)</f>
        <v>2012</v>
      </c>
      <c r="AH614" s="5" t="str">
        <f>"Q"&amp;ROUNDUP(MONTH(AF614)/3,0)</f>
        <v>Q2</v>
      </c>
      <c r="AI614" s="5">
        <f>INDEX(RatingLookup!$B$2:$B$11,MATCH(A614,RatingLookup!$A$2:$A$11,0))</f>
        <v>7</v>
      </c>
      <c r="AJ614" s="5" t="str">
        <f>INDEX(RatingLookup!$C$2:$C$11,MATCH(A614,RatingLookup!$A$2:$A$11,0))</f>
        <v>Investment Grade</v>
      </c>
    </row>
    <row r="615" spans="1:36" x14ac:dyDescent="0.3">
      <c r="A615" s="3" t="s">
        <v>42</v>
      </c>
      <c r="B615" s="3" t="s">
        <v>759</v>
      </c>
      <c r="C615" s="3" t="s">
        <v>760</v>
      </c>
      <c r="D615" s="3" t="s">
        <v>60</v>
      </c>
      <c r="E615" s="3" t="s">
        <v>762</v>
      </c>
      <c r="F615" s="3" t="s">
        <v>53</v>
      </c>
      <c r="G615" s="3">
        <v>0.86317229799999995</v>
      </c>
      <c r="H615" s="3">
        <v>0.74234291100000005</v>
      </c>
      <c r="I615" s="3">
        <v>0.137669719</v>
      </c>
      <c r="J615" s="3">
        <v>55.708535900000001</v>
      </c>
      <c r="K615" s="3">
        <v>3.7326320000000003E-2</v>
      </c>
      <c r="L615" s="3">
        <v>5.3558620000000001E-2</v>
      </c>
      <c r="M615" s="3">
        <v>0.216731755</v>
      </c>
      <c r="N615" s="3">
        <v>8.5013681999999993E-2</v>
      </c>
      <c r="O615" s="3">
        <v>1.9284352000000001E-2</v>
      </c>
      <c r="P615" s="3">
        <v>4.9640128999999998E-2</v>
      </c>
      <c r="Q615" s="3">
        <v>8.3700703000000001E-2</v>
      </c>
      <c r="R615" s="3">
        <v>0.51664218900000003</v>
      </c>
      <c r="S615" s="3">
        <v>0.69925691999999995</v>
      </c>
      <c r="T615" s="3">
        <v>3.2203026330000002</v>
      </c>
      <c r="U615" s="3">
        <v>0.74194655300000001</v>
      </c>
      <c r="V615" s="3">
        <v>0.30307539700000002</v>
      </c>
      <c r="W615" s="3">
        <v>-3.2135846090000002</v>
      </c>
      <c r="X615" s="3">
        <v>-9.8483103199999995</v>
      </c>
      <c r="Y615" s="3">
        <v>1.573804508</v>
      </c>
      <c r="Z615" s="3">
        <v>4.3403431430000001</v>
      </c>
      <c r="AA615" s="3">
        <v>8.3552508999999997E-2</v>
      </c>
      <c r="AB615" s="3">
        <v>15.41153274</v>
      </c>
      <c r="AC615" s="3">
        <v>3.0645872189999999</v>
      </c>
      <c r="AD615" s="3">
        <v>6.7665577000000005E-2</v>
      </c>
      <c r="AE615" s="3">
        <v>4.5191600249999997</v>
      </c>
      <c r="AF615" s="4">
        <v>42177</v>
      </c>
      <c r="AG615" s="5">
        <f>YEAR(AF615)</f>
        <v>2015</v>
      </c>
      <c r="AH615" s="5" t="str">
        <f>"Q"&amp;ROUNDUP(MONTH(AF615)/3,0)</f>
        <v>Q2</v>
      </c>
      <c r="AI615" s="5">
        <f>INDEX(RatingLookup!$B$2:$B$11,MATCH(A615,RatingLookup!$A$2:$A$11,0))</f>
        <v>7</v>
      </c>
      <c r="AJ615" s="5" t="str">
        <f>INDEX(RatingLookup!$C$2:$C$11,MATCH(A615,RatingLookup!$A$2:$A$11,0))</f>
        <v>Investment Grade</v>
      </c>
    </row>
    <row r="616" spans="1:36" x14ac:dyDescent="0.3">
      <c r="A616" s="3" t="s">
        <v>42</v>
      </c>
      <c r="B616" s="3" t="s">
        <v>759</v>
      </c>
      <c r="C616" s="3" t="s">
        <v>760</v>
      </c>
      <c r="D616" s="3" t="s">
        <v>60</v>
      </c>
      <c r="E616" s="3" t="s">
        <v>688</v>
      </c>
      <c r="F616" s="3" t="s">
        <v>53</v>
      </c>
      <c r="G616" s="3">
        <v>0.630883902</v>
      </c>
      <c r="H616" s="3">
        <v>0.53098922500000001</v>
      </c>
      <c r="I616" s="3">
        <v>0.126549461</v>
      </c>
      <c r="J616" s="3">
        <v>52.722222219999999</v>
      </c>
      <c r="K616" s="3">
        <v>5.9866898000000002E-2</v>
      </c>
      <c r="L616" s="3">
        <v>6.3975694E-2</v>
      </c>
      <c r="M616" s="3">
        <v>0.30541088</v>
      </c>
      <c r="N616" s="3">
        <v>7.4681712999999997E-2</v>
      </c>
      <c r="O616" s="3">
        <v>2.4281473000000001E-2</v>
      </c>
      <c r="P616" s="3">
        <v>5.2164246999999997E-2</v>
      </c>
      <c r="Q616" s="3">
        <v>9.6745533999999994E-2</v>
      </c>
      <c r="R616" s="3">
        <v>0.40559095899999997</v>
      </c>
      <c r="S616" s="3">
        <v>0.53761433599999997</v>
      </c>
      <c r="T616" s="3">
        <v>2.9573552790000002</v>
      </c>
      <c r="U616" s="3">
        <v>0.74224553699999996</v>
      </c>
      <c r="V616" s="3">
        <v>6.4224332999999995E-2</v>
      </c>
      <c r="W616" s="3">
        <v>-9.6061480000000001E-3</v>
      </c>
      <c r="X616" s="3">
        <v>-5.7629389000000003E-2</v>
      </c>
      <c r="Y616" s="3">
        <v>1.800342111</v>
      </c>
      <c r="Z616" s="3">
        <v>3.9843355470000001</v>
      </c>
      <c r="AA616" s="3">
        <v>0.10998263899999999</v>
      </c>
      <c r="AB616" s="3">
        <v>12.46231102</v>
      </c>
      <c r="AC616" s="3">
        <v>5.9992193890000003</v>
      </c>
      <c r="AD616" s="3">
        <v>0.15060763899999999</v>
      </c>
      <c r="AE616" s="3">
        <v>3.236483754</v>
      </c>
      <c r="AF616" s="4">
        <v>42702</v>
      </c>
      <c r="AG616" s="5">
        <f>YEAR(AF616)</f>
        <v>2016</v>
      </c>
      <c r="AH616" s="5" t="str">
        <f>"Q"&amp;ROUNDUP(MONTH(AF616)/3,0)</f>
        <v>Q4</v>
      </c>
      <c r="AI616" s="5">
        <f>INDEX(RatingLookup!$B$2:$B$11,MATCH(A616,RatingLookup!$A$2:$A$11,0))</f>
        <v>7</v>
      </c>
      <c r="AJ616" s="5" t="str">
        <f>INDEX(RatingLookup!$C$2:$C$11,MATCH(A616,RatingLookup!$A$2:$A$11,0))</f>
        <v>Investment Grade</v>
      </c>
    </row>
    <row r="617" spans="1:36" x14ac:dyDescent="0.3">
      <c r="A617" s="3" t="s">
        <v>42</v>
      </c>
      <c r="B617" s="3" t="s">
        <v>759</v>
      </c>
      <c r="C617" s="3" t="s">
        <v>760</v>
      </c>
      <c r="D617" s="3" t="s">
        <v>60</v>
      </c>
      <c r="E617" s="3" t="s">
        <v>763</v>
      </c>
      <c r="F617" s="3" t="s">
        <v>53</v>
      </c>
      <c r="G617" s="3">
        <v>0.93365398200000005</v>
      </c>
      <c r="H617" s="3">
        <v>0.82345451999999997</v>
      </c>
      <c r="I617" s="3">
        <v>0.25392559100000001</v>
      </c>
      <c r="J617" s="3">
        <v>59.590024329999999</v>
      </c>
      <c r="K617" s="3">
        <v>2.8669910999999999E-2</v>
      </c>
      <c r="L617" s="3">
        <v>3.5604217000000001E-2</v>
      </c>
      <c r="M617" s="3">
        <v>0.222262774</v>
      </c>
      <c r="N617" s="3">
        <v>6.4639091999999995E-2</v>
      </c>
      <c r="O617" s="3">
        <v>1.5106837999999999E-2</v>
      </c>
      <c r="P617" s="3">
        <v>4.3265963999999997E-2</v>
      </c>
      <c r="Q617" s="3">
        <v>6.9002538000000002E-2</v>
      </c>
      <c r="R617" s="3">
        <v>0.52692307699999996</v>
      </c>
      <c r="S617" s="3">
        <v>0.74014046499999997</v>
      </c>
      <c r="T617" s="3">
        <v>3.2496584030000002</v>
      </c>
      <c r="U617" s="3">
        <v>0.71145299100000003</v>
      </c>
      <c r="V617" s="3">
        <v>0.19476082</v>
      </c>
      <c r="W617" s="3">
        <v>-0.86395267899999995</v>
      </c>
      <c r="X617" s="3">
        <v>-3.1765009449999999</v>
      </c>
      <c r="Y617" s="3">
        <v>2.296342809</v>
      </c>
      <c r="Z617" s="3">
        <v>4.5676361510000003</v>
      </c>
      <c r="AA617" s="3">
        <v>6.9708029000000005E-2</v>
      </c>
      <c r="AB617" s="3">
        <v>17.401142369999999</v>
      </c>
      <c r="AC617" s="3">
        <v>3.6767070940000002</v>
      </c>
      <c r="AD617" s="3">
        <v>0.116545012</v>
      </c>
      <c r="AE617" s="3">
        <v>3.7963182899999999</v>
      </c>
      <c r="AF617" s="4">
        <v>41453</v>
      </c>
      <c r="AG617" s="5">
        <f>YEAR(AF617)</f>
        <v>2013</v>
      </c>
      <c r="AH617" s="5" t="str">
        <f>"Q"&amp;ROUNDUP(MONTH(AF617)/3,0)</f>
        <v>Q2</v>
      </c>
      <c r="AI617" s="5">
        <f>INDEX(RatingLookup!$B$2:$B$11,MATCH(A617,RatingLookup!$A$2:$A$11,0))</f>
        <v>7</v>
      </c>
      <c r="AJ617" s="5" t="str">
        <f>INDEX(RatingLookup!$C$2:$C$11,MATCH(A617,RatingLookup!$A$2:$A$11,0))</f>
        <v>Investment Grade</v>
      </c>
    </row>
    <row r="618" spans="1:36" x14ac:dyDescent="0.3">
      <c r="A618" s="3" t="s">
        <v>42</v>
      </c>
      <c r="B618" s="3" t="s">
        <v>764</v>
      </c>
      <c r="C618" s="3" t="s">
        <v>765</v>
      </c>
      <c r="D618" s="3" t="s">
        <v>60</v>
      </c>
      <c r="E618" s="3" t="s">
        <v>766</v>
      </c>
      <c r="F618" s="3" t="s">
        <v>113</v>
      </c>
      <c r="G618" s="3">
        <v>1.733790843</v>
      </c>
      <c r="H618" s="3">
        <v>1.430605347</v>
      </c>
      <c r="I618" s="3">
        <v>0.59407968899999997</v>
      </c>
      <c r="J618" s="3">
        <v>49.525999730000002</v>
      </c>
      <c r="K618" s="3">
        <v>8.5035598000000004E-2</v>
      </c>
      <c r="L618" s="3">
        <v>7.2509814000000006E-2</v>
      </c>
      <c r="M618" s="3">
        <v>0.36647481500000001</v>
      </c>
      <c r="N618" s="3">
        <v>0.15144054800000001</v>
      </c>
      <c r="O618" s="3">
        <v>7.0010134000000002E-2</v>
      </c>
      <c r="P618" s="3">
        <v>6.8911548000000003E-2</v>
      </c>
      <c r="Q618" s="3">
        <v>0.18124446</v>
      </c>
      <c r="R618" s="3">
        <v>0.82330384300000004</v>
      </c>
      <c r="S618" s="3">
        <v>7.6434837890000003</v>
      </c>
      <c r="T618" s="3">
        <v>1.5888317670000001</v>
      </c>
      <c r="U618" s="3">
        <v>0.61372538300000001</v>
      </c>
      <c r="V618" s="3">
        <v>0.72057811400000005</v>
      </c>
      <c r="W618" s="3">
        <v>0.724627876</v>
      </c>
      <c r="X618" s="3">
        <v>6.3148584909999999</v>
      </c>
      <c r="Y618" s="3">
        <v>6.851415094</v>
      </c>
      <c r="Z618" s="3">
        <v>2.5888317669999998</v>
      </c>
      <c r="AA618" s="3">
        <v>7.2509814000000006E-2</v>
      </c>
      <c r="AB618" s="3">
        <v>10.53996366</v>
      </c>
      <c r="AC618" s="3">
        <v>8.7146226420000001</v>
      </c>
      <c r="AD618" s="3">
        <v>0.12292900399999999</v>
      </c>
      <c r="AE618" s="3">
        <v>13.490967059999999</v>
      </c>
      <c r="AF618" s="4">
        <v>42025</v>
      </c>
      <c r="AG618" s="5">
        <f>YEAR(AF618)</f>
        <v>2015</v>
      </c>
      <c r="AH618" s="5" t="str">
        <f>"Q"&amp;ROUNDUP(MONTH(AF618)/3,0)</f>
        <v>Q1</v>
      </c>
      <c r="AI618" s="5">
        <f>INDEX(RatingLookup!$B$2:$B$11,MATCH(A618,RatingLookup!$A$2:$A$11,0))</f>
        <v>7</v>
      </c>
      <c r="AJ618" s="5" t="str">
        <f>INDEX(RatingLookup!$C$2:$C$11,MATCH(A618,RatingLookup!$A$2:$A$11,0))</f>
        <v>Investment Grade</v>
      </c>
    </row>
    <row r="619" spans="1:36" x14ac:dyDescent="0.3">
      <c r="A619" s="3" t="s">
        <v>42</v>
      </c>
      <c r="B619" s="3" t="s">
        <v>764</v>
      </c>
      <c r="C619" s="3" t="s">
        <v>765</v>
      </c>
      <c r="D619" s="3" t="s">
        <v>60</v>
      </c>
      <c r="E619" s="3" t="s">
        <v>46</v>
      </c>
      <c r="F619" s="3" t="s">
        <v>113</v>
      </c>
      <c r="G619" s="3">
        <v>1.360421369</v>
      </c>
      <c r="H619" s="3">
        <v>1.1726862300000001</v>
      </c>
      <c r="I619" s="3">
        <v>0.19977426600000001</v>
      </c>
      <c r="J619" s="3">
        <v>46.086823160000002</v>
      </c>
      <c r="K619" s="3">
        <v>9.3769735000000007E-2</v>
      </c>
      <c r="L619" s="3">
        <v>0.15047904300000001</v>
      </c>
      <c r="M619" s="3">
        <v>0.41042527499999998</v>
      </c>
      <c r="N619" s="3">
        <v>0.17112029300000001</v>
      </c>
      <c r="O619" s="3">
        <v>8.4688589999999994E-2</v>
      </c>
      <c r="P619" s="3">
        <v>0.156203177</v>
      </c>
      <c r="Q619" s="3">
        <v>0.20758937499999999</v>
      </c>
      <c r="R619" s="3">
        <v>0.90315484099999999</v>
      </c>
      <c r="S619" s="3">
        <v>9.5837800449999992</v>
      </c>
      <c r="T619" s="3">
        <v>1.451208308</v>
      </c>
      <c r="U619" s="3">
        <v>0.59203793599999999</v>
      </c>
      <c r="V619" s="3">
        <v>0.399280576</v>
      </c>
      <c r="W619" s="3">
        <v>0.82971014499999995</v>
      </c>
      <c r="X619" s="3">
        <v>7.0990000000000002</v>
      </c>
      <c r="Y619" s="3">
        <v>2.3530000000000002</v>
      </c>
      <c r="Z619" s="3">
        <v>2.451208308</v>
      </c>
      <c r="AA619" s="3">
        <v>0.15047904300000001</v>
      </c>
      <c r="AB619" s="3">
        <v>9.4538904899999991</v>
      </c>
      <c r="AC619" s="3">
        <v>8.5559999999999992</v>
      </c>
      <c r="AD619" s="3">
        <v>0.154376342</v>
      </c>
      <c r="AE619" s="3">
        <v>12.674941820000001</v>
      </c>
      <c r="AF619" s="4">
        <v>41075</v>
      </c>
      <c r="AG619" s="5">
        <f>YEAR(AF619)</f>
        <v>2012</v>
      </c>
      <c r="AH619" s="5" t="str">
        <f>"Q"&amp;ROUNDUP(MONTH(AF619)/3,0)</f>
        <v>Q2</v>
      </c>
      <c r="AI619" s="5">
        <f>INDEX(RatingLookup!$B$2:$B$11,MATCH(A619,RatingLookup!$A$2:$A$11,0))</f>
        <v>7</v>
      </c>
      <c r="AJ619" s="5" t="str">
        <f>INDEX(RatingLookup!$C$2:$C$11,MATCH(A619,RatingLookup!$A$2:$A$11,0))</f>
        <v>Investment Grade</v>
      </c>
    </row>
    <row r="620" spans="1:36" x14ac:dyDescent="0.3">
      <c r="A620" s="3" t="s">
        <v>42</v>
      </c>
      <c r="B620" s="3" t="s">
        <v>764</v>
      </c>
      <c r="C620" s="3" t="s">
        <v>765</v>
      </c>
      <c r="D620" s="3" t="s">
        <v>60</v>
      </c>
      <c r="E620" s="3" t="s">
        <v>266</v>
      </c>
      <c r="F620" s="3" t="s">
        <v>113</v>
      </c>
      <c r="G620" s="3">
        <v>1.3532328629999999</v>
      </c>
      <c r="H620" s="3">
        <v>1.228293632</v>
      </c>
      <c r="I620" s="3">
        <v>0.45386485199999999</v>
      </c>
      <c r="J620" s="3">
        <v>46.24122792</v>
      </c>
      <c r="K620" s="3">
        <v>0.10281411999999999</v>
      </c>
      <c r="L620" s="3">
        <v>0.10732799699999999</v>
      </c>
      <c r="M620" s="3">
        <v>0.39667454200000002</v>
      </c>
      <c r="N620" s="3">
        <v>0.18046690400000001</v>
      </c>
      <c r="O620" s="3">
        <v>8.5813098000000004E-2</v>
      </c>
      <c r="P620" s="3">
        <v>0.105557964</v>
      </c>
      <c r="Q620" s="3">
        <v>0.21458011299999999</v>
      </c>
      <c r="R620" s="3">
        <v>0.83464311999999996</v>
      </c>
      <c r="S620" s="3">
        <v>8.9908053270000003</v>
      </c>
      <c r="T620" s="3">
        <v>1.5005519979999999</v>
      </c>
      <c r="U620" s="3">
        <v>0.60008830000000002</v>
      </c>
      <c r="V620" s="3">
        <v>0.59043864000000001</v>
      </c>
      <c r="W620" s="3">
        <v>0.79046826699999995</v>
      </c>
      <c r="X620" s="3">
        <v>6.9498432599999997</v>
      </c>
      <c r="Y620" s="3">
        <v>5.6927899689999997</v>
      </c>
      <c r="Z620" s="3">
        <v>2.5005519980000002</v>
      </c>
      <c r="AA620" s="3">
        <v>0.10732799699999999</v>
      </c>
      <c r="AB620" s="3">
        <v>8.5975911590000003</v>
      </c>
      <c r="AC620" s="3">
        <v>8.7920585160000009</v>
      </c>
      <c r="AD620" s="3">
        <v>0.14835843000000001</v>
      </c>
      <c r="AE620" s="3">
        <v>14.443647110000001</v>
      </c>
      <c r="AF620" s="4">
        <v>41141</v>
      </c>
      <c r="AG620" s="5">
        <f>YEAR(AF620)</f>
        <v>2012</v>
      </c>
      <c r="AH620" s="5" t="str">
        <f>"Q"&amp;ROUNDUP(MONTH(AF620)/3,0)</f>
        <v>Q3</v>
      </c>
      <c r="AI620" s="5">
        <f>INDEX(RatingLookup!$B$2:$B$11,MATCH(A620,RatingLookup!$A$2:$A$11,0))</f>
        <v>7</v>
      </c>
      <c r="AJ620" s="5" t="str">
        <f>INDEX(RatingLookup!$C$2:$C$11,MATCH(A620,RatingLookup!$A$2:$A$11,0))</f>
        <v>Investment Grade</v>
      </c>
    </row>
    <row r="621" spans="1:36" x14ac:dyDescent="0.3">
      <c r="A621" s="3" t="s">
        <v>42</v>
      </c>
      <c r="B621" s="3" t="s">
        <v>764</v>
      </c>
      <c r="C621" s="3" t="s">
        <v>765</v>
      </c>
      <c r="D621" s="3" t="s">
        <v>60</v>
      </c>
      <c r="E621" s="3" t="s">
        <v>767</v>
      </c>
      <c r="F621" s="3" t="s">
        <v>113</v>
      </c>
      <c r="G621" s="3">
        <v>1.946581487</v>
      </c>
      <c r="H621" s="3">
        <v>1.6380318060000001</v>
      </c>
      <c r="I621" s="3">
        <v>0.54913687600000005</v>
      </c>
      <c r="J621" s="3">
        <v>49.31141642</v>
      </c>
      <c r="K621" s="3">
        <v>9.8789663E-2</v>
      </c>
      <c r="L621" s="3">
        <v>9.8514194999999999E-2</v>
      </c>
      <c r="M621" s="3">
        <v>0.38276259800000001</v>
      </c>
      <c r="N621" s="3">
        <v>0.170600692</v>
      </c>
      <c r="O621" s="3">
        <v>8.2372701000000006E-2</v>
      </c>
      <c r="P621" s="3">
        <v>9.1842958000000002E-2</v>
      </c>
      <c r="Q621" s="3">
        <v>0.230321519</v>
      </c>
      <c r="R621" s="3">
        <v>0.83381903300000004</v>
      </c>
      <c r="S621" s="3">
        <v>8.2107718409999997</v>
      </c>
      <c r="T621" s="3">
        <v>1.796090395</v>
      </c>
      <c r="U621" s="3">
        <v>0.64235777100000002</v>
      </c>
      <c r="V621" s="3">
        <v>0.59454736100000005</v>
      </c>
      <c r="W621" s="3">
        <v>0.75302308500000004</v>
      </c>
      <c r="X621" s="3">
        <v>6.8348115299999996</v>
      </c>
      <c r="Y621" s="3">
        <v>4.6607538799999997</v>
      </c>
      <c r="Z621" s="3">
        <v>2.7960903949999998</v>
      </c>
      <c r="AA621" s="3">
        <v>9.8514194999999999E-2</v>
      </c>
      <c r="AB621" s="3">
        <v>8.7056609340000009</v>
      </c>
      <c r="AC621" s="3">
        <v>9.0764966739999995</v>
      </c>
      <c r="AD621" s="3">
        <v>0.140953463</v>
      </c>
      <c r="AE621" s="3">
        <v>11.77372742</v>
      </c>
      <c r="AF621" s="4">
        <v>41576</v>
      </c>
      <c r="AG621" s="5">
        <f>YEAR(AF621)</f>
        <v>2013</v>
      </c>
      <c r="AH621" s="5" t="str">
        <f>"Q"&amp;ROUNDUP(MONTH(AF621)/3,0)</f>
        <v>Q4</v>
      </c>
      <c r="AI621" s="5">
        <f>INDEX(RatingLookup!$B$2:$B$11,MATCH(A621,RatingLookup!$A$2:$A$11,0))</f>
        <v>7</v>
      </c>
      <c r="AJ621" s="5" t="str">
        <f>INDEX(RatingLookup!$C$2:$C$11,MATCH(A621,RatingLookup!$A$2:$A$11,0))</f>
        <v>Investment Grade</v>
      </c>
    </row>
    <row r="622" spans="1:36" x14ac:dyDescent="0.3">
      <c r="A622" s="3" t="s">
        <v>109</v>
      </c>
      <c r="B622" s="3" t="s">
        <v>768</v>
      </c>
      <c r="C622" s="3" t="s">
        <v>769</v>
      </c>
      <c r="D622" s="3" t="s">
        <v>60</v>
      </c>
      <c r="E622" s="3" t="s">
        <v>239</v>
      </c>
      <c r="F622" s="3" t="s">
        <v>174</v>
      </c>
      <c r="G622" s="3">
        <v>1.076318919</v>
      </c>
      <c r="H622" s="3">
        <v>1.6275459109999999</v>
      </c>
      <c r="I622" s="3">
        <v>0.74635771699999998</v>
      </c>
      <c r="J622" s="3">
        <v>19.086260840000001</v>
      </c>
      <c r="K622" s="3">
        <v>-4.8717811E-2</v>
      </c>
      <c r="L622" s="3">
        <v>-0.113844968</v>
      </c>
      <c r="M622" s="3">
        <v>0.90011031500000005</v>
      </c>
      <c r="N622" s="3">
        <v>-1.7000092000000001E-2</v>
      </c>
      <c r="O622" s="3">
        <v>-1.7755971999999998E-2</v>
      </c>
      <c r="P622" s="3">
        <v>-4.5533911000000003E-2</v>
      </c>
      <c r="Q622" s="3">
        <v>-8.7446558999999993E-2</v>
      </c>
      <c r="R622" s="3">
        <v>0.36446571999999999</v>
      </c>
      <c r="S622" s="3">
        <v>0.597852626</v>
      </c>
      <c r="T622" s="3">
        <v>3.9249096720000001</v>
      </c>
      <c r="U622" s="3">
        <v>0.79695059099999999</v>
      </c>
      <c r="V622" s="3">
        <v>6.302551E-3</v>
      </c>
      <c r="W622" s="3">
        <v>-0.48129549999999999</v>
      </c>
      <c r="X622" s="3">
        <v>-0.89107397099999996</v>
      </c>
      <c r="Y622" s="3">
        <v>5.8242148719999998</v>
      </c>
      <c r="Z622" s="3">
        <v>4.9249096720000001</v>
      </c>
      <c r="AA622" s="3">
        <v>-0.113844968</v>
      </c>
      <c r="AB622" s="3">
        <v>30.886566219999999</v>
      </c>
      <c r="AC622" s="3">
        <v>1.8514072349999999</v>
      </c>
      <c r="AD622" s="3">
        <v>0.10936578499999999</v>
      </c>
      <c r="AE622" s="3">
        <v>5.0430586000000002</v>
      </c>
      <c r="AF622" s="4">
        <v>42486</v>
      </c>
      <c r="AG622" s="5">
        <f>YEAR(AF622)</f>
        <v>2016</v>
      </c>
      <c r="AH622" s="5" t="str">
        <f>"Q"&amp;ROUNDUP(MONTH(AF622)/3,0)</f>
        <v>Q2</v>
      </c>
      <c r="AI622" s="5">
        <f>INDEX(RatingLookup!$B$2:$B$11,MATCH(A622,RatingLookup!$A$2:$A$11,0))</f>
        <v>5</v>
      </c>
      <c r="AJ622" s="5" t="str">
        <f>INDEX(RatingLookup!$C$2:$C$11,MATCH(A622,RatingLookup!$A$2:$A$11,0))</f>
        <v>Speculative Grade</v>
      </c>
    </row>
    <row r="623" spans="1:36" x14ac:dyDescent="0.3">
      <c r="A623" s="3" t="s">
        <v>109</v>
      </c>
      <c r="B623" s="3" t="s">
        <v>768</v>
      </c>
      <c r="C623" s="3" t="s">
        <v>769</v>
      </c>
      <c r="D623" s="3" t="s">
        <v>39</v>
      </c>
      <c r="E623" s="3" t="s">
        <v>358</v>
      </c>
      <c r="F623" s="3" t="s">
        <v>174</v>
      </c>
      <c r="G623" s="3">
        <v>1.2275559190000001</v>
      </c>
      <c r="H623" s="3">
        <v>1.6920451510000001</v>
      </c>
      <c r="I623" s="3">
        <v>0.81417695300000004</v>
      </c>
      <c r="J623" s="3">
        <v>21.206075070000001</v>
      </c>
      <c r="K623" s="3">
        <v>-1.5964463000000002E-2</v>
      </c>
      <c r="L623" s="3">
        <v>8.9467910000000008E-3</v>
      </c>
      <c r="M623" s="3">
        <v>0.91391845000000005</v>
      </c>
      <c r="N623" s="3">
        <v>0.11330786800000001</v>
      </c>
      <c r="O623" s="3">
        <v>-5.9978890000000002E-3</v>
      </c>
      <c r="P623" s="3">
        <v>3.6729660000000002E-3</v>
      </c>
      <c r="Q623" s="3">
        <v>-3.7012378999999998E-2</v>
      </c>
      <c r="R623" s="3">
        <v>0.375702547</v>
      </c>
      <c r="S623" s="3">
        <v>0.697937747</v>
      </c>
      <c r="T623" s="3">
        <v>5.1709005929999998</v>
      </c>
      <c r="U623" s="3">
        <v>0.83794909900000003</v>
      </c>
      <c r="V623" s="3">
        <v>0.35621261300000001</v>
      </c>
      <c r="W623" s="3">
        <v>0.57104440599999995</v>
      </c>
      <c r="X623" s="3">
        <v>1.5282491359999999</v>
      </c>
      <c r="Y623" s="3">
        <v>6.4912357729999997</v>
      </c>
      <c r="Z623" s="3">
        <v>6.1709005929999998</v>
      </c>
      <c r="AA623" s="3">
        <v>8.9467910000000008E-3</v>
      </c>
      <c r="AB623" s="3">
        <v>11.74848409</v>
      </c>
      <c r="AC623" s="3">
        <v>2.676235191</v>
      </c>
      <c r="AD623" s="3">
        <v>0.13358746399999999</v>
      </c>
      <c r="AE623" s="3">
        <v>3.501073833</v>
      </c>
      <c r="AF623" s="4">
        <v>41612</v>
      </c>
      <c r="AG623" s="5">
        <f>YEAR(AF623)</f>
        <v>2013</v>
      </c>
      <c r="AH623" s="5" t="str">
        <f>"Q"&amp;ROUNDUP(MONTH(AF623)/3,0)</f>
        <v>Q4</v>
      </c>
      <c r="AI623" s="5">
        <f>INDEX(RatingLookup!$B$2:$B$11,MATCH(A623,RatingLookup!$A$2:$A$11,0))</f>
        <v>5</v>
      </c>
      <c r="AJ623" s="5" t="str">
        <f>INDEX(RatingLookup!$C$2:$C$11,MATCH(A623,RatingLookup!$A$2:$A$11,0))</f>
        <v>Speculative Grade</v>
      </c>
    </row>
    <row r="624" spans="1:36" x14ac:dyDescent="0.3">
      <c r="A624" s="3" t="s">
        <v>92</v>
      </c>
      <c r="B624" s="3" t="s">
        <v>768</v>
      </c>
      <c r="C624" s="3" t="s">
        <v>769</v>
      </c>
      <c r="D624" s="3" t="s">
        <v>60</v>
      </c>
      <c r="E624" s="3" t="s">
        <v>46</v>
      </c>
      <c r="F624" s="3" t="s">
        <v>174</v>
      </c>
      <c r="G624" s="3">
        <v>1.612091951</v>
      </c>
      <c r="H624" s="3">
        <v>1.495245202</v>
      </c>
      <c r="I624" s="3">
        <v>1.069435752</v>
      </c>
      <c r="J624" s="3">
        <v>27.57209868</v>
      </c>
      <c r="K624" s="3">
        <v>0.39680382199999997</v>
      </c>
      <c r="L624" s="3">
        <v>-0.114992626</v>
      </c>
      <c r="M624" s="3">
        <v>0.89438335499999999</v>
      </c>
      <c r="N624" s="3">
        <v>0.51687918600000005</v>
      </c>
      <c r="O624" s="3">
        <v>0.112173379</v>
      </c>
      <c r="P624" s="3">
        <v>-3.4687185000000002E-2</v>
      </c>
      <c r="Q624" s="3">
        <v>0.51172218599999997</v>
      </c>
      <c r="R624" s="3">
        <v>0.28269228499999999</v>
      </c>
      <c r="S624" s="3">
        <v>0.527981433</v>
      </c>
      <c r="T624" s="3">
        <v>3.5618861700000002</v>
      </c>
      <c r="U624" s="3">
        <v>0.78079242599999998</v>
      </c>
      <c r="V624" s="3">
        <v>0.44682826399999998</v>
      </c>
      <c r="W624" s="3">
        <v>0.55379588400000002</v>
      </c>
      <c r="X624" s="3">
        <v>0.76512937599999997</v>
      </c>
      <c r="Y624" s="3">
        <v>4.1254573810000004</v>
      </c>
      <c r="Z624" s="3">
        <v>4.5618861700000002</v>
      </c>
      <c r="AA624" s="3">
        <v>-0.114992626</v>
      </c>
      <c r="AB624" s="3">
        <v>3.628869151</v>
      </c>
      <c r="AC624" s="3">
        <v>1.3816089979999999</v>
      </c>
      <c r="AD624" s="3">
        <v>8.601085E-2</v>
      </c>
      <c r="AE624" s="3">
        <v>4.848228593</v>
      </c>
      <c r="AF624" s="4">
        <v>41075</v>
      </c>
      <c r="AG624" s="5">
        <f>YEAR(AF624)</f>
        <v>2012</v>
      </c>
      <c r="AH624" s="5" t="str">
        <f>"Q"&amp;ROUNDUP(MONTH(AF624)/3,0)</f>
        <v>Q2</v>
      </c>
      <c r="AI624" s="5">
        <f>INDEX(RatingLookup!$B$2:$B$11,MATCH(A624,RatingLookup!$A$2:$A$11,0))</f>
        <v>6</v>
      </c>
      <c r="AJ624" s="5" t="str">
        <f>INDEX(RatingLookup!$C$2:$C$11,MATCH(A624,RatingLookup!$A$2:$A$11,0))</f>
        <v>Speculative Grade</v>
      </c>
    </row>
    <row r="625" spans="1:36" x14ac:dyDescent="0.3">
      <c r="A625" s="3" t="s">
        <v>92</v>
      </c>
      <c r="B625" s="3" t="s">
        <v>768</v>
      </c>
      <c r="C625" s="3" t="s">
        <v>769</v>
      </c>
      <c r="D625" s="3" t="s">
        <v>39</v>
      </c>
      <c r="E625" s="3" t="s">
        <v>770</v>
      </c>
      <c r="F625" s="3" t="s">
        <v>174</v>
      </c>
      <c r="G625" s="3">
        <v>0.88827072200000001</v>
      </c>
      <c r="H625" s="3">
        <v>0.809014283</v>
      </c>
      <c r="I625" s="3">
        <v>0.50286171199999996</v>
      </c>
      <c r="J625" s="3">
        <v>17.136599799999999</v>
      </c>
      <c r="K625" s="3">
        <v>-1.4865427000000001E-2</v>
      </c>
      <c r="L625" s="3">
        <v>4.0754477999999997E-2</v>
      </c>
      <c r="M625" s="3">
        <v>0.90984750599999997</v>
      </c>
      <c r="N625" s="3">
        <v>0.131277534</v>
      </c>
      <c r="O625" s="3">
        <v>-5.6126930000000002E-3</v>
      </c>
      <c r="P625" s="3">
        <v>1.7638691000000001E-2</v>
      </c>
      <c r="Q625" s="3">
        <v>-3.6635551000000002E-2</v>
      </c>
      <c r="R625" s="3">
        <v>0.37756688900000002</v>
      </c>
      <c r="S625" s="3">
        <v>0.69812378799999997</v>
      </c>
      <c r="T625" s="3">
        <v>5.5272678470000001</v>
      </c>
      <c r="U625" s="3">
        <v>0.84679654299999996</v>
      </c>
      <c r="V625" s="3">
        <v>0.69047862400000004</v>
      </c>
      <c r="W625" s="3">
        <v>0.15356293200000001</v>
      </c>
      <c r="X625" s="3">
        <v>0.353713267</v>
      </c>
      <c r="Y625" s="3">
        <v>4.6523351159999997</v>
      </c>
      <c r="Z625" s="3">
        <v>6.5272678470000001</v>
      </c>
      <c r="AA625" s="3">
        <v>4.0754477999999997E-2</v>
      </c>
      <c r="AB625" s="3">
        <v>10.10941991</v>
      </c>
      <c r="AC625" s="3">
        <v>2.3033766230000001</v>
      </c>
      <c r="AD625" s="3">
        <v>0.112147569</v>
      </c>
      <c r="AE625" s="3">
        <v>5.533667779</v>
      </c>
      <c r="AF625" s="4">
        <v>41879</v>
      </c>
      <c r="AG625" s="5">
        <f>YEAR(AF625)</f>
        <v>2014</v>
      </c>
      <c r="AH625" s="5" t="str">
        <f>"Q"&amp;ROUNDUP(MONTH(AF625)/3,0)</f>
        <v>Q3</v>
      </c>
      <c r="AI625" s="5">
        <f>INDEX(RatingLookup!$B$2:$B$11,MATCH(A625,RatingLookup!$A$2:$A$11,0))</f>
        <v>6</v>
      </c>
      <c r="AJ625" s="5" t="str">
        <f>INDEX(RatingLookup!$C$2:$C$11,MATCH(A625,RatingLookup!$A$2:$A$11,0))</f>
        <v>Speculative Grade</v>
      </c>
    </row>
    <row r="626" spans="1:36" x14ac:dyDescent="0.3">
      <c r="A626" s="3" t="s">
        <v>109</v>
      </c>
      <c r="B626" s="3" t="s">
        <v>768</v>
      </c>
      <c r="C626" s="3" t="s">
        <v>769</v>
      </c>
      <c r="D626" s="3" t="s">
        <v>39</v>
      </c>
      <c r="E626" s="3" t="s">
        <v>771</v>
      </c>
      <c r="F626" s="3" t="s">
        <v>174</v>
      </c>
      <c r="G626" s="3">
        <v>1.3019316379999999</v>
      </c>
      <c r="H626" s="3">
        <v>1.1451057840000001</v>
      </c>
      <c r="I626" s="3">
        <v>0.80154346200000004</v>
      </c>
      <c r="J626" s="3">
        <v>21.57875628</v>
      </c>
      <c r="K626" s="3">
        <v>-0.19296158699999999</v>
      </c>
      <c r="L626" s="3">
        <v>-0.18930712099999999</v>
      </c>
      <c r="M626" s="3">
        <v>0.90780008899999998</v>
      </c>
      <c r="N626" s="3">
        <v>8.7902380000000006E-3</v>
      </c>
      <c r="O626" s="3">
        <v>-6.7251612000000002E-2</v>
      </c>
      <c r="P626" s="3">
        <v>-7.1193737000000007E-2</v>
      </c>
      <c r="Q626" s="3">
        <v>-0.40491846599999998</v>
      </c>
      <c r="R626" s="3">
        <v>0.34852331399999997</v>
      </c>
      <c r="S626" s="3">
        <v>0.64537291900000004</v>
      </c>
      <c r="T626" s="3">
        <v>5.0209481150000004</v>
      </c>
      <c r="U626" s="3">
        <v>0.83391320099999999</v>
      </c>
      <c r="V626" s="3">
        <v>6.7639326999999999E-2</v>
      </c>
      <c r="W626" s="3">
        <v>0.53509370999999994</v>
      </c>
      <c r="X626" s="3">
        <v>0.99509190400000003</v>
      </c>
      <c r="Y626" s="3">
        <v>3.4019423789999998</v>
      </c>
      <c r="Z626" s="3">
        <v>6.0209481150000004</v>
      </c>
      <c r="AA626" s="3">
        <v>-0.18930712099999999</v>
      </c>
      <c r="AB626" s="3">
        <v>16.819924480000001</v>
      </c>
      <c r="AC626" s="3">
        <v>1.8596591330000001</v>
      </c>
      <c r="AD626" s="3">
        <v>9.9264980000000003E-2</v>
      </c>
      <c r="AE626" s="3">
        <v>4.2311842500000001</v>
      </c>
      <c r="AF626" s="4">
        <v>41436</v>
      </c>
      <c r="AG626" s="5">
        <f>YEAR(AF626)</f>
        <v>2013</v>
      </c>
      <c r="AH626" s="5" t="str">
        <f>"Q"&amp;ROUNDUP(MONTH(AF626)/3,0)</f>
        <v>Q2</v>
      </c>
      <c r="AI626" s="5">
        <f>INDEX(RatingLookup!$B$2:$B$11,MATCH(A626,RatingLookup!$A$2:$A$11,0))</f>
        <v>5</v>
      </c>
      <c r="AJ626" s="5" t="str">
        <f>INDEX(RatingLookup!$C$2:$C$11,MATCH(A626,RatingLookup!$A$2:$A$11,0))</f>
        <v>Speculative Grade</v>
      </c>
    </row>
    <row r="627" spans="1:36" x14ac:dyDescent="0.3">
      <c r="A627" s="3" t="s">
        <v>92</v>
      </c>
      <c r="B627" s="3" t="s">
        <v>768</v>
      </c>
      <c r="C627" s="3" t="s">
        <v>769</v>
      </c>
      <c r="D627" s="3" t="s">
        <v>47</v>
      </c>
      <c r="E627" s="3" t="s">
        <v>772</v>
      </c>
      <c r="F627" s="3" t="s">
        <v>174</v>
      </c>
      <c r="G627" s="3">
        <v>0.97216647099999998</v>
      </c>
      <c r="H627" s="3">
        <v>1.399633124</v>
      </c>
      <c r="I627" s="3">
        <v>0.63075248699999997</v>
      </c>
      <c r="J627" s="3">
        <v>20.958718359999999</v>
      </c>
      <c r="K627" s="3">
        <v>0.116491345</v>
      </c>
      <c r="L627" s="3">
        <v>0.13317404799999999</v>
      </c>
      <c r="M627" s="3">
        <v>0.90018078000000001</v>
      </c>
      <c r="N627" s="3">
        <v>0.219964034</v>
      </c>
      <c r="O627" s="3">
        <v>3.9095169999999999E-2</v>
      </c>
      <c r="P627" s="3">
        <v>4.8654668999999998E-2</v>
      </c>
      <c r="Q627" s="3">
        <v>0.17707526100000001</v>
      </c>
      <c r="R627" s="3">
        <v>0.33560579200000001</v>
      </c>
      <c r="S627" s="3">
        <v>0.51316750099999997</v>
      </c>
      <c r="T627" s="3">
        <v>3.5293385399999999</v>
      </c>
      <c r="U627" s="3">
        <v>0.77921720999999999</v>
      </c>
      <c r="V627" s="3">
        <v>1.7709185999999998E-2</v>
      </c>
      <c r="W627" s="3">
        <v>-0.47491153699999999</v>
      </c>
      <c r="X627" s="3">
        <v>-1.2822696760000001</v>
      </c>
      <c r="Y627" s="3">
        <v>4.6943573169999997</v>
      </c>
      <c r="Z627" s="3">
        <v>4.5293385400000004</v>
      </c>
      <c r="AA627" s="3">
        <v>0.13317404799999999</v>
      </c>
      <c r="AB627" s="3">
        <v>9.4549560760000002</v>
      </c>
      <c r="AC627" s="3">
        <v>2.7000179540000002</v>
      </c>
      <c r="AD627" s="3">
        <v>0.16223712800000001</v>
      </c>
      <c r="AE627" s="3">
        <v>3.7680226129999999</v>
      </c>
      <c r="AF627" s="4">
        <v>42586</v>
      </c>
      <c r="AG627" s="5">
        <f>YEAR(AF627)</f>
        <v>2016</v>
      </c>
      <c r="AH627" s="5" t="str">
        <f>"Q"&amp;ROUNDUP(MONTH(AF627)/3,0)</f>
        <v>Q3</v>
      </c>
      <c r="AI627" s="5">
        <f>INDEX(RatingLookup!$B$2:$B$11,MATCH(A627,RatingLookup!$A$2:$A$11,0))</f>
        <v>6</v>
      </c>
      <c r="AJ627" s="5" t="str">
        <f>INDEX(RatingLookup!$C$2:$C$11,MATCH(A627,RatingLookup!$A$2:$A$11,0))</f>
        <v>Speculative Grade</v>
      </c>
    </row>
    <row r="628" spans="1:36" x14ac:dyDescent="0.3">
      <c r="A628" s="3" t="s">
        <v>36</v>
      </c>
      <c r="B628" s="3" t="s">
        <v>773</v>
      </c>
      <c r="C628" s="3" t="s">
        <v>774</v>
      </c>
      <c r="D628" s="3" t="s">
        <v>39</v>
      </c>
      <c r="E628" s="3" t="s">
        <v>405</v>
      </c>
      <c r="F628" s="3" t="s">
        <v>53</v>
      </c>
      <c r="G628" s="3">
        <v>0.68671203400000003</v>
      </c>
      <c r="H628" s="3">
        <v>7.4110720000000003E-3</v>
      </c>
      <c r="I628" s="3">
        <v>6.6323459999999999E-3</v>
      </c>
      <c r="J628" s="3">
        <v>9.7184705999999996E-2</v>
      </c>
      <c r="K628" s="3">
        <v>0.282619913</v>
      </c>
      <c r="L628" s="3">
        <v>0.44728588000000002</v>
      </c>
      <c r="M628" s="3">
        <v>1</v>
      </c>
      <c r="N628" s="3">
        <v>0.448255825</v>
      </c>
      <c r="O628" s="3">
        <v>7.7854472999999993E-2</v>
      </c>
      <c r="P628" s="3">
        <v>0.13602806000000001</v>
      </c>
      <c r="Q628" s="3">
        <v>0.14039278899999999</v>
      </c>
      <c r="R628" s="3">
        <v>0.27547412300000002</v>
      </c>
      <c r="S628" s="3">
        <v>13.59976994</v>
      </c>
      <c r="T628" s="3">
        <v>0.80327198399999999</v>
      </c>
      <c r="U628" s="3">
        <v>0.44545248399999998</v>
      </c>
      <c r="V628" s="3">
        <v>0.36814479100000003</v>
      </c>
      <c r="W628" s="3">
        <v>1</v>
      </c>
      <c r="X628" s="3">
        <v>15.52795235</v>
      </c>
      <c r="Y628" s="3">
        <v>5.3125879000000001E-2</v>
      </c>
      <c r="Z628" s="3">
        <v>1.803271984</v>
      </c>
      <c r="AA628" s="3">
        <v>0.44728588000000002</v>
      </c>
      <c r="AB628" s="3">
        <v>6.1230438400000002</v>
      </c>
      <c r="AC628" s="3">
        <v>15.52795235</v>
      </c>
      <c r="AD628" s="3">
        <v>0.66281991799999995</v>
      </c>
      <c r="AE628" s="3">
        <v>0</v>
      </c>
      <c r="AF628" s="4">
        <v>41718</v>
      </c>
      <c r="AG628" s="5">
        <f>YEAR(AF628)</f>
        <v>2014</v>
      </c>
      <c r="AH628" s="5" t="str">
        <f>"Q"&amp;ROUNDUP(MONTH(AF628)/3,0)</f>
        <v>Q1</v>
      </c>
      <c r="AI628" s="5">
        <f>INDEX(RatingLookup!$B$2:$B$11,MATCH(A628,RatingLookup!$A$2:$A$11,0))</f>
        <v>8</v>
      </c>
      <c r="AJ628" s="5" t="str">
        <f>INDEX(RatingLookup!$C$2:$C$11,MATCH(A628,RatingLookup!$A$2:$A$11,0))</f>
        <v>Investment Grade</v>
      </c>
    </row>
    <row r="629" spans="1:36" x14ac:dyDescent="0.3">
      <c r="A629" s="3" t="s">
        <v>42</v>
      </c>
      <c r="B629" s="3" t="s">
        <v>773</v>
      </c>
      <c r="C629" s="3" t="s">
        <v>774</v>
      </c>
      <c r="D629" s="3" t="s">
        <v>47</v>
      </c>
      <c r="E629" s="3" t="s">
        <v>196</v>
      </c>
      <c r="F629" s="3" t="s">
        <v>53</v>
      </c>
      <c r="G629" s="3">
        <v>2.6286679980000001</v>
      </c>
      <c r="H629" s="3">
        <v>1.9007137860000001</v>
      </c>
      <c r="I629" s="3">
        <v>1.9006211180000001</v>
      </c>
      <c r="J629" s="3">
        <v>9.5482710000000005E-3</v>
      </c>
      <c r="K629" s="3">
        <v>-1.6583481280000001</v>
      </c>
      <c r="L629" s="3">
        <v>-2.6038376200000002</v>
      </c>
      <c r="M629" s="3">
        <v>1</v>
      </c>
      <c r="N629" s="3">
        <v>-2.5752127709999999</v>
      </c>
      <c r="O629" s="3">
        <v>-0.45943478999999998</v>
      </c>
      <c r="P629" s="3">
        <v>-0.78258071900000004</v>
      </c>
      <c r="Q629" s="3">
        <v>-0.86105262999999999</v>
      </c>
      <c r="R629" s="3">
        <v>0.27704363300000001</v>
      </c>
      <c r="S629" s="3">
        <v>6.3154876550000001</v>
      </c>
      <c r="T629" s="3">
        <v>0.87415635400000002</v>
      </c>
      <c r="U629" s="3">
        <v>0.46642658799999998</v>
      </c>
      <c r="V629" s="3">
        <v>0.36311384600000002</v>
      </c>
      <c r="W629" s="3">
        <v>1</v>
      </c>
      <c r="X629" s="3">
        <v>7.4361235380000004</v>
      </c>
      <c r="Y629" s="3">
        <v>8.3811725740000007</v>
      </c>
      <c r="Z629" s="3">
        <v>1.8741563539999999</v>
      </c>
      <c r="AA629" s="3">
        <v>-2.6038376200000002</v>
      </c>
      <c r="AB629" s="3">
        <v>-3.1582960820000001</v>
      </c>
      <c r="AC629" s="3">
        <v>7.4361235380000004</v>
      </c>
      <c r="AD629" s="3">
        <v>0.47603673099999999</v>
      </c>
      <c r="AE629" s="3">
        <v>0</v>
      </c>
      <c r="AF629" s="4">
        <v>42321</v>
      </c>
      <c r="AG629" s="5">
        <f>YEAR(AF629)</f>
        <v>2015</v>
      </c>
      <c r="AH629" s="5" t="str">
        <f>"Q"&amp;ROUNDUP(MONTH(AF629)/3,0)</f>
        <v>Q4</v>
      </c>
      <c r="AI629" s="5">
        <f>INDEX(RatingLookup!$B$2:$B$11,MATCH(A629,RatingLookup!$A$2:$A$11,0))</f>
        <v>7</v>
      </c>
      <c r="AJ629" s="5" t="str">
        <f>INDEX(RatingLookup!$C$2:$C$11,MATCH(A629,RatingLookup!$A$2:$A$11,0))</f>
        <v>Investment Grade</v>
      </c>
    </row>
    <row r="630" spans="1:36" x14ac:dyDescent="0.3">
      <c r="A630" s="3" t="s">
        <v>92</v>
      </c>
      <c r="B630" s="3" t="s">
        <v>773</v>
      </c>
      <c r="C630" s="3" t="s">
        <v>774</v>
      </c>
      <c r="D630" s="3" t="s">
        <v>39</v>
      </c>
      <c r="E630" s="3" t="s">
        <v>84</v>
      </c>
      <c r="F630" s="3" t="s">
        <v>53</v>
      </c>
      <c r="G630" s="3">
        <v>1.200272566</v>
      </c>
      <c r="H630" s="3">
        <v>0.523359358</v>
      </c>
      <c r="I630" s="3">
        <v>0.52279773900000004</v>
      </c>
      <c r="J630" s="3">
        <v>6.5647048999999999E-2</v>
      </c>
      <c r="K630" s="3">
        <v>0.20922738299999999</v>
      </c>
      <c r="L630" s="3">
        <v>0.33244327099999998</v>
      </c>
      <c r="M630" s="3">
        <v>1</v>
      </c>
      <c r="N630" s="3">
        <v>0.33575697500000001</v>
      </c>
      <c r="O630" s="3">
        <v>5.8130310999999997E-2</v>
      </c>
      <c r="P630" s="3">
        <v>0.101384381</v>
      </c>
      <c r="Q630" s="3">
        <v>0.112696172</v>
      </c>
      <c r="R630" s="3">
        <v>0.27783319099999998</v>
      </c>
      <c r="S630" s="3">
        <v>11.48729807</v>
      </c>
      <c r="T630" s="3">
        <v>0.93868172299999997</v>
      </c>
      <c r="U630" s="3">
        <v>0.48418557400000001</v>
      </c>
      <c r="V630" s="3">
        <v>0.37063733599999998</v>
      </c>
      <c r="W630" s="3">
        <v>1</v>
      </c>
      <c r="X630" s="3">
        <v>18.900372319999999</v>
      </c>
      <c r="Y630" s="3">
        <v>4.7370067340000004</v>
      </c>
      <c r="Z630" s="3">
        <v>1.938681723</v>
      </c>
      <c r="AA630" s="3">
        <v>0.33244327099999998</v>
      </c>
      <c r="AB630" s="3">
        <v>6.1336338359999996</v>
      </c>
      <c r="AC630" s="3">
        <v>18.900372319999999</v>
      </c>
      <c r="AD630" s="3">
        <v>0.66800636599999996</v>
      </c>
      <c r="AE630" s="3">
        <v>0</v>
      </c>
      <c r="AF630" s="4">
        <v>42150</v>
      </c>
      <c r="AG630" s="5">
        <f>YEAR(AF630)</f>
        <v>2015</v>
      </c>
      <c r="AH630" s="5" t="str">
        <f>"Q"&amp;ROUNDUP(MONTH(AF630)/3,0)</f>
        <v>Q2</v>
      </c>
      <c r="AI630" s="5">
        <f>INDEX(RatingLookup!$B$2:$B$11,MATCH(A630,RatingLookup!$A$2:$A$11,0))</f>
        <v>6</v>
      </c>
      <c r="AJ630" s="5" t="str">
        <f>INDEX(RatingLookup!$C$2:$C$11,MATCH(A630,RatingLookup!$A$2:$A$11,0))</f>
        <v>Speculative Grade</v>
      </c>
    </row>
    <row r="631" spans="1:36" x14ac:dyDescent="0.3">
      <c r="A631" s="3" t="s">
        <v>92</v>
      </c>
      <c r="B631" s="3" t="s">
        <v>773</v>
      </c>
      <c r="C631" s="3" t="s">
        <v>774</v>
      </c>
      <c r="D631" s="3" t="s">
        <v>60</v>
      </c>
      <c r="E631" s="3" t="s">
        <v>46</v>
      </c>
      <c r="F631" s="3" t="s">
        <v>53</v>
      </c>
      <c r="G631" s="3">
        <v>0.74292718800000002</v>
      </c>
      <c r="H631" s="3">
        <v>8.1205311000000002E-2</v>
      </c>
      <c r="I631" s="3">
        <v>3.9036959999999999E-3</v>
      </c>
      <c r="J631" s="3">
        <v>9.8925813859999998</v>
      </c>
      <c r="K631" s="3">
        <v>0.30145930700000001</v>
      </c>
      <c r="L631" s="3">
        <v>0.47868835900000001</v>
      </c>
      <c r="M631" s="3">
        <v>1</v>
      </c>
      <c r="N631" s="3">
        <v>0.47686571799999999</v>
      </c>
      <c r="O631" s="3">
        <v>9.7618951999999995E-2</v>
      </c>
      <c r="P631" s="3">
        <v>0.174862715</v>
      </c>
      <c r="Q631" s="3">
        <v>0.16927419599999999</v>
      </c>
      <c r="R631" s="3">
        <v>0.32382132600000002</v>
      </c>
      <c r="S631" s="3">
        <v>14.870270270000001</v>
      </c>
      <c r="T631" s="3">
        <v>0.73403004500000002</v>
      </c>
      <c r="U631" s="3">
        <v>0.423308723</v>
      </c>
      <c r="V631" s="3">
        <v>0.37023889999999998</v>
      </c>
      <c r="W631" s="3">
        <v>1</v>
      </c>
      <c r="X631" s="3">
        <v>15.055514130000001</v>
      </c>
      <c r="Y631" s="3">
        <v>2.803085E-2</v>
      </c>
      <c r="Z631" s="3">
        <v>1.7340300449999999</v>
      </c>
      <c r="AA631" s="3">
        <v>0.47868835900000001</v>
      </c>
      <c r="AB631" s="3">
        <v>4.3585050680000004</v>
      </c>
      <c r="AC631" s="3">
        <v>15.055514130000001</v>
      </c>
      <c r="AD631" s="3">
        <v>0.73512889599999998</v>
      </c>
      <c r="AE631" s="3">
        <v>0</v>
      </c>
      <c r="AF631" s="4">
        <v>41075</v>
      </c>
      <c r="AG631" s="5">
        <f>YEAR(AF631)</f>
        <v>2012</v>
      </c>
      <c r="AH631" s="5" t="str">
        <f>"Q"&amp;ROUNDUP(MONTH(AF631)/3,0)</f>
        <v>Q2</v>
      </c>
      <c r="AI631" s="5">
        <f>INDEX(RatingLookup!$B$2:$B$11,MATCH(A631,RatingLookup!$A$2:$A$11,0))</f>
        <v>6</v>
      </c>
      <c r="AJ631" s="5" t="str">
        <f>INDEX(RatingLookup!$C$2:$C$11,MATCH(A631,RatingLookup!$A$2:$A$11,0))</f>
        <v>Speculative Grade</v>
      </c>
    </row>
    <row r="632" spans="1:36" x14ac:dyDescent="0.3">
      <c r="A632" s="3" t="s">
        <v>42</v>
      </c>
      <c r="B632" s="3" t="s">
        <v>775</v>
      </c>
      <c r="C632" s="3" t="s">
        <v>776</v>
      </c>
      <c r="D632" s="3" t="s">
        <v>39</v>
      </c>
      <c r="E632" s="3" t="s">
        <v>364</v>
      </c>
      <c r="F632" s="3" t="s">
        <v>113</v>
      </c>
      <c r="G632" s="3">
        <v>1.104132063</v>
      </c>
      <c r="H632" s="3">
        <v>0.56730280300000002</v>
      </c>
      <c r="I632" s="3">
        <v>0.14213077499999999</v>
      </c>
      <c r="J632" s="3">
        <v>33.269589930000002</v>
      </c>
      <c r="K632" s="3">
        <v>9.1781789999999999E-3</v>
      </c>
      <c r="L632" s="3">
        <v>1.5231562000000001E-2</v>
      </c>
      <c r="M632" s="3">
        <v>6.0381224999999997E-2</v>
      </c>
      <c r="N632" s="3">
        <v>1.720091E-2</v>
      </c>
      <c r="O632" s="3">
        <v>2.4401552999999999E-2</v>
      </c>
      <c r="P632" s="3">
        <v>9.4168389000000005E-2</v>
      </c>
      <c r="Q632" s="3">
        <v>0.14820464699999999</v>
      </c>
      <c r="R632" s="3">
        <v>2.658648737</v>
      </c>
      <c r="S632" s="3">
        <v>61.930243019999999</v>
      </c>
      <c r="T632" s="3">
        <v>5.0735742779999997</v>
      </c>
      <c r="U632" s="3">
        <v>0.83535230599999999</v>
      </c>
      <c r="V632" s="3">
        <v>0.35400763400000002</v>
      </c>
      <c r="W632" s="3">
        <v>0.91262755100000004</v>
      </c>
      <c r="X632" s="3">
        <v>12.2832618</v>
      </c>
      <c r="Y632" s="3">
        <v>17.995708149999999</v>
      </c>
      <c r="Z632" s="3">
        <v>6.0735742779999997</v>
      </c>
      <c r="AA632" s="3">
        <v>1.5231562000000001E-2</v>
      </c>
      <c r="AB632" s="3">
        <v>14.848997069999999</v>
      </c>
      <c r="AC632" s="3">
        <v>13.45922747</v>
      </c>
      <c r="AD632" s="3">
        <v>2.2789206999999999E-2</v>
      </c>
      <c r="AE632" s="3">
        <v>6.0338793219999998</v>
      </c>
      <c r="AF632" s="4">
        <v>41947</v>
      </c>
      <c r="AG632" s="5">
        <f>YEAR(AF632)</f>
        <v>2014</v>
      </c>
      <c r="AH632" s="5" t="str">
        <f>"Q"&amp;ROUNDUP(MONTH(AF632)/3,0)</f>
        <v>Q4</v>
      </c>
      <c r="AI632" s="5">
        <f>INDEX(RatingLookup!$B$2:$B$11,MATCH(A632,RatingLookup!$A$2:$A$11,0))</f>
        <v>7</v>
      </c>
      <c r="AJ632" s="5" t="str">
        <f>INDEX(RatingLookup!$C$2:$C$11,MATCH(A632,RatingLookup!$A$2:$A$11,0))</f>
        <v>Investment Grade</v>
      </c>
    </row>
    <row r="633" spans="1:36" x14ac:dyDescent="0.3">
      <c r="A633" s="3" t="s">
        <v>42</v>
      </c>
      <c r="B633" s="3" t="s">
        <v>775</v>
      </c>
      <c r="C633" s="3" t="s">
        <v>776</v>
      </c>
      <c r="D633" s="3" t="s">
        <v>60</v>
      </c>
      <c r="E633" s="3" t="s">
        <v>777</v>
      </c>
      <c r="F633" s="3" t="s">
        <v>113</v>
      </c>
      <c r="G633" s="3">
        <v>1.0848902</v>
      </c>
      <c r="H633" s="3">
        <v>0.52156201700000004</v>
      </c>
      <c r="I633" s="3">
        <v>0.114997425</v>
      </c>
      <c r="J633" s="3">
        <v>25.881303339999999</v>
      </c>
      <c r="K633" s="3">
        <v>1.0926463000000001E-2</v>
      </c>
      <c r="L633" s="3">
        <v>1.5671062999999999E-2</v>
      </c>
      <c r="M633" s="3">
        <v>5.7033196000000001E-2</v>
      </c>
      <c r="N633" s="3">
        <v>1.8904904E-2</v>
      </c>
      <c r="O633" s="3">
        <v>3.8463749999999998E-2</v>
      </c>
      <c r="P633" s="3">
        <v>0.14289969499999999</v>
      </c>
      <c r="Q633" s="3">
        <v>0.18925035400000001</v>
      </c>
      <c r="R633" s="3">
        <v>3.520238027</v>
      </c>
      <c r="S633" s="3">
        <v>92.698713100000006</v>
      </c>
      <c r="T633" s="3">
        <v>3.9202263080000002</v>
      </c>
      <c r="U633" s="3">
        <v>0.79675731599999999</v>
      </c>
      <c r="V633" s="3">
        <v>0.30276185500000002</v>
      </c>
      <c r="W633" s="3">
        <v>0.90092629899999999</v>
      </c>
      <c r="X633" s="3">
        <v>9.3598326360000002</v>
      </c>
      <c r="Y633" s="3">
        <v>10.27615063</v>
      </c>
      <c r="Z633" s="3">
        <v>4.9202263080000002</v>
      </c>
      <c r="AA633" s="3">
        <v>1.5671062999999999E-2</v>
      </c>
      <c r="AB633" s="3">
        <v>9.5347487960000006</v>
      </c>
      <c r="AC633" s="3">
        <v>10.389121340000001</v>
      </c>
      <c r="AD633" s="3">
        <v>2.0276835999999999E-2</v>
      </c>
      <c r="AE633" s="3">
        <v>7.1685497890000001</v>
      </c>
      <c r="AF633" s="4">
        <v>41703</v>
      </c>
      <c r="AG633" s="5">
        <f>YEAR(AF633)</f>
        <v>2014</v>
      </c>
      <c r="AH633" s="5" t="str">
        <f>"Q"&amp;ROUNDUP(MONTH(AF633)/3,0)</f>
        <v>Q1</v>
      </c>
      <c r="AI633" s="5">
        <f>INDEX(RatingLookup!$B$2:$B$11,MATCH(A633,RatingLookup!$A$2:$A$11,0))</f>
        <v>7</v>
      </c>
      <c r="AJ633" s="5" t="str">
        <f>INDEX(RatingLookup!$C$2:$C$11,MATCH(A633,RatingLookup!$A$2:$A$11,0))</f>
        <v>Investment Grade</v>
      </c>
    </row>
    <row r="634" spans="1:36" x14ac:dyDescent="0.3">
      <c r="A634" s="3" t="s">
        <v>42</v>
      </c>
      <c r="B634" s="3" t="s">
        <v>775</v>
      </c>
      <c r="C634" s="3" t="s">
        <v>776</v>
      </c>
      <c r="D634" s="3" t="s">
        <v>39</v>
      </c>
      <c r="E634" s="3" t="s">
        <v>778</v>
      </c>
      <c r="F634" s="3" t="s">
        <v>113</v>
      </c>
      <c r="G634" s="3">
        <v>1.094724901</v>
      </c>
      <c r="H634" s="3">
        <v>0.63954981</v>
      </c>
      <c r="I634" s="3">
        <v>0.159447115</v>
      </c>
      <c r="J634" s="3">
        <v>32.784663070000001</v>
      </c>
      <c r="K634" s="3">
        <v>8.2437380000000005E-3</v>
      </c>
      <c r="L634" s="3">
        <v>1.4839845000000001E-2</v>
      </c>
      <c r="M634" s="3">
        <v>6.3732580999999996E-2</v>
      </c>
      <c r="N634" s="3">
        <v>1.6576838E-2</v>
      </c>
      <c r="O634" s="3">
        <v>2.7399295000000001E-2</v>
      </c>
      <c r="P634" s="3">
        <v>0.13041770999999999</v>
      </c>
      <c r="Q634" s="3">
        <v>0.18447694000000001</v>
      </c>
      <c r="R634" s="3">
        <v>3.3236495270000002</v>
      </c>
      <c r="S634" s="3">
        <v>87.552567240000002</v>
      </c>
      <c r="T634" s="3">
        <v>5.7329083860000001</v>
      </c>
      <c r="U634" s="3">
        <v>0.85147577500000005</v>
      </c>
      <c r="V634" s="3">
        <v>0.306736921</v>
      </c>
      <c r="W634" s="3">
        <v>0.87917737799999995</v>
      </c>
      <c r="X634" s="3">
        <v>11.642553189999999</v>
      </c>
      <c r="Y634" s="3">
        <v>22.72765957</v>
      </c>
      <c r="Z634" s="3">
        <v>6.7329083860000001</v>
      </c>
      <c r="AA634" s="3">
        <v>1.4839845000000001E-2</v>
      </c>
      <c r="AB634" s="3">
        <v>14.27026349</v>
      </c>
      <c r="AC634" s="3">
        <v>13.242553190000001</v>
      </c>
      <c r="AD634" s="3">
        <v>1.7381105000000001E-2</v>
      </c>
      <c r="AE634" s="3">
        <v>6.6611300959999999</v>
      </c>
      <c r="AF634" s="4">
        <v>42319</v>
      </c>
      <c r="AG634" s="5">
        <f>YEAR(AF634)</f>
        <v>2015</v>
      </c>
      <c r="AH634" s="5" t="str">
        <f>"Q"&amp;ROUNDUP(MONTH(AF634)/3,0)</f>
        <v>Q4</v>
      </c>
      <c r="AI634" s="5">
        <f>INDEX(RatingLookup!$B$2:$B$11,MATCH(A634,RatingLookup!$A$2:$A$11,0))</f>
        <v>7</v>
      </c>
      <c r="AJ634" s="5" t="str">
        <f>INDEX(RatingLookup!$C$2:$C$11,MATCH(A634,RatingLookup!$A$2:$A$11,0))</f>
        <v>Investment Grade</v>
      </c>
    </row>
    <row r="635" spans="1:36" x14ac:dyDescent="0.3">
      <c r="A635" s="3" t="s">
        <v>42</v>
      </c>
      <c r="B635" s="3" t="s">
        <v>775</v>
      </c>
      <c r="C635" s="3" t="s">
        <v>776</v>
      </c>
      <c r="D635" s="3" t="s">
        <v>60</v>
      </c>
      <c r="E635" s="3" t="s">
        <v>444</v>
      </c>
      <c r="F635" s="3" t="s">
        <v>113</v>
      </c>
      <c r="G635" s="3">
        <v>1.0883980449999999</v>
      </c>
      <c r="H635" s="3">
        <v>0.54002582300000002</v>
      </c>
      <c r="I635" s="3">
        <v>0.14520889100000001</v>
      </c>
      <c r="J635" s="3">
        <v>25.462626490000002</v>
      </c>
      <c r="K635" s="3">
        <v>1.1431225E-2</v>
      </c>
      <c r="L635" s="3">
        <v>1.5635439000000001E-2</v>
      </c>
      <c r="M635" s="3">
        <v>5.3505956E-2</v>
      </c>
      <c r="N635" s="3">
        <v>1.7509410999999999E-2</v>
      </c>
      <c r="O635" s="3">
        <v>4.2395673000000002E-2</v>
      </c>
      <c r="P635" s="3">
        <v>0.168230034</v>
      </c>
      <c r="Q635" s="3">
        <v>0.20538720499999999</v>
      </c>
      <c r="R635" s="3">
        <v>3.7087601609999998</v>
      </c>
      <c r="S635" s="3">
        <v>117.6740173</v>
      </c>
      <c r="T635" s="3">
        <v>3.8445322790000001</v>
      </c>
      <c r="U635" s="3">
        <v>0.79358172400000004</v>
      </c>
      <c r="V635" s="3">
        <v>0.26889004700000002</v>
      </c>
      <c r="W635" s="3">
        <v>0.92372881399999995</v>
      </c>
      <c r="X635" s="3">
        <v>10.856573709999999</v>
      </c>
      <c r="Y635" s="3">
        <v>12.54581673</v>
      </c>
      <c r="Z635" s="3">
        <v>4.8445322790000001</v>
      </c>
      <c r="AA635" s="3">
        <v>1.5635439000000001E-2</v>
      </c>
      <c r="AB635" s="3">
        <v>8.6573740739999998</v>
      </c>
      <c r="AC635" s="3">
        <v>11.752988050000001</v>
      </c>
      <c r="AD635" s="3">
        <v>2.403572E-2</v>
      </c>
      <c r="AE635" s="3">
        <v>7.2090728559999997</v>
      </c>
      <c r="AF635" s="4">
        <v>41338</v>
      </c>
      <c r="AG635" s="5">
        <f>YEAR(AF635)</f>
        <v>2013</v>
      </c>
      <c r="AH635" s="5" t="str">
        <f>"Q"&amp;ROUNDUP(MONTH(AF635)/3,0)</f>
        <v>Q1</v>
      </c>
      <c r="AI635" s="5">
        <f>INDEX(RatingLookup!$B$2:$B$11,MATCH(A635,RatingLookup!$A$2:$A$11,0))</f>
        <v>7</v>
      </c>
      <c r="AJ635" s="5" t="str">
        <f>INDEX(RatingLookup!$C$2:$C$11,MATCH(A635,RatingLookup!$A$2:$A$11,0))</f>
        <v>Investment Grade</v>
      </c>
    </row>
    <row r="636" spans="1:36" x14ac:dyDescent="0.3">
      <c r="A636" s="3" t="s">
        <v>109</v>
      </c>
      <c r="B636" s="3" t="s">
        <v>779</v>
      </c>
      <c r="C636" s="3" t="s">
        <v>780</v>
      </c>
      <c r="D636" s="3" t="s">
        <v>44</v>
      </c>
      <c r="E636" s="3" t="s">
        <v>495</v>
      </c>
      <c r="F636" s="3" t="s">
        <v>53</v>
      </c>
      <c r="G636" s="3">
        <v>0.55586987300000001</v>
      </c>
      <c r="H636" s="3">
        <v>0.48797736899999999</v>
      </c>
      <c r="I636" s="3">
        <v>2.1216407E-2</v>
      </c>
      <c r="J636" s="3">
        <v>38.096074049999999</v>
      </c>
      <c r="K636" s="3">
        <v>-1.454197255</v>
      </c>
      <c r="L636" s="3">
        <v>-2.094158953</v>
      </c>
      <c r="M636" s="3">
        <v>0.47302904600000001</v>
      </c>
      <c r="N636" s="3">
        <v>-2.0817108200000001</v>
      </c>
      <c r="O636" s="3">
        <v>-0.56344298800000003</v>
      </c>
      <c r="P636" s="3">
        <v>-0.85390974399999997</v>
      </c>
      <c r="Q636" s="3">
        <v>-1.996494303</v>
      </c>
      <c r="R636" s="3">
        <v>0.38745980699999999</v>
      </c>
      <c r="S636" s="3">
        <v>0.41535198200000001</v>
      </c>
      <c r="T636" s="3">
        <v>2.5433829970000001</v>
      </c>
      <c r="U636" s="3">
        <v>0.71778382399999996</v>
      </c>
      <c r="V636" s="3">
        <v>0.30559365999999999</v>
      </c>
      <c r="W636" s="3">
        <v>0.32341772200000002</v>
      </c>
      <c r="X636" s="3">
        <v>1.3290727790000001</v>
      </c>
      <c r="Y636" s="3">
        <v>4.6816653999999999E-2</v>
      </c>
      <c r="Z636" s="3">
        <v>3.5433829970000001</v>
      </c>
      <c r="AA636" s="3">
        <v>-2.0111714009999999</v>
      </c>
      <c r="AB636" s="3">
        <v>-1.558015752</v>
      </c>
      <c r="AC636" s="3">
        <v>4.1094618199999999</v>
      </c>
      <c r="AD636" s="3">
        <v>0.504308969</v>
      </c>
      <c r="AE636" s="3">
        <v>3.218323587</v>
      </c>
      <c r="AF636" s="4">
        <v>42438</v>
      </c>
      <c r="AG636" s="5">
        <f>YEAR(AF636)</f>
        <v>2016</v>
      </c>
      <c r="AH636" s="5" t="str">
        <f>"Q"&amp;ROUNDUP(MONTH(AF636)/3,0)</f>
        <v>Q1</v>
      </c>
      <c r="AI636" s="5">
        <f>INDEX(RatingLookup!$B$2:$B$11,MATCH(A636,RatingLookup!$A$2:$A$11,0))</f>
        <v>5</v>
      </c>
      <c r="AJ636" s="5" t="str">
        <f>INDEX(RatingLookup!$C$2:$C$11,MATCH(A636,RatingLookup!$A$2:$A$11,0))</f>
        <v>Speculative Grade</v>
      </c>
    </row>
    <row r="637" spans="1:36" x14ac:dyDescent="0.3">
      <c r="A637" s="3" t="s">
        <v>42</v>
      </c>
      <c r="B637" s="3" t="s">
        <v>779</v>
      </c>
      <c r="C637" s="3" t="s">
        <v>780</v>
      </c>
      <c r="D637" s="3" t="s">
        <v>60</v>
      </c>
      <c r="E637" s="3" t="s">
        <v>46</v>
      </c>
      <c r="F637" s="3" t="s">
        <v>53</v>
      </c>
      <c r="G637" s="3">
        <v>1.105507547</v>
      </c>
      <c r="H637" s="3">
        <v>0.404041979</v>
      </c>
      <c r="I637" s="3">
        <v>1.7659363000000001E-2</v>
      </c>
      <c r="J637" s="3">
        <v>42.285644240000003</v>
      </c>
      <c r="K637" s="3">
        <v>0.21609530900000001</v>
      </c>
      <c r="L637" s="3">
        <v>0.35610700499999998</v>
      </c>
      <c r="M637" s="3">
        <v>0.65590011599999998</v>
      </c>
      <c r="N637" s="3">
        <v>0.363641569</v>
      </c>
      <c r="O637" s="3">
        <v>8.0700659999999994E-2</v>
      </c>
      <c r="P637" s="3">
        <v>0.159692157</v>
      </c>
      <c r="Q637" s="3">
        <v>0.16067527200000001</v>
      </c>
      <c r="R637" s="3">
        <v>0.373449382</v>
      </c>
      <c r="S637" s="3">
        <v>0.44411118500000002</v>
      </c>
      <c r="T637" s="3">
        <v>0.99100320900000005</v>
      </c>
      <c r="U637" s="3">
        <v>0.49774063899999998</v>
      </c>
      <c r="V637" s="3">
        <v>0.39317310300000002</v>
      </c>
      <c r="W637" s="3">
        <v>-0.16675949300000001</v>
      </c>
      <c r="X637" s="3">
        <v>-0.83289737699999999</v>
      </c>
      <c r="Y637" s="3">
        <v>4.4861415000000002E-2</v>
      </c>
      <c r="Z637" s="3">
        <v>1.9910032090000001</v>
      </c>
      <c r="AA637" s="3">
        <v>0.379732609</v>
      </c>
      <c r="AB637" s="3">
        <v>7.9448091940000003</v>
      </c>
      <c r="AC637" s="3">
        <v>4.9946024920000003</v>
      </c>
      <c r="AD637" s="3">
        <v>0.58950229899999995</v>
      </c>
      <c r="AE637" s="3">
        <v>1.9755111649999999</v>
      </c>
      <c r="AF637" s="4">
        <v>41075</v>
      </c>
      <c r="AG637" s="5">
        <f>YEAR(AF637)</f>
        <v>2012</v>
      </c>
      <c r="AH637" s="5" t="str">
        <f>"Q"&amp;ROUNDUP(MONTH(AF637)/3,0)</f>
        <v>Q2</v>
      </c>
      <c r="AI637" s="5">
        <f>INDEX(RatingLookup!$B$2:$B$11,MATCH(A637,RatingLookup!$A$2:$A$11,0))</f>
        <v>7</v>
      </c>
      <c r="AJ637" s="5" t="str">
        <f>INDEX(RatingLookup!$C$2:$C$11,MATCH(A637,RatingLookup!$A$2:$A$11,0))</f>
        <v>Investment Grade</v>
      </c>
    </row>
    <row r="638" spans="1:36" x14ac:dyDescent="0.3">
      <c r="A638" s="3" t="s">
        <v>42</v>
      </c>
      <c r="B638" s="3" t="s">
        <v>779</v>
      </c>
      <c r="C638" s="3" t="s">
        <v>780</v>
      </c>
      <c r="D638" s="3" t="s">
        <v>60</v>
      </c>
      <c r="E638" s="3" t="s">
        <v>334</v>
      </c>
      <c r="F638" s="3" t="s">
        <v>53</v>
      </c>
      <c r="G638" s="3">
        <v>0.20541635999999999</v>
      </c>
      <c r="H638" s="3">
        <v>9.7641859999999994E-3</v>
      </c>
      <c r="I638" s="3">
        <v>9.7641859999999994E-3</v>
      </c>
      <c r="J638" s="3">
        <v>0</v>
      </c>
      <c r="K638" s="3">
        <v>0.228826152</v>
      </c>
      <c r="L638" s="3">
        <v>0.35884101000000002</v>
      </c>
      <c r="M638" s="3">
        <v>0.50049529500000001</v>
      </c>
      <c r="N638" s="3">
        <v>0.34001981199999998</v>
      </c>
      <c r="O638" s="3">
        <v>6.1909548000000002E-2</v>
      </c>
      <c r="P638" s="3">
        <v>0.14457196999999999</v>
      </c>
      <c r="Q638" s="3">
        <v>0.19819819799999999</v>
      </c>
      <c r="R638" s="3">
        <v>0.270552764</v>
      </c>
      <c r="S638" s="3">
        <v>0.29448658100000003</v>
      </c>
      <c r="T638" s="3">
        <v>2.2014157010000002</v>
      </c>
      <c r="U638" s="3">
        <v>0.68763819100000001</v>
      </c>
      <c r="V638" s="3">
        <v>0.362318841</v>
      </c>
      <c r="W638" s="3">
        <v>0.12505353299999999</v>
      </c>
      <c r="X638" s="3">
        <v>0.83085133799999999</v>
      </c>
      <c r="Y638" s="3">
        <v>0.150805209</v>
      </c>
      <c r="Z638" s="3">
        <v>3.2014157010000002</v>
      </c>
      <c r="AA638" s="3">
        <v>0.34001981199999998</v>
      </c>
      <c r="AB638" s="3">
        <v>7.6899520460000002</v>
      </c>
      <c r="AC638" s="3">
        <v>6.6439653229999998</v>
      </c>
      <c r="AD638" s="3">
        <v>0.57825656299999995</v>
      </c>
      <c r="AE638" s="3">
        <v>3.0888208270000002</v>
      </c>
      <c r="AF638" s="4">
        <v>42024</v>
      </c>
      <c r="AG638" s="5">
        <f>YEAR(AF638)</f>
        <v>2015</v>
      </c>
      <c r="AH638" s="5" t="str">
        <f>"Q"&amp;ROUNDUP(MONTH(AF638)/3,0)</f>
        <v>Q1</v>
      </c>
      <c r="AI638" s="5">
        <f>INDEX(RatingLookup!$B$2:$B$11,MATCH(A638,RatingLookup!$A$2:$A$11,0))</f>
        <v>7</v>
      </c>
      <c r="AJ638" s="5" t="str">
        <f>INDEX(RatingLookup!$C$2:$C$11,MATCH(A638,RatingLookup!$A$2:$A$11,0))</f>
        <v>Investment Grade</v>
      </c>
    </row>
    <row r="639" spans="1:36" x14ac:dyDescent="0.3">
      <c r="A639" s="3" t="s">
        <v>92</v>
      </c>
      <c r="B639" s="3" t="s">
        <v>781</v>
      </c>
      <c r="C639" s="3" t="s">
        <v>782</v>
      </c>
      <c r="D639" s="3" t="s">
        <v>39</v>
      </c>
      <c r="E639" s="3" t="s">
        <v>85</v>
      </c>
      <c r="F639" s="3" t="s">
        <v>53</v>
      </c>
      <c r="G639" s="3">
        <v>2.0380228140000001</v>
      </c>
      <c r="H639" s="3">
        <v>0.79684953800000002</v>
      </c>
      <c r="I639" s="3">
        <v>0.79684953800000002</v>
      </c>
      <c r="J639" s="3">
        <v>0</v>
      </c>
      <c r="K639" s="3">
        <v>-101.845815</v>
      </c>
      <c r="L639" s="3">
        <v>-124.3436123</v>
      </c>
      <c r="M639" s="3">
        <v>1</v>
      </c>
      <c r="N639" s="3">
        <v>-124.3436123</v>
      </c>
      <c r="O639" s="3">
        <v>-1.2269928880000001</v>
      </c>
      <c r="P639" s="3">
        <v>-1.660255279</v>
      </c>
      <c r="Q639" s="3">
        <v>-9.0097427900000007</v>
      </c>
      <c r="R639" s="3">
        <v>1.2047553000000001E-2</v>
      </c>
      <c r="S639" s="3">
        <v>1.6077626000000001E-2</v>
      </c>
      <c r="T639" s="3">
        <v>6.34294622</v>
      </c>
      <c r="U639" s="3">
        <v>0.86381488200000001</v>
      </c>
      <c r="V639" s="3">
        <v>-1.0947353999999999E-2</v>
      </c>
      <c r="W639" s="3">
        <v>1</v>
      </c>
      <c r="X639" s="3">
        <v>7.8941798939999996</v>
      </c>
      <c r="Y639" s="3">
        <v>3.8809523810000002</v>
      </c>
      <c r="Z639" s="3">
        <v>7.34294622</v>
      </c>
      <c r="AA639" s="3">
        <v>-124.3436123</v>
      </c>
      <c r="AB639" s="3">
        <v>21.4774171</v>
      </c>
      <c r="AC639" s="3">
        <v>7.8941798939999996</v>
      </c>
      <c r="AD639" s="3">
        <v>13.14537445</v>
      </c>
      <c r="AE639" s="3">
        <v>0</v>
      </c>
      <c r="AF639" s="4">
        <v>42269</v>
      </c>
      <c r="AG639" s="5">
        <f>YEAR(AF639)</f>
        <v>2015</v>
      </c>
      <c r="AH639" s="5" t="str">
        <f>"Q"&amp;ROUNDUP(MONTH(AF639)/3,0)</f>
        <v>Q3</v>
      </c>
      <c r="AI639" s="5">
        <f>INDEX(RatingLookup!$B$2:$B$11,MATCH(A639,RatingLookup!$A$2:$A$11,0))</f>
        <v>6</v>
      </c>
      <c r="AJ639" s="5" t="str">
        <f>INDEX(RatingLookup!$C$2:$C$11,MATCH(A639,RatingLookup!$A$2:$A$11,0))</f>
        <v>Speculative Grade</v>
      </c>
    </row>
    <row r="640" spans="1:36" x14ac:dyDescent="0.3">
      <c r="A640" s="3" t="s">
        <v>42</v>
      </c>
      <c r="B640" s="3" t="s">
        <v>781</v>
      </c>
      <c r="C640" s="3" t="s">
        <v>782</v>
      </c>
      <c r="D640" s="3" t="s">
        <v>60</v>
      </c>
      <c r="E640" s="3" t="s">
        <v>783</v>
      </c>
      <c r="F640" s="3" t="s">
        <v>53</v>
      </c>
      <c r="G640" s="3">
        <v>1.7508187770000001</v>
      </c>
      <c r="H640" s="3">
        <v>0.26582969400000001</v>
      </c>
      <c r="I640" s="3">
        <v>0.209879913</v>
      </c>
      <c r="J640" s="3">
        <v>0</v>
      </c>
      <c r="K640" s="3">
        <v>-0.50251116100000004</v>
      </c>
      <c r="L640" s="3">
        <v>-0.270275298</v>
      </c>
      <c r="M640" s="3">
        <v>1</v>
      </c>
      <c r="N640" s="3">
        <v>-0.270275298</v>
      </c>
      <c r="O640" s="3">
        <v>-9.6564913000000002E-2</v>
      </c>
      <c r="P640" s="3">
        <v>-5.5576805E-2</v>
      </c>
      <c r="Q640" s="3">
        <v>-0.20831244900000001</v>
      </c>
      <c r="R640" s="3">
        <v>0.19216471299999999</v>
      </c>
      <c r="S640" s="3">
        <v>0.22364589400000001</v>
      </c>
      <c r="T640" s="3">
        <v>1.1572271270000001</v>
      </c>
      <c r="U640" s="3">
        <v>0.53644194999999995</v>
      </c>
      <c r="V640" s="3">
        <v>-0.392980041</v>
      </c>
      <c r="W640" s="3">
        <v>1</v>
      </c>
      <c r="X640" s="3">
        <v>22.033854170000001</v>
      </c>
      <c r="Y640" s="3">
        <v>2.5364583330000001</v>
      </c>
      <c r="Z640" s="3">
        <v>2.1572271270000001</v>
      </c>
      <c r="AA640" s="3">
        <v>-0.270275298</v>
      </c>
      <c r="AB640" s="3">
        <v>5.0909928300000002</v>
      </c>
      <c r="AC640" s="3">
        <v>22.033854170000001</v>
      </c>
      <c r="AD640" s="3">
        <v>0.78692336299999999</v>
      </c>
      <c r="AE640" s="3">
        <v>0</v>
      </c>
      <c r="AF640" s="4">
        <v>42104</v>
      </c>
      <c r="AG640" s="5">
        <f>YEAR(AF640)</f>
        <v>2015</v>
      </c>
      <c r="AH640" s="5" t="str">
        <f>"Q"&amp;ROUNDUP(MONTH(AF640)/3,0)</f>
        <v>Q2</v>
      </c>
      <c r="AI640" s="5">
        <f>INDEX(RatingLookup!$B$2:$B$11,MATCH(A640,RatingLookup!$A$2:$A$11,0))</f>
        <v>7</v>
      </c>
      <c r="AJ640" s="5" t="str">
        <f>INDEX(RatingLookup!$C$2:$C$11,MATCH(A640,RatingLookup!$A$2:$A$11,0))</f>
        <v>Investment Grade</v>
      </c>
    </row>
    <row r="641" spans="1:36" x14ac:dyDescent="0.3">
      <c r="A641" s="3" t="s">
        <v>36</v>
      </c>
      <c r="B641" s="3" t="s">
        <v>781</v>
      </c>
      <c r="C641" s="3" t="s">
        <v>782</v>
      </c>
      <c r="D641" s="3" t="s">
        <v>39</v>
      </c>
      <c r="E641" s="3" t="s">
        <v>366</v>
      </c>
      <c r="F641" s="3" t="s">
        <v>53</v>
      </c>
      <c r="G641" s="3">
        <v>1.3544680849999999</v>
      </c>
      <c r="H641" s="3">
        <v>0.405744681</v>
      </c>
      <c r="I641" s="3">
        <v>0.40553191500000002</v>
      </c>
      <c r="J641" s="3">
        <v>0</v>
      </c>
      <c r="K641" s="3">
        <v>0.16957296799999999</v>
      </c>
      <c r="L641" s="3">
        <v>0.17856312499999999</v>
      </c>
      <c r="M641" s="3">
        <v>1</v>
      </c>
      <c r="N641" s="3">
        <v>0.16957296799999999</v>
      </c>
      <c r="O641" s="3">
        <v>3.5498159000000001E-2</v>
      </c>
      <c r="P641" s="3">
        <v>4.0465778000000001E-2</v>
      </c>
      <c r="Q641" s="3">
        <v>6.5516827999999999E-2</v>
      </c>
      <c r="R641" s="3">
        <v>0.20933854700000001</v>
      </c>
      <c r="S641" s="3">
        <v>0.24614181299999999</v>
      </c>
      <c r="T641" s="3">
        <v>0.84564019599999996</v>
      </c>
      <c r="U641" s="3">
        <v>0.45818258499999998</v>
      </c>
      <c r="V641" s="3">
        <v>0.72265625</v>
      </c>
      <c r="W641" s="3">
        <v>1</v>
      </c>
      <c r="X641" s="3">
        <v>24.898734180000002</v>
      </c>
      <c r="Y641" s="3">
        <v>4.8278481009999998</v>
      </c>
      <c r="Z641" s="3">
        <v>1.845640196</v>
      </c>
      <c r="AA641" s="3">
        <v>0.17856312499999999</v>
      </c>
      <c r="AB641" s="3">
        <v>4.4919666969999996</v>
      </c>
      <c r="AC641" s="3">
        <v>24.898734180000002</v>
      </c>
      <c r="AD641" s="3">
        <v>0.76222583899999996</v>
      </c>
      <c r="AE641" s="3">
        <v>0</v>
      </c>
      <c r="AF641" s="4">
        <v>41801</v>
      </c>
      <c r="AG641" s="5">
        <f>YEAR(AF641)</f>
        <v>2014</v>
      </c>
      <c r="AH641" s="5" t="str">
        <f>"Q"&amp;ROUNDUP(MONTH(AF641)/3,0)</f>
        <v>Q2</v>
      </c>
      <c r="AI641" s="5">
        <f>INDEX(RatingLookup!$B$2:$B$11,MATCH(A641,RatingLookup!$A$2:$A$11,0))</f>
        <v>8</v>
      </c>
      <c r="AJ641" s="5" t="str">
        <f>INDEX(RatingLookup!$C$2:$C$11,MATCH(A641,RatingLookup!$A$2:$A$11,0))</f>
        <v>Investment Grade</v>
      </c>
    </row>
    <row r="642" spans="1:36" x14ac:dyDescent="0.3">
      <c r="A642" s="3" t="s">
        <v>36</v>
      </c>
      <c r="B642" s="3" t="s">
        <v>781</v>
      </c>
      <c r="C642" s="3" t="s">
        <v>782</v>
      </c>
      <c r="D642" s="3" t="s">
        <v>44</v>
      </c>
      <c r="E642" s="3" t="s">
        <v>46</v>
      </c>
      <c r="F642" s="3" t="s">
        <v>53</v>
      </c>
      <c r="G642" s="3">
        <v>0.967761435</v>
      </c>
      <c r="H642" s="3">
        <v>5.9439855E-2</v>
      </c>
      <c r="I642" s="3">
        <v>5.9439855E-2</v>
      </c>
      <c r="J642" s="3">
        <v>0</v>
      </c>
      <c r="K642" s="3">
        <v>0.26817370600000001</v>
      </c>
      <c r="L642" s="3">
        <v>0.40279595499999998</v>
      </c>
      <c r="M642" s="3">
        <v>1</v>
      </c>
      <c r="N642" s="3">
        <v>0.26817370600000001</v>
      </c>
      <c r="O642" s="3">
        <v>8.6607366000000005E-2</v>
      </c>
      <c r="P642" s="3">
        <v>0.143794597</v>
      </c>
      <c r="Q642" s="3">
        <v>0.155485807</v>
      </c>
      <c r="R642" s="3">
        <v>0.32295248900000001</v>
      </c>
      <c r="S642" s="3">
        <v>0.36987326199999998</v>
      </c>
      <c r="T642" s="3">
        <v>0.79529541599999998</v>
      </c>
      <c r="U642" s="3">
        <v>0.44298860699999998</v>
      </c>
      <c r="V642" s="3">
        <v>0.33421946499999999</v>
      </c>
      <c r="W642" s="3">
        <v>1</v>
      </c>
      <c r="X642" s="3">
        <v>25.919270829999999</v>
      </c>
      <c r="Y642" s="3">
        <v>0.76822916699999999</v>
      </c>
      <c r="Z642" s="3">
        <v>1.7952954160000001</v>
      </c>
      <c r="AA642" s="3">
        <v>0.40279595499999998</v>
      </c>
      <c r="AB642" s="3">
        <v>5.1518870520000002</v>
      </c>
      <c r="AC642" s="3">
        <v>25.919270829999999</v>
      </c>
      <c r="AD642" s="3">
        <v>0.59208804299999995</v>
      </c>
      <c r="AE642" s="3">
        <v>0</v>
      </c>
      <c r="AF642" s="4">
        <v>41075</v>
      </c>
      <c r="AG642" s="5">
        <f>YEAR(AF642)</f>
        <v>2012</v>
      </c>
      <c r="AH642" s="5" t="str">
        <f>"Q"&amp;ROUNDUP(MONTH(AF642)/3,0)</f>
        <v>Q2</v>
      </c>
      <c r="AI642" s="5">
        <f>INDEX(RatingLookup!$B$2:$B$11,MATCH(A642,RatingLookup!$A$2:$A$11,0))</f>
        <v>8</v>
      </c>
      <c r="AJ642" s="5" t="str">
        <f>INDEX(RatingLookup!$C$2:$C$11,MATCH(A642,RatingLookup!$A$2:$A$11,0))</f>
        <v>Investment Grade</v>
      </c>
    </row>
    <row r="643" spans="1:36" x14ac:dyDescent="0.3">
      <c r="A643" s="3" t="s">
        <v>36</v>
      </c>
      <c r="B643" s="3" t="s">
        <v>781</v>
      </c>
      <c r="C643" s="3" t="s">
        <v>782</v>
      </c>
      <c r="D643" s="3" t="s">
        <v>60</v>
      </c>
      <c r="E643" s="3" t="s">
        <v>80</v>
      </c>
      <c r="F643" s="3" t="s">
        <v>53</v>
      </c>
      <c r="G643" s="3">
        <v>0.89631502900000004</v>
      </c>
      <c r="H643" s="3">
        <v>3.4501444999999999E-2</v>
      </c>
      <c r="I643" s="3">
        <v>2.8901733999999998E-2</v>
      </c>
      <c r="J643" s="3">
        <v>0</v>
      </c>
      <c r="K643" s="3">
        <v>0.11358942599999999</v>
      </c>
      <c r="L643" s="3">
        <v>0.110875081</v>
      </c>
      <c r="M643" s="3">
        <v>1</v>
      </c>
      <c r="N643" s="3">
        <v>0.11358942599999999</v>
      </c>
      <c r="O643" s="3">
        <v>3.1694025000000001E-2</v>
      </c>
      <c r="P643" s="3">
        <v>3.4039237999999999E-2</v>
      </c>
      <c r="Q643" s="3">
        <v>6.1440745999999997E-2</v>
      </c>
      <c r="R643" s="3">
        <v>0.27902267200000003</v>
      </c>
      <c r="S643" s="3">
        <v>0.31807432400000002</v>
      </c>
      <c r="T643" s="3">
        <v>0.93855925399999995</v>
      </c>
      <c r="U643" s="3">
        <v>0.48415298699999998</v>
      </c>
      <c r="V643" s="3">
        <v>1.170303353</v>
      </c>
      <c r="W643" s="3">
        <v>1</v>
      </c>
      <c r="X643" s="3">
        <v>21.86118252</v>
      </c>
      <c r="Y643" s="3">
        <v>0.491002571</v>
      </c>
      <c r="Z643" s="3">
        <v>1.9385592540000001</v>
      </c>
      <c r="AA643" s="3">
        <v>0.110875081</v>
      </c>
      <c r="AB643" s="3">
        <v>4.9812973209999996</v>
      </c>
      <c r="AC643" s="3">
        <v>21.86118252</v>
      </c>
      <c r="AD643" s="3">
        <v>0.50179972900000003</v>
      </c>
      <c r="AE643" s="3">
        <v>0</v>
      </c>
      <c r="AF643" s="4">
        <v>41241</v>
      </c>
      <c r="AG643" s="5">
        <f>YEAR(AF643)</f>
        <v>2012</v>
      </c>
      <c r="AH643" s="5" t="str">
        <f>"Q"&amp;ROUNDUP(MONTH(AF643)/3,0)</f>
        <v>Q4</v>
      </c>
      <c r="AI643" s="5">
        <f>INDEX(RatingLookup!$B$2:$B$11,MATCH(A643,RatingLookup!$A$2:$A$11,0))</f>
        <v>8</v>
      </c>
      <c r="AJ643" s="5" t="str">
        <f>INDEX(RatingLookup!$C$2:$C$11,MATCH(A643,RatingLookup!$A$2:$A$11,0))</f>
        <v>Investment Grade</v>
      </c>
    </row>
    <row r="644" spans="1:36" x14ac:dyDescent="0.3">
      <c r="A644" s="3" t="s">
        <v>92</v>
      </c>
      <c r="B644" s="3" t="s">
        <v>784</v>
      </c>
      <c r="C644" s="3" t="s">
        <v>785</v>
      </c>
      <c r="D644" s="3" t="s">
        <v>60</v>
      </c>
      <c r="E644" s="3" t="s">
        <v>75</v>
      </c>
      <c r="F644" s="3" t="s">
        <v>219</v>
      </c>
      <c r="G644" s="3">
        <v>1.511475068</v>
      </c>
      <c r="H644" s="3">
        <v>0.58387231399999995</v>
      </c>
      <c r="I644" s="3">
        <v>0.303463384</v>
      </c>
      <c r="J644" s="3">
        <v>16.23029176</v>
      </c>
      <c r="K644" s="3">
        <v>-1.562428358</v>
      </c>
      <c r="L644" s="3">
        <v>-2.0770594980000001</v>
      </c>
      <c r="M644" s="3">
        <v>9.7627440999999995E-2</v>
      </c>
      <c r="N644" s="3">
        <v>-2.0428012199999999</v>
      </c>
      <c r="O644" s="3">
        <v>-2.2832490519999999</v>
      </c>
      <c r="P644" s="3">
        <v>-4.354629546</v>
      </c>
      <c r="Q644" s="3">
        <v>5.047299658</v>
      </c>
      <c r="R644" s="3">
        <v>1.461346397</v>
      </c>
      <c r="S644" s="3">
        <v>3.2678634529999999</v>
      </c>
      <c r="T644" s="3">
        <v>-3.2105777959999999</v>
      </c>
      <c r="U644" s="3">
        <v>1.452370417</v>
      </c>
      <c r="V644" s="3">
        <v>0.13557274799999999</v>
      </c>
      <c r="W644" s="3">
        <v>0.20841460000000001</v>
      </c>
      <c r="X644" s="3">
        <v>0.48857594500000001</v>
      </c>
      <c r="Y644" s="3">
        <v>2.3128976209999998</v>
      </c>
      <c r="Z644" s="3">
        <v>-2.2105777959999999</v>
      </c>
      <c r="AA644" s="3">
        <v>-2.0770594980000001</v>
      </c>
      <c r="AB644" s="3">
        <v>-0.41113587099999999</v>
      </c>
      <c r="AC644" s="3">
        <v>2.3442500879999999</v>
      </c>
      <c r="AD644" s="3">
        <v>7.7621817999999995E-2</v>
      </c>
      <c r="AE644" s="3">
        <v>15.33370085</v>
      </c>
      <c r="AF644" s="4">
        <v>41929</v>
      </c>
      <c r="AG644" s="5">
        <f>YEAR(AF644)</f>
        <v>2014</v>
      </c>
      <c r="AH644" s="5" t="str">
        <f>"Q"&amp;ROUNDUP(MONTH(AF644)/3,0)</f>
        <v>Q4</v>
      </c>
      <c r="AI644" s="5">
        <f>INDEX(RatingLookup!$B$2:$B$11,MATCH(A644,RatingLookup!$A$2:$A$11,0))</f>
        <v>6</v>
      </c>
      <c r="AJ644" s="5" t="str">
        <f>INDEX(RatingLookup!$C$2:$C$11,MATCH(A644,RatingLookup!$A$2:$A$11,0))</f>
        <v>Speculative Grade</v>
      </c>
    </row>
    <row r="645" spans="1:36" x14ac:dyDescent="0.3">
      <c r="A645" s="3" t="s">
        <v>786</v>
      </c>
      <c r="B645" s="3" t="s">
        <v>784</v>
      </c>
      <c r="C645" s="3" t="s">
        <v>785</v>
      </c>
      <c r="D645" s="3" t="s">
        <v>60</v>
      </c>
      <c r="E645" s="3" t="s">
        <v>787</v>
      </c>
      <c r="F645" s="3" t="s">
        <v>219</v>
      </c>
      <c r="G645" s="3">
        <v>1.689358776</v>
      </c>
      <c r="H645" s="3">
        <v>0.569365652</v>
      </c>
      <c r="I645" s="3">
        <v>0.49028708999999998</v>
      </c>
      <c r="J645" s="3">
        <v>7.2880345699999998</v>
      </c>
      <c r="K645" s="3">
        <v>-0.37217503600000001</v>
      </c>
      <c r="L645" s="3">
        <v>0.15551582</v>
      </c>
      <c r="M645" s="3">
        <v>0.117468832</v>
      </c>
      <c r="N645" s="3">
        <v>7.5150251000000001E-2</v>
      </c>
      <c r="O645" s="3">
        <v>-0.35087801499999999</v>
      </c>
      <c r="P645" s="3">
        <v>0.201505985</v>
      </c>
      <c r="Q645" s="3">
        <v>0.37816695299999997</v>
      </c>
      <c r="R645" s="3">
        <v>0.94277686699999996</v>
      </c>
      <c r="S645" s="3">
        <v>1.9011331440000001</v>
      </c>
      <c r="T645" s="3">
        <v>-2.0777732919999998</v>
      </c>
      <c r="U645" s="3">
        <v>1.9278389140000001</v>
      </c>
      <c r="V645" s="3">
        <v>0.54072181399999997</v>
      </c>
      <c r="W645" s="3">
        <v>-1.131926121</v>
      </c>
      <c r="X645" s="3">
        <v>-0.27997128500000001</v>
      </c>
      <c r="Y645" s="3">
        <v>1.8991059189999999</v>
      </c>
      <c r="Z645" s="3">
        <v>-1.077773292</v>
      </c>
      <c r="AA645" s="3">
        <v>0.15551582</v>
      </c>
      <c r="AB645" s="3">
        <v>9.6326684189999998</v>
      </c>
      <c r="AC645" s="3">
        <v>0.24734059899999999</v>
      </c>
      <c r="AD645" s="3">
        <v>1.8824815000000002E-2</v>
      </c>
      <c r="AE645" s="3">
        <v>16.71495767</v>
      </c>
      <c r="AF645" s="4">
        <v>42403</v>
      </c>
      <c r="AG645" s="5">
        <f>YEAR(AF645)</f>
        <v>2016</v>
      </c>
      <c r="AH645" s="5" t="str">
        <f>"Q"&amp;ROUNDUP(MONTH(AF645)/3,0)</f>
        <v>Q1</v>
      </c>
      <c r="AI645" s="5">
        <f>INDEX(RatingLookup!$B$2:$B$11,MATCH(A645,RatingLookup!$A$2:$A$11,0))</f>
        <v>2</v>
      </c>
      <c r="AJ645" s="5" t="str">
        <f>INDEX(RatingLookup!$C$2:$C$11,MATCH(A645,RatingLookup!$A$2:$A$11,0))</f>
        <v>Speculative Grade</v>
      </c>
    </row>
    <row r="646" spans="1:36" x14ac:dyDescent="0.3">
      <c r="A646" s="3" t="s">
        <v>116</v>
      </c>
      <c r="B646" s="3" t="s">
        <v>784</v>
      </c>
      <c r="C646" s="3" t="s">
        <v>785</v>
      </c>
      <c r="D646" s="3" t="s">
        <v>60</v>
      </c>
      <c r="E646" s="3" t="s">
        <v>788</v>
      </c>
      <c r="F646" s="3" t="s">
        <v>219</v>
      </c>
      <c r="G646" s="3">
        <v>2.1084121709999999</v>
      </c>
      <c r="H646" s="3">
        <v>1.2104321149999999</v>
      </c>
      <c r="I646" s="3">
        <v>0.82689849100000001</v>
      </c>
      <c r="J646" s="3">
        <v>22.273826459999999</v>
      </c>
      <c r="K646" s="3">
        <v>8.2550972E-2</v>
      </c>
      <c r="L646" s="3">
        <v>9.8150782000000006E-2</v>
      </c>
      <c r="M646" s="3">
        <v>0.184589853</v>
      </c>
      <c r="N646" s="3">
        <v>0.114177335</v>
      </c>
      <c r="O646" s="3">
        <v>9.0493269000000001E-2</v>
      </c>
      <c r="P646" s="3">
        <v>0.13504697299999999</v>
      </c>
      <c r="Q646" s="3">
        <v>-0.118896401</v>
      </c>
      <c r="R646" s="3">
        <v>1.096210822</v>
      </c>
      <c r="S646" s="3">
        <v>2.1424217799999998</v>
      </c>
      <c r="T646" s="3">
        <v>-2.3138701089999998</v>
      </c>
      <c r="U646" s="3">
        <v>1.761110245</v>
      </c>
      <c r="V646" s="3">
        <v>-5.8937198000000003E-2</v>
      </c>
      <c r="W646" s="3">
        <v>0.77194719499999997</v>
      </c>
      <c r="X646" s="3">
        <v>1.1833511249999999</v>
      </c>
      <c r="Y646" s="3">
        <v>1.7439124960000001</v>
      </c>
      <c r="Z646" s="3">
        <v>-1.313870109</v>
      </c>
      <c r="AA646" s="3">
        <v>9.8150782000000006E-2</v>
      </c>
      <c r="AB646" s="3">
        <v>10.266152529999999</v>
      </c>
      <c r="AC646" s="3">
        <v>1.5329430989999999</v>
      </c>
      <c r="AD646" s="3">
        <v>0.143669986</v>
      </c>
      <c r="AE646" s="3">
        <v>15.98234201</v>
      </c>
      <c r="AF646" s="4">
        <v>42621</v>
      </c>
      <c r="AG646" s="5">
        <f>YEAR(AF646)</f>
        <v>2016</v>
      </c>
      <c r="AH646" s="5" t="str">
        <f>"Q"&amp;ROUNDUP(MONTH(AF646)/3,0)</f>
        <v>Q3</v>
      </c>
      <c r="AI646" s="5">
        <f>INDEX(RatingLookup!$B$2:$B$11,MATCH(A646,RatingLookup!$A$2:$A$11,0))</f>
        <v>4</v>
      </c>
      <c r="AJ646" s="5" t="str">
        <f>INDEX(RatingLookup!$C$2:$C$11,MATCH(A646,RatingLookup!$A$2:$A$11,0))</f>
        <v>Speculative Grade</v>
      </c>
    </row>
    <row r="647" spans="1:36" x14ac:dyDescent="0.3">
      <c r="A647" s="3" t="s">
        <v>42</v>
      </c>
      <c r="B647" s="3" t="s">
        <v>784</v>
      </c>
      <c r="C647" s="3" t="s">
        <v>785</v>
      </c>
      <c r="D647" s="3" t="s">
        <v>60</v>
      </c>
      <c r="E647" s="3" t="s">
        <v>46</v>
      </c>
      <c r="F647" s="3" t="s">
        <v>219</v>
      </c>
      <c r="G647" s="3">
        <v>1.1991562309999999</v>
      </c>
      <c r="H647" s="3">
        <v>0.60798232100000005</v>
      </c>
      <c r="I647" s="3">
        <v>0.349293511</v>
      </c>
      <c r="J647" s="3">
        <v>16.342080859999999</v>
      </c>
      <c r="K647" s="3">
        <v>0.23830269500000001</v>
      </c>
      <c r="L647" s="3">
        <v>0.32990889400000001</v>
      </c>
      <c r="M647" s="3">
        <v>0.39571405399999998</v>
      </c>
      <c r="N647" s="3">
        <v>0.34567210799999998</v>
      </c>
      <c r="O647" s="3">
        <v>0.111341865</v>
      </c>
      <c r="P647" s="3">
        <v>0.171783514</v>
      </c>
      <c r="Q647" s="3">
        <v>0.27987899700000002</v>
      </c>
      <c r="R647" s="3">
        <v>0.46722872799999998</v>
      </c>
      <c r="S647" s="3">
        <v>0.64556372699999998</v>
      </c>
      <c r="T647" s="3">
        <v>1.5136905789999999</v>
      </c>
      <c r="U647" s="3">
        <v>0.60217856199999997</v>
      </c>
      <c r="V647" s="3">
        <v>0.18741913900000001</v>
      </c>
      <c r="W647" s="3">
        <v>0.61521321200000001</v>
      </c>
      <c r="X647" s="3">
        <v>10.041074200000001</v>
      </c>
      <c r="Y647" s="3">
        <v>4.3049474449999998</v>
      </c>
      <c r="Z647" s="3">
        <v>2.5136905789999999</v>
      </c>
      <c r="AA647" s="3">
        <v>0.32990889400000001</v>
      </c>
      <c r="AB647" s="3">
        <v>4.7821190419999997</v>
      </c>
      <c r="AC647" s="3">
        <v>16.321291559999999</v>
      </c>
      <c r="AD647" s="3">
        <v>0.33687061200000001</v>
      </c>
      <c r="AE647" s="3">
        <v>10.79595057</v>
      </c>
      <c r="AF647" s="4">
        <v>41075</v>
      </c>
      <c r="AG647" s="5">
        <f>YEAR(AF647)</f>
        <v>2012</v>
      </c>
      <c r="AH647" s="5" t="str">
        <f>"Q"&amp;ROUNDUP(MONTH(AF647)/3,0)</f>
        <v>Q2</v>
      </c>
      <c r="AI647" s="5">
        <f>INDEX(RatingLookup!$B$2:$B$11,MATCH(A647,RatingLookup!$A$2:$A$11,0))</f>
        <v>7</v>
      </c>
      <c r="AJ647" s="5" t="str">
        <f>INDEX(RatingLookup!$C$2:$C$11,MATCH(A647,RatingLookup!$A$2:$A$11,0))</f>
        <v>Investment Grade</v>
      </c>
    </row>
    <row r="648" spans="1:36" x14ac:dyDescent="0.3">
      <c r="A648" s="3" t="s">
        <v>42</v>
      </c>
      <c r="B648" s="3" t="s">
        <v>784</v>
      </c>
      <c r="C648" s="3" t="s">
        <v>785</v>
      </c>
      <c r="D648" s="3" t="s">
        <v>60</v>
      </c>
      <c r="E648" s="3" t="s">
        <v>789</v>
      </c>
      <c r="F648" s="3" t="s">
        <v>219</v>
      </c>
      <c r="G648" s="3">
        <v>1.194353963</v>
      </c>
      <c r="H648" s="3">
        <v>0.436337315</v>
      </c>
      <c r="I648" s="3">
        <v>0.141295693</v>
      </c>
      <c r="J648" s="3">
        <v>20.448005179999999</v>
      </c>
      <c r="K648" s="3">
        <v>-0.15314931800000001</v>
      </c>
      <c r="L648" s="3">
        <v>-8.5446217000000005E-2</v>
      </c>
      <c r="M648" s="3">
        <v>0.19958451799999999</v>
      </c>
      <c r="N648" s="3">
        <v>-5.2582287999999998E-2</v>
      </c>
      <c r="O648" s="3">
        <v>-6.6254631999999994E-2</v>
      </c>
      <c r="P648" s="3">
        <v>-4.1153411000000001E-2</v>
      </c>
      <c r="Q648" s="3">
        <v>-0.194141645</v>
      </c>
      <c r="R648" s="3">
        <v>0.43261460499999999</v>
      </c>
      <c r="S648" s="3">
        <v>0.52400667400000001</v>
      </c>
      <c r="T648" s="3">
        <v>1.930235068</v>
      </c>
      <c r="U648" s="3">
        <v>0.65873045100000005</v>
      </c>
      <c r="V648" s="3">
        <v>-0.50996412899999999</v>
      </c>
      <c r="W648" s="3">
        <v>-1.1914480080000001</v>
      </c>
      <c r="X648" s="3">
        <v>-4.3062570689999999</v>
      </c>
      <c r="Y648" s="3">
        <v>1.923414658</v>
      </c>
      <c r="Z648" s="3">
        <v>2.930235068</v>
      </c>
      <c r="AA648" s="3">
        <v>-8.5446217000000005E-2</v>
      </c>
      <c r="AB648" s="3">
        <v>41.67752728</v>
      </c>
      <c r="AC648" s="3">
        <v>3.614305484</v>
      </c>
      <c r="AD648" s="3">
        <v>8.7608766000000005E-2</v>
      </c>
      <c r="AE648" s="3">
        <v>8.461926193</v>
      </c>
      <c r="AF648" s="4">
        <v>41249</v>
      </c>
      <c r="AG648" s="5">
        <f>YEAR(AF648)</f>
        <v>2012</v>
      </c>
      <c r="AH648" s="5" t="str">
        <f>"Q"&amp;ROUNDUP(MONTH(AF648)/3,0)</f>
        <v>Q4</v>
      </c>
      <c r="AI648" s="5">
        <f>INDEX(RatingLookup!$B$2:$B$11,MATCH(A648,RatingLookup!$A$2:$A$11,0))</f>
        <v>7</v>
      </c>
      <c r="AJ648" s="5" t="str">
        <f>INDEX(RatingLookup!$C$2:$C$11,MATCH(A648,RatingLookup!$A$2:$A$11,0))</f>
        <v>Investment Grade</v>
      </c>
    </row>
    <row r="649" spans="1:36" x14ac:dyDescent="0.3">
      <c r="A649" s="3" t="s">
        <v>42</v>
      </c>
      <c r="B649" s="3" t="s">
        <v>790</v>
      </c>
      <c r="C649" s="3" t="s">
        <v>791</v>
      </c>
      <c r="D649" s="3" t="s">
        <v>60</v>
      </c>
      <c r="E649" s="3" t="s">
        <v>46</v>
      </c>
      <c r="F649" s="3" t="s">
        <v>219</v>
      </c>
      <c r="G649" s="3">
        <v>1.9789731049999999</v>
      </c>
      <c r="H649" s="3">
        <v>0.91458842699999998</v>
      </c>
      <c r="I649" s="3">
        <v>0.121760391</v>
      </c>
      <c r="J649" s="3">
        <v>55.058458680000001</v>
      </c>
      <c r="K649" s="3">
        <v>5.5915645999999999E-2</v>
      </c>
      <c r="L649" s="3">
        <v>7.8740889999999994E-2</v>
      </c>
      <c r="M649" s="3">
        <v>0.20998604400000001</v>
      </c>
      <c r="N649" s="3">
        <v>8.5315553000000002E-2</v>
      </c>
      <c r="O649" s="3">
        <v>5.7458809999999999E-2</v>
      </c>
      <c r="P649" s="3">
        <v>0.10057835499999999</v>
      </c>
      <c r="Q649" s="3">
        <v>0.120191987</v>
      </c>
      <c r="R649" s="3">
        <v>1.027598075</v>
      </c>
      <c r="S649" s="3">
        <v>5.7549527039999999</v>
      </c>
      <c r="T649" s="3">
        <v>1.09179388</v>
      </c>
      <c r="U649" s="3">
        <v>0.52194142600000004</v>
      </c>
      <c r="V649" s="3">
        <v>0.28357621100000002</v>
      </c>
      <c r="W649" s="3">
        <v>0.58368200800000003</v>
      </c>
      <c r="X649" s="3">
        <v>1.8159038030000001</v>
      </c>
      <c r="Y649" s="3">
        <v>1.215483997</v>
      </c>
      <c r="Z649" s="3">
        <v>2.09179388</v>
      </c>
      <c r="AA649" s="3">
        <v>7.8740889999999994E-2</v>
      </c>
      <c r="AB649" s="3">
        <v>10.019968520000001</v>
      </c>
      <c r="AC649" s="3">
        <v>3.1111183429999998</v>
      </c>
      <c r="AD649" s="3">
        <v>5.9296015000000001E-2</v>
      </c>
      <c r="AE649" s="3">
        <v>9.7676380369999993</v>
      </c>
      <c r="AF649" s="4">
        <v>41075</v>
      </c>
      <c r="AG649" s="5">
        <f>YEAR(AF649)</f>
        <v>2012</v>
      </c>
      <c r="AH649" s="5" t="str">
        <f>"Q"&amp;ROUNDUP(MONTH(AF649)/3,0)</f>
        <v>Q2</v>
      </c>
      <c r="AI649" s="5">
        <f>INDEX(RatingLookup!$B$2:$B$11,MATCH(A649,RatingLookup!$A$2:$A$11,0))</f>
        <v>7</v>
      </c>
      <c r="AJ649" s="5" t="str">
        <f>INDEX(RatingLookup!$C$2:$C$11,MATCH(A649,RatingLookup!$A$2:$A$11,0))</f>
        <v>Investment Grade</v>
      </c>
    </row>
    <row r="650" spans="1:36" x14ac:dyDescent="0.3">
      <c r="A650" s="3" t="s">
        <v>42</v>
      </c>
      <c r="B650" s="3" t="s">
        <v>790</v>
      </c>
      <c r="C650" s="3" t="s">
        <v>791</v>
      </c>
      <c r="D650" s="3" t="s">
        <v>60</v>
      </c>
      <c r="E650" s="3" t="s">
        <v>792</v>
      </c>
      <c r="F650" s="3" t="s">
        <v>219</v>
      </c>
      <c r="G650" s="3">
        <v>2.5611984699999999</v>
      </c>
      <c r="H650" s="3">
        <v>1.2647683810000001</v>
      </c>
      <c r="I650" s="3">
        <v>0.23905652399999999</v>
      </c>
      <c r="J650" s="3">
        <v>48.543974210000002</v>
      </c>
      <c r="K650" s="3">
        <v>7.4447567000000006E-2</v>
      </c>
      <c r="L650" s="3">
        <v>0.10988042100000001</v>
      </c>
      <c r="M650" s="3">
        <v>0.24734115800000001</v>
      </c>
      <c r="N650" s="3">
        <v>0.11690637600000001</v>
      </c>
      <c r="O650" s="3">
        <v>7.8153472000000002E-2</v>
      </c>
      <c r="P650" s="3">
        <v>0.13352529499999999</v>
      </c>
      <c r="Q650" s="3">
        <v>0.15111011699999999</v>
      </c>
      <c r="R650" s="3">
        <v>1.049778729</v>
      </c>
      <c r="S650" s="3">
        <v>5.6967509029999999</v>
      </c>
      <c r="T650" s="3">
        <v>0.93350483799999995</v>
      </c>
      <c r="U650" s="3">
        <v>0.482804501</v>
      </c>
      <c r="V650" s="3">
        <v>0.329739218</v>
      </c>
      <c r="W650" s="3">
        <v>0.71105165699999995</v>
      </c>
      <c r="X650" s="3">
        <v>5.5268504150000002</v>
      </c>
      <c r="Y650" s="3">
        <v>1.799625678</v>
      </c>
      <c r="Z650" s="3">
        <v>1.9335048379999999</v>
      </c>
      <c r="AA650" s="3">
        <v>0.10988042100000001</v>
      </c>
      <c r="AB650" s="3">
        <v>8.7789739979999997</v>
      </c>
      <c r="AC650" s="3">
        <v>7.7727832609999998</v>
      </c>
      <c r="AD650" s="3">
        <v>0.13387887800000001</v>
      </c>
      <c r="AE650" s="3">
        <v>10.51867539</v>
      </c>
      <c r="AF650" s="4">
        <v>41228</v>
      </c>
      <c r="AG650" s="5">
        <f>YEAR(AF650)</f>
        <v>2012</v>
      </c>
      <c r="AH650" s="5" t="str">
        <f>"Q"&amp;ROUNDUP(MONTH(AF650)/3,0)</f>
        <v>Q4</v>
      </c>
      <c r="AI650" s="5">
        <f>INDEX(RatingLookup!$B$2:$B$11,MATCH(A650,RatingLookup!$A$2:$A$11,0))</f>
        <v>7</v>
      </c>
      <c r="AJ650" s="5" t="str">
        <f>INDEX(RatingLookup!$C$2:$C$11,MATCH(A650,RatingLookup!$A$2:$A$11,0))</f>
        <v>Investment Grade</v>
      </c>
    </row>
    <row r="651" spans="1:36" x14ac:dyDescent="0.3">
      <c r="A651" s="3" t="s">
        <v>42</v>
      </c>
      <c r="B651" s="3" t="s">
        <v>793</v>
      </c>
      <c r="C651" s="3" t="s">
        <v>794</v>
      </c>
      <c r="D651" s="3" t="s">
        <v>47</v>
      </c>
      <c r="E651" s="3" t="s">
        <v>757</v>
      </c>
      <c r="F651" s="3" t="s">
        <v>113</v>
      </c>
      <c r="G651" s="3">
        <v>1.856638231</v>
      </c>
      <c r="H651" s="3">
        <v>0.70417708300000004</v>
      </c>
      <c r="I651" s="3">
        <v>0.15139306599999999</v>
      </c>
      <c r="J651" s="3">
        <v>21.95819715</v>
      </c>
      <c r="K651" s="3">
        <v>1.0581149E-2</v>
      </c>
      <c r="L651" s="3">
        <v>1.7723417000000002E-2</v>
      </c>
      <c r="M651" s="3">
        <v>0.124279107</v>
      </c>
      <c r="N651" s="3">
        <v>2.0501392E-2</v>
      </c>
      <c r="O651" s="3">
        <v>3.7226405999999997E-2</v>
      </c>
      <c r="P651" s="3">
        <v>0.101041213</v>
      </c>
      <c r="Q651" s="3">
        <v>0.10418098100000001</v>
      </c>
      <c r="R651" s="3">
        <v>3.5181817529999999</v>
      </c>
      <c r="S651" s="3">
        <v>46.776173839999998</v>
      </c>
      <c r="T651" s="3">
        <v>1.7985774590000001</v>
      </c>
      <c r="U651" s="3">
        <v>0.64267560400000001</v>
      </c>
      <c r="V651" s="3">
        <v>0.40298481600000002</v>
      </c>
      <c r="W651" s="3">
        <v>0.92384559200000005</v>
      </c>
      <c r="X651" s="3">
        <v>4.0096915449999999</v>
      </c>
      <c r="Y651" s="3">
        <v>2.592246764</v>
      </c>
      <c r="Z651" s="3">
        <v>2.7985774590000001</v>
      </c>
      <c r="AA651" s="3">
        <v>1.7723417000000002E-2</v>
      </c>
      <c r="AB651" s="3">
        <v>10.779156800000001</v>
      </c>
      <c r="AC651" s="3">
        <v>4.3402183010000002</v>
      </c>
      <c r="AD651" s="3">
        <v>2.7586052E-2</v>
      </c>
      <c r="AE651" s="3">
        <v>12.04371602</v>
      </c>
      <c r="AF651" s="4">
        <v>42216</v>
      </c>
      <c r="AG651" s="5">
        <f>YEAR(AF651)</f>
        <v>2015</v>
      </c>
      <c r="AH651" s="5" t="str">
        <f>"Q"&amp;ROUNDUP(MONTH(AF651)/3,0)</f>
        <v>Q3</v>
      </c>
      <c r="AI651" s="5">
        <f>INDEX(RatingLookup!$B$2:$B$11,MATCH(A651,RatingLookup!$A$2:$A$11,0))</f>
        <v>7</v>
      </c>
      <c r="AJ651" s="5" t="str">
        <f>INDEX(RatingLookup!$C$2:$C$11,MATCH(A651,RatingLookup!$A$2:$A$11,0))</f>
        <v>Investment Grade</v>
      </c>
    </row>
    <row r="652" spans="1:36" x14ac:dyDescent="0.3">
      <c r="A652" s="3" t="s">
        <v>42</v>
      </c>
      <c r="B652" s="3" t="s">
        <v>793</v>
      </c>
      <c r="C652" s="3" t="s">
        <v>794</v>
      </c>
      <c r="D652" s="3" t="s">
        <v>47</v>
      </c>
      <c r="E652" s="3" t="s">
        <v>795</v>
      </c>
      <c r="F652" s="3" t="s">
        <v>113</v>
      </c>
      <c r="G652" s="3">
        <v>1.896353121</v>
      </c>
      <c r="H652" s="3">
        <v>0.76507145499999996</v>
      </c>
      <c r="I652" s="3">
        <v>0.17927816299999999</v>
      </c>
      <c r="J652" s="3">
        <v>22.751296329999999</v>
      </c>
      <c r="K652" s="3">
        <v>1.1188129E-2</v>
      </c>
      <c r="L652" s="3">
        <v>1.7744970999999998E-2</v>
      </c>
      <c r="M652" s="3">
        <v>0.12210813199999999</v>
      </c>
      <c r="N652" s="3">
        <v>2.0527631000000001E-2</v>
      </c>
      <c r="O652" s="3">
        <v>4.0028303000000001E-2</v>
      </c>
      <c r="P652" s="3">
        <v>0.10251355500000001</v>
      </c>
      <c r="Q652" s="3">
        <v>0.113315306</v>
      </c>
      <c r="R652" s="3">
        <v>3.5777477119999999</v>
      </c>
      <c r="S652" s="3">
        <v>50.717360919999997</v>
      </c>
      <c r="T652" s="3">
        <v>1.8308796110000001</v>
      </c>
      <c r="U652" s="3">
        <v>0.64675290500000004</v>
      </c>
      <c r="V652" s="3">
        <v>0.36950423700000001</v>
      </c>
      <c r="W652" s="3">
        <v>0.89139482400000003</v>
      </c>
      <c r="X652" s="3">
        <v>2.7275137900000002</v>
      </c>
      <c r="Y652" s="3">
        <v>3.0361579889999999</v>
      </c>
      <c r="Z652" s="3">
        <v>2.8308796109999999</v>
      </c>
      <c r="AA652" s="3">
        <v>1.7744970999999998E-2</v>
      </c>
      <c r="AB652" s="3">
        <v>10.931105410000001</v>
      </c>
      <c r="AC652" s="3">
        <v>3.0598268210000001</v>
      </c>
      <c r="AD652" s="3">
        <v>1.9225107000000002E-2</v>
      </c>
      <c r="AE652" s="3">
        <v>11.370124540000001</v>
      </c>
      <c r="AF652" s="4">
        <v>42570</v>
      </c>
      <c r="AG652" s="5">
        <f>YEAR(AF652)</f>
        <v>2016</v>
      </c>
      <c r="AH652" s="5" t="str">
        <f>"Q"&amp;ROUNDUP(MONTH(AF652)/3,0)</f>
        <v>Q3</v>
      </c>
      <c r="AI652" s="5">
        <f>INDEX(RatingLookup!$B$2:$B$11,MATCH(A652,RatingLookup!$A$2:$A$11,0))</f>
        <v>7</v>
      </c>
      <c r="AJ652" s="5" t="str">
        <f>INDEX(RatingLookup!$C$2:$C$11,MATCH(A652,RatingLookup!$A$2:$A$11,0))</f>
        <v>Investment Grade</v>
      </c>
    </row>
    <row r="653" spans="1:36" x14ac:dyDescent="0.3">
      <c r="A653" s="3" t="s">
        <v>42</v>
      </c>
      <c r="B653" s="3" t="s">
        <v>793</v>
      </c>
      <c r="C653" s="3" t="s">
        <v>794</v>
      </c>
      <c r="D653" s="3" t="s">
        <v>47</v>
      </c>
      <c r="E653" s="3" t="s">
        <v>796</v>
      </c>
      <c r="F653" s="3" t="s">
        <v>113</v>
      </c>
      <c r="G653" s="3">
        <v>1.862223572</v>
      </c>
      <c r="H653" s="3">
        <v>0.67986720499999997</v>
      </c>
      <c r="I653" s="3">
        <v>5.6514575999999997E-2</v>
      </c>
      <c r="J653" s="3">
        <v>24.211406090000001</v>
      </c>
      <c r="K653" s="3">
        <v>7.0446739999999999E-3</v>
      </c>
      <c r="L653" s="3">
        <v>1.3398365000000001E-2</v>
      </c>
      <c r="M653" s="3">
        <v>0.123934687</v>
      </c>
      <c r="N653" s="3">
        <v>1.6899674E-2</v>
      </c>
      <c r="O653" s="3">
        <v>2.4311929999999999E-2</v>
      </c>
      <c r="P653" s="3">
        <v>7.3075613999999997E-2</v>
      </c>
      <c r="Q653" s="3">
        <v>6.7117935000000004E-2</v>
      </c>
      <c r="R653" s="3">
        <v>3.4511081720000001</v>
      </c>
      <c r="S653" s="3">
        <v>40.519454539999998</v>
      </c>
      <c r="T653" s="3">
        <v>1.760699529</v>
      </c>
      <c r="U653" s="3">
        <v>0.63777296699999997</v>
      </c>
      <c r="V653" s="3">
        <v>0.47421392600000001</v>
      </c>
      <c r="W653" s="3">
        <v>13.875299119999999</v>
      </c>
      <c r="X653" s="3">
        <v>-0.83871745399999997</v>
      </c>
      <c r="Y653" s="3">
        <v>0.91243973</v>
      </c>
      <c r="Z653" s="3">
        <v>2.760699529</v>
      </c>
      <c r="AA653" s="3">
        <v>1.3398365000000001E-2</v>
      </c>
      <c r="AB653" s="3">
        <v>13.49130764</v>
      </c>
      <c r="AC653" s="3">
        <v>-6.0446802000000001E-2</v>
      </c>
      <c r="AD653" s="3">
        <v>-3.9840299999999997E-4</v>
      </c>
      <c r="AE653" s="3">
        <v>13.583428319999999</v>
      </c>
      <c r="AF653" s="4">
        <v>41893</v>
      </c>
      <c r="AG653" s="5">
        <f>YEAR(AF653)</f>
        <v>2014</v>
      </c>
      <c r="AH653" s="5" t="str">
        <f>"Q"&amp;ROUNDUP(MONTH(AF653)/3,0)</f>
        <v>Q3</v>
      </c>
      <c r="AI653" s="5">
        <f>INDEX(RatingLookup!$B$2:$B$11,MATCH(A653,RatingLookup!$A$2:$A$11,0))</f>
        <v>7</v>
      </c>
      <c r="AJ653" s="5" t="str">
        <f>INDEX(RatingLookup!$C$2:$C$11,MATCH(A653,RatingLookup!$A$2:$A$11,0))</f>
        <v>Investment Grade</v>
      </c>
    </row>
    <row r="654" spans="1:36" x14ac:dyDescent="0.3">
      <c r="A654" s="3" t="s">
        <v>36</v>
      </c>
      <c r="B654" s="3" t="s">
        <v>797</v>
      </c>
      <c r="C654" s="3" t="s">
        <v>798</v>
      </c>
      <c r="D654" s="3" t="s">
        <v>39</v>
      </c>
      <c r="E654" s="3" t="s">
        <v>799</v>
      </c>
      <c r="F654" s="3" t="s">
        <v>79</v>
      </c>
      <c r="G654" s="3">
        <v>1.2311180880000001</v>
      </c>
      <c r="H654" s="3">
        <v>1.06401535</v>
      </c>
      <c r="I654" s="3">
        <v>9.5935810000000003E-3</v>
      </c>
      <c r="J654" s="3">
        <v>28.091802210000001</v>
      </c>
      <c r="K654" s="3">
        <v>0.161346867</v>
      </c>
      <c r="L654" s="3">
        <v>0.231788349</v>
      </c>
      <c r="M654" s="3">
        <v>0.54889731399999997</v>
      </c>
      <c r="N654" s="3">
        <v>0.21882515999999999</v>
      </c>
      <c r="O654" s="3">
        <v>4.1541594000000001E-2</v>
      </c>
      <c r="P654" s="3">
        <v>6.3498798999999995E-2</v>
      </c>
      <c r="Q654" s="3">
        <v>0.121994822</v>
      </c>
      <c r="R654" s="3">
        <v>0.25746762099999998</v>
      </c>
      <c r="S654" s="3">
        <v>0.351452027</v>
      </c>
      <c r="T654" s="3">
        <v>1.9366909139999999</v>
      </c>
      <c r="U654" s="3">
        <v>0.65948067799999999</v>
      </c>
      <c r="V654" s="3">
        <v>0.303904326</v>
      </c>
      <c r="W654" s="3">
        <v>0.21105875800000001</v>
      </c>
      <c r="X654" s="3">
        <v>0.76455823300000003</v>
      </c>
      <c r="Y654" s="3">
        <v>2.1144578310000002</v>
      </c>
      <c r="Z654" s="3">
        <v>2.9366909140000002</v>
      </c>
      <c r="AA654" s="3">
        <v>0.231788349</v>
      </c>
      <c r="AB654" s="3">
        <v>11.925758979999999</v>
      </c>
      <c r="AC654" s="3">
        <v>3.6224899599999998</v>
      </c>
      <c r="AD654" s="3">
        <v>0.29415841199999998</v>
      </c>
      <c r="AE654" s="3">
        <v>6.1786711329999999</v>
      </c>
      <c r="AF654" s="4">
        <v>41884</v>
      </c>
      <c r="AG654" s="5">
        <f>YEAR(AF654)</f>
        <v>2014</v>
      </c>
      <c r="AH654" s="5" t="str">
        <f>"Q"&amp;ROUNDUP(MONTH(AF654)/3,0)</f>
        <v>Q3</v>
      </c>
      <c r="AI654" s="5">
        <f>INDEX(RatingLookup!$B$2:$B$11,MATCH(A654,RatingLookup!$A$2:$A$11,0))</f>
        <v>8</v>
      </c>
      <c r="AJ654" s="5" t="str">
        <f>INDEX(RatingLookup!$C$2:$C$11,MATCH(A654,RatingLookup!$A$2:$A$11,0))</f>
        <v>Investment Grade</v>
      </c>
    </row>
    <row r="655" spans="1:36" x14ac:dyDescent="0.3">
      <c r="A655" s="3" t="s">
        <v>36</v>
      </c>
      <c r="B655" s="3" t="s">
        <v>797</v>
      </c>
      <c r="C655" s="3" t="s">
        <v>798</v>
      </c>
      <c r="D655" s="3" t="s">
        <v>39</v>
      </c>
      <c r="E655" s="3" t="s">
        <v>800</v>
      </c>
      <c r="F655" s="3" t="s">
        <v>79</v>
      </c>
      <c r="G655" s="3">
        <v>0.75743889499999995</v>
      </c>
      <c r="H655" s="3">
        <v>0.53241232699999996</v>
      </c>
      <c r="I655" s="3">
        <v>9.989373E-2</v>
      </c>
      <c r="J655" s="3">
        <v>28.759388229999999</v>
      </c>
      <c r="K655" s="3">
        <v>0.123492194</v>
      </c>
      <c r="L655" s="3">
        <v>0.16782739299999999</v>
      </c>
      <c r="M655" s="3">
        <v>0.60626337100000005</v>
      </c>
      <c r="N655" s="3">
        <v>0.219035914</v>
      </c>
      <c r="O655" s="3">
        <v>2.8268073000000001E-2</v>
      </c>
      <c r="P655" s="3">
        <v>4.1686452999999998E-2</v>
      </c>
      <c r="Q655" s="3">
        <v>8.1569453E-2</v>
      </c>
      <c r="R655" s="3">
        <v>0.22890574499999999</v>
      </c>
      <c r="S655" s="3">
        <v>0.30002458199999998</v>
      </c>
      <c r="T655" s="3">
        <v>1.8855682499999999</v>
      </c>
      <c r="U655" s="3">
        <v>0.65344780899999999</v>
      </c>
      <c r="V655" s="3">
        <v>0.26417141300000002</v>
      </c>
      <c r="W655" s="3">
        <v>0.36699791999999998</v>
      </c>
      <c r="X655" s="3">
        <v>1.5911823650000001</v>
      </c>
      <c r="Y655" s="3">
        <v>1.140781563</v>
      </c>
      <c r="Z655" s="3">
        <v>2.8855682499999999</v>
      </c>
      <c r="AA655" s="3">
        <v>0.16782739299999999</v>
      </c>
      <c r="AB655" s="3">
        <v>10.031565069999999</v>
      </c>
      <c r="AC655" s="3">
        <v>4.3356713429999996</v>
      </c>
      <c r="AD655" s="3">
        <v>0.39391870400000001</v>
      </c>
      <c r="AE655" s="3">
        <v>3.2952380950000002</v>
      </c>
      <c r="AF655" s="4">
        <v>42243</v>
      </c>
      <c r="AG655" s="5">
        <f>YEAR(AF655)</f>
        <v>2015</v>
      </c>
      <c r="AH655" s="5" t="str">
        <f>"Q"&amp;ROUNDUP(MONTH(AF655)/3,0)</f>
        <v>Q3</v>
      </c>
      <c r="AI655" s="5">
        <f>INDEX(RatingLookup!$B$2:$B$11,MATCH(A655,RatingLookup!$A$2:$A$11,0))</f>
        <v>8</v>
      </c>
      <c r="AJ655" s="5" t="str">
        <f>INDEX(RatingLookup!$C$2:$C$11,MATCH(A655,RatingLookup!$A$2:$A$11,0))</f>
        <v>Investment Grade</v>
      </c>
    </row>
    <row r="656" spans="1:36" x14ac:dyDescent="0.3">
      <c r="A656" s="3" t="s">
        <v>36</v>
      </c>
      <c r="B656" s="3" t="s">
        <v>797</v>
      </c>
      <c r="C656" s="3" t="s">
        <v>798</v>
      </c>
      <c r="D656" s="3" t="s">
        <v>60</v>
      </c>
      <c r="E656" s="3" t="s">
        <v>476</v>
      </c>
      <c r="F656" s="3" t="s">
        <v>79</v>
      </c>
      <c r="G656" s="3">
        <v>0.635033827</v>
      </c>
      <c r="H656" s="3">
        <v>0.53538123999999998</v>
      </c>
      <c r="I656" s="3">
        <v>6.2168589999999999E-3</v>
      </c>
      <c r="J656" s="3">
        <v>22.83397845</v>
      </c>
      <c r="K656" s="3">
        <v>0.135160582</v>
      </c>
      <c r="L656" s="3">
        <v>0.182759703</v>
      </c>
      <c r="M656" s="3">
        <v>0.501726122</v>
      </c>
      <c r="N656" s="3">
        <v>0.193011821</v>
      </c>
      <c r="O656" s="3">
        <v>4.2431607000000003E-2</v>
      </c>
      <c r="P656" s="3">
        <v>6.5179270999999997E-2</v>
      </c>
      <c r="Q656" s="3">
        <v>0.12762174400000001</v>
      </c>
      <c r="R656" s="3">
        <v>0.31393477600000003</v>
      </c>
      <c r="S656" s="3">
        <v>0.42975962099999998</v>
      </c>
      <c r="T656" s="3">
        <v>2.0077047179999998</v>
      </c>
      <c r="U656" s="3">
        <v>0.66752055300000002</v>
      </c>
      <c r="V656" s="3">
        <v>0.24861667600000001</v>
      </c>
      <c r="W656" s="3">
        <v>-0.58953786900000005</v>
      </c>
      <c r="X656" s="3">
        <v>-1.853683148</v>
      </c>
      <c r="Y656" s="3">
        <v>2.0494450049999999</v>
      </c>
      <c r="Z656" s="3">
        <v>3.0077047179999998</v>
      </c>
      <c r="AA656" s="3">
        <v>0.182759703</v>
      </c>
      <c r="AB656" s="3">
        <v>10.714843330000001</v>
      </c>
      <c r="AC656" s="3">
        <v>3.1442986880000001</v>
      </c>
      <c r="AD656" s="3">
        <v>0.217317014</v>
      </c>
      <c r="AE656" s="3">
        <v>5.6928286850000003</v>
      </c>
      <c r="AF656" s="4">
        <v>41670</v>
      </c>
      <c r="AG656" s="5">
        <f>YEAR(AF656)</f>
        <v>2014</v>
      </c>
      <c r="AH656" s="5" t="str">
        <f>"Q"&amp;ROUNDUP(MONTH(AF656)/3,0)</f>
        <v>Q1</v>
      </c>
      <c r="AI656" s="5">
        <f>INDEX(RatingLookup!$B$2:$B$11,MATCH(A656,RatingLookup!$A$2:$A$11,0))</f>
        <v>8</v>
      </c>
      <c r="AJ656" s="5" t="str">
        <f>INDEX(RatingLookup!$C$2:$C$11,MATCH(A656,RatingLookup!$A$2:$A$11,0))</f>
        <v>Investment Grade</v>
      </c>
    </row>
    <row r="657" spans="1:36" x14ac:dyDescent="0.3">
      <c r="A657" s="3" t="s">
        <v>42</v>
      </c>
      <c r="B657" s="3" t="s">
        <v>797</v>
      </c>
      <c r="C657" s="3" t="s">
        <v>798</v>
      </c>
      <c r="D657" s="3" t="s">
        <v>60</v>
      </c>
      <c r="E657" s="3" t="s">
        <v>46</v>
      </c>
      <c r="F657" s="3" t="s">
        <v>79</v>
      </c>
      <c r="G657" s="3">
        <v>0.65368052099999996</v>
      </c>
      <c r="H657" s="3">
        <v>0.33109664500000002</v>
      </c>
      <c r="I657" s="3">
        <v>4.6069099999999997E-3</v>
      </c>
      <c r="J657" s="3">
        <v>30.06013943</v>
      </c>
      <c r="K657" s="3">
        <v>8.7566077000000006E-2</v>
      </c>
      <c r="L657" s="3">
        <v>0.13389003799999999</v>
      </c>
      <c r="M657" s="3">
        <v>0.41829464500000002</v>
      </c>
      <c r="N657" s="3">
        <v>0.16514722000000001</v>
      </c>
      <c r="O657" s="3">
        <v>3.8502133000000001E-2</v>
      </c>
      <c r="P657" s="3">
        <v>6.6304141999999996E-2</v>
      </c>
      <c r="Q657" s="3">
        <v>0.13377287099999999</v>
      </c>
      <c r="R657" s="3">
        <v>0.43969234200000001</v>
      </c>
      <c r="S657" s="3">
        <v>0.52393631299999999</v>
      </c>
      <c r="T657" s="3">
        <v>2.4744274960000001</v>
      </c>
      <c r="U657" s="3">
        <v>0.71218279799999995</v>
      </c>
      <c r="V657" s="3">
        <v>0.30650390999999999</v>
      </c>
      <c r="W657" s="3">
        <v>-0.52344405800000005</v>
      </c>
      <c r="X657" s="3">
        <v>-4.4586312560000003</v>
      </c>
      <c r="Y657" s="3">
        <v>8.2737486999999998E-2</v>
      </c>
      <c r="Z657" s="3">
        <v>3.4744274960000001</v>
      </c>
      <c r="AA657" s="3">
        <v>0.13389003799999999</v>
      </c>
      <c r="AB657" s="3">
        <v>5.8538383310000004</v>
      </c>
      <c r="AC657" s="3">
        <v>8.5178753829999998</v>
      </c>
      <c r="AD657" s="3">
        <v>0.212952323</v>
      </c>
      <c r="AE657" s="3">
        <v>5.8708762889999999</v>
      </c>
      <c r="AF657" s="4">
        <v>41075</v>
      </c>
      <c r="AG657" s="5">
        <f>YEAR(AF657)</f>
        <v>2012</v>
      </c>
      <c r="AH657" s="5" t="str">
        <f>"Q"&amp;ROUNDUP(MONTH(AF657)/3,0)</f>
        <v>Q2</v>
      </c>
      <c r="AI657" s="5">
        <f>INDEX(RatingLookup!$B$2:$B$11,MATCH(A657,RatingLookup!$A$2:$A$11,0))</f>
        <v>7</v>
      </c>
      <c r="AJ657" s="5" t="str">
        <f>INDEX(RatingLookup!$C$2:$C$11,MATCH(A657,RatingLookup!$A$2:$A$11,0))</f>
        <v>Investment Grade</v>
      </c>
    </row>
    <row r="658" spans="1:36" x14ac:dyDescent="0.3">
      <c r="A658" s="3" t="s">
        <v>42</v>
      </c>
      <c r="B658" s="3" t="s">
        <v>797</v>
      </c>
      <c r="C658" s="3" t="s">
        <v>798</v>
      </c>
      <c r="D658" s="3" t="s">
        <v>60</v>
      </c>
      <c r="E658" s="3" t="s">
        <v>218</v>
      </c>
      <c r="F658" s="3" t="s">
        <v>79</v>
      </c>
      <c r="G658" s="3">
        <v>0.62221873999999999</v>
      </c>
      <c r="H658" s="3">
        <v>0.23315575099999999</v>
      </c>
      <c r="I658" s="3">
        <v>1.4102159999999999E-3</v>
      </c>
      <c r="J658" s="3">
        <v>29.359473739999999</v>
      </c>
      <c r="K658" s="3">
        <v>9.6698626999999995E-2</v>
      </c>
      <c r="L658" s="3">
        <v>0.141670299</v>
      </c>
      <c r="M658" s="3">
        <v>0.47736434999999999</v>
      </c>
      <c r="N658" s="3">
        <v>0.184381129</v>
      </c>
      <c r="O658" s="3">
        <v>3.5778355999999997E-2</v>
      </c>
      <c r="P658" s="3">
        <v>6.0156376999999997E-2</v>
      </c>
      <c r="Q658" s="3">
        <v>0.12828852299999999</v>
      </c>
      <c r="R658" s="3">
        <v>0.36999858899999999</v>
      </c>
      <c r="S658" s="3">
        <v>0.43993864399999999</v>
      </c>
      <c r="T658" s="3">
        <v>2.5856461409999998</v>
      </c>
      <c r="U658" s="3">
        <v>0.72111023799999996</v>
      </c>
      <c r="V658" s="3">
        <v>0.25975773899999999</v>
      </c>
      <c r="W658" s="3">
        <v>-9.9894847999999994E-2</v>
      </c>
      <c r="X658" s="3">
        <v>-1.059837728</v>
      </c>
      <c r="Y658" s="3">
        <v>2.3326572E-2</v>
      </c>
      <c r="Z658" s="3">
        <v>3.5856461409999998</v>
      </c>
      <c r="AA658" s="3">
        <v>0.141670299</v>
      </c>
      <c r="AB658" s="3">
        <v>5.8663478180000004</v>
      </c>
      <c r="AC658" s="3">
        <v>10.609533470000001</v>
      </c>
      <c r="AD658" s="3">
        <v>0.284947701</v>
      </c>
      <c r="AE658" s="3">
        <v>4.8366523819999996</v>
      </c>
      <c r="AF658" s="4">
        <v>41096</v>
      </c>
      <c r="AG658" s="5">
        <f>YEAR(AF658)</f>
        <v>2012</v>
      </c>
      <c r="AH658" s="5" t="str">
        <f>"Q"&amp;ROUNDUP(MONTH(AF658)/3,0)</f>
        <v>Q3</v>
      </c>
      <c r="AI658" s="5">
        <f>INDEX(RatingLookup!$B$2:$B$11,MATCH(A658,RatingLookup!$A$2:$A$11,0))</f>
        <v>7</v>
      </c>
      <c r="AJ658" s="5" t="str">
        <f>INDEX(RatingLookup!$C$2:$C$11,MATCH(A658,RatingLookup!$A$2:$A$11,0))</f>
        <v>Investment Grade</v>
      </c>
    </row>
    <row r="659" spans="1:36" x14ac:dyDescent="0.3">
      <c r="A659" s="3" t="s">
        <v>116</v>
      </c>
      <c r="B659" s="3" t="s">
        <v>801</v>
      </c>
      <c r="C659" s="3" t="s">
        <v>802</v>
      </c>
      <c r="D659" s="3" t="s">
        <v>60</v>
      </c>
      <c r="E659" s="3" t="s">
        <v>803</v>
      </c>
      <c r="F659" s="3" t="s">
        <v>53</v>
      </c>
      <c r="G659" s="3">
        <v>0.89226142100000005</v>
      </c>
      <c r="H659" s="3">
        <v>0.84561355000000005</v>
      </c>
      <c r="I659" s="3">
        <v>2.6763341E-2</v>
      </c>
      <c r="J659" s="3">
        <v>59.165368800000003</v>
      </c>
      <c r="K659" s="3">
        <v>-1.0821065750000001</v>
      </c>
      <c r="L659" s="3">
        <v>-1.4596732589999999</v>
      </c>
      <c r="M659" s="3">
        <v>1</v>
      </c>
      <c r="N659" s="3">
        <v>-1.4596732589999999</v>
      </c>
      <c r="O659" s="3">
        <v>-0.19485164999999999</v>
      </c>
      <c r="P659" s="3">
        <v>-0.27745106400000003</v>
      </c>
      <c r="Q659" s="3">
        <v>-0.46713681000000001</v>
      </c>
      <c r="R659" s="3">
        <v>0.18006696799999999</v>
      </c>
      <c r="S659" s="3">
        <v>0.19077723099999999</v>
      </c>
      <c r="T659" s="3">
        <v>1.3973972569999999</v>
      </c>
      <c r="U659" s="3">
        <v>0.58288097800000005</v>
      </c>
      <c r="V659" s="3">
        <v>0.25863647699999998</v>
      </c>
      <c r="W659" s="3">
        <v>1</v>
      </c>
      <c r="X659" s="3">
        <v>5.3787345499999999</v>
      </c>
      <c r="Y659" s="3">
        <v>0.89415363800000003</v>
      </c>
      <c r="Z659" s="3">
        <v>2.3973972570000002</v>
      </c>
      <c r="AA659" s="3">
        <v>-1.4596732589999999</v>
      </c>
      <c r="AB659" s="3">
        <v>-6.4441726920000004</v>
      </c>
      <c r="AC659" s="3">
        <v>5.3787345499999999</v>
      </c>
      <c r="AD659" s="3">
        <v>0.51267457800000005</v>
      </c>
      <c r="AE659" s="3">
        <v>0</v>
      </c>
      <c r="AF659" s="4">
        <v>42411</v>
      </c>
      <c r="AG659" s="5">
        <f>YEAR(AF659)</f>
        <v>2016</v>
      </c>
      <c r="AH659" s="5" t="str">
        <f>"Q"&amp;ROUNDUP(MONTH(AF659)/3,0)</f>
        <v>Q1</v>
      </c>
      <c r="AI659" s="5">
        <f>INDEX(RatingLookup!$B$2:$B$11,MATCH(A659,RatingLookup!$A$2:$A$11,0))</f>
        <v>4</v>
      </c>
      <c r="AJ659" s="5" t="str">
        <f>INDEX(RatingLookup!$C$2:$C$11,MATCH(A659,RatingLookup!$A$2:$A$11,0))</f>
        <v>Speculative Grade</v>
      </c>
    </row>
    <row r="660" spans="1:36" x14ac:dyDescent="0.3">
      <c r="A660" s="3" t="s">
        <v>92</v>
      </c>
      <c r="B660" s="3" t="s">
        <v>801</v>
      </c>
      <c r="C660" s="3" t="s">
        <v>802</v>
      </c>
      <c r="D660" s="3" t="s">
        <v>39</v>
      </c>
      <c r="E660" s="3" t="s">
        <v>804</v>
      </c>
      <c r="F660" s="3" t="s">
        <v>53</v>
      </c>
      <c r="G660" s="3">
        <v>0.69754889499999995</v>
      </c>
      <c r="H660" s="3">
        <v>0.62626311899999998</v>
      </c>
      <c r="I660" s="3">
        <v>6.4624713E-2</v>
      </c>
      <c r="J660" s="3">
        <v>64.263062070000004</v>
      </c>
      <c r="K660" s="3">
        <v>2.1006470999999999E-2</v>
      </c>
      <c r="L660" s="3">
        <v>4.6648452E-2</v>
      </c>
      <c r="M660" s="3">
        <v>1</v>
      </c>
      <c r="N660" s="3">
        <v>4.6648452E-2</v>
      </c>
      <c r="O660" s="3">
        <v>4.6226310000000003E-3</v>
      </c>
      <c r="P660" s="3">
        <v>1.1233715999999999E-2</v>
      </c>
      <c r="Q660" s="3">
        <v>1.1379683E-2</v>
      </c>
      <c r="R660" s="3">
        <v>0.22005749999999999</v>
      </c>
      <c r="S660" s="3">
        <v>0.25406984900000001</v>
      </c>
      <c r="T660" s="3">
        <v>1.4617327490000001</v>
      </c>
      <c r="U660" s="3">
        <v>0.59378206200000005</v>
      </c>
      <c r="V660" s="3">
        <v>0.55011638799999996</v>
      </c>
      <c r="W660" s="3">
        <v>1</v>
      </c>
      <c r="X660" s="3">
        <v>14.862712670000001</v>
      </c>
      <c r="Y660" s="3">
        <v>1.7494719089999999</v>
      </c>
      <c r="Z660" s="3">
        <v>2.4617327489999998</v>
      </c>
      <c r="AA660" s="3">
        <v>4.6648452E-2</v>
      </c>
      <c r="AB660" s="3">
        <v>16.3686252</v>
      </c>
      <c r="AC660" s="3">
        <v>14.862712670000001</v>
      </c>
      <c r="AD660" s="3">
        <v>0.58841002399999998</v>
      </c>
      <c r="AE660" s="3">
        <v>0</v>
      </c>
      <c r="AF660" s="4">
        <v>42129</v>
      </c>
      <c r="AG660" s="5">
        <f>YEAR(AF660)</f>
        <v>2015</v>
      </c>
      <c r="AH660" s="5" t="str">
        <f>"Q"&amp;ROUNDUP(MONTH(AF660)/3,0)</f>
        <v>Q2</v>
      </c>
      <c r="AI660" s="5">
        <f>INDEX(RatingLookup!$B$2:$B$11,MATCH(A660,RatingLookup!$A$2:$A$11,0))</f>
        <v>6</v>
      </c>
      <c r="AJ660" s="5" t="str">
        <f>INDEX(RatingLookup!$C$2:$C$11,MATCH(A660,RatingLookup!$A$2:$A$11,0))</f>
        <v>Speculative Grade</v>
      </c>
    </row>
    <row r="661" spans="1:36" x14ac:dyDescent="0.3">
      <c r="A661" s="3" t="s">
        <v>116</v>
      </c>
      <c r="B661" s="3" t="s">
        <v>801</v>
      </c>
      <c r="C661" s="3" t="s">
        <v>802</v>
      </c>
      <c r="D661" s="3" t="s">
        <v>60</v>
      </c>
      <c r="E661" s="3" t="s">
        <v>805</v>
      </c>
      <c r="F661" s="3" t="s">
        <v>53</v>
      </c>
      <c r="G661" s="3">
        <v>1.301613318</v>
      </c>
      <c r="H661" s="3">
        <v>0.480616979</v>
      </c>
      <c r="I661" s="3">
        <v>0.117021477</v>
      </c>
      <c r="J661" s="3">
        <v>49.40180874</v>
      </c>
      <c r="K661" s="3">
        <v>-1.0421173210000001</v>
      </c>
      <c r="L661" s="3">
        <v>-1.1103424019999999</v>
      </c>
      <c r="M661" s="3">
        <v>1</v>
      </c>
      <c r="N661" s="3">
        <v>-0.64452731600000002</v>
      </c>
      <c r="O661" s="3">
        <v>-0.13558958500000001</v>
      </c>
      <c r="P661" s="3">
        <v>-0.15181939699999999</v>
      </c>
      <c r="Q661" s="3">
        <v>-0.26046335199999998</v>
      </c>
      <c r="R661" s="3">
        <v>0.13010971299999999</v>
      </c>
      <c r="S661" s="3">
        <v>0.14053628500000001</v>
      </c>
      <c r="T661" s="3">
        <v>0.92096871800000002</v>
      </c>
      <c r="U661" s="3">
        <v>0.47942931599999999</v>
      </c>
      <c r="V661" s="3">
        <v>6.1429663000000002E-2</v>
      </c>
      <c r="W661" s="3">
        <v>1</v>
      </c>
      <c r="X661" s="3">
        <v>2.3623788559999999</v>
      </c>
      <c r="Y661" s="3">
        <v>0.22223854500000001</v>
      </c>
      <c r="Z661" s="3">
        <v>1.9209687179999999</v>
      </c>
      <c r="AA661" s="3">
        <v>-1.1103424019999999</v>
      </c>
      <c r="AB661" s="3">
        <v>21.507531480000001</v>
      </c>
      <c r="AC661" s="3">
        <v>2.3623788559999999</v>
      </c>
      <c r="AD661" s="3">
        <v>0.463049288</v>
      </c>
      <c r="AE661" s="3">
        <v>0</v>
      </c>
      <c r="AF661" s="4">
        <v>42579</v>
      </c>
      <c r="AG661" s="5">
        <f>YEAR(AF661)</f>
        <v>2016</v>
      </c>
      <c r="AH661" s="5" t="str">
        <f>"Q"&amp;ROUNDUP(MONTH(AF661)/3,0)</f>
        <v>Q3</v>
      </c>
      <c r="AI661" s="5">
        <f>INDEX(RatingLookup!$B$2:$B$11,MATCH(A661,RatingLookup!$A$2:$A$11,0))</f>
        <v>4</v>
      </c>
      <c r="AJ661" s="5" t="str">
        <f>INDEX(RatingLookup!$C$2:$C$11,MATCH(A661,RatingLookup!$A$2:$A$11,0))</f>
        <v>Speculative Grade</v>
      </c>
    </row>
    <row r="662" spans="1:36" x14ac:dyDescent="0.3">
      <c r="A662" s="3" t="s">
        <v>92</v>
      </c>
      <c r="B662" s="3" t="s">
        <v>801</v>
      </c>
      <c r="C662" s="3" t="s">
        <v>802</v>
      </c>
      <c r="D662" s="3" t="s">
        <v>60</v>
      </c>
      <c r="E662" s="3" t="s">
        <v>806</v>
      </c>
      <c r="F662" s="3" t="s">
        <v>53</v>
      </c>
      <c r="G662" s="3">
        <v>1.3753872069999999</v>
      </c>
      <c r="H662" s="3">
        <v>1.3397596709999999</v>
      </c>
      <c r="I662" s="3">
        <v>0.89941300099999999</v>
      </c>
      <c r="J662" s="3">
        <v>44.028519809999999</v>
      </c>
      <c r="K662" s="3">
        <v>0.129421914</v>
      </c>
      <c r="L662" s="3">
        <v>0.20218994200000001</v>
      </c>
      <c r="M662" s="3">
        <v>1</v>
      </c>
      <c r="N662" s="3">
        <v>0.20218994200000001</v>
      </c>
      <c r="O662" s="3">
        <v>4.1439548E-2</v>
      </c>
      <c r="P662" s="3">
        <v>7.0988861E-2</v>
      </c>
      <c r="Q662" s="3">
        <v>9.5611491000000007E-2</v>
      </c>
      <c r="R662" s="3">
        <v>0.32018957399999998</v>
      </c>
      <c r="S662" s="3">
        <v>0.37239871499999999</v>
      </c>
      <c r="T662" s="3">
        <v>1.3072522959999999</v>
      </c>
      <c r="U662" s="3">
        <v>0.56658402600000002</v>
      </c>
      <c r="V662" s="3">
        <v>0.359990278</v>
      </c>
      <c r="W662" s="3">
        <v>1</v>
      </c>
      <c r="X662" s="3">
        <v>14.753466939999999</v>
      </c>
      <c r="Y662" s="3">
        <v>5.9253678340000002</v>
      </c>
      <c r="Z662" s="3">
        <v>2.3072522960000001</v>
      </c>
      <c r="AA662" s="3">
        <v>0.20218994200000001</v>
      </c>
      <c r="AB662" s="3">
        <v>20.185289390000001</v>
      </c>
      <c r="AC662" s="3">
        <v>14.753466939999999</v>
      </c>
      <c r="AD662" s="3">
        <v>0.61686969800000002</v>
      </c>
      <c r="AE662" s="3">
        <v>0</v>
      </c>
      <c r="AF662" s="4">
        <v>41526</v>
      </c>
      <c r="AG662" s="5">
        <f>YEAR(AF662)</f>
        <v>2013</v>
      </c>
      <c r="AH662" s="5" t="str">
        <f>"Q"&amp;ROUNDUP(MONTH(AF662)/3,0)</f>
        <v>Q3</v>
      </c>
      <c r="AI662" s="5">
        <f>INDEX(RatingLookup!$B$2:$B$11,MATCH(A662,RatingLookup!$A$2:$A$11,0))</f>
        <v>6</v>
      </c>
      <c r="AJ662" s="5" t="str">
        <f>INDEX(RatingLookup!$C$2:$C$11,MATCH(A662,RatingLookup!$A$2:$A$11,0))</f>
        <v>Speculative Grade</v>
      </c>
    </row>
    <row r="663" spans="1:36" x14ac:dyDescent="0.3">
      <c r="A663" s="3" t="s">
        <v>109</v>
      </c>
      <c r="B663" s="3" t="s">
        <v>807</v>
      </c>
      <c r="C663" s="3" t="s">
        <v>808</v>
      </c>
      <c r="D663" s="3" t="s">
        <v>60</v>
      </c>
      <c r="E663" s="3" t="s">
        <v>740</v>
      </c>
      <c r="F663" s="3" t="s">
        <v>219</v>
      </c>
      <c r="G663" s="3">
        <v>2.3740875909999999</v>
      </c>
      <c r="H663" s="3">
        <v>1.131386861</v>
      </c>
      <c r="I663" s="3">
        <v>0.417883212</v>
      </c>
      <c r="J663" s="3">
        <v>67.573390149999994</v>
      </c>
      <c r="K663" s="3">
        <v>-0.15056818199999999</v>
      </c>
      <c r="L663" s="3">
        <v>-0.12594696999999999</v>
      </c>
      <c r="M663" s="3">
        <v>5.6818182000000002E-2</v>
      </c>
      <c r="N663" s="3">
        <v>-5.5871212000000003E-2</v>
      </c>
      <c r="O663" s="3">
        <v>-6.2697161000000001E-2</v>
      </c>
      <c r="P663" s="3">
        <v>-5.8797523999999997E-2</v>
      </c>
      <c r="Q663" s="3">
        <v>-0.318637275</v>
      </c>
      <c r="R663" s="3">
        <v>0.41640378500000003</v>
      </c>
      <c r="S663" s="3">
        <v>1.145957678</v>
      </c>
      <c r="T663" s="3">
        <v>4.0821643290000003</v>
      </c>
      <c r="U663" s="3">
        <v>0.80323343800000002</v>
      </c>
      <c r="V663" s="3">
        <v>-0.15413533800000001</v>
      </c>
      <c r="W663" s="3">
        <v>0.11574074099999999</v>
      </c>
      <c r="X663" s="3">
        <v>0.21632660100000001</v>
      </c>
      <c r="Y663" s="3">
        <v>1.981551667</v>
      </c>
      <c r="Z663" s="3">
        <v>5.0821643290000003</v>
      </c>
      <c r="AA663" s="3">
        <v>-0.12594696999999999</v>
      </c>
      <c r="AB663" s="3">
        <v>16.094748060000001</v>
      </c>
      <c r="AC663" s="3">
        <v>1.8690618349999999</v>
      </c>
      <c r="AD663" s="3">
        <v>0.10227272699999999</v>
      </c>
      <c r="AE663" s="3">
        <v>12.52830189</v>
      </c>
      <c r="AF663" s="4">
        <v>42314</v>
      </c>
      <c r="AG663" s="5">
        <f>YEAR(AF663)</f>
        <v>2015</v>
      </c>
      <c r="AH663" s="5" t="str">
        <f>"Q"&amp;ROUNDUP(MONTH(AF663)/3,0)</f>
        <v>Q4</v>
      </c>
      <c r="AI663" s="5">
        <f>INDEX(RatingLookup!$B$2:$B$11,MATCH(A663,RatingLookup!$A$2:$A$11,0))</f>
        <v>5</v>
      </c>
      <c r="AJ663" s="5" t="str">
        <f>INDEX(RatingLookup!$C$2:$C$11,MATCH(A663,RatingLookup!$A$2:$A$11,0))</f>
        <v>Speculative Grade</v>
      </c>
    </row>
    <row r="664" spans="1:36" x14ac:dyDescent="0.3">
      <c r="A664" s="3" t="s">
        <v>109</v>
      </c>
      <c r="B664" s="3" t="s">
        <v>807</v>
      </c>
      <c r="C664" s="3" t="s">
        <v>808</v>
      </c>
      <c r="D664" s="3" t="s">
        <v>60</v>
      </c>
      <c r="E664" s="3" t="s">
        <v>809</v>
      </c>
      <c r="F664" s="3" t="s">
        <v>219</v>
      </c>
      <c r="G664" s="3">
        <v>6.5054644809999997</v>
      </c>
      <c r="H664" s="3">
        <v>4.2513661200000001</v>
      </c>
      <c r="I664" s="3">
        <v>3.4945355189999998</v>
      </c>
      <c r="J664" s="3">
        <v>58.206678179999997</v>
      </c>
      <c r="K664" s="3">
        <v>-0.245826137</v>
      </c>
      <c r="L664" s="3">
        <v>-8.5780080999999994E-2</v>
      </c>
      <c r="M664" s="3">
        <v>0.11917098399999999</v>
      </c>
      <c r="N664" s="3">
        <v>-0.24006908499999999</v>
      </c>
      <c r="O664" s="3">
        <v>-8.4304046999999993E-2</v>
      </c>
      <c r="P664" s="3">
        <v>-3.1708873999999998E-2</v>
      </c>
      <c r="Q664" s="3">
        <v>-0.26521739100000002</v>
      </c>
      <c r="R664" s="3">
        <v>0.34294175700000001</v>
      </c>
      <c r="S664" s="3">
        <v>1.415647922</v>
      </c>
      <c r="T664" s="3">
        <v>2.1459627330000002</v>
      </c>
      <c r="U664" s="3">
        <v>0.68213228000000004</v>
      </c>
      <c r="V664" s="3">
        <v>-1.7986577180000001</v>
      </c>
      <c r="W664" s="3">
        <v>-0.32624113500000002</v>
      </c>
      <c r="X664" s="3">
        <v>-0.402516604</v>
      </c>
      <c r="Y664" s="3">
        <v>11.191711659999999</v>
      </c>
      <c r="Z664" s="3">
        <v>3.1459627330000002</v>
      </c>
      <c r="AA664" s="3">
        <v>-8.5780080999999994E-2</v>
      </c>
      <c r="AB664" s="3">
        <v>11.57344374</v>
      </c>
      <c r="AC664" s="3">
        <v>1.233800894</v>
      </c>
      <c r="AD664" s="3">
        <v>8.1174439000000001E-2</v>
      </c>
      <c r="AE664" s="3">
        <v>9.5625</v>
      </c>
      <c r="AF664" s="4">
        <v>42068</v>
      </c>
      <c r="AG664" s="5">
        <f>YEAR(AF664)</f>
        <v>2015</v>
      </c>
      <c r="AH664" s="5" t="str">
        <f>"Q"&amp;ROUNDUP(MONTH(AF664)/3,0)</f>
        <v>Q1</v>
      </c>
      <c r="AI664" s="5">
        <f>INDEX(RatingLookup!$B$2:$B$11,MATCH(A664,RatingLookup!$A$2:$A$11,0))</f>
        <v>5</v>
      </c>
      <c r="AJ664" s="5" t="str">
        <f>INDEX(RatingLookup!$C$2:$C$11,MATCH(A664,RatingLookup!$A$2:$A$11,0))</f>
        <v>Speculative Grade</v>
      </c>
    </row>
    <row r="665" spans="1:36" x14ac:dyDescent="0.3">
      <c r="A665" s="3" t="s">
        <v>42</v>
      </c>
      <c r="B665" s="3" t="s">
        <v>810</v>
      </c>
      <c r="C665" s="3" t="s">
        <v>811</v>
      </c>
      <c r="D665" s="3" t="s">
        <v>60</v>
      </c>
      <c r="E665" s="3" t="s">
        <v>812</v>
      </c>
      <c r="F665" s="3" t="s">
        <v>174</v>
      </c>
      <c r="G665" s="3">
        <v>1.644151197</v>
      </c>
      <c r="H665" s="3">
        <v>1.124356967</v>
      </c>
      <c r="I665" s="3">
        <v>0.44665622900000002</v>
      </c>
      <c r="J665" s="3">
        <v>53.476621049999999</v>
      </c>
      <c r="K665" s="3">
        <v>7.4416130999999996E-2</v>
      </c>
      <c r="L665" s="3">
        <v>0.101204004</v>
      </c>
      <c r="M665" s="3">
        <v>0.420240801</v>
      </c>
      <c r="N665" s="3">
        <v>0.17339587100000001</v>
      </c>
      <c r="O665" s="3">
        <v>6.7343455999999996E-2</v>
      </c>
      <c r="P665" s="3">
        <v>0.11386138599999999</v>
      </c>
      <c r="Q665" s="3">
        <v>6.01171875</v>
      </c>
      <c r="R665" s="3">
        <v>0.90495777399999999</v>
      </c>
      <c r="S665" s="3">
        <v>9.1997330959999992</v>
      </c>
      <c r="T665" s="3">
        <v>88.26953125</v>
      </c>
      <c r="U665" s="3">
        <v>0.98879797000000003</v>
      </c>
      <c r="V665" s="3">
        <v>0.26086956500000003</v>
      </c>
      <c r="W665" s="3">
        <v>0.86303501900000001</v>
      </c>
      <c r="X665" s="3">
        <v>2.3128258599999998</v>
      </c>
      <c r="Y665" s="3">
        <v>2.0823774770000001</v>
      </c>
      <c r="Z665" s="3">
        <v>89.26953125</v>
      </c>
      <c r="AA665" s="3">
        <v>0.101204004</v>
      </c>
      <c r="AB665" s="3">
        <v>17.371063620000001</v>
      </c>
      <c r="AC665" s="3">
        <v>2.6798748699999999</v>
      </c>
      <c r="AD665" s="3">
        <v>0.12426865199999999</v>
      </c>
      <c r="AE665" s="3">
        <v>6.8475157050000002</v>
      </c>
      <c r="AF665" s="4">
        <v>42408</v>
      </c>
      <c r="AG665" s="5">
        <f>YEAR(AF665)</f>
        <v>2016</v>
      </c>
      <c r="AH665" s="5" t="str">
        <f>"Q"&amp;ROUNDUP(MONTH(AF665)/3,0)</f>
        <v>Q1</v>
      </c>
      <c r="AI665" s="5">
        <f>INDEX(RatingLookup!$B$2:$B$11,MATCH(A665,RatingLookup!$A$2:$A$11,0))</f>
        <v>7</v>
      </c>
      <c r="AJ665" s="5" t="str">
        <f>INDEX(RatingLookup!$C$2:$C$11,MATCH(A665,RatingLookup!$A$2:$A$11,0))</f>
        <v>Investment Grade</v>
      </c>
    </row>
    <row r="666" spans="1:36" x14ac:dyDescent="0.3">
      <c r="A666" s="3" t="s">
        <v>42</v>
      </c>
      <c r="B666" s="3" t="s">
        <v>813</v>
      </c>
      <c r="C666" s="3" t="s">
        <v>814</v>
      </c>
      <c r="D666" s="3" t="s">
        <v>60</v>
      </c>
      <c r="E666" s="3" t="s">
        <v>815</v>
      </c>
      <c r="F666" s="3" t="s">
        <v>215</v>
      </c>
      <c r="G666" s="3">
        <v>2.4224117779999998</v>
      </c>
      <c r="H666" s="3">
        <v>2.4224117779999998</v>
      </c>
      <c r="I666" s="3">
        <v>2.4224117779999998</v>
      </c>
      <c r="J666" s="3">
        <v>0</v>
      </c>
      <c r="K666" s="3">
        <v>0.144063515</v>
      </c>
      <c r="L666" s="3">
        <v>0.14110429399999999</v>
      </c>
      <c r="M666" s="3">
        <v>0.41627571299999999</v>
      </c>
      <c r="N666" s="3">
        <v>0.19981956000000001</v>
      </c>
      <c r="O666" s="3">
        <v>7.8883147000000001E-2</v>
      </c>
      <c r="P666" s="3">
        <v>8.4399114999999997E-2</v>
      </c>
      <c r="Q666" s="3">
        <v>0.72273015299999999</v>
      </c>
      <c r="R666" s="3">
        <v>0.54755812000000004</v>
      </c>
      <c r="S666" s="3">
        <v>26.403049070000002</v>
      </c>
      <c r="T666" s="3">
        <v>8.162034942</v>
      </c>
      <c r="U666" s="3">
        <v>0.89085394200000001</v>
      </c>
      <c r="V666" s="3">
        <v>0.164322251</v>
      </c>
      <c r="W666" s="3">
        <v>0.81673709400000005</v>
      </c>
      <c r="X666" s="3">
        <v>1.5973769310000001</v>
      </c>
      <c r="Y666" s="3">
        <v>3.724577794</v>
      </c>
      <c r="Z666" s="3">
        <v>9.162034942</v>
      </c>
      <c r="AA666" s="3">
        <v>0.14110429399999999</v>
      </c>
      <c r="AB666" s="3">
        <v>4.8524463579999999</v>
      </c>
      <c r="AC666" s="3">
        <v>1.9558030900000001</v>
      </c>
      <c r="AD666" s="3">
        <v>0.19642728300000001</v>
      </c>
      <c r="AE666" s="3">
        <v>5.0633902019999999</v>
      </c>
      <c r="AF666" s="4">
        <v>41596</v>
      </c>
      <c r="AG666" s="5">
        <f>YEAR(AF666)</f>
        <v>2013</v>
      </c>
      <c r="AH666" s="5" t="str">
        <f>"Q"&amp;ROUNDUP(MONTH(AF666)/3,0)</f>
        <v>Q4</v>
      </c>
      <c r="AI666" s="5">
        <f>INDEX(RatingLookup!$B$2:$B$11,MATCH(A666,RatingLookup!$A$2:$A$11,0))</f>
        <v>7</v>
      </c>
      <c r="AJ666" s="5" t="str">
        <f>INDEX(RatingLookup!$C$2:$C$11,MATCH(A666,RatingLookup!$A$2:$A$11,0))</f>
        <v>Investment Grade</v>
      </c>
    </row>
    <row r="667" spans="1:36" x14ac:dyDescent="0.3">
      <c r="A667" s="3" t="s">
        <v>36</v>
      </c>
      <c r="B667" s="3" t="s">
        <v>813</v>
      </c>
      <c r="C667" s="3" t="s">
        <v>814</v>
      </c>
      <c r="D667" s="3" t="s">
        <v>60</v>
      </c>
      <c r="E667" s="3" t="s">
        <v>46</v>
      </c>
      <c r="F667" s="3" t="s">
        <v>215</v>
      </c>
      <c r="G667" s="3">
        <v>1.637090996</v>
      </c>
      <c r="H667" s="3">
        <v>1.637090996</v>
      </c>
      <c r="I667" s="3">
        <v>1.637090996</v>
      </c>
      <c r="J667" s="3">
        <v>0</v>
      </c>
      <c r="K667" s="3">
        <v>0.21222274799999999</v>
      </c>
      <c r="L667" s="3">
        <v>0.232108388</v>
      </c>
      <c r="M667" s="3">
        <v>0.43511672800000001</v>
      </c>
      <c r="N667" s="3">
        <v>0.25221255100000001</v>
      </c>
      <c r="O667" s="3">
        <v>0.128490943</v>
      </c>
      <c r="P667" s="3">
        <v>0.15482538700000001</v>
      </c>
      <c r="Q667" s="3">
        <v>1.302413947</v>
      </c>
      <c r="R667" s="3">
        <v>0.60545320199999997</v>
      </c>
      <c r="S667" s="3">
        <v>27.72034326</v>
      </c>
      <c r="T667" s="3">
        <v>9.1362315600000006</v>
      </c>
      <c r="U667" s="3">
        <v>0.90134400599999998</v>
      </c>
      <c r="V667" s="3">
        <v>8.5673937000000006E-2</v>
      </c>
      <c r="W667" s="3">
        <v>0.87275512799999999</v>
      </c>
      <c r="X667" s="3">
        <v>1.626070409</v>
      </c>
      <c r="Y667" s="3">
        <v>2.1739613069999999</v>
      </c>
      <c r="Z667" s="3">
        <v>10.136231560000001</v>
      </c>
      <c r="AA667" s="3">
        <v>0.232108388</v>
      </c>
      <c r="AB667" s="3">
        <v>6.7537030930000004</v>
      </c>
      <c r="AC667" s="3">
        <v>1.86314621</v>
      </c>
      <c r="AD667" s="3">
        <v>0.21395272600000001</v>
      </c>
      <c r="AE667" s="3">
        <v>5.7981308409999999</v>
      </c>
      <c r="AF667" s="4">
        <v>41075</v>
      </c>
      <c r="AG667" s="5">
        <f>YEAR(AF667)</f>
        <v>2012</v>
      </c>
      <c r="AH667" s="5" t="str">
        <f>"Q"&amp;ROUNDUP(MONTH(AF667)/3,0)</f>
        <v>Q2</v>
      </c>
      <c r="AI667" s="5">
        <f>INDEX(RatingLookup!$B$2:$B$11,MATCH(A667,RatingLookup!$A$2:$A$11,0))</f>
        <v>8</v>
      </c>
      <c r="AJ667" s="5" t="str">
        <f>INDEX(RatingLookup!$C$2:$C$11,MATCH(A667,RatingLookup!$A$2:$A$11,0))</f>
        <v>Investment Grade</v>
      </c>
    </row>
    <row r="668" spans="1:36" x14ac:dyDescent="0.3">
      <c r="A668" s="3" t="s">
        <v>42</v>
      </c>
      <c r="B668" s="3" t="s">
        <v>813</v>
      </c>
      <c r="C668" s="3" t="s">
        <v>814</v>
      </c>
      <c r="D668" s="3" t="s">
        <v>60</v>
      </c>
      <c r="E668" s="3" t="s">
        <v>169</v>
      </c>
      <c r="F668" s="3" t="s">
        <v>215</v>
      </c>
      <c r="G668" s="3">
        <v>2.293737895</v>
      </c>
      <c r="H668" s="3">
        <v>2.293737895</v>
      </c>
      <c r="I668" s="3">
        <v>2.293737895</v>
      </c>
      <c r="J668" s="3">
        <v>0</v>
      </c>
      <c r="K668" s="3">
        <v>0.18110083299999999</v>
      </c>
      <c r="L668" s="3">
        <v>0.20632679000000001</v>
      </c>
      <c r="M668" s="3">
        <v>0.43613190200000002</v>
      </c>
      <c r="N668" s="3">
        <v>0.23478322300000001</v>
      </c>
      <c r="O668" s="3">
        <v>0.10838078499999999</v>
      </c>
      <c r="P668" s="3">
        <v>0.13448085400000001</v>
      </c>
      <c r="Q668" s="3">
        <v>1.090686796</v>
      </c>
      <c r="R668" s="3">
        <v>0.59845547600000004</v>
      </c>
      <c r="S668" s="3">
        <v>28.887302399999999</v>
      </c>
      <c r="T668" s="3">
        <v>9.0634701250000003</v>
      </c>
      <c r="U668" s="3">
        <v>0.90063069799999995</v>
      </c>
      <c r="V668" s="3">
        <v>0.122262149</v>
      </c>
      <c r="W668" s="3">
        <v>0.80106302200000001</v>
      </c>
      <c r="X668" s="3">
        <v>1.5696809389999999</v>
      </c>
      <c r="Y668" s="3">
        <v>2.9368490660000002</v>
      </c>
      <c r="Z668" s="3">
        <v>10.063470130000001</v>
      </c>
      <c r="AA668" s="3">
        <v>0.20632679000000001</v>
      </c>
      <c r="AB668" s="3">
        <v>4.3035562460000003</v>
      </c>
      <c r="AC668" s="3">
        <v>1.9594974380000001</v>
      </c>
      <c r="AD668" s="3">
        <v>0.20923951399999999</v>
      </c>
      <c r="AE668" s="3">
        <v>5.7428982380000004</v>
      </c>
      <c r="AF668" s="4">
        <v>41240</v>
      </c>
      <c r="AG668" s="5">
        <f>YEAR(AF668)</f>
        <v>2012</v>
      </c>
      <c r="AH668" s="5" t="str">
        <f>"Q"&amp;ROUNDUP(MONTH(AF668)/3,0)</f>
        <v>Q4</v>
      </c>
      <c r="AI668" s="5">
        <f>INDEX(RatingLookup!$B$2:$B$11,MATCH(A668,RatingLookup!$A$2:$A$11,0))</f>
        <v>7</v>
      </c>
      <c r="AJ668" s="5" t="str">
        <f>INDEX(RatingLookup!$C$2:$C$11,MATCH(A668,RatingLookup!$A$2:$A$11,0))</f>
        <v>Investment Grade</v>
      </c>
    </row>
    <row r="669" spans="1:36" x14ac:dyDescent="0.3">
      <c r="A669" s="3" t="s">
        <v>42</v>
      </c>
      <c r="B669" s="3" t="s">
        <v>816</v>
      </c>
      <c r="C669" s="3" t="s">
        <v>817</v>
      </c>
      <c r="D669" s="3" t="s">
        <v>39</v>
      </c>
      <c r="E669" s="3" t="s">
        <v>329</v>
      </c>
      <c r="F669" s="3" t="s">
        <v>219</v>
      </c>
      <c r="G669" s="3">
        <v>1.3998054470000001</v>
      </c>
      <c r="H669" s="3">
        <v>0.647373541</v>
      </c>
      <c r="I669" s="3">
        <v>0.142509728</v>
      </c>
      <c r="J669" s="3">
        <v>29.962686569999999</v>
      </c>
      <c r="K669" s="3">
        <v>8.7893864000000002E-2</v>
      </c>
      <c r="L669" s="3">
        <v>0.117019071</v>
      </c>
      <c r="M669" s="3">
        <v>0.26741293500000002</v>
      </c>
      <c r="N669" s="3">
        <v>0.14344941999999999</v>
      </c>
      <c r="O669" s="3">
        <v>5.4320671000000001E-2</v>
      </c>
      <c r="P669" s="3">
        <v>8.3290298999999998E-2</v>
      </c>
      <c r="Q669" s="3">
        <v>0.21517381399999999</v>
      </c>
      <c r="R669" s="3">
        <v>0.61802575100000001</v>
      </c>
      <c r="S669" s="3">
        <v>1.8807017539999999</v>
      </c>
      <c r="T669" s="3">
        <v>2.9611773659999998</v>
      </c>
      <c r="U669" s="3">
        <v>0.74754980500000001</v>
      </c>
      <c r="V669" s="3">
        <v>0.24357838800000001</v>
      </c>
      <c r="W669" s="3">
        <v>0.59553349899999997</v>
      </c>
      <c r="X669" s="3">
        <v>6.4602960969999996</v>
      </c>
      <c r="Y669" s="3">
        <v>3.627187079</v>
      </c>
      <c r="Z669" s="3">
        <v>3.9611773659999998</v>
      </c>
      <c r="AA669" s="3">
        <v>0.117019071</v>
      </c>
      <c r="AB669" s="3">
        <v>8.1032255749999997</v>
      </c>
      <c r="AC669" s="3">
        <v>10.84791386</v>
      </c>
      <c r="AD669" s="3">
        <v>0.16708126000000001</v>
      </c>
      <c r="AE669" s="3">
        <v>4.3495384619999999</v>
      </c>
      <c r="AF669" s="4">
        <v>42318</v>
      </c>
      <c r="AG669" s="5">
        <f>YEAR(AF669)</f>
        <v>2015</v>
      </c>
      <c r="AH669" s="5" t="str">
        <f>"Q"&amp;ROUNDUP(MONTH(AF669)/3,0)</f>
        <v>Q4</v>
      </c>
      <c r="AI669" s="5">
        <f>INDEX(RatingLookup!$B$2:$B$11,MATCH(A669,RatingLookup!$A$2:$A$11,0))</f>
        <v>7</v>
      </c>
      <c r="AJ669" s="5" t="str">
        <f>INDEX(RatingLookup!$C$2:$C$11,MATCH(A669,RatingLookup!$A$2:$A$11,0))</f>
        <v>Investment Grade</v>
      </c>
    </row>
    <row r="670" spans="1:36" x14ac:dyDescent="0.3">
      <c r="A670" s="3" t="s">
        <v>42</v>
      </c>
      <c r="B670" s="3" t="s">
        <v>816</v>
      </c>
      <c r="C670" s="3" t="s">
        <v>817</v>
      </c>
      <c r="D670" s="3" t="s">
        <v>39</v>
      </c>
      <c r="E670" s="3" t="s">
        <v>818</v>
      </c>
      <c r="F670" s="3" t="s">
        <v>219</v>
      </c>
      <c r="G670" s="3">
        <v>1.931972789</v>
      </c>
      <c r="H670" s="3">
        <v>0.90136054399999999</v>
      </c>
      <c r="I670" s="3">
        <v>0.16122449</v>
      </c>
      <c r="J670" s="3">
        <v>34.352941180000002</v>
      </c>
      <c r="K670" s="3">
        <v>0.12459893</v>
      </c>
      <c r="L670" s="3">
        <v>0.17957219299999999</v>
      </c>
      <c r="M670" s="3">
        <v>0.29689839600000001</v>
      </c>
      <c r="N670" s="3">
        <v>0.19914438500000001</v>
      </c>
      <c r="O670" s="3">
        <v>9.8353735999999997E-2</v>
      </c>
      <c r="P670" s="3">
        <v>0.161831325</v>
      </c>
      <c r="Q670" s="3">
        <v>0.30690200200000001</v>
      </c>
      <c r="R670" s="3">
        <v>0.78936260000000003</v>
      </c>
      <c r="S670" s="3">
        <v>2.1794871790000001</v>
      </c>
      <c r="T670" s="3">
        <v>2.1203898840000002</v>
      </c>
      <c r="U670" s="3">
        <v>0.67952722700000001</v>
      </c>
      <c r="V670" s="3">
        <v>0.30196545600000002</v>
      </c>
      <c r="W670" s="3">
        <v>0.62760215900000005</v>
      </c>
      <c r="X670" s="3">
        <v>5.2857142860000002</v>
      </c>
      <c r="Y670" s="3">
        <v>2.8896103900000001</v>
      </c>
      <c r="Z670" s="3">
        <v>3.1203898840000002</v>
      </c>
      <c r="AA670" s="3">
        <v>0.17957219299999999</v>
      </c>
      <c r="AB670" s="3">
        <v>6.848095861</v>
      </c>
      <c r="AC670" s="3">
        <v>8.4220779219999997</v>
      </c>
      <c r="AD670" s="3">
        <v>0.13871657800000001</v>
      </c>
      <c r="AE670" s="3">
        <v>4.4721088440000001</v>
      </c>
      <c r="AF670" s="4">
        <v>41578</v>
      </c>
      <c r="AG670" s="5">
        <f>YEAR(AF670)</f>
        <v>2013</v>
      </c>
      <c r="AH670" s="5" t="str">
        <f>"Q"&amp;ROUNDUP(MONTH(AF670)/3,0)</f>
        <v>Q4</v>
      </c>
      <c r="AI670" s="5">
        <f>INDEX(RatingLookup!$B$2:$B$11,MATCH(A670,RatingLookup!$A$2:$A$11,0))</f>
        <v>7</v>
      </c>
      <c r="AJ670" s="5" t="str">
        <f>INDEX(RatingLookup!$C$2:$C$11,MATCH(A670,RatingLookup!$A$2:$A$11,0))</f>
        <v>Investment Grade</v>
      </c>
    </row>
    <row r="671" spans="1:36" x14ac:dyDescent="0.3">
      <c r="A671" s="3" t="s">
        <v>42</v>
      </c>
      <c r="B671" s="3" t="s">
        <v>816</v>
      </c>
      <c r="C671" s="3" t="s">
        <v>817</v>
      </c>
      <c r="D671" s="3" t="s">
        <v>39</v>
      </c>
      <c r="E671" s="3" t="s">
        <v>210</v>
      </c>
      <c r="F671" s="3" t="s">
        <v>219</v>
      </c>
      <c r="G671" s="3">
        <v>1.5692383780000001</v>
      </c>
      <c r="H671" s="3">
        <v>0.69930761600000002</v>
      </c>
      <c r="I671" s="3">
        <v>0.105835806</v>
      </c>
      <c r="J671" s="3">
        <v>35.860186839999997</v>
      </c>
      <c r="K671" s="3">
        <v>7.8828592000000003E-2</v>
      </c>
      <c r="L671" s="3">
        <v>0.10391518800000001</v>
      </c>
      <c r="M671" s="3">
        <v>0.233126902</v>
      </c>
      <c r="N671" s="3">
        <v>0.12196914</v>
      </c>
      <c r="O671" s="3">
        <v>4.6727227000000003E-2</v>
      </c>
      <c r="P671" s="3">
        <v>7.0462632999999997E-2</v>
      </c>
      <c r="Q671" s="3">
        <v>0.21396011400000001</v>
      </c>
      <c r="R671" s="3">
        <v>0.59277003500000003</v>
      </c>
      <c r="S671" s="3">
        <v>1.872813053</v>
      </c>
      <c r="T671" s="3">
        <v>3.578917379</v>
      </c>
      <c r="U671" s="3">
        <v>0.78160776499999995</v>
      </c>
      <c r="V671" s="3">
        <v>0.237373737</v>
      </c>
      <c r="W671" s="3">
        <v>0.57883522700000001</v>
      </c>
      <c r="X671" s="3">
        <v>5.4515050169999997</v>
      </c>
      <c r="Y671" s="3">
        <v>3.1973244150000002</v>
      </c>
      <c r="Z671" s="3">
        <v>4.578917379</v>
      </c>
      <c r="AA671" s="3">
        <v>0.10391518800000001</v>
      </c>
      <c r="AB671" s="3">
        <v>11.12472395</v>
      </c>
      <c r="AC671" s="3">
        <v>9.4180602009999994</v>
      </c>
      <c r="AD671" s="3">
        <v>0.14779049</v>
      </c>
      <c r="AE671" s="3">
        <v>4.2452062750000001</v>
      </c>
      <c r="AF671" s="4">
        <v>41957</v>
      </c>
      <c r="AG671" s="5">
        <f>YEAR(AF671)</f>
        <v>2014</v>
      </c>
      <c r="AH671" s="5" t="str">
        <f>"Q"&amp;ROUNDUP(MONTH(AF671)/3,0)</f>
        <v>Q4</v>
      </c>
      <c r="AI671" s="5">
        <f>INDEX(RatingLookup!$B$2:$B$11,MATCH(A671,RatingLookup!$A$2:$A$11,0))</f>
        <v>7</v>
      </c>
      <c r="AJ671" s="5" t="str">
        <f>INDEX(RatingLookup!$C$2:$C$11,MATCH(A671,RatingLookup!$A$2:$A$11,0))</f>
        <v>Investment Grade</v>
      </c>
    </row>
    <row r="672" spans="1:36" x14ac:dyDescent="0.3">
      <c r="A672" s="3" t="s">
        <v>42</v>
      </c>
      <c r="B672" s="3" t="s">
        <v>816</v>
      </c>
      <c r="C672" s="3" t="s">
        <v>817</v>
      </c>
      <c r="D672" s="3" t="s">
        <v>60</v>
      </c>
      <c r="E672" s="3" t="s">
        <v>46</v>
      </c>
      <c r="F672" s="3" t="s">
        <v>219</v>
      </c>
      <c r="G672" s="3">
        <v>2.0664272889999999</v>
      </c>
      <c r="H672" s="3">
        <v>1.3294434470000001</v>
      </c>
      <c r="I672" s="3">
        <v>0.51795332100000002</v>
      </c>
      <c r="J672" s="3">
        <v>32.137085540000001</v>
      </c>
      <c r="K672" s="3">
        <v>9.6962941999999996E-2</v>
      </c>
      <c r="L672" s="3">
        <v>0.13429924800000001</v>
      </c>
      <c r="M672" s="3">
        <v>0.22847589900000001</v>
      </c>
      <c r="N672" s="3">
        <v>0.14224017799999999</v>
      </c>
      <c r="O672" s="3">
        <v>0.112548512</v>
      </c>
      <c r="P672" s="3">
        <v>0.19013806699999999</v>
      </c>
      <c r="Q672" s="3">
        <v>0.372192513</v>
      </c>
      <c r="R672" s="3">
        <v>1.160737387</v>
      </c>
      <c r="S672" s="3">
        <v>2.310267139</v>
      </c>
      <c r="T672" s="3">
        <v>2.306951872</v>
      </c>
      <c r="U672" s="3">
        <v>0.69760672700000004</v>
      </c>
      <c r="V672" s="3">
        <v>0.31846472999999997</v>
      </c>
      <c r="W672" s="3">
        <v>0.26879999999999998</v>
      </c>
      <c r="X672" s="3">
        <v>1.2025769509999999</v>
      </c>
      <c r="Y672" s="3">
        <v>6.0773085179999997</v>
      </c>
      <c r="Z672" s="3">
        <v>3.306951872</v>
      </c>
      <c r="AA672" s="3">
        <v>0.13429924800000001</v>
      </c>
      <c r="AB672" s="3">
        <v>6.21724575</v>
      </c>
      <c r="AC672" s="3">
        <v>4.4738725840000004</v>
      </c>
      <c r="AD672" s="3">
        <v>8.7071607999999995E-2</v>
      </c>
      <c r="AE672" s="3">
        <v>5.7627471379999999</v>
      </c>
      <c r="AF672" s="4">
        <v>41075</v>
      </c>
      <c r="AG672" s="5">
        <f>YEAR(AF672)</f>
        <v>2012</v>
      </c>
      <c r="AH672" s="5" t="str">
        <f>"Q"&amp;ROUNDUP(MONTH(AF672)/3,0)</f>
        <v>Q2</v>
      </c>
      <c r="AI672" s="5">
        <f>INDEX(RatingLookup!$B$2:$B$11,MATCH(A672,RatingLookup!$A$2:$A$11,0))</f>
        <v>7</v>
      </c>
      <c r="AJ672" s="5" t="str">
        <f>INDEX(RatingLookup!$C$2:$C$11,MATCH(A672,RatingLookup!$A$2:$A$11,0))</f>
        <v>Investment Grade</v>
      </c>
    </row>
    <row r="673" spans="1:36" x14ac:dyDescent="0.3">
      <c r="A673" s="3" t="s">
        <v>42</v>
      </c>
      <c r="B673" s="3" t="s">
        <v>816</v>
      </c>
      <c r="C673" s="3" t="s">
        <v>817</v>
      </c>
      <c r="D673" s="3" t="s">
        <v>60</v>
      </c>
      <c r="E673" s="3" t="s">
        <v>644</v>
      </c>
      <c r="F673" s="3" t="s">
        <v>219</v>
      </c>
      <c r="G673" s="3">
        <v>1.5966573820000001</v>
      </c>
      <c r="H673" s="3">
        <v>0.77548746499999999</v>
      </c>
      <c r="I673" s="3">
        <v>0.100835655</v>
      </c>
      <c r="J673" s="3">
        <v>32.901865010000002</v>
      </c>
      <c r="K673" s="3">
        <v>9.4804617999999993E-2</v>
      </c>
      <c r="L673" s="3">
        <v>0.11645204300000001</v>
      </c>
      <c r="M673" s="3">
        <v>0.26087921800000002</v>
      </c>
      <c r="N673" s="3">
        <v>0.15353019500000001</v>
      </c>
      <c r="O673" s="3">
        <v>5.5250049000000002E-2</v>
      </c>
      <c r="P673" s="3">
        <v>7.6782316000000003E-2</v>
      </c>
      <c r="Q673" s="3">
        <v>0.188437776</v>
      </c>
      <c r="R673" s="3">
        <v>0.58277802899999998</v>
      </c>
      <c r="S673" s="3">
        <v>1.707354056</v>
      </c>
      <c r="T673" s="3">
        <v>2.4106354809999999</v>
      </c>
      <c r="U673" s="3">
        <v>0.70679950800000002</v>
      </c>
      <c r="V673" s="3">
        <v>0.18112488099999999</v>
      </c>
      <c r="W673" s="3">
        <v>0.54801443999999999</v>
      </c>
      <c r="X673" s="3">
        <v>5.1527494909999998</v>
      </c>
      <c r="Y673" s="3">
        <v>3.9375424300000001</v>
      </c>
      <c r="Z673" s="3">
        <v>3.4106354809999999</v>
      </c>
      <c r="AA673" s="3">
        <v>0.11645204300000001</v>
      </c>
      <c r="AB673" s="3">
        <v>9.0914039740000003</v>
      </c>
      <c r="AC673" s="3">
        <v>9.4025797690000008</v>
      </c>
      <c r="AD673" s="3">
        <v>0.15375222</v>
      </c>
      <c r="AE673" s="3">
        <v>4.4034391529999999</v>
      </c>
      <c r="AF673" s="4">
        <v>42690</v>
      </c>
      <c r="AG673" s="5">
        <f>YEAR(AF673)</f>
        <v>2016</v>
      </c>
      <c r="AH673" s="5" t="str">
        <f>"Q"&amp;ROUNDUP(MONTH(AF673)/3,0)</f>
        <v>Q4</v>
      </c>
      <c r="AI673" s="5">
        <f>INDEX(RatingLookup!$B$2:$B$11,MATCH(A673,RatingLookup!$A$2:$A$11,0))</f>
        <v>7</v>
      </c>
      <c r="AJ673" s="5" t="str">
        <f>INDEX(RatingLookup!$C$2:$C$11,MATCH(A673,RatingLookup!$A$2:$A$11,0))</f>
        <v>Investment Grade</v>
      </c>
    </row>
    <row r="674" spans="1:36" x14ac:dyDescent="0.3">
      <c r="A674" s="3" t="s">
        <v>92</v>
      </c>
      <c r="B674" s="3" t="s">
        <v>819</v>
      </c>
      <c r="C674" s="3" t="s">
        <v>820</v>
      </c>
      <c r="D674" s="3" t="s">
        <v>60</v>
      </c>
      <c r="E674" s="3" t="s">
        <v>122</v>
      </c>
      <c r="F674" s="3" t="s">
        <v>174</v>
      </c>
      <c r="G674" s="3">
        <v>1.165853517</v>
      </c>
      <c r="H674" s="3">
        <v>0.81408051999999997</v>
      </c>
      <c r="I674" s="3">
        <v>9.2392811000000005E-2</v>
      </c>
      <c r="J674" s="3">
        <v>47.033735880000002</v>
      </c>
      <c r="K674" s="3">
        <v>0.19400825799999999</v>
      </c>
      <c r="L674" s="3">
        <v>0.210306518</v>
      </c>
      <c r="M674" s="3">
        <v>1</v>
      </c>
      <c r="N674" s="3">
        <v>0.28301177199999999</v>
      </c>
      <c r="O674" s="3">
        <v>7.7413675000000001E-2</v>
      </c>
      <c r="P674" s="3">
        <v>9.0354509999999999E-2</v>
      </c>
      <c r="Q674" s="3">
        <v>0.25715458200000002</v>
      </c>
      <c r="R674" s="3">
        <v>0.39902257800000002</v>
      </c>
      <c r="S674" s="3">
        <v>1.235823463</v>
      </c>
      <c r="T674" s="3">
        <v>2.3218237140000002</v>
      </c>
      <c r="U674" s="3">
        <v>0.69896054500000004</v>
      </c>
      <c r="V674" s="3">
        <v>7.7497646000000003E-2</v>
      </c>
      <c r="W674" s="3">
        <v>1</v>
      </c>
      <c r="X674" s="3">
        <v>4.9589096230000003</v>
      </c>
      <c r="Y674" s="3">
        <v>0.23179645199999999</v>
      </c>
      <c r="Z674" s="3">
        <v>3.3218237140000002</v>
      </c>
      <c r="AA674" s="3">
        <v>0.210306518</v>
      </c>
      <c r="AB674" s="3">
        <v>12.710651289999999</v>
      </c>
      <c r="AC674" s="3">
        <v>4.9589096230000003</v>
      </c>
      <c r="AD674" s="3">
        <v>0.35292700700000001</v>
      </c>
      <c r="AE674" s="3">
        <v>0</v>
      </c>
      <c r="AF674" s="4">
        <v>42261</v>
      </c>
      <c r="AG674" s="5">
        <f>YEAR(AF674)</f>
        <v>2015</v>
      </c>
      <c r="AH674" s="5" t="str">
        <f>"Q"&amp;ROUNDUP(MONTH(AF674)/3,0)</f>
        <v>Q3</v>
      </c>
      <c r="AI674" s="5">
        <f>INDEX(RatingLookup!$B$2:$B$11,MATCH(A674,RatingLookup!$A$2:$A$11,0))</f>
        <v>6</v>
      </c>
      <c r="AJ674" s="5" t="str">
        <f>INDEX(RatingLookup!$C$2:$C$11,MATCH(A674,RatingLookup!$A$2:$A$11,0))</f>
        <v>Speculative Grade</v>
      </c>
    </row>
    <row r="675" spans="1:36" x14ac:dyDescent="0.3">
      <c r="A675" s="3" t="s">
        <v>92</v>
      </c>
      <c r="B675" s="3" t="s">
        <v>821</v>
      </c>
      <c r="C675" s="3" t="s">
        <v>822</v>
      </c>
      <c r="D675" s="3" t="s">
        <v>47</v>
      </c>
      <c r="E675" s="3" t="s">
        <v>242</v>
      </c>
      <c r="F675" s="3" t="s">
        <v>96</v>
      </c>
      <c r="G675" s="3">
        <v>1.8109080440000001</v>
      </c>
      <c r="H675" s="3">
        <v>1.415887178</v>
      </c>
      <c r="I675" s="3">
        <v>1.172974529</v>
      </c>
      <c r="J675" s="3">
        <v>41.039325839999997</v>
      </c>
      <c r="K675" s="3">
        <v>1.8623979999999998E-2</v>
      </c>
      <c r="L675" s="3">
        <v>1.1774665E-2</v>
      </c>
      <c r="M675" s="3">
        <v>0.26435277800000001</v>
      </c>
      <c r="N675" s="3">
        <v>3.5862706000000001E-2</v>
      </c>
      <c r="O675" s="3">
        <v>7.3641289999999996E-3</v>
      </c>
      <c r="P675" s="3">
        <v>5.9043719999999997E-3</v>
      </c>
      <c r="Q675" s="3">
        <v>2.1713772999999999E-2</v>
      </c>
      <c r="R675" s="3">
        <v>0.39541111299999998</v>
      </c>
      <c r="S675" s="3">
        <v>3.7093919500000001</v>
      </c>
      <c r="T675" s="3">
        <v>1.9485868099999999</v>
      </c>
      <c r="U675" s="3">
        <v>0.66085448199999997</v>
      </c>
      <c r="V675" s="3">
        <v>-0.58169934599999995</v>
      </c>
      <c r="W675" s="3">
        <v>0.70549672200000002</v>
      </c>
      <c r="X675" s="3">
        <v>5.8535564850000004</v>
      </c>
      <c r="Y675" s="3">
        <v>35.054393310000002</v>
      </c>
      <c r="Z675" s="3">
        <v>2.9485868100000001</v>
      </c>
      <c r="AA675" s="3">
        <v>1.1774665E-2</v>
      </c>
      <c r="AB675" s="3">
        <v>10.3882186</v>
      </c>
      <c r="AC675" s="3">
        <v>8.2970711300000008</v>
      </c>
      <c r="AD675" s="3">
        <v>0.15260889599999999</v>
      </c>
      <c r="AE675" s="3">
        <v>5.0630296609999998</v>
      </c>
      <c r="AF675" s="4">
        <v>42688</v>
      </c>
      <c r="AG675" s="5">
        <f>YEAR(AF675)</f>
        <v>2016</v>
      </c>
      <c r="AH675" s="5" t="str">
        <f>"Q"&amp;ROUNDUP(MONTH(AF675)/3,0)</f>
        <v>Q4</v>
      </c>
      <c r="AI675" s="5">
        <f>INDEX(RatingLookup!$B$2:$B$11,MATCH(A675,RatingLookup!$A$2:$A$11,0))</f>
        <v>6</v>
      </c>
      <c r="AJ675" s="5" t="str">
        <f>INDEX(RatingLookup!$C$2:$C$11,MATCH(A675,RatingLookup!$A$2:$A$11,0))</f>
        <v>Speculative Grade</v>
      </c>
    </row>
    <row r="676" spans="1:36" x14ac:dyDescent="0.3">
      <c r="A676" s="3" t="s">
        <v>92</v>
      </c>
      <c r="B676" s="3" t="s">
        <v>821</v>
      </c>
      <c r="C676" s="3" t="s">
        <v>822</v>
      </c>
      <c r="D676" s="3" t="s">
        <v>60</v>
      </c>
      <c r="E676" s="3" t="s">
        <v>823</v>
      </c>
      <c r="F676" s="3" t="s">
        <v>96</v>
      </c>
      <c r="G676" s="3">
        <v>2.6270820480000001</v>
      </c>
      <c r="H676" s="3">
        <v>2.103022825</v>
      </c>
      <c r="I676" s="3">
        <v>1.549660703</v>
      </c>
      <c r="J676" s="3">
        <v>38.373593190000001</v>
      </c>
      <c r="K676" s="3">
        <v>0.10053527299999999</v>
      </c>
      <c r="L676" s="3">
        <v>0.10822124599999999</v>
      </c>
      <c r="M676" s="3">
        <v>0.28966511099999998</v>
      </c>
      <c r="N676" s="3">
        <v>0.11055448800000001</v>
      </c>
      <c r="O676" s="3">
        <v>9.6502207000000007E-2</v>
      </c>
      <c r="P676" s="3">
        <v>0.13208811500000001</v>
      </c>
      <c r="Q676" s="3">
        <v>0.158910945</v>
      </c>
      <c r="R676" s="3">
        <v>0.95988406599999998</v>
      </c>
      <c r="S676" s="3">
        <v>4.9146711639999996</v>
      </c>
      <c r="T676" s="3">
        <v>0.64670788599999995</v>
      </c>
      <c r="U676" s="3">
        <v>0.39272775199999999</v>
      </c>
      <c r="V676" s="3">
        <v>7.1020925999999998E-2</v>
      </c>
      <c r="W676" s="3">
        <v>0.72702943799999997</v>
      </c>
      <c r="X676" s="3">
        <v>7.0258620690000004</v>
      </c>
      <c r="Y676" s="3">
        <v>22.78448276</v>
      </c>
      <c r="Z676" s="3">
        <v>1.646707886</v>
      </c>
      <c r="AA676" s="3">
        <v>0.10822124599999999</v>
      </c>
      <c r="AB676" s="3">
        <v>6.3317137609999996</v>
      </c>
      <c r="AC676" s="3">
        <v>9.6637931029999997</v>
      </c>
      <c r="AD676" s="3">
        <v>0.15385671200000001</v>
      </c>
      <c r="AE676" s="3">
        <v>5.502923977</v>
      </c>
      <c r="AF676" s="4">
        <v>42443</v>
      </c>
      <c r="AG676" s="5">
        <f>YEAR(AF676)</f>
        <v>2016</v>
      </c>
      <c r="AH676" s="5" t="str">
        <f>"Q"&amp;ROUNDUP(MONTH(AF676)/3,0)</f>
        <v>Q1</v>
      </c>
      <c r="AI676" s="5">
        <f>INDEX(RatingLookup!$B$2:$B$11,MATCH(A676,RatingLookup!$A$2:$A$11,0))</f>
        <v>6</v>
      </c>
      <c r="AJ676" s="5" t="str">
        <f>INDEX(RatingLookup!$C$2:$C$11,MATCH(A676,RatingLookup!$A$2:$A$11,0))</f>
        <v>Speculative Grade</v>
      </c>
    </row>
    <row r="677" spans="1:36" x14ac:dyDescent="0.3">
      <c r="A677" s="3" t="s">
        <v>42</v>
      </c>
      <c r="B677" s="3" t="s">
        <v>824</v>
      </c>
      <c r="C677" s="3" t="s">
        <v>825</v>
      </c>
      <c r="D677" s="3" t="s">
        <v>39</v>
      </c>
      <c r="E677" s="3" t="s">
        <v>227</v>
      </c>
      <c r="F677" s="3" t="s">
        <v>219</v>
      </c>
      <c r="G677" s="3">
        <v>1.5360134000000001</v>
      </c>
      <c r="H677" s="3">
        <v>7.0404103999999995E-2</v>
      </c>
      <c r="I677" s="3">
        <v>5.7317839000000002E-2</v>
      </c>
      <c r="J677" s="3">
        <v>0</v>
      </c>
      <c r="K677" s="3">
        <v>7.6157217999999999E-2</v>
      </c>
      <c r="L677" s="3">
        <v>0.101914456</v>
      </c>
      <c r="M677" s="3">
        <v>0.34054040699999999</v>
      </c>
      <c r="N677" s="3">
        <v>0.1350769</v>
      </c>
      <c r="O677" s="3">
        <v>5.7578878E-2</v>
      </c>
      <c r="P677" s="3">
        <v>0.119967348</v>
      </c>
      <c r="Q677" s="3">
        <v>0.20091473400000001</v>
      </c>
      <c r="R677" s="3">
        <v>0.75605280399999997</v>
      </c>
      <c r="S677" s="3">
        <v>3.0857470390000001</v>
      </c>
      <c r="T677" s="3">
        <v>2.4893825550000002</v>
      </c>
      <c r="U677" s="3">
        <v>0.71341634700000001</v>
      </c>
      <c r="V677" s="3">
        <v>0.17861482400000001</v>
      </c>
      <c r="W677" s="3">
        <v>0.46359513000000002</v>
      </c>
      <c r="X677" s="3">
        <v>1.4565691869999999</v>
      </c>
      <c r="Y677" s="3">
        <v>1.008797918</v>
      </c>
      <c r="Z677" s="3">
        <v>3.4893825550000002</v>
      </c>
      <c r="AA677" s="3">
        <v>0.101914456</v>
      </c>
      <c r="AB677" s="3">
        <v>12.14619789</v>
      </c>
      <c r="AC677" s="3">
        <v>3.1418992399999999</v>
      </c>
      <c r="AD677" s="3">
        <v>0.10374718300000001</v>
      </c>
      <c r="AE677" s="3">
        <v>6.1423298730000004</v>
      </c>
      <c r="AF677" s="4">
        <v>41955</v>
      </c>
      <c r="AG677" s="5">
        <f>YEAR(AF677)</f>
        <v>2014</v>
      </c>
      <c r="AH677" s="5" t="str">
        <f>"Q"&amp;ROUNDUP(MONTH(AF677)/3,0)</f>
        <v>Q4</v>
      </c>
      <c r="AI677" s="5">
        <f>INDEX(RatingLookup!$B$2:$B$11,MATCH(A677,RatingLookup!$A$2:$A$11,0))</f>
        <v>7</v>
      </c>
      <c r="AJ677" s="5" t="str">
        <f>INDEX(RatingLookup!$C$2:$C$11,MATCH(A677,RatingLookup!$A$2:$A$11,0))</f>
        <v>Investment Grade</v>
      </c>
    </row>
    <row r="678" spans="1:36" x14ac:dyDescent="0.3">
      <c r="A678" s="3" t="s">
        <v>36</v>
      </c>
      <c r="B678" s="3" t="s">
        <v>824</v>
      </c>
      <c r="C678" s="3" t="s">
        <v>825</v>
      </c>
      <c r="D678" s="3" t="s">
        <v>39</v>
      </c>
      <c r="E678" s="3" t="s">
        <v>826</v>
      </c>
      <c r="F678" s="3" t="s">
        <v>219</v>
      </c>
      <c r="G678" s="3">
        <v>1.4823576789999999</v>
      </c>
      <c r="H678" s="3">
        <v>7.5099411000000005E-2</v>
      </c>
      <c r="I678" s="3">
        <v>6.2012381999999998E-2</v>
      </c>
      <c r="J678" s="3">
        <v>0</v>
      </c>
      <c r="K678" s="3">
        <v>7.5849076000000001E-2</v>
      </c>
      <c r="L678" s="3">
        <v>0.12059977299999999</v>
      </c>
      <c r="M678" s="3">
        <v>0.34592753199999998</v>
      </c>
      <c r="N678" s="3">
        <v>0.17007329400000001</v>
      </c>
      <c r="O678" s="3">
        <v>5.6139211000000001E-2</v>
      </c>
      <c r="P678" s="3">
        <v>0.143851008</v>
      </c>
      <c r="Q678" s="3">
        <v>0.19338070800000001</v>
      </c>
      <c r="R678" s="3">
        <v>0.74014364300000002</v>
      </c>
      <c r="S678" s="3">
        <v>3.104061524</v>
      </c>
      <c r="T678" s="3">
        <v>2.4446637720000002</v>
      </c>
      <c r="U678" s="3">
        <v>0.70969590500000002</v>
      </c>
      <c r="V678" s="3">
        <v>0.31799700400000003</v>
      </c>
      <c r="W678" s="3">
        <v>0.41420274600000001</v>
      </c>
      <c r="X678" s="3">
        <v>1.160425711</v>
      </c>
      <c r="Y678" s="3">
        <v>1.1034768399999999</v>
      </c>
      <c r="Z678" s="3">
        <v>3.4446637720000002</v>
      </c>
      <c r="AA678" s="3">
        <v>0.12059977299999999</v>
      </c>
      <c r="AB678" s="3">
        <v>12.91646512</v>
      </c>
      <c r="AC678" s="3">
        <v>2.801588652</v>
      </c>
      <c r="AD678" s="3">
        <v>9.7759884000000005E-2</v>
      </c>
      <c r="AE678" s="3">
        <v>5.3333333329999997</v>
      </c>
      <c r="AF678" s="4">
        <v>41800</v>
      </c>
      <c r="AG678" s="5">
        <f>YEAR(AF678)</f>
        <v>2014</v>
      </c>
      <c r="AH678" s="5" t="str">
        <f>"Q"&amp;ROUNDUP(MONTH(AF678)/3,0)</f>
        <v>Q2</v>
      </c>
      <c r="AI678" s="5">
        <f>INDEX(RatingLookup!$B$2:$B$11,MATCH(A678,RatingLookup!$A$2:$A$11,0))</f>
        <v>8</v>
      </c>
      <c r="AJ678" s="5" t="str">
        <f>INDEX(RatingLookup!$C$2:$C$11,MATCH(A678,RatingLookup!$A$2:$A$11,0))</f>
        <v>Investment Grade</v>
      </c>
    </row>
    <row r="679" spans="1:36" x14ac:dyDescent="0.3">
      <c r="A679" s="3" t="s">
        <v>42</v>
      </c>
      <c r="B679" s="3" t="s">
        <v>824</v>
      </c>
      <c r="C679" s="3" t="s">
        <v>825</v>
      </c>
      <c r="D679" s="3" t="s">
        <v>39</v>
      </c>
      <c r="E679" s="3" t="s">
        <v>222</v>
      </c>
      <c r="F679" s="3" t="s">
        <v>219</v>
      </c>
      <c r="G679" s="3">
        <v>2.044932223</v>
      </c>
      <c r="H679" s="3">
        <v>5.5459988000000002E-2</v>
      </c>
      <c r="I679" s="3">
        <v>5.4083808999999997E-2</v>
      </c>
      <c r="J679" s="3">
        <v>0</v>
      </c>
      <c r="K679" s="3">
        <v>0.14924462099999999</v>
      </c>
      <c r="L679" s="3">
        <v>-5.4295742000000001E-2</v>
      </c>
      <c r="M679" s="3">
        <v>0.32821608400000002</v>
      </c>
      <c r="N679" s="3">
        <v>-1.5321227E-2</v>
      </c>
      <c r="O679" s="3">
        <v>7.7301254E-2</v>
      </c>
      <c r="P679" s="3">
        <v>-3.6510281999999998E-2</v>
      </c>
      <c r="Q679" s="3">
        <v>0.26210001599999999</v>
      </c>
      <c r="R679" s="3">
        <v>0.51795001500000004</v>
      </c>
      <c r="S679" s="3">
        <v>3.2236324280000002</v>
      </c>
      <c r="T679" s="3">
        <v>2.3906308620000001</v>
      </c>
      <c r="U679" s="3">
        <v>0.705069634</v>
      </c>
      <c r="V679" s="3">
        <v>-0.26644182100000002</v>
      </c>
      <c r="W679" s="3">
        <v>1.3915553949999999</v>
      </c>
      <c r="X679" s="3">
        <v>-2.8841550979999999</v>
      </c>
      <c r="Y679" s="3">
        <v>0.60286021999999995</v>
      </c>
      <c r="Z679" s="3">
        <v>3.3906308620000001</v>
      </c>
      <c r="AA679" s="3">
        <v>-5.4295742000000001E-2</v>
      </c>
      <c r="AB679" s="3">
        <v>94.842779849999999</v>
      </c>
      <c r="AC679" s="3">
        <v>-2.0726124939999999</v>
      </c>
      <c r="AD679" s="3">
        <v>-8.4571952000000006E-2</v>
      </c>
      <c r="AE679" s="3">
        <v>5.453666997</v>
      </c>
      <c r="AF679" s="4">
        <v>42340</v>
      </c>
      <c r="AG679" s="5">
        <f>YEAR(AF679)</f>
        <v>2015</v>
      </c>
      <c r="AH679" s="5" t="str">
        <f>"Q"&amp;ROUNDUP(MONTH(AF679)/3,0)</f>
        <v>Q4</v>
      </c>
      <c r="AI679" s="5">
        <f>INDEX(RatingLookup!$B$2:$B$11,MATCH(A679,RatingLookup!$A$2:$A$11,0))</f>
        <v>7</v>
      </c>
      <c r="AJ679" s="5" t="str">
        <f>INDEX(RatingLookup!$C$2:$C$11,MATCH(A679,RatingLookup!$A$2:$A$11,0))</f>
        <v>Investment Grade</v>
      </c>
    </row>
    <row r="680" spans="1:36" x14ac:dyDescent="0.3">
      <c r="A680" s="3" t="s">
        <v>42</v>
      </c>
      <c r="B680" s="3" t="s">
        <v>824</v>
      </c>
      <c r="C680" s="3" t="s">
        <v>825</v>
      </c>
      <c r="D680" s="3" t="s">
        <v>60</v>
      </c>
      <c r="E680" s="3" t="s">
        <v>46</v>
      </c>
      <c r="F680" s="3" t="s">
        <v>219</v>
      </c>
      <c r="G680" s="3">
        <v>2.0321774110000002</v>
      </c>
      <c r="H680" s="3">
        <v>0.203174258</v>
      </c>
      <c r="I680" s="3">
        <v>0.172736167</v>
      </c>
      <c r="J680" s="3">
        <v>0</v>
      </c>
      <c r="K680" s="3">
        <v>0.108321738</v>
      </c>
      <c r="L680" s="3">
        <v>0.122561355</v>
      </c>
      <c r="M680" s="3">
        <v>0.34559933700000001</v>
      </c>
      <c r="N680" s="3">
        <v>0.17386541899999999</v>
      </c>
      <c r="O680" s="3">
        <v>9.7742754000000001E-2</v>
      </c>
      <c r="P680" s="3">
        <v>0.14662133399999999</v>
      </c>
      <c r="Q680" s="3">
        <v>0.29493793299999999</v>
      </c>
      <c r="R680" s="3">
        <v>0.90233738500000005</v>
      </c>
      <c r="S680" s="3">
        <v>3.4230847180000001</v>
      </c>
      <c r="T680" s="3">
        <v>2.0174915360000001</v>
      </c>
      <c r="U680" s="3">
        <v>0.66859890499999997</v>
      </c>
      <c r="V680" s="3">
        <v>0.32971014500000001</v>
      </c>
      <c r="W680" s="3">
        <v>0.55474624100000003</v>
      </c>
      <c r="X680" s="3">
        <v>3.324041223</v>
      </c>
      <c r="Y680" s="3">
        <v>2.6313566480000001</v>
      </c>
      <c r="Z680" s="3">
        <v>3.0174915360000001</v>
      </c>
      <c r="AA680" s="3">
        <v>0.122561355</v>
      </c>
      <c r="AB680" s="3">
        <v>4.9016490829999997</v>
      </c>
      <c r="AC680" s="3">
        <v>5.9920031539999998</v>
      </c>
      <c r="AD680" s="3">
        <v>0.12599544100000001</v>
      </c>
      <c r="AE680" s="3">
        <v>4.8232598729999996</v>
      </c>
      <c r="AF680" s="4">
        <v>41075</v>
      </c>
      <c r="AG680" s="5">
        <f>YEAR(AF680)</f>
        <v>2012</v>
      </c>
      <c r="AH680" s="5" t="str">
        <f>"Q"&amp;ROUNDUP(MONTH(AF680)/3,0)</f>
        <v>Q2</v>
      </c>
      <c r="AI680" s="5">
        <f>INDEX(RatingLookup!$B$2:$B$11,MATCH(A680,RatingLookup!$A$2:$A$11,0))</f>
        <v>7</v>
      </c>
      <c r="AJ680" s="5" t="str">
        <f>INDEX(RatingLookup!$C$2:$C$11,MATCH(A680,RatingLookup!$A$2:$A$11,0))</f>
        <v>Investment Grade</v>
      </c>
    </row>
    <row r="681" spans="1:36" x14ac:dyDescent="0.3">
      <c r="A681" s="3" t="s">
        <v>49</v>
      </c>
      <c r="B681" s="3" t="s">
        <v>827</v>
      </c>
      <c r="C681" s="3" t="s">
        <v>828</v>
      </c>
      <c r="D681" s="3" t="s">
        <v>60</v>
      </c>
      <c r="E681" s="3" t="s">
        <v>829</v>
      </c>
      <c r="F681" s="3" t="s">
        <v>53</v>
      </c>
      <c r="G681" s="3">
        <v>1.3356635429999999</v>
      </c>
      <c r="H681" s="3">
        <v>0.91414752099999996</v>
      </c>
      <c r="I681" s="3">
        <v>0.41649032600000002</v>
      </c>
      <c r="J681" s="3">
        <v>33.896603769999999</v>
      </c>
      <c r="K681" s="3">
        <v>3.3124634E-2</v>
      </c>
      <c r="L681" s="3">
        <v>3.4966095000000003E-2</v>
      </c>
      <c r="M681" s="3">
        <v>0.83366190799999995</v>
      </c>
      <c r="N681" s="3">
        <v>3.4966095000000003E-2</v>
      </c>
      <c r="O681" s="3">
        <v>1.7237685999999999E-2</v>
      </c>
      <c r="P681" s="3">
        <v>2.0205391999999999E-2</v>
      </c>
      <c r="Q681" s="3">
        <v>3.0036146E-2</v>
      </c>
      <c r="R681" s="3">
        <v>0.52038872199999997</v>
      </c>
      <c r="S681" s="3">
        <v>0.73503152900000002</v>
      </c>
      <c r="T681" s="3">
        <v>0.74246968199999996</v>
      </c>
      <c r="U681" s="3">
        <v>0.42610192299999999</v>
      </c>
      <c r="V681" s="3">
        <v>2.7261462E-2</v>
      </c>
      <c r="W681" s="3">
        <v>-0.51644736800000002</v>
      </c>
      <c r="X681" s="3">
        <v>-5.3790149889999999</v>
      </c>
      <c r="Y681" s="3">
        <v>6.0663811560000003</v>
      </c>
      <c r="Z681" s="3">
        <v>1.7424696820000001</v>
      </c>
      <c r="AA681" s="3">
        <v>3.4966095000000003E-2</v>
      </c>
      <c r="AB681" s="3">
        <v>7.3038355419999998</v>
      </c>
      <c r="AC681" s="3">
        <v>10.41541756</v>
      </c>
      <c r="AD681" s="3">
        <v>0.140499866</v>
      </c>
      <c r="AE681" s="3">
        <v>1.704202427</v>
      </c>
      <c r="AF681" s="4">
        <v>42468</v>
      </c>
      <c r="AG681" s="5">
        <f>YEAR(AF681)</f>
        <v>2016</v>
      </c>
      <c r="AH681" s="5" t="str">
        <f>"Q"&amp;ROUNDUP(MONTH(AF681)/3,0)</f>
        <v>Q2</v>
      </c>
      <c r="AI681" s="5">
        <f>INDEX(RatingLookup!$B$2:$B$11,MATCH(A681,RatingLookup!$A$2:$A$11,0))</f>
        <v>9</v>
      </c>
      <c r="AJ681" s="5" t="str">
        <f>INDEX(RatingLookup!$C$2:$C$11,MATCH(A681,RatingLookup!$A$2:$A$11,0))</f>
        <v>Investment Grade</v>
      </c>
    </row>
    <row r="682" spans="1:36" x14ac:dyDescent="0.3">
      <c r="A682" s="3" t="s">
        <v>49</v>
      </c>
      <c r="B682" s="3" t="s">
        <v>827</v>
      </c>
      <c r="C682" s="3" t="s">
        <v>828</v>
      </c>
      <c r="D682" s="3" t="s">
        <v>39</v>
      </c>
      <c r="E682" s="3" t="s">
        <v>830</v>
      </c>
      <c r="F682" s="3" t="s">
        <v>53</v>
      </c>
      <c r="G682" s="3">
        <v>1.322808996</v>
      </c>
      <c r="H682" s="3">
        <v>0.93788761499999995</v>
      </c>
      <c r="I682" s="3">
        <v>0.40045730800000001</v>
      </c>
      <c r="J682" s="3">
        <v>28.818417700000001</v>
      </c>
      <c r="K682" s="3">
        <v>9.0772278999999997E-2</v>
      </c>
      <c r="L682" s="3">
        <v>0.14720007500000001</v>
      </c>
      <c r="M682" s="3">
        <v>0.88071425199999998</v>
      </c>
      <c r="N682" s="3">
        <v>0.14720007500000001</v>
      </c>
      <c r="O682" s="3">
        <v>7.2327516999999994E-2</v>
      </c>
      <c r="P682" s="3">
        <v>0.133284921</v>
      </c>
      <c r="Q682" s="3">
        <v>0.124113063</v>
      </c>
      <c r="R682" s="3">
        <v>0.796801816</v>
      </c>
      <c r="S682" s="3">
        <v>1.1572120349999999</v>
      </c>
      <c r="T682" s="3">
        <v>0.71598678900000001</v>
      </c>
      <c r="U682" s="3">
        <v>0.41724493099999999</v>
      </c>
      <c r="V682" s="3">
        <v>0.38112941500000003</v>
      </c>
      <c r="W682" s="3">
        <v>-0.124924543</v>
      </c>
      <c r="X682" s="3">
        <v>-2.0870488319999998</v>
      </c>
      <c r="Y682" s="3">
        <v>7.0100849260000002</v>
      </c>
      <c r="Z682" s="3">
        <v>1.715986789</v>
      </c>
      <c r="AA682" s="3">
        <v>0.14720007500000001</v>
      </c>
      <c r="AB682" s="3">
        <v>4.3365250550000001</v>
      </c>
      <c r="AC682" s="3">
        <v>16.706475579999999</v>
      </c>
      <c r="AD682" s="3">
        <v>0.14848799400000001</v>
      </c>
      <c r="AE682" s="3">
        <v>1.3307894739999999</v>
      </c>
      <c r="AF682" s="4">
        <v>41865</v>
      </c>
      <c r="AG682" s="5">
        <f>YEAR(AF682)</f>
        <v>2014</v>
      </c>
      <c r="AH682" s="5" t="str">
        <f>"Q"&amp;ROUNDUP(MONTH(AF682)/3,0)</f>
        <v>Q3</v>
      </c>
      <c r="AI682" s="5">
        <f>INDEX(RatingLookup!$B$2:$B$11,MATCH(A682,RatingLookup!$A$2:$A$11,0))</f>
        <v>9</v>
      </c>
      <c r="AJ682" s="5" t="str">
        <f>INDEX(RatingLookup!$C$2:$C$11,MATCH(A682,RatingLookup!$A$2:$A$11,0))</f>
        <v>Investment Grade</v>
      </c>
    </row>
    <row r="683" spans="1:36" x14ac:dyDescent="0.3">
      <c r="A683" s="3" t="s">
        <v>49</v>
      </c>
      <c r="B683" s="3" t="s">
        <v>827</v>
      </c>
      <c r="C683" s="3" t="s">
        <v>828</v>
      </c>
      <c r="D683" s="3" t="s">
        <v>39</v>
      </c>
      <c r="E683" s="3" t="s">
        <v>831</v>
      </c>
      <c r="F683" s="3" t="s">
        <v>53</v>
      </c>
      <c r="G683" s="3">
        <v>1.521897147</v>
      </c>
      <c r="H683" s="3">
        <v>1.154824641</v>
      </c>
      <c r="I683" s="3">
        <v>0.492004361</v>
      </c>
      <c r="J683" s="3">
        <v>34.485903309999998</v>
      </c>
      <c r="K683" s="3">
        <v>9.3612353999999995E-2</v>
      </c>
      <c r="L683" s="3">
        <v>0.156894533</v>
      </c>
      <c r="M683" s="3">
        <v>0.89238708700000002</v>
      </c>
      <c r="N683" s="3">
        <v>0.156894533</v>
      </c>
      <c r="O683" s="3">
        <v>8.4424618000000007E-2</v>
      </c>
      <c r="P683" s="3">
        <v>0.162661109</v>
      </c>
      <c r="Q683" s="3">
        <v>0.143669566</v>
      </c>
      <c r="R683" s="3">
        <v>0.90185337700000001</v>
      </c>
      <c r="S683" s="3">
        <v>1.388396459</v>
      </c>
      <c r="T683" s="3">
        <v>0.70174968000000004</v>
      </c>
      <c r="U683" s="3">
        <v>0.41236950900000002</v>
      </c>
      <c r="V683" s="3">
        <v>0.39849603099999997</v>
      </c>
      <c r="W683" s="3">
        <v>-8.5223701999999998E-2</v>
      </c>
      <c r="X683" s="3">
        <v>-1.5560772039999999</v>
      </c>
      <c r="Y683" s="3">
        <v>8.6113719349999993</v>
      </c>
      <c r="Z683" s="3">
        <v>1.70174968</v>
      </c>
      <c r="AA683" s="3">
        <v>0.156894533</v>
      </c>
      <c r="AB683" s="3">
        <v>4.5382134519999999</v>
      </c>
      <c r="AC683" s="3">
        <v>18.258737610000001</v>
      </c>
      <c r="AD683" s="3">
        <v>0.152948682</v>
      </c>
      <c r="AE683" s="3">
        <v>1.079421433</v>
      </c>
      <c r="AF683" s="4">
        <v>41534</v>
      </c>
      <c r="AG683" s="5">
        <f>YEAR(AF683)</f>
        <v>2013</v>
      </c>
      <c r="AH683" s="5" t="str">
        <f>"Q"&amp;ROUNDUP(MONTH(AF683)/3,0)</f>
        <v>Q3</v>
      </c>
      <c r="AI683" s="5">
        <f>INDEX(RatingLookup!$B$2:$B$11,MATCH(A683,RatingLookup!$A$2:$A$11,0))</f>
        <v>9</v>
      </c>
      <c r="AJ683" s="5" t="str">
        <f>INDEX(RatingLookup!$C$2:$C$11,MATCH(A683,RatingLookup!$A$2:$A$11,0))</f>
        <v>Investment Grade</v>
      </c>
    </row>
    <row r="684" spans="1:36" x14ac:dyDescent="0.3">
      <c r="A684" s="3" t="s">
        <v>49</v>
      </c>
      <c r="B684" s="3" t="s">
        <v>827</v>
      </c>
      <c r="C684" s="3" t="s">
        <v>828</v>
      </c>
      <c r="D684" s="3" t="s">
        <v>60</v>
      </c>
      <c r="E684" s="3" t="s">
        <v>832</v>
      </c>
      <c r="F684" s="3" t="s">
        <v>53</v>
      </c>
      <c r="G684" s="3">
        <v>1.6286683040000001</v>
      </c>
      <c r="H684" s="3">
        <v>1.233543786</v>
      </c>
      <c r="I684" s="3">
        <v>0.61203671199999998</v>
      </c>
      <c r="J684" s="3">
        <v>31.680942009999999</v>
      </c>
      <c r="K684" s="3">
        <v>0.10821838</v>
      </c>
      <c r="L684" s="3">
        <v>0.19152656600000001</v>
      </c>
      <c r="M684" s="3">
        <v>0.90670045300000002</v>
      </c>
      <c r="N684" s="3">
        <v>0.19152656600000001</v>
      </c>
      <c r="O684" s="3">
        <v>0.112364904</v>
      </c>
      <c r="P684" s="3">
        <v>0.233093525</v>
      </c>
      <c r="Q684" s="3">
        <v>0.19175383100000001</v>
      </c>
      <c r="R684" s="3">
        <v>1.038316265</v>
      </c>
      <c r="S684" s="3">
        <v>1.71144268</v>
      </c>
      <c r="T684" s="3">
        <v>0.70652778999999999</v>
      </c>
      <c r="U684" s="3">
        <v>0.41401481699999998</v>
      </c>
      <c r="V684" s="3">
        <v>0.43158076499999998</v>
      </c>
      <c r="W684" s="3">
        <v>0.20287539900000001</v>
      </c>
      <c r="X684" s="3">
        <v>4.037948718</v>
      </c>
      <c r="Y684" s="3">
        <v>10.874358969999999</v>
      </c>
      <c r="Z684" s="3">
        <v>1.70652779</v>
      </c>
      <c r="AA684" s="3">
        <v>0.19152656600000001</v>
      </c>
      <c r="AB684" s="3">
        <v>3.6527157080000001</v>
      </c>
      <c r="AC684" s="3">
        <v>19.903589740000001</v>
      </c>
      <c r="AD684" s="3">
        <v>0.16044049599999999</v>
      </c>
      <c r="AE684" s="3">
        <v>0.99095539200000005</v>
      </c>
      <c r="AF684" s="4">
        <v>41239</v>
      </c>
      <c r="AG684" s="5">
        <f>YEAR(AF684)</f>
        <v>2012</v>
      </c>
      <c r="AH684" s="5" t="str">
        <f>"Q"&amp;ROUNDUP(MONTH(AF684)/3,0)</f>
        <v>Q4</v>
      </c>
      <c r="AI684" s="5">
        <f>INDEX(RatingLookup!$B$2:$B$11,MATCH(A684,RatingLookup!$A$2:$A$11,0))</f>
        <v>9</v>
      </c>
      <c r="AJ684" s="5" t="str">
        <f>INDEX(RatingLookup!$C$2:$C$11,MATCH(A684,RatingLookup!$A$2:$A$11,0))</f>
        <v>Investment Grade</v>
      </c>
    </row>
    <row r="685" spans="1:36" x14ac:dyDescent="0.3">
      <c r="A685" s="3" t="s">
        <v>92</v>
      </c>
      <c r="B685" s="3" t="s">
        <v>833</v>
      </c>
      <c r="C685" s="3" t="s">
        <v>834</v>
      </c>
      <c r="D685" s="3" t="s">
        <v>47</v>
      </c>
      <c r="E685" s="3" t="s">
        <v>835</v>
      </c>
      <c r="F685" s="3" t="s">
        <v>96</v>
      </c>
      <c r="G685" s="3">
        <v>1.5262648270000001</v>
      </c>
      <c r="H685" s="3">
        <v>0.84241103799999995</v>
      </c>
      <c r="I685" s="3">
        <v>0.49834583999999998</v>
      </c>
      <c r="J685" s="3">
        <v>44.520853600000002</v>
      </c>
      <c r="K685" s="3">
        <v>5.8985068000000002E-2</v>
      </c>
      <c r="L685" s="3">
        <v>6.2875450999999999E-2</v>
      </c>
      <c r="M685" s="3">
        <v>0.34132387400000003</v>
      </c>
      <c r="N685" s="3">
        <v>7.4689627999999994E-2</v>
      </c>
      <c r="O685" s="3">
        <v>5.3287161E-2</v>
      </c>
      <c r="P685" s="3">
        <v>8.3564611999999996E-2</v>
      </c>
      <c r="Q685" s="3">
        <v>0.128217883</v>
      </c>
      <c r="R685" s="3">
        <v>0.90340086799999997</v>
      </c>
      <c r="S685" s="3">
        <v>2.7437406800000002</v>
      </c>
      <c r="T685" s="3">
        <v>1.4061683869999999</v>
      </c>
      <c r="U685" s="3">
        <v>0.584401489</v>
      </c>
      <c r="V685" s="3">
        <v>4.9135577999999999E-2</v>
      </c>
      <c r="W685" s="3">
        <v>0.42456438600000002</v>
      </c>
      <c r="X685" s="3">
        <v>0.47435897399999999</v>
      </c>
      <c r="Y685" s="3">
        <v>1.4662868</v>
      </c>
      <c r="Z685" s="3">
        <v>2.4061683870000001</v>
      </c>
      <c r="AA685" s="3">
        <v>6.2875450999999999E-2</v>
      </c>
      <c r="AB685" s="3">
        <v>6.8572331770000003</v>
      </c>
      <c r="AC685" s="3">
        <v>1.1172839510000001</v>
      </c>
      <c r="AD685" s="3">
        <v>0.13461868499999999</v>
      </c>
      <c r="AE685" s="3">
        <v>6.8184779390000001</v>
      </c>
      <c r="AF685" s="4">
        <v>42396</v>
      </c>
      <c r="AG685" s="5">
        <f>YEAR(AF685)</f>
        <v>2016</v>
      </c>
      <c r="AH685" s="5" t="str">
        <f>"Q"&amp;ROUNDUP(MONTH(AF685)/3,0)</f>
        <v>Q1</v>
      </c>
      <c r="AI685" s="5">
        <f>INDEX(RatingLookup!$B$2:$B$11,MATCH(A685,RatingLookup!$A$2:$A$11,0))</f>
        <v>6</v>
      </c>
      <c r="AJ685" s="5" t="str">
        <f>INDEX(RatingLookup!$C$2:$C$11,MATCH(A685,RatingLookup!$A$2:$A$11,0))</f>
        <v>Speculative Grade</v>
      </c>
    </row>
    <row r="686" spans="1:36" x14ac:dyDescent="0.3">
      <c r="A686" s="3" t="s">
        <v>92</v>
      </c>
      <c r="B686" s="3" t="s">
        <v>833</v>
      </c>
      <c r="C686" s="3" t="s">
        <v>834</v>
      </c>
      <c r="D686" s="3" t="s">
        <v>60</v>
      </c>
      <c r="E686" s="3" t="s">
        <v>46</v>
      </c>
      <c r="F686" s="3" t="s">
        <v>96</v>
      </c>
      <c r="G686" s="3">
        <v>1.6681301449999999</v>
      </c>
      <c r="H686" s="3">
        <v>1.065229322</v>
      </c>
      <c r="I686" s="3">
        <v>0.51187769500000002</v>
      </c>
      <c r="J686" s="3">
        <v>48.478633469999998</v>
      </c>
      <c r="K686" s="3">
        <v>3.3698399999999998E-3</v>
      </c>
      <c r="L686" s="3">
        <v>1.0981029999999999E-2</v>
      </c>
      <c r="M686" s="3">
        <v>0.29305987300000003</v>
      </c>
      <c r="N686" s="3">
        <v>3.2943090000000001E-2</v>
      </c>
      <c r="O686" s="3">
        <v>2.986996E-3</v>
      </c>
      <c r="P686" s="3">
        <v>1.4493865E-2</v>
      </c>
      <c r="Q686" s="3">
        <v>7.9008310000000005E-3</v>
      </c>
      <c r="R686" s="3">
        <v>0.88639114200000002</v>
      </c>
      <c r="S686" s="3">
        <v>3.1025687249999998</v>
      </c>
      <c r="T686" s="3">
        <v>1.645075603</v>
      </c>
      <c r="U686" s="3">
        <v>0.62193897300000001</v>
      </c>
      <c r="V686" s="3">
        <v>0.60582010600000002</v>
      </c>
      <c r="W686" s="3">
        <v>0.41998166799999997</v>
      </c>
      <c r="X686" s="3">
        <v>0.51287217399999996</v>
      </c>
      <c r="Y686" s="3">
        <v>2.0181329749999999</v>
      </c>
      <c r="Z686" s="3">
        <v>2.645075603</v>
      </c>
      <c r="AA686" s="3">
        <v>1.0981029999999999E-2</v>
      </c>
      <c r="AB686" s="3">
        <v>11.80278947</v>
      </c>
      <c r="AC686" s="3">
        <v>1.221177524</v>
      </c>
      <c r="AD686" s="3">
        <v>0.158469628</v>
      </c>
      <c r="AE686" s="3">
        <v>5.3862328460000004</v>
      </c>
      <c r="AF686" s="4">
        <v>41075</v>
      </c>
      <c r="AG686" s="5">
        <f>YEAR(AF686)</f>
        <v>2012</v>
      </c>
      <c r="AH686" s="5" t="str">
        <f>"Q"&amp;ROUNDUP(MONTH(AF686)/3,0)</f>
        <v>Q2</v>
      </c>
      <c r="AI686" s="5">
        <f>INDEX(RatingLookup!$B$2:$B$11,MATCH(A686,RatingLookup!$A$2:$A$11,0))</f>
        <v>6</v>
      </c>
      <c r="AJ686" s="5" t="str">
        <f>INDEX(RatingLookup!$C$2:$C$11,MATCH(A686,RatingLookup!$A$2:$A$11,0))</f>
        <v>Speculative Grade</v>
      </c>
    </row>
    <row r="687" spans="1:36" x14ac:dyDescent="0.3">
      <c r="A687" s="3" t="s">
        <v>92</v>
      </c>
      <c r="B687" s="3" t="s">
        <v>833</v>
      </c>
      <c r="C687" s="3" t="s">
        <v>834</v>
      </c>
      <c r="D687" s="3" t="s">
        <v>47</v>
      </c>
      <c r="E687" s="3" t="s">
        <v>271</v>
      </c>
      <c r="F687" s="3" t="s">
        <v>96</v>
      </c>
      <c r="G687" s="3">
        <v>1.9094236659999999</v>
      </c>
      <c r="H687" s="3">
        <v>1.103354186</v>
      </c>
      <c r="I687" s="3">
        <v>0.68421402899999995</v>
      </c>
      <c r="J687" s="3">
        <v>58.838721239999998</v>
      </c>
      <c r="K687" s="3">
        <v>4.6609843999999997E-2</v>
      </c>
      <c r="L687" s="3">
        <v>4.6225908000000003E-2</v>
      </c>
      <c r="M687" s="3">
        <v>0.33195116299999999</v>
      </c>
      <c r="N687" s="3">
        <v>6.0431543999999997E-2</v>
      </c>
      <c r="O687" s="3">
        <v>2.6298307E-2</v>
      </c>
      <c r="P687" s="3">
        <v>3.3309971000000001E-2</v>
      </c>
      <c r="Q687" s="3">
        <v>9.9879333000000001E-2</v>
      </c>
      <c r="R687" s="3">
        <v>0.56422217100000005</v>
      </c>
      <c r="S687" s="3">
        <v>1.80950396</v>
      </c>
      <c r="T687" s="3">
        <v>2.7979376920000001</v>
      </c>
      <c r="U687" s="3">
        <v>0.73669920899999997</v>
      </c>
      <c r="V687" s="3">
        <v>-2.1594683999999999E-2</v>
      </c>
      <c r="W687" s="3">
        <v>0.63747419100000002</v>
      </c>
      <c r="X687" s="3">
        <v>0.89234104000000003</v>
      </c>
      <c r="Y687" s="3">
        <v>2.476156069</v>
      </c>
      <c r="Z687" s="3">
        <v>3.7979376920000001</v>
      </c>
      <c r="AA687" s="3">
        <v>4.6225908000000003E-2</v>
      </c>
      <c r="AB687" s="3">
        <v>13.56288795</v>
      </c>
      <c r="AC687" s="3">
        <v>1.399807322</v>
      </c>
      <c r="AD687" s="3">
        <v>0.14876244599999999</v>
      </c>
      <c r="AE687" s="3">
        <v>6.013824885</v>
      </c>
      <c r="AF687" s="4">
        <v>42632</v>
      </c>
      <c r="AG687" s="5">
        <f>YEAR(AF687)</f>
        <v>2016</v>
      </c>
      <c r="AH687" s="5" t="str">
        <f>"Q"&amp;ROUNDUP(MONTH(AF687)/3,0)</f>
        <v>Q3</v>
      </c>
      <c r="AI687" s="5">
        <f>INDEX(RatingLookup!$B$2:$B$11,MATCH(A687,RatingLookup!$A$2:$A$11,0))</f>
        <v>6</v>
      </c>
      <c r="AJ687" s="5" t="str">
        <f>INDEX(RatingLookup!$C$2:$C$11,MATCH(A687,RatingLookup!$A$2:$A$11,0))</f>
        <v>Speculative Grade</v>
      </c>
    </row>
    <row r="688" spans="1:36" x14ac:dyDescent="0.3">
      <c r="A688" s="3" t="s">
        <v>92</v>
      </c>
      <c r="B688" s="3" t="s">
        <v>836</v>
      </c>
      <c r="C688" s="3" t="s">
        <v>837</v>
      </c>
      <c r="D688" s="3" t="s">
        <v>39</v>
      </c>
      <c r="E688" s="3" t="s">
        <v>838</v>
      </c>
      <c r="F688" s="3" t="s">
        <v>66</v>
      </c>
      <c r="G688" s="3">
        <v>2.0307993839999998</v>
      </c>
      <c r="H688" s="3">
        <v>0.95450091000000004</v>
      </c>
      <c r="I688" s="3">
        <v>0.33550329000000001</v>
      </c>
      <c r="J688" s="3">
        <v>31.255217689999998</v>
      </c>
      <c r="K688" s="3">
        <v>5.3268941E-2</v>
      </c>
      <c r="L688" s="3">
        <v>4.7493083999999998E-2</v>
      </c>
      <c r="M688" s="3">
        <v>0.52500849400000005</v>
      </c>
      <c r="N688" s="3">
        <v>4.7493083999999998E-2</v>
      </c>
      <c r="O688" s="3">
        <v>4.0158070999999997E-2</v>
      </c>
      <c r="P688" s="3">
        <v>4.1186127000000003E-2</v>
      </c>
      <c r="Q688" s="3">
        <v>0.100588869</v>
      </c>
      <c r="R688" s="3">
        <v>0.75387401899999995</v>
      </c>
      <c r="S688" s="3">
        <v>11.3562078</v>
      </c>
      <c r="T688" s="3">
        <v>1.504823225</v>
      </c>
      <c r="U688" s="3">
        <v>0.60077022999999996</v>
      </c>
      <c r="V688" s="3">
        <v>-0.121359223</v>
      </c>
      <c r="W688" s="3">
        <v>0.67583322800000001</v>
      </c>
      <c r="X688" s="3">
        <v>6.4905503949999996</v>
      </c>
      <c r="Y688" s="3">
        <v>8.0070000090000004</v>
      </c>
      <c r="Z688" s="3">
        <v>2.504823225</v>
      </c>
      <c r="AA688" s="3">
        <v>4.7493083999999998E-2</v>
      </c>
      <c r="AB688" s="3">
        <v>18.478676270000001</v>
      </c>
      <c r="AC688" s="3">
        <v>9.6037752049999998</v>
      </c>
      <c r="AD688" s="3">
        <v>9.5750618999999995E-2</v>
      </c>
      <c r="AE688" s="3">
        <v>6.9246417830000002</v>
      </c>
      <c r="AF688" s="4">
        <v>42352</v>
      </c>
      <c r="AG688" s="5">
        <f>YEAR(AF688)</f>
        <v>2015</v>
      </c>
      <c r="AH688" s="5" t="str">
        <f>"Q"&amp;ROUNDUP(MONTH(AF688)/3,0)</f>
        <v>Q4</v>
      </c>
      <c r="AI688" s="5">
        <f>INDEX(RatingLookup!$B$2:$B$11,MATCH(A688,RatingLookup!$A$2:$A$11,0))</f>
        <v>6</v>
      </c>
      <c r="AJ688" s="5" t="str">
        <f>INDEX(RatingLookup!$C$2:$C$11,MATCH(A688,RatingLookup!$A$2:$A$11,0))</f>
        <v>Speculative Grade</v>
      </c>
    </row>
    <row r="689" spans="1:36" x14ac:dyDescent="0.3">
      <c r="A689" s="3" t="s">
        <v>92</v>
      </c>
      <c r="B689" s="3" t="s">
        <v>836</v>
      </c>
      <c r="C689" s="3" t="s">
        <v>837</v>
      </c>
      <c r="D689" s="3" t="s">
        <v>39</v>
      </c>
      <c r="E689" s="3" t="s">
        <v>839</v>
      </c>
      <c r="F689" s="3" t="s">
        <v>66</v>
      </c>
      <c r="G689" s="3">
        <v>1.9315883760000001</v>
      </c>
      <c r="H689" s="3">
        <v>0.97024343599999996</v>
      </c>
      <c r="I689" s="3">
        <v>0.38209233799999998</v>
      </c>
      <c r="J689" s="3">
        <v>32.559270300000001</v>
      </c>
      <c r="K689" s="3">
        <v>1.7533697000000001E-2</v>
      </c>
      <c r="L689" s="3">
        <v>4.0160262000000002E-2</v>
      </c>
      <c r="M689" s="3">
        <v>0.51540301700000002</v>
      </c>
      <c r="N689" s="3">
        <v>4.0160262000000002E-2</v>
      </c>
      <c r="O689" s="3">
        <v>1.2399986E-2</v>
      </c>
      <c r="P689" s="3">
        <v>3.2800564999999997E-2</v>
      </c>
      <c r="Q689" s="3">
        <v>3.3109820999999998E-2</v>
      </c>
      <c r="R689" s="3">
        <v>0.70720883199999995</v>
      </c>
      <c r="S689" s="3">
        <v>11.49642455</v>
      </c>
      <c r="T689" s="3">
        <v>1.670149952</v>
      </c>
      <c r="U689" s="3">
        <v>0.62548919800000002</v>
      </c>
      <c r="V689" s="3">
        <v>0.56357409199999997</v>
      </c>
      <c r="W689" s="3">
        <v>0.42421556900000001</v>
      </c>
      <c r="X689" s="3">
        <v>2.1525306820000001</v>
      </c>
      <c r="Y689" s="3">
        <v>9.5598052150000008</v>
      </c>
      <c r="Z689" s="3">
        <v>2.670149952</v>
      </c>
      <c r="AA689" s="3">
        <v>4.0160262000000002E-2</v>
      </c>
      <c r="AB689" s="3">
        <v>21.210613970000001</v>
      </c>
      <c r="AC689" s="3">
        <v>5.0741435240000001</v>
      </c>
      <c r="AD689" s="3">
        <v>5.031045E-2</v>
      </c>
      <c r="AE689" s="3">
        <v>6.8055791919999997</v>
      </c>
      <c r="AF689" s="4">
        <v>42160</v>
      </c>
      <c r="AG689" s="5">
        <f>YEAR(AF689)</f>
        <v>2015</v>
      </c>
      <c r="AH689" s="5" t="str">
        <f>"Q"&amp;ROUNDUP(MONTH(AF689)/3,0)</f>
        <v>Q2</v>
      </c>
      <c r="AI689" s="5">
        <f>INDEX(RatingLookup!$B$2:$B$11,MATCH(A689,RatingLookup!$A$2:$A$11,0))</f>
        <v>6</v>
      </c>
      <c r="AJ689" s="5" t="str">
        <f>INDEX(RatingLookup!$C$2:$C$11,MATCH(A689,RatingLookup!$A$2:$A$11,0))</f>
        <v>Speculative Grade</v>
      </c>
    </row>
    <row r="690" spans="1:36" x14ac:dyDescent="0.3">
      <c r="A690" s="3" t="s">
        <v>92</v>
      </c>
      <c r="B690" s="3" t="s">
        <v>836</v>
      </c>
      <c r="C690" s="3" t="s">
        <v>837</v>
      </c>
      <c r="D690" s="3" t="s">
        <v>39</v>
      </c>
      <c r="E690" s="3" t="s">
        <v>840</v>
      </c>
      <c r="F690" s="3" t="s">
        <v>66</v>
      </c>
      <c r="G690" s="3">
        <v>2.096444827</v>
      </c>
      <c r="H690" s="3">
        <v>1.2829273080000001</v>
      </c>
      <c r="I690" s="3">
        <v>0.767526606</v>
      </c>
      <c r="J690" s="3">
        <v>25.262558380000002</v>
      </c>
      <c r="K690" s="3">
        <v>7.1792168000000003E-2</v>
      </c>
      <c r="L690" s="3">
        <v>8.9874579999999996E-2</v>
      </c>
      <c r="M690" s="3">
        <v>0.53768501400000002</v>
      </c>
      <c r="N690" s="3">
        <v>8.9874579999999996E-2</v>
      </c>
      <c r="O690" s="3">
        <v>5.5752396000000003E-2</v>
      </c>
      <c r="P690" s="3">
        <v>8.2052217999999996E-2</v>
      </c>
      <c r="Q690" s="3">
        <v>0.133383796</v>
      </c>
      <c r="R690" s="3">
        <v>0.77658047299999999</v>
      </c>
      <c r="S690" s="3">
        <v>10.765405680000001</v>
      </c>
      <c r="T690" s="3">
        <v>1.392431644</v>
      </c>
      <c r="U690" s="3">
        <v>0.582015226</v>
      </c>
      <c r="V690" s="3">
        <v>0.20119607</v>
      </c>
      <c r="W690" s="3">
        <v>0.63030672300000001</v>
      </c>
      <c r="X690" s="3">
        <v>4.9561376240000001</v>
      </c>
      <c r="Y690" s="3">
        <v>14.81505248</v>
      </c>
      <c r="Z690" s="3">
        <v>2.3924316440000002</v>
      </c>
      <c r="AA690" s="3">
        <v>8.9874579999999996E-2</v>
      </c>
      <c r="AB690" s="3">
        <v>15.31381753</v>
      </c>
      <c r="AC690" s="3">
        <v>7.8630568959999998</v>
      </c>
      <c r="AD690" s="3">
        <v>9.4247409000000004E-2</v>
      </c>
      <c r="AE690" s="3">
        <v>7.4059899639999998</v>
      </c>
      <c r="AF690" s="4">
        <v>41551</v>
      </c>
      <c r="AG690" s="5">
        <f>YEAR(AF690)</f>
        <v>2013</v>
      </c>
      <c r="AH690" s="5" t="str">
        <f>"Q"&amp;ROUNDUP(MONTH(AF690)/3,0)</f>
        <v>Q4</v>
      </c>
      <c r="AI690" s="5">
        <f>INDEX(RatingLookup!$B$2:$B$11,MATCH(A690,RatingLookup!$A$2:$A$11,0))</f>
        <v>6</v>
      </c>
      <c r="AJ690" s="5" t="str">
        <f>INDEX(RatingLookup!$C$2:$C$11,MATCH(A690,RatingLookup!$A$2:$A$11,0))</f>
        <v>Speculative Grade</v>
      </c>
    </row>
    <row r="691" spans="1:36" x14ac:dyDescent="0.3">
      <c r="A691" s="3" t="s">
        <v>92</v>
      </c>
      <c r="B691" s="3" t="s">
        <v>836</v>
      </c>
      <c r="C691" s="3" t="s">
        <v>837</v>
      </c>
      <c r="D691" s="3" t="s">
        <v>47</v>
      </c>
      <c r="E691" s="3" t="s">
        <v>610</v>
      </c>
      <c r="F691" s="3" t="s">
        <v>66</v>
      </c>
      <c r="G691" s="3">
        <v>1.841671032</v>
      </c>
      <c r="H691" s="3">
        <v>0.91723415399999997</v>
      </c>
      <c r="I691" s="3">
        <v>0.364326873</v>
      </c>
      <c r="J691" s="3">
        <v>29.908856279999998</v>
      </c>
      <c r="K691" s="3">
        <v>7.1368900999999998E-2</v>
      </c>
      <c r="L691" s="3">
        <v>8.0732640999999994E-2</v>
      </c>
      <c r="M691" s="3">
        <v>0.51888333399999997</v>
      </c>
      <c r="N691" s="3">
        <v>9.4821889000000006E-2</v>
      </c>
      <c r="O691" s="3">
        <v>5.3513331999999997E-2</v>
      </c>
      <c r="P691" s="3">
        <v>7.0616847999999996E-2</v>
      </c>
      <c r="Q691" s="3">
        <v>0.12573863800000001</v>
      </c>
      <c r="R691" s="3">
        <v>0.74981302100000002</v>
      </c>
      <c r="S691" s="3">
        <v>10.7712866</v>
      </c>
      <c r="T691" s="3">
        <v>1.3496693980000001</v>
      </c>
      <c r="U691" s="3">
        <v>0.57440821200000003</v>
      </c>
      <c r="V691" s="3">
        <v>0.115984556</v>
      </c>
      <c r="W691" s="3">
        <v>0.70675855899999995</v>
      </c>
      <c r="X691" s="3">
        <v>7.7079863670000002</v>
      </c>
      <c r="Y691" s="3">
        <v>9.0148767900000006</v>
      </c>
      <c r="Z691" s="3">
        <v>2.3496693980000001</v>
      </c>
      <c r="AA691" s="3">
        <v>8.0732640999999994E-2</v>
      </c>
      <c r="AB691" s="3">
        <v>9.2743978249999994</v>
      </c>
      <c r="AC691" s="3">
        <v>10.90610968</v>
      </c>
      <c r="AD691" s="3">
        <v>0.11216538</v>
      </c>
      <c r="AE691" s="3">
        <v>6.0661845620000001</v>
      </c>
      <c r="AF691" s="4">
        <v>42718</v>
      </c>
      <c r="AG691" s="5">
        <f>YEAR(AF691)</f>
        <v>2016</v>
      </c>
      <c r="AH691" s="5" t="str">
        <f>"Q"&amp;ROUNDUP(MONTH(AF691)/3,0)</f>
        <v>Q4</v>
      </c>
      <c r="AI691" s="5">
        <f>INDEX(RatingLookup!$B$2:$B$11,MATCH(A691,RatingLookup!$A$2:$A$11,0))</f>
        <v>6</v>
      </c>
      <c r="AJ691" s="5" t="str">
        <f>INDEX(RatingLookup!$C$2:$C$11,MATCH(A691,RatingLookup!$A$2:$A$11,0))</f>
        <v>Speculative Grade</v>
      </c>
    </row>
    <row r="692" spans="1:36" x14ac:dyDescent="0.3">
      <c r="A692" s="3" t="s">
        <v>92</v>
      </c>
      <c r="B692" s="3" t="s">
        <v>836</v>
      </c>
      <c r="C692" s="3" t="s">
        <v>837</v>
      </c>
      <c r="D692" s="3" t="s">
        <v>39</v>
      </c>
      <c r="E692" s="3" t="s">
        <v>520</v>
      </c>
      <c r="F692" s="3" t="s">
        <v>66</v>
      </c>
      <c r="G692" s="3">
        <v>1.6661397819999999</v>
      </c>
      <c r="H692" s="3">
        <v>0.79070114999999996</v>
      </c>
      <c r="I692" s="3">
        <v>0.22339637800000001</v>
      </c>
      <c r="J692" s="3">
        <v>28.975575419999998</v>
      </c>
      <c r="K692" s="3">
        <v>5.3963891999999999E-2</v>
      </c>
      <c r="L692" s="3">
        <v>7.3263036000000004E-2</v>
      </c>
      <c r="M692" s="3">
        <v>0.51877169499999998</v>
      </c>
      <c r="N692" s="3">
        <v>7.3263036000000004E-2</v>
      </c>
      <c r="O692" s="3">
        <v>4.7077015E-2</v>
      </c>
      <c r="P692" s="3">
        <v>7.5600553000000001E-2</v>
      </c>
      <c r="Q692" s="3">
        <v>0.11706388199999999</v>
      </c>
      <c r="R692" s="3">
        <v>0.87237989800000004</v>
      </c>
      <c r="S692" s="3">
        <v>12.83665184</v>
      </c>
      <c r="T692" s="3">
        <v>1.4866462229999999</v>
      </c>
      <c r="U692" s="3">
        <v>0.59785192200000004</v>
      </c>
      <c r="V692" s="3">
        <v>0.263422659</v>
      </c>
      <c r="W692" s="3">
        <v>0.65389498300000004</v>
      </c>
      <c r="X692" s="3">
        <v>4.5019612740000001</v>
      </c>
      <c r="Y692" s="3">
        <v>5.0194174440000001</v>
      </c>
      <c r="Z692" s="3">
        <v>2.4866462230000002</v>
      </c>
      <c r="AA692" s="3">
        <v>7.3263036000000004E-2</v>
      </c>
      <c r="AB692" s="3">
        <v>13.50270624</v>
      </c>
      <c r="AC692" s="3">
        <v>6.8848383770000003</v>
      </c>
      <c r="AD692" s="3">
        <v>8.3305435999999997E-2</v>
      </c>
      <c r="AE692" s="3">
        <v>7.7422583830000002</v>
      </c>
      <c r="AF692" s="4">
        <v>41446</v>
      </c>
      <c r="AG692" s="5">
        <f>YEAR(AF692)</f>
        <v>2013</v>
      </c>
      <c r="AH692" s="5" t="str">
        <f>"Q"&amp;ROUNDUP(MONTH(AF692)/3,0)</f>
        <v>Q2</v>
      </c>
      <c r="AI692" s="5">
        <f>INDEX(RatingLookup!$B$2:$B$11,MATCH(A692,RatingLookup!$A$2:$A$11,0))</f>
        <v>6</v>
      </c>
      <c r="AJ692" s="5" t="str">
        <f>INDEX(RatingLookup!$C$2:$C$11,MATCH(A692,RatingLookup!$A$2:$A$11,0))</f>
        <v>Speculative Grade</v>
      </c>
    </row>
    <row r="693" spans="1:36" x14ac:dyDescent="0.3">
      <c r="A693" s="3" t="s">
        <v>92</v>
      </c>
      <c r="B693" s="3" t="s">
        <v>841</v>
      </c>
      <c r="C693" s="3" t="s">
        <v>842</v>
      </c>
      <c r="D693" s="3" t="s">
        <v>47</v>
      </c>
      <c r="E693" s="3" t="s">
        <v>843</v>
      </c>
      <c r="F693" s="3" t="s">
        <v>96</v>
      </c>
      <c r="G693" s="3">
        <v>1.7099130730000001</v>
      </c>
      <c r="H693" s="3">
        <v>1.316476113</v>
      </c>
      <c r="I693" s="3">
        <v>0.64223868500000003</v>
      </c>
      <c r="J693" s="3">
        <v>54.781141349999999</v>
      </c>
      <c r="K693" s="3">
        <v>4.1664323000000003E-2</v>
      </c>
      <c r="L693" s="3">
        <v>4.3483178999999997E-2</v>
      </c>
      <c r="M693" s="3">
        <v>0.176652053</v>
      </c>
      <c r="N693" s="3">
        <v>7.0766654999999998E-2</v>
      </c>
      <c r="O693" s="3">
        <v>3.5865605000000002E-2</v>
      </c>
      <c r="P693" s="3">
        <v>4.6366807000000003E-2</v>
      </c>
      <c r="Q693" s="3">
        <v>0.116808737</v>
      </c>
      <c r="R693" s="3">
        <v>0.86082293399999998</v>
      </c>
      <c r="S693" s="3">
        <v>1.418297774</v>
      </c>
      <c r="T693" s="3">
        <v>2.2568455570000001</v>
      </c>
      <c r="U693" s="3">
        <v>0.69295443000000001</v>
      </c>
      <c r="V693" s="3">
        <v>0.24871764699999999</v>
      </c>
      <c r="W693" s="3">
        <v>-0.10948039499999999</v>
      </c>
      <c r="X693" s="3">
        <v>-0.29132243899999999</v>
      </c>
      <c r="Y693" s="3">
        <v>1.961887218</v>
      </c>
      <c r="Z693" s="3">
        <v>3.2568455570000001</v>
      </c>
      <c r="AA693" s="3">
        <v>4.3483178999999997E-2</v>
      </c>
      <c r="AB693" s="3">
        <v>3.5893023419999999</v>
      </c>
      <c r="AC693" s="3">
        <v>2.660955312</v>
      </c>
      <c r="AD693" s="3">
        <v>0.19617215900000001</v>
      </c>
      <c r="AE693" s="3">
        <v>8.3378949920000007</v>
      </c>
      <c r="AF693" s="4">
        <v>42152</v>
      </c>
      <c r="AG693" s="5">
        <f>YEAR(AF693)</f>
        <v>2015</v>
      </c>
      <c r="AH693" s="5" t="str">
        <f>"Q"&amp;ROUNDUP(MONTH(AF693)/3,0)</f>
        <v>Q2</v>
      </c>
      <c r="AI693" s="5">
        <f>INDEX(RatingLookup!$B$2:$B$11,MATCH(A693,RatingLookup!$A$2:$A$11,0))</f>
        <v>6</v>
      </c>
      <c r="AJ693" s="5" t="str">
        <f>INDEX(RatingLookup!$C$2:$C$11,MATCH(A693,RatingLookup!$A$2:$A$11,0))</f>
        <v>Speculative Grade</v>
      </c>
    </row>
    <row r="694" spans="1:36" x14ac:dyDescent="0.3">
      <c r="A694" s="3" t="s">
        <v>92</v>
      </c>
      <c r="B694" s="3" t="s">
        <v>841</v>
      </c>
      <c r="C694" s="3" t="s">
        <v>842</v>
      </c>
      <c r="D694" s="3" t="s">
        <v>47</v>
      </c>
      <c r="E694" s="3" t="s">
        <v>844</v>
      </c>
      <c r="F694" s="3" t="s">
        <v>96</v>
      </c>
      <c r="G694" s="3">
        <v>1.6723304430000001</v>
      </c>
      <c r="H694" s="3">
        <v>1.2542003319999999</v>
      </c>
      <c r="I694" s="3">
        <v>0.63290057</v>
      </c>
      <c r="J694" s="3">
        <v>51.544759540000001</v>
      </c>
      <c r="K694" s="3">
        <v>1.5153942E-2</v>
      </c>
      <c r="L694" s="3">
        <v>2.1635081E-2</v>
      </c>
      <c r="M694" s="3">
        <v>0.153579611</v>
      </c>
      <c r="N694" s="3">
        <v>5.5332289999999999E-2</v>
      </c>
      <c r="O694" s="3">
        <v>1.3823149999999999E-2</v>
      </c>
      <c r="P694" s="3">
        <v>2.5163661E-2</v>
      </c>
      <c r="Q694" s="3">
        <v>6.3557537999999997E-2</v>
      </c>
      <c r="R694" s="3">
        <v>0.91218177899999997</v>
      </c>
      <c r="S694" s="3">
        <v>1.5162598920000001</v>
      </c>
      <c r="T694" s="3">
        <v>3.5979056319999998</v>
      </c>
      <c r="U694" s="3">
        <v>0.78250967299999996</v>
      </c>
      <c r="V694" s="3">
        <v>0.28475956000000002</v>
      </c>
      <c r="W694" s="3">
        <v>-0.37127406099999999</v>
      </c>
      <c r="X694" s="3">
        <v>-0.90221417199999998</v>
      </c>
      <c r="Y694" s="3">
        <v>2.6784047969999998</v>
      </c>
      <c r="Z694" s="3">
        <v>4.5979056319999998</v>
      </c>
      <c r="AA694" s="3">
        <v>2.1635081E-2</v>
      </c>
      <c r="AB694" s="3">
        <v>3.1072990730000001</v>
      </c>
      <c r="AC694" s="3">
        <v>2.4300490300000002</v>
      </c>
      <c r="AD694" s="3">
        <v>0.14098804700000001</v>
      </c>
      <c r="AE694" s="3">
        <v>5.3125598470000002</v>
      </c>
      <c r="AF694" s="4">
        <v>41409</v>
      </c>
      <c r="AG694" s="5">
        <f>YEAR(AF694)</f>
        <v>2013</v>
      </c>
      <c r="AH694" s="5" t="str">
        <f>"Q"&amp;ROUNDUP(MONTH(AF694)/3,0)</f>
        <v>Q2</v>
      </c>
      <c r="AI694" s="5">
        <f>INDEX(RatingLookup!$B$2:$B$11,MATCH(A694,RatingLookup!$A$2:$A$11,0))</f>
        <v>6</v>
      </c>
      <c r="AJ694" s="5" t="str">
        <f>INDEX(RatingLookup!$C$2:$C$11,MATCH(A694,RatingLookup!$A$2:$A$11,0))</f>
        <v>Speculative Grade</v>
      </c>
    </row>
    <row r="695" spans="1:36" x14ac:dyDescent="0.3">
      <c r="A695" s="3" t="s">
        <v>92</v>
      </c>
      <c r="B695" s="3" t="s">
        <v>841</v>
      </c>
      <c r="C695" s="3" t="s">
        <v>842</v>
      </c>
      <c r="D695" s="3" t="s">
        <v>47</v>
      </c>
      <c r="E695" s="3" t="s">
        <v>845</v>
      </c>
      <c r="F695" s="3" t="s">
        <v>96</v>
      </c>
      <c r="G695" s="3">
        <v>1.4017606330000001</v>
      </c>
      <c r="H695" s="3">
        <v>1.1083506270000001</v>
      </c>
      <c r="I695" s="3">
        <v>0.54642469000000005</v>
      </c>
      <c r="J695" s="3">
        <v>52.787191149999998</v>
      </c>
      <c r="K695" s="3">
        <v>4.2168822000000002E-2</v>
      </c>
      <c r="L695" s="3">
        <v>5.5258646000000002E-2</v>
      </c>
      <c r="M695" s="3">
        <v>0.178618951</v>
      </c>
      <c r="N695" s="3">
        <v>7.5492437999999995E-2</v>
      </c>
      <c r="O695" s="3">
        <v>4.0123789999999999E-2</v>
      </c>
      <c r="P695" s="3">
        <v>6.9710749000000002E-2</v>
      </c>
      <c r="Q695" s="3">
        <v>0.11866972000000001</v>
      </c>
      <c r="R695" s="3">
        <v>0.95150370699999998</v>
      </c>
      <c r="S695" s="3">
        <v>1.5181947</v>
      </c>
      <c r="T695" s="3">
        <v>1.957589976</v>
      </c>
      <c r="U695" s="3">
        <v>0.66188687099999999</v>
      </c>
      <c r="V695" s="3">
        <v>0.222409682</v>
      </c>
      <c r="W695" s="3">
        <v>0.10880694</v>
      </c>
      <c r="X695" s="3">
        <v>0.33428244099999999</v>
      </c>
      <c r="Y695" s="3">
        <v>2.3230026619999999</v>
      </c>
      <c r="Z695" s="3">
        <v>2.957589976</v>
      </c>
      <c r="AA695" s="3">
        <v>5.5258646000000002E-2</v>
      </c>
      <c r="AB695" s="3">
        <v>3.659941613</v>
      </c>
      <c r="AC695" s="3">
        <v>3.0722529230000002</v>
      </c>
      <c r="AD695" s="3">
        <v>0.187331889</v>
      </c>
      <c r="AE695" s="3">
        <v>6.5612662329999996</v>
      </c>
      <c r="AF695" s="4">
        <v>42720</v>
      </c>
      <c r="AG695" s="5">
        <f>YEAR(AF695)</f>
        <v>2016</v>
      </c>
      <c r="AH695" s="5" t="str">
        <f>"Q"&amp;ROUNDUP(MONTH(AF695)/3,0)</f>
        <v>Q4</v>
      </c>
      <c r="AI695" s="5">
        <f>INDEX(RatingLookup!$B$2:$B$11,MATCH(A695,RatingLookup!$A$2:$A$11,0))</f>
        <v>6</v>
      </c>
      <c r="AJ695" s="5" t="str">
        <f>INDEX(RatingLookup!$C$2:$C$11,MATCH(A695,RatingLookup!$A$2:$A$11,0))</f>
        <v>Speculative Grade</v>
      </c>
    </row>
    <row r="696" spans="1:36" x14ac:dyDescent="0.3">
      <c r="A696" s="3" t="s">
        <v>92</v>
      </c>
      <c r="B696" s="3" t="s">
        <v>841</v>
      </c>
      <c r="C696" s="3" t="s">
        <v>842</v>
      </c>
      <c r="D696" s="3" t="s">
        <v>47</v>
      </c>
      <c r="E696" s="3" t="s">
        <v>846</v>
      </c>
      <c r="F696" s="3" t="s">
        <v>96</v>
      </c>
      <c r="G696" s="3">
        <v>1.2939507990000001</v>
      </c>
      <c r="H696" s="3">
        <v>1.032539305</v>
      </c>
      <c r="I696" s="3">
        <v>0.51382854200000005</v>
      </c>
      <c r="J696" s="3">
        <v>66.574913429999995</v>
      </c>
      <c r="K696" s="3">
        <v>1.9694910999999999E-2</v>
      </c>
      <c r="L696" s="3">
        <v>2.3412234000000001E-2</v>
      </c>
      <c r="M696" s="3">
        <v>0.16614591300000001</v>
      </c>
      <c r="N696" s="3">
        <v>5.7144432000000002E-2</v>
      </c>
      <c r="O696" s="3">
        <v>1.4092723999999999E-2</v>
      </c>
      <c r="P696" s="3">
        <v>2.2413674000000001E-2</v>
      </c>
      <c r="Q696" s="3">
        <v>4.7034356999999999E-2</v>
      </c>
      <c r="R696" s="3">
        <v>0.715551559</v>
      </c>
      <c r="S696" s="3">
        <v>1.1184893309999999</v>
      </c>
      <c r="T696" s="3">
        <v>2.3374921249999998</v>
      </c>
      <c r="U696" s="3">
        <v>0.70037382500000001</v>
      </c>
      <c r="V696" s="3">
        <v>0.41511808700000002</v>
      </c>
      <c r="W696" s="3">
        <v>6.9158830000000004E-2</v>
      </c>
      <c r="X696" s="3">
        <v>0.16875659700000001</v>
      </c>
      <c r="Y696" s="3">
        <v>2.2173189780000002</v>
      </c>
      <c r="Z696" s="3">
        <v>3.3374921249999998</v>
      </c>
      <c r="AA696" s="3">
        <v>2.3412234000000001E-2</v>
      </c>
      <c r="AB696" s="3">
        <v>3.7111384219999999</v>
      </c>
      <c r="AC696" s="3">
        <v>2.4401308849999999</v>
      </c>
      <c r="AD696" s="3">
        <v>0.20035512699999999</v>
      </c>
      <c r="AE696" s="3">
        <v>5.539419928</v>
      </c>
      <c r="AF696" s="4">
        <v>42508</v>
      </c>
      <c r="AG696" s="5">
        <f>YEAR(AF696)</f>
        <v>2016</v>
      </c>
      <c r="AH696" s="5" t="str">
        <f>"Q"&amp;ROUNDUP(MONTH(AF696)/3,0)</f>
        <v>Q2</v>
      </c>
      <c r="AI696" s="5">
        <f>INDEX(RatingLookup!$B$2:$B$11,MATCH(A696,RatingLookup!$A$2:$A$11,0))</f>
        <v>6</v>
      </c>
      <c r="AJ696" s="5" t="str">
        <f>INDEX(RatingLookup!$C$2:$C$11,MATCH(A696,RatingLookup!$A$2:$A$11,0))</f>
        <v>Speculative Grade</v>
      </c>
    </row>
    <row r="697" spans="1:36" x14ac:dyDescent="0.3">
      <c r="A697" s="3" t="s">
        <v>92</v>
      </c>
      <c r="B697" s="3" t="s">
        <v>841</v>
      </c>
      <c r="C697" s="3" t="s">
        <v>842</v>
      </c>
      <c r="D697" s="3" t="s">
        <v>47</v>
      </c>
      <c r="E697" s="3" t="s">
        <v>847</v>
      </c>
      <c r="F697" s="3" t="s">
        <v>96</v>
      </c>
      <c r="G697" s="3">
        <v>1.7836905300000001</v>
      </c>
      <c r="H697" s="3">
        <v>1.4453798899999999</v>
      </c>
      <c r="I697" s="3">
        <v>0.88350006400000003</v>
      </c>
      <c r="J697" s="3">
        <v>47.165859390000001</v>
      </c>
      <c r="K697" s="3">
        <v>3.6968661999999999E-2</v>
      </c>
      <c r="L697" s="3">
        <v>4.1937796999999999E-2</v>
      </c>
      <c r="M697" s="3">
        <v>0.18417798399999999</v>
      </c>
      <c r="N697" s="3">
        <v>7.8509361E-2</v>
      </c>
      <c r="O697" s="3">
        <v>3.1889844000000001E-2</v>
      </c>
      <c r="P697" s="3">
        <v>4.5310890999999999E-2</v>
      </c>
      <c r="Q697" s="3">
        <v>0.11459727</v>
      </c>
      <c r="R697" s="3">
        <v>0.86261830699999997</v>
      </c>
      <c r="S697" s="3">
        <v>1.473397413</v>
      </c>
      <c r="T697" s="3">
        <v>2.5935349259999998</v>
      </c>
      <c r="U697" s="3">
        <v>0.72172247599999995</v>
      </c>
      <c r="V697" s="3">
        <v>0.18264818099999999</v>
      </c>
      <c r="W697" s="3">
        <v>-1.5640246E-2</v>
      </c>
      <c r="X697" s="3">
        <v>-4.6623037999999999E-2</v>
      </c>
      <c r="Y697" s="3">
        <v>3.2969117579999998</v>
      </c>
      <c r="Z697" s="3">
        <v>3.5935349259999998</v>
      </c>
      <c r="AA697" s="3">
        <v>4.1937796999999999E-2</v>
      </c>
      <c r="AB697" s="3">
        <v>3.0610465570000001</v>
      </c>
      <c r="AC697" s="3">
        <v>2.9809658240000001</v>
      </c>
      <c r="AD697" s="3">
        <v>0.18858292900000001</v>
      </c>
      <c r="AE697" s="3">
        <v>6.602005288</v>
      </c>
      <c r="AF697" s="4">
        <v>41767</v>
      </c>
      <c r="AG697" s="5">
        <f>YEAR(AF697)</f>
        <v>2014</v>
      </c>
      <c r="AH697" s="5" t="str">
        <f>"Q"&amp;ROUNDUP(MONTH(AF697)/3,0)</f>
        <v>Q2</v>
      </c>
      <c r="AI697" s="5">
        <f>INDEX(RatingLookup!$B$2:$B$11,MATCH(A697,RatingLookup!$A$2:$A$11,0))</f>
        <v>6</v>
      </c>
      <c r="AJ697" s="5" t="str">
        <f>INDEX(RatingLookup!$C$2:$C$11,MATCH(A697,RatingLookup!$A$2:$A$11,0))</f>
        <v>Speculative Grade</v>
      </c>
    </row>
    <row r="698" spans="1:36" x14ac:dyDescent="0.3">
      <c r="A698" s="3" t="s">
        <v>92</v>
      </c>
      <c r="B698" s="3" t="s">
        <v>841</v>
      </c>
      <c r="C698" s="3" t="s">
        <v>842</v>
      </c>
      <c r="D698" s="3" t="s">
        <v>47</v>
      </c>
      <c r="E698" s="3" t="s">
        <v>848</v>
      </c>
      <c r="F698" s="3" t="s">
        <v>96</v>
      </c>
      <c r="G698" s="3">
        <v>1.552244988</v>
      </c>
      <c r="H698" s="3">
        <v>1.188208712</v>
      </c>
      <c r="I698" s="3">
        <v>0.67679924499999999</v>
      </c>
      <c r="J698" s="3">
        <v>39.248596810000002</v>
      </c>
      <c r="K698" s="3">
        <v>3.3067770000000003E-2</v>
      </c>
      <c r="L698" s="3">
        <v>3.6097276999999997E-2</v>
      </c>
      <c r="M698" s="3">
        <v>0.176695089</v>
      </c>
      <c r="N698" s="3">
        <v>6.9756829000000006E-2</v>
      </c>
      <c r="O698" s="3">
        <v>3.3107263999999997E-2</v>
      </c>
      <c r="P698" s="3">
        <v>4.7032162000000002E-2</v>
      </c>
      <c r="Q698" s="3">
        <v>0.132428245</v>
      </c>
      <c r="R698" s="3">
        <v>1.0011943539999999</v>
      </c>
      <c r="S698" s="3">
        <v>1.6763286630000001</v>
      </c>
      <c r="T698" s="3">
        <v>2.9999754780000001</v>
      </c>
      <c r="U698" s="3">
        <v>0.74999846699999995</v>
      </c>
      <c r="V698" s="3">
        <v>7.1084325000000004E-2</v>
      </c>
      <c r="W698" s="3">
        <v>9.7010246999999994E-2</v>
      </c>
      <c r="X698" s="3">
        <v>0.262737844</v>
      </c>
      <c r="Y698" s="3">
        <v>2.4341583299999998</v>
      </c>
      <c r="Z698" s="3">
        <v>3.9999754780000001</v>
      </c>
      <c r="AA698" s="3">
        <v>3.6097276999999997E-2</v>
      </c>
      <c r="AB698" s="3">
        <v>3.3437296989999998</v>
      </c>
      <c r="AC698" s="3">
        <v>2.7083514559999999</v>
      </c>
      <c r="AD698" s="3">
        <v>0.1861546</v>
      </c>
      <c r="AE698" s="3">
        <v>5.3846135730000002</v>
      </c>
      <c r="AF698" s="4">
        <v>41050</v>
      </c>
      <c r="AG698" s="5">
        <f>YEAR(AF698)</f>
        <v>2012</v>
      </c>
      <c r="AH698" s="5" t="str">
        <f>"Q"&amp;ROUNDUP(MONTH(AF698)/3,0)</f>
        <v>Q2</v>
      </c>
      <c r="AI698" s="5">
        <f>INDEX(RatingLookup!$B$2:$B$11,MATCH(A698,RatingLookup!$A$2:$A$11,0))</f>
        <v>6</v>
      </c>
      <c r="AJ698" s="5" t="str">
        <f>INDEX(RatingLookup!$C$2:$C$11,MATCH(A698,RatingLookup!$A$2:$A$11,0))</f>
        <v>Speculative Grade</v>
      </c>
    </row>
    <row r="699" spans="1:36" x14ac:dyDescent="0.3">
      <c r="A699" s="3" t="s">
        <v>92</v>
      </c>
      <c r="B699" s="3" t="s">
        <v>849</v>
      </c>
      <c r="C699" s="3" t="s">
        <v>850</v>
      </c>
      <c r="D699" s="3" t="s">
        <v>47</v>
      </c>
      <c r="E699" s="3" t="s">
        <v>851</v>
      </c>
      <c r="F699" s="3" t="s">
        <v>59</v>
      </c>
      <c r="G699" s="3">
        <v>2.4246107399999999</v>
      </c>
      <c r="H699" s="3">
        <v>0.82356212299999998</v>
      </c>
      <c r="I699" s="3">
        <v>0.30020654600000002</v>
      </c>
      <c r="J699" s="3">
        <v>32.510295329999998</v>
      </c>
      <c r="K699" s="3">
        <v>5.2770914000000002E-2</v>
      </c>
      <c r="L699" s="3">
        <v>3.8592776000000002E-2</v>
      </c>
      <c r="M699" s="3">
        <v>0.16004824100000001</v>
      </c>
      <c r="N699" s="3">
        <v>5.2064948999999999E-2</v>
      </c>
      <c r="O699" s="3">
        <v>6.9498517999999995E-2</v>
      </c>
      <c r="P699" s="3">
        <v>6.7214836E-2</v>
      </c>
      <c r="Q699" s="3">
        <v>0.22127659599999999</v>
      </c>
      <c r="R699" s="3">
        <v>1.3169852980000001</v>
      </c>
      <c r="S699" s="3">
        <v>3.8120654859999998</v>
      </c>
      <c r="T699" s="3">
        <v>2.1839037929999998</v>
      </c>
      <c r="U699" s="3">
        <v>0.68592015799999995</v>
      </c>
      <c r="V699" s="3">
        <v>-0.36547256099999997</v>
      </c>
      <c r="W699" s="3">
        <v>0.39103982300000001</v>
      </c>
      <c r="X699" s="3">
        <v>1.01</v>
      </c>
      <c r="Y699" s="3">
        <v>3.0792857140000001</v>
      </c>
      <c r="Z699" s="3">
        <v>3.1839037929999998</v>
      </c>
      <c r="AA699" s="3">
        <v>3.8592776000000002E-2</v>
      </c>
      <c r="AB699" s="3">
        <v>12.798120369999999</v>
      </c>
      <c r="AC699" s="3">
        <v>2.582857143</v>
      </c>
      <c r="AD699" s="3">
        <v>5.3182726999999999E-2</v>
      </c>
      <c r="AE699" s="3">
        <v>9.3439136129999998</v>
      </c>
      <c r="AF699" s="4">
        <v>42116</v>
      </c>
      <c r="AG699" s="5">
        <f>YEAR(AF699)</f>
        <v>2015</v>
      </c>
      <c r="AH699" s="5" t="str">
        <f>"Q"&amp;ROUNDUP(MONTH(AF699)/3,0)</f>
        <v>Q2</v>
      </c>
      <c r="AI699" s="5">
        <f>INDEX(RatingLookup!$B$2:$B$11,MATCH(A699,RatingLookup!$A$2:$A$11,0))</f>
        <v>6</v>
      </c>
      <c r="AJ699" s="5" t="str">
        <f>INDEX(RatingLookup!$C$2:$C$11,MATCH(A699,RatingLookup!$A$2:$A$11,0))</f>
        <v>Speculative Grade</v>
      </c>
    </row>
    <row r="700" spans="1:36" x14ac:dyDescent="0.3">
      <c r="A700" s="3" t="s">
        <v>42</v>
      </c>
      <c r="B700" s="3" t="s">
        <v>849</v>
      </c>
      <c r="C700" s="3" t="s">
        <v>850</v>
      </c>
      <c r="D700" s="3" t="s">
        <v>47</v>
      </c>
      <c r="E700" s="3" t="s">
        <v>852</v>
      </c>
      <c r="F700" s="3" t="s">
        <v>59</v>
      </c>
      <c r="G700" s="3">
        <v>2.2612063060000001</v>
      </c>
      <c r="H700" s="3">
        <v>1.024194654</v>
      </c>
      <c r="I700" s="3">
        <v>0.65613433899999996</v>
      </c>
      <c r="J700" s="3">
        <v>29.501497610000001</v>
      </c>
      <c r="K700" s="3">
        <v>0.118710396</v>
      </c>
      <c r="L700" s="3">
        <v>0.121630368</v>
      </c>
      <c r="M700" s="3">
        <v>0.16731136799999999</v>
      </c>
      <c r="N700" s="3">
        <v>0.129893587</v>
      </c>
      <c r="O700" s="3">
        <v>0.13651233199999999</v>
      </c>
      <c r="P700" s="3">
        <v>0.18712515900000001</v>
      </c>
      <c r="Q700" s="3">
        <v>0.372116065</v>
      </c>
      <c r="R700" s="3">
        <v>1.149961056</v>
      </c>
      <c r="S700" s="3">
        <v>3.405905572</v>
      </c>
      <c r="T700" s="3">
        <v>1.7258787449999999</v>
      </c>
      <c r="U700" s="3">
        <v>0.63314582399999997</v>
      </c>
      <c r="V700" s="3">
        <v>2.5491895000000001E-2</v>
      </c>
      <c r="W700" s="3">
        <v>0.72078777999999999</v>
      </c>
      <c r="X700" s="3">
        <v>6.7167630059999999</v>
      </c>
      <c r="Y700" s="3">
        <v>6.916907514</v>
      </c>
      <c r="Z700" s="3">
        <v>2.7258787450000002</v>
      </c>
      <c r="AA700" s="3">
        <v>0.121630368</v>
      </c>
      <c r="AB700" s="3">
        <v>5.7507706949999999</v>
      </c>
      <c r="AC700" s="3">
        <v>9.3186416179999991</v>
      </c>
      <c r="AD700" s="3">
        <v>0.194117913</v>
      </c>
      <c r="AE700" s="3">
        <v>8.9490456159999994</v>
      </c>
      <c r="AF700" s="4">
        <v>42446</v>
      </c>
      <c r="AG700" s="5">
        <f>YEAR(AF700)</f>
        <v>2016</v>
      </c>
      <c r="AH700" s="5" t="str">
        <f>"Q"&amp;ROUNDUP(MONTH(AF700)/3,0)</f>
        <v>Q1</v>
      </c>
      <c r="AI700" s="5">
        <f>INDEX(RatingLookup!$B$2:$B$11,MATCH(A700,RatingLookup!$A$2:$A$11,0))</f>
        <v>7</v>
      </c>
      <c r="AJ700" s="5" t="str">
        <f>INDEX(RatingLookup!$C$2:$C$11,MATCH(A700,RatingLookup!$A$2:$A$11,0))</f>
        <v>Investment Grade</v>
      </c>
    </row>
    <row r="701" spans="1:36" x14ac:dyDescent="0.3">
      <c r="A701" s="3" t="s">
        <v>109</v>
      </c>
      <c r="B701" s="3" t="s">
        <v>849</v>
      </c>
      <c r="C701" s="3" t="s">
        <v>850</v>
      </c>
      <c r="D701" s="3" t="s">
        <v>47</v>
      </c>
      <c r="E701" s="3" t="s">
        <v>853</v>
      </c>
      <c r="F701" s="3" t="s">
        <v>59</v>
      </c>
      <c r="G701" s="3">
        <v>2.204402516</v>
      </c>
      <c r="H701" s="3">
        <v>0.72776280299999996</v>
      </c>
      <c r="I701" s="3">
        <v>0.31498951800000002</v>
      </c>
      <c r="J701" s="3">
        <v>33.726220429999998</v>
      </c>
      <c r="K701" s="3">
        <v>-0.10424425399999999</v>
      </c>
      <c r="L701" s="3">
        <v>-8.3844991999999993E-2</v>
      </c>
      <c r="M701" s="3">
        <v>-1.6524073E-2</v>
      </c>
      <c r="N701" s="3">
        <v>-6.1113907000000002E-2</v>
      </c>
      <c r="O701" s="3">
        <v>-0.121671366</v>
      </c>
      <c r="P701" s="3">
        <v>-0.13251670400000001</v>
      </c>
      <c r="Q701" s="3">
        <v>-0.41972306700000001</v>
      </c>
      <c r="R701" s="3">
        <v>1.1671757519999999</v>
      </c>
      <c r="S701" s="3">
        <v>3.3056063880000002</v>
      </c>
      <c r="T701" s="3">
        <v>2.4496453900000001</v>
      </c>
      <c r="U701" s="3">
        <v>0.71011513199999998</v>
      </c>
      <c r="V701" s="3">
        <v>-0.382352941</v>
      </c>
      <c r="W701" s="3">
        <v>0.10130468199999999</v>
      </c>
      <c r="X701" s="3">
        <v>0.18683651800000001</v>
      </c>
      <c r="Y701" s="3">
        <v>2.9808917199999998</v>
      </c>
      <c r="Z701" s="3">
        <v>3.4496453900000001</v>
      </c>
      <c r="AA701" s="3">
        <v>-8.3844991999999993E-2</v>
      </c>
      <c r="AB701" s="3">
        <v>-28.20514519</v>
      </c>
      <c r="AC701" s="3">
        <v>1.8443029019999999</v>
      </c>
      <c r="AD701" s="3">
        <v>4.3717497000000001E-2</v>
      </c>
      <c r="AE701" s="3">
        <v>8.0396709570000002</v>
      </c>
      <c r="AF701" s="4">
        <v>41702</v>
      </c>
      <c r="AG701" s="5">
        <f>YEAR(AF701)</f>
        <v>2014</v>
      </c>
      <c r="AH701" s="5" t="str">
        <f>"Q"&amp;ROUNDUP(MONTH(AF701)/3,0)</f>
        <v>Q1</v>
      </c>
      <c r="AI701" s="5">
        <f>INDEX(RatingLookup!$B$2:$B$11,MATCH(A701,RatingLookup!$A$2:$A$11,0))</f>
        <v>5</v>
      </c>
      <c r="AJ701" s="5" t="str">
        <f>INDEX(RatingLookup!$C$2:$C$11,MATCH(A701,RatingLookup!$A$2:$A$11,0))</f>
        <v>Speculative Grade</v>
      </c>
    </row>
    <row r="702" spans="1:36" x14ac:dyDescent="0.3">
      <c r="A702" s="3" t="s">
        <v>92</v>
      </c>
      <c r="B702" s="3" t="s">
        <v>854</v>
      </c>
      <c r="C702" s="3" t="s">
        <v>855</v>
      </c>
      <c r="D702" s="3" t="s">
        <v>47</v>
      </c>
      <c r="E702" s="3" t="s">
        <v>762</v>
      </c>
      <c r="F702" s="3" t="s">
        <v>79</v>
      </c>
      <c r="G702" s="3">
        <v>0.736268017</v>
      </c>
      <c r="H702" s="3">
        <v>0.563303467</v>
      </c>
      <c r="I702" s="3">
        <v>9.3494351000000003E-2</v>
      </c>
      <c r="J702" s="3">
        <v>46.455414429999998</v>
      </c>
      <c r="K702" s="3">
        <v>0.27681026600000003</v>
      </c>
      <c r="L702" s="3">
        <v>0.46929422500000001</v>
      </c>
      <c r="M702" s="3">
        <v>0.80463532800000004</v>
      </c>
      <c r="N702" s="3">
        <v>0.20544716499999999</v>
      </c>
      <c r="O702" s="3">
        <v>4.1809227999999997E-2</v>
      </c>
      <c r="P702" s="3">
        <v>7.4672889000000006E-2</v>
      </c>
      <c r="Q702" s="3">
        <v>0.24085678499999999</v>
      </c>
      <c r="R702" s="3">
        <v>0.15103929799999999</v>
      </c>
      <c r="S702" s="3">
        <v>0.27196324900000002</v>
      </c>
      <c r="T702" s="3">
        <v>4.760852227</v>
      </c>
      <c r="U702" s="3">
        <v>0.82641457200000001</v>
      </c>
      <c r="V702" s="3">
        <v>0.348493304</v>
      </c>
      <c r="W702" s="3">
        <v>-0.90591016499999999</v>
      </c>
      <c r="X702" s="3">
        <v>-2.6636082440000002</v>
      </c>
      <c r="Y702" s="3">
        <v>0.65895110000000001</v>
      </c>
      <c r="Z702" s="3">
        <v>5.760852227</v>
      </c>
      <c r="AA702" s="3">
        <v>0.46929422500000001</v>
      </c>
      <c r="AB702" s="3">
        <v>19.016974319999999</v>
      </c>
      <c r="AC702" s="3">
        <v>2.9402564899999999</v>
      </c>
      <c r="AD702" s="3">
        <v>0.27694120700000002</v>
      </c>
      <c r="AE702" s="3">
        <v>1.724855491</v>
      </c>
      <c r="AF702" s="4">
        <v>42177</v>
      </c>
      <c r="AG702" s="5">
        <f>YEAR(AF702)</f>
        <v>2015</v>
      </c>
      <c r="AH702" s="5" t="str">
        <f>"Q"&amp;ROUNDUP(MONTH(AF702)/3,0)</f>
        <v>Q2</v>
      </c>
      <c r="AI702" s="5">
        <f>INDEX(RatingLookup!$B$2:$B$11,MATCH(A702,RatingLookup!$A$2:$A$11,0))</f>
        <v>6</v>
      </c>
      <c r="AJ702" s="5" t="str">
        <f>INDEX(RatingLookup!$C$2:$C$11,MATCH(A702,RatingLookup!$A$2:$A$11,0))</f>
        <v>Speculative Grade</v>
      </c>
    </row>
    <row r="703" spans="1:36" x14ac:dyDescent="0.3">
      <c r="A703" s="3" t="s">
        <v>92</v>
      </c>
      <c r="B703" s="3" t="s">
        <v>854</v>
      </c>
      <c r="C703" s="3" t="s">
        <v>855</v>
      </c>
      <c r="D703" s="3" t="s">
        <v>47</v>
      </c>
      <c r="E703" s="3" t="s">
        <v>856</v>
      </c>
      <c r="F703" s="3" t="s">
        <v>79</v>
      </c>
      <c r="G703" s="3">
        <v>0.98290598299999998</v>
      </c>
      <c r="H703" s="3">
        <v>0.79797979799999996</v>
      </c>
      <c r="I703" s="3">
        <v>0.30885780899999998</v>
      </c>
      <c r="J703" s="3">
        <v>32.605553239999999</v>
      </c>
      <c r="K703" s="3">
        <v>-0.11408069899999999</v>
      </c>
      <c r="L703" s="3">
        <v>-9.5257903000000005E-2</v>
      </c>
      <c r="M703" s="3">
        <v>1</v>
      </c>
      <c r="N703" s="3">
        <v>4.575707E-3</v>
      </c>
      <c r="O703" s="3">
        <v>-4.3929201000000001E-2</v>
      </c>
      <c r="P703" s="3">
        <v>-4.0896508999999998E-2</v>
      </c>
      <c r="Q703" s="3">
        <v>-0.150521405</v>
      </c>
      <c r="R703" s="3">
        <v>0.38507128000000002</v>
      </c>
      <c r="S703" s="3">
        <v>0.47434885599999999</v>
      </c>
      <c r="T703" s="3">
        <v>2.4264544460000002</v>
      </c>
      <c r="U703" s="3">
        <v>0.70815313199999996</v>
      </c>
      <c r="V703" s="3">
        <v>3.2751092000000002E-2</v>
      </c>
      <c r="W703" s="3">
        <v>-5.1678611999999999E-2</v>
      </c>
      <c r="X703" s="3">
        <v>-0.234367516</v>
      </c>
      <c r="Y703" s="3">
        <v>2.044300593</v>
      </c>
      <c r="Z703" s="3">
        <v>3.4264544460000002</v>
      </c>
      <c r="AA703" s="3">
        <v>-9.5257903000000005E-2</v>
      </c>
      <c r="AB703" s="3">
        <v>13.53068173</v>
      </c>
      <c r="AC703" s="3">
        <v>4.535096963</v>
      </c>
      <c r="AD703" s="3">
        <v>0.27568635600000002</v>
      </c>
      <c r="AE703" s="3">
        <v>0</v>
      </c>
      <c r="AF703" s="4">
        <v>40718</v>
      </c>
      <c r="AG703" s="5">
        <f>YEAR(AF703)</f>
        <v>2011</v>
      </c>
      <c r="AH703" s="5" t="str">
        <f>"Q"&amp;ROUNDUP(MONTH(AF703)/3,0)</f>
        <v>Q2</v>
      </c>
      <c r="AI703" s="5">
        <f>INDEX(RatingLookup!$B$2:$B$11,MATCH(A703,RatingLookup!$A$2:$A$11,0))</f>
        <v>6</v>
      </c>
      <c r="AJ703" s="5" t="str">
        <f>INDEX(RatingLookup!$C$2:$C$11,MATCH(A703,RatingLookup!$A$2:$A$11,0))</f>
        <v>Speculative Grade</v>
      </c>
    </row>
    <row r="704" spans="1:36" x14ac:dyDescent="0.3">
      <c r="A704" s="3" t="s">
        <v>92</v>
      </c>
      <c r="B704" s="3" t="s">
        <v>854</v>
      </c>
      <c r="C704" s="3" t="s">
        <v>855</v>
      </c>
      <c r="D704" s="3" t="s">
        <v>47</v>
      </c>
      <c r="E704" s="3" t="s">
        <v>857</v>
      </c>
      <c r="F704" s="3" t="s">
        <v>79</v>
      </c>
      <c r="G704" s="3">
        <v>0.61153384099999997</v>
      </c>
      <c r="H704" s="3">
        <v>0.47376852200000003</v>
      </c>
      <c r="I704" s="3">
        <v>4.0048057999999997E-2</v>
      </c>
      <c r="J704" s="3">
        <v>51.278532609999999</v>
      </c>
      <c r="K704" s="3">
        <v>-7.7581522E-2</v>
      </c>
      <c r="L704" s="3">
        <v>-0.23274456499999999</v>
      </c>
      <c r="M704" s="3">
        <v>0.77513586999999995</v>
      </c>
      <c r="N704" s="3">
        <v>3.0706522E-2</v>
      </c>
      <c r="O704" s="3">
        <v>-1.1648307E-2</v>
      </c>
      <c r="P704" s="3">
        <v>-3.6820497000000001E-2</v>
      </c>
      <c r="Q704" s="3">
        <v>-9.2875732000000003E-2</v>
      </c>
      <c r="R704" s="3">
        <v>0.15014279899999999</v>
      </c>
      <c r="S704" s="3">
        <v>0.24882518000000001</v>
      </c>
      <c r="T704" s="3">
        <v>6.9733246580000001</v>
      </c>
      <c r="U704" s="3">
        <v>0.87458180299999999</v>
      </c>
      <c r="V704" s="3">
        <v>0.23292469399999999</v>
      </c>
      <c r="W704" s="3">
        <v>-0.18259895400000001</v>
      </c>
      <c r="X704" s="3">
        <v>-0.65263436100000005</v>
      </c>
      <c r="Y704" s="3">
        <v>0.198859959</v>
      </c>
      <c r="Z704" s="3">
        <v>7.9733246580000001</v>
      </c>
      <c r="AA704" s="3">
        <v>-0.23274456499999999</v>
      </c>
      <c r="AB704" s="3">
        <v>19.525931920000001</v>
      </c>
      <c r="AC704" s="3">
        <v>3.574140731</v>
      </c>
      <c r="AD704" s="3">
        <v>0.36385869599999998</v>
      </c>
      <c r="AE704" s="3">
        <v>2.224462366</v>
      </c>
      <c r="AF704" s="4">
        <v>42368</v>
      </c>
      <c r="AG704" s="5">
        <f>YEAR(AF704)</f>
        <v>2015</v>
      </c>
      <c r="AH704" s="5" t="str">
        <f>"Q"&amp;ROUNDUP(MONTH(AF704)/3,0)</f>
        <v>Q4</v>
      </c>
      <c r="AI704" s="5">
        <f>INDEX(RatingLookup!$B$2:$B$11,MATCH(A704,RatingLookup!$A$2:$A$11,0))</f>
        <v>6</v>
      </c>
      <c r="AJ704" s="5" t="str">
        <f>INDEX(RatingLookup!$C$2:$C$11,MATCH(A704,RatingLookup!$A$2:$A$11,0))</f>
        <v>Speculative Grade</v>
      </c>
    </row>
    <row r="705" spans="1:36" x14ac:dyDescent="0.3">
      <c r="A705" s="3" t="s">
        <v>92</v>
      </c>
      <c r="B705" s="3" t="s">
        <v>854</v>
      </c>
      <c r="C705" s="3" t="s">
        <v>855</v>
      </c>
      <c r="D705" s="3" t="s">
        <v>47</v>
      </c>
      <c r="E705" s="3" t="s">
        <v>858</v>
      </c>
      <c r="F705" s="3" t="s">
        <v>79</v>
      </c>
      <c r="G705" s="3">
        <v>0.495761275</v>
      </c>
      <c r="H705" s="3">
        <v>2.648016277</v>
      </c>
      <c r="I705" s="3">
        <v>5.7646660000000002E-2</v>
      </c>
      <c r="J705" s="3">
        <v>45.655420720000002</v>
      </c>
      <c r="K705" s="3">
        <v>-5.6540871999999999E-2</v>
      </c>
      <c r="L705" s="3">
        <v>-5.0006667999999997E-2</v>
      </c>
      <c r="M705" s="3">
        <v>0.78930524099999999</v>
      </c>
      <c r="N705" s="3">
        <v>9.3345779000000004E-2</v>
      </c>
      <c r="O705" s="3">
        <v>-9.0530590000000005E-3</v>
      </c>
      <c r="P705" s="3">
        <v>-8.5448659999999999E-3</v>
      </c>
      <c r="Q705" s="3">
        <v>-9.1320266999999997E-2</v>
      </c>
      <c r="R705" s="3">
        <v>0.16011529799999999</v>
      </c>
      <c r="S705" s="3">
        <v>0.26378922199999999</v>
      </c>
      <c r="T705" s="3">
        <v>9.0872280849999996</v>
      </c>
      <c r="U705" s="3">
        <v>0.900864738</v>
      </c>
      <c r="V705" s="3">
        <v>6.6666666999999999E-2</v>
      </c>
      <c r="W705" s="3">
        <v>0.44022925800000001</v>
      </c>
      <c r="X705" s="3">
        <v>2.1487385319999999</v>
      </c>
      <c r="Y705" s="3">
        <v>9.1531199339999993</v>
      </c>
      <c r="Z705" s="3">
        <v>10.08722809</v>
      </c>
      <c r="AA705" s="3">
        <v>-5.0006667999999997E-2</v>
      </c>
      <c r="AB705" s="3">
        <v>18.020892570000001</v>
      </c>
      <c r="AC705" s="3">
        <v>4.8809534909999996</v>
      </c>
      <c r="AD705" s="3">
        <v>0.48859848</v>
      </c>
      <c r="AE705" s="3">
        <v>2.5361155700000002</v>
      </c>
      <c r="AF705" s="4">
        <v>42552</v>
      </c>
      <c r="AG705" s="5">
        <f>YEAR(AF705)</f>
        <v>2016</v>
      </c>
      <c r="AH705" s="5" t="str">
        <f>"Q"&amp;ROUNDUP(MONTH(AF705)/3,0)</f>
        <v>Q3</v>
      </c>
      <c r="AI705" s="5">
        <f>INDEX(RatingLookup!$B$2:$B$11,MATCH(A705,RatingLookup!$A$2:$A$11,0))</f>
        <v>6</v>
      </c>
      <c r="AJ705" s="5" t="str">
        <f>INDEX(RatingLookup!$C$2:$C$11,MATCH(A705,RatingLookup!$A$2:$A$11,0))</f>
        <v>Speculative Grade</v>
      </c>
    </row>
    <row r="706" spans="1:36" x14ac:dyDescent="0.3">
      <c r="A706" s="3" t="s">
        <v>92</v>
      </c>
      <c r="B706" s="3" t="s">
        <v>854</v>
      </c>
      <c r="C706" s="3" t="s">
        <v>855</v>
      </c>
      <c r="D706" s="3" t="s">
        <v>47</v>
      </c>
      <c r="E706" s="3" t="s">
        <v>859</v>
      </c>
      <c r="F706" s="3" t="s">
        <v>79</v>
      </c>
      <c r="G706" s="3">
        <v>1.1307462690000001</v>
      </c>
      <c r="H706" s="3">
        <v>0.934925373</v>
      </c>
      <c r="I706" s="3">
        <v>0.53074626899999999</v>
      </c>
      <c r="J706" s="3">
        <v>29.319672130000001</v>
      </c>
      <c r="K706" s="3">
        <v>4.741488E-2</v>
      </c>
      <c r="L706" s="3">
        <v>0.151576293</v>
      </c>
      <c r="M706" s="3">
        <v>1</v>
      </c>
      <c r="N706" s="3">
        <v>0.235435057</v>
      </c>
      <c r="O706" s="3">
        <v>2.2785117000000001E-2</v>
      </c>
      <c r="P706" s="3">
        <v>8.1068320999999999E-2</v>
      </c>
      <c r="Q706" s="3">
        <v>0.29012345699999997</v>
      </c>
      <c r="R706" s="3">
        <v>0.48054781200000002</v>
      </c>
      <c r="S706" s="3">
        <v>0.63036566000000005</v>
      </c>
      <c r="T706" s="3">
        <v>11.733024690000001</v>
      </c>
      <c r="U706" s="3">
        <v>0.921464065</v>
      </c>
      <c r="V706" s="3">
        <v>0.103161398</v>
      </c>
      <c r="W706" s="3">
        <v>0.186972957</v>
      </c>
      <c r="X706" s="3">
        <v>1.092509935</v>
      </c>
      <c r="Y706" s="3">
        <v>1.578447481</v>
      </c>
      <c r="Z706" s="3">
        <v>12.733024690000001</v>
      </c>
      <c r="AA706" s="3">
        <v>0.151576293</v>
      </c>
      <c r="AB706" s="3">
        <v>7.1043828299999996</v>
      </c>
      <c r="AC706" s="3">
        <v>5.8431441179999997</v>
      </c>
      <c r="AD706" s="3">
        <v>0.43366960900000001</v>
      </c>
      <c r="AE706" s="3">
        <v>0</v>
      </c>
      <c r="AF706" s="4">
        <v>40955</v>
      </c>
      <c r="AG706" s="5">
        <f>YEAR(AF706)</f>
        <v>2012</v>
      </c>
      <c r="AH706" s="5" t="str">
        <f>"Q"&amp;ROUNDUP(MONTH(AF706)/3,0)</f>
        <v>Q1</v>
      </c>
      <c r="AI706" s="5">
        <f>INDEX(RatingLookup!$B$2:$B$11,MATCH(A706,RatingLookup!$A$2:$A$11,0))</f>
        <v>6</v>
      </c>
      <c r="AJ706" s="5" t="str">
        <f>INDEX(RatingLookup!$C$2:$C$11,MATCH(A706,RatingLookup!$A$2:$A$11,0))</f>
        <v>Speculative Grade</v>
      </c>
    </row>
    <row r="707" spans="1:36" x14ac:dyDescent="0.3">
      <c r="A707" s="3" t="s">
        <v>109</v>
      </c>
      <c r="B707" s="3" t="s">
        <v>860</v>
      </c>
      <c r="C707" s="3" t="s">
        <v>861</v>
      </c>
      <c r="D707" s="3" t="s">
        <v>47</v>
      </c>
      <c r="E707" s="3" t="s">
        <v>862</v>
      </c>
      <c r="F707" s="3" t="s">
        <v>215</v>
      </c>
      <c r="G707" s="3">
        <v>2.8459882240000001</v>
      </c>
      <c r="H707" s="3">
        <v>1.915658474</v>
      </c>
      <c r="I707" s="3">
        <v>0.97781976500000001</v>
      </c>
      <c r="J707" s="3">
        <v>46.02441013</v>
      </c>
      <c r="K707" s="3">
        <v>3.8595653000000001E-2</v>
      </c>
      <c r="L707" s="3">
        <v>5.6965939E-2</v>
      </c>
      <c r="M707" s="3">
        <v>0.24201514499999999</v>
      </c>
      <c r="N707" s="3">
        <v>8.3313203000000002E-2</v>
      </c>
      <c r="O707" s="3">
        <v>5.0487391E-2</v>
      </c>
      <c r="P707" s="3">
        <v>9.0420798999999996E-2</v>
      </c>
      <c r="Q707" s="3">
        <v>0.22855943300000001</v>
      </c>
      <c r="R707" s="3">
        <v>1.3081108189999999</v>
      </c>
      <c r="S707" s="3">
        <v>7.5157578989999996</v>
      </c>
      <c r="T707" s="3">
        <v>3.5270597019999999</v>
      </c>
      <c r="U707" s="3">
        <v>0.77910607200000004</v>
      </c>
      <c r="V707" s="3">
        <v>0.32247842300000001</v>
      </c>
      <c r="W707" s="3">
        <v>0.892560295</v>
      </c>
      <c r="X707" s="3">
        <v>2.2375572130000001</v>
      </c>
      <c r="Y707" s="3">
        <v>3.2051819610000001</v>
      </c>
      <c r="Z707" s="3">
        <v>4.5270597019999999</v>
      </c>
      <c r="AA707" s="3">
        <v>5.6965939E-2</v>
      </c>
      <c r="AB707" s="3">
        <v>8.7309115409999993</v>
      </c>
      <c r="AC707" s="3">
        <v>2.5068975450000002</v>
      </c>
      <c r="AD707" s="3">
        <v>0.10282765200000001</v>
      </c>
      <c r="AE707" s="3">
        <v>10.118491390000001</v>
      </c>
      <c r="AF707" s="4">
        <v>42711</v>
      </c>
      <c r="AG707" s="5">
        <f>YEAR(AF707)</f>
        <v>2016</v>
      </c>
      <c r="AH707" s="5" t="str">
        <f>"Q"&amp;ROUNDUP(MONTH(AF707)/3,0)</f>
        <v>Q4</v>
      </c>
      <c r="AI707" s="5">
        <f>INDEX(RatingLookup!$B$2:$B$11,MATCH(A707,RatingLookup!$A$2:$A$11,0))</f>
        <v>5</v>
      </c>
      <c r="AJ707" s="5" t="str">
        <f>INDEX(RatingLookup!$C$2:$C$11,MATCH(A707,RatingLookup!$A$2:$A$11,0))</f>
        <v>Speculative Grade</v>
      </c>
    </row>
    <row r="708" spans="1:36" x14ac:dyDescent="0.3">
      <c r="A708" s="3" t="s">
        <v>92</v>
      </c>
      <c r="B708" s="3" t="s">
        <v>863</v>
      </c>
      <c r="C708" s="3" t="s">
        <v>864</v>
      </c>
      <c r="D708" s="3" t="s">
        <v>47</v>
      </c>
      <c r="E708" s="3" t="s">
        <v>865</v>
      </c>
      <c r="F708" s="3" t="s">
        <v>96</v>
      </c>
      <c r="G708" s="3">
        <v>0.86885722799999998</v>
      </c>
      <c r="H708" s="3">
        <v>0.843500111</v>
      </c>
      <c r="I708" s="3">
        <v>0.54505112300000003</v>
      </c>
      <c r="J708" s="3">
        <v>6.1067110910000002</v>
      </c>
      <c r="K708" s="3">
        <v>5.7122306999999997E-2</v>
      </c>
      <c r="L708" s="3">
        <v>8.9012359999999999E-2</v>
      </c>
      <c r="M708" s="3">
        <v>0.71213912800000001</v>
      </c>
      <c r="N708" s="3">
        <v>0.101713492</v>
      </c>
      <c r="O708" s="3">
        <v>5.8770005E-2</v>
      </c>
      <c r="P708" s="3">
        <v>9.7185172E-2</v>
      </c>
      <c r="Q708" s="3">
        <v>0.121127067</v>
      </c>
      <c r="R708" s="3">
        <v>1.0288450899999999</v>
      </c>
      <c r="S708" s="3">
        <v>10.020770389999999</v>
      </c>
      <c r="T708" s="3">
        <v>1.0610354989999999</v>
      </c>
      <c r="U708" s="3">
        <v>0.51480699900000004</v>
      </c>
      <c r="V708" s="3">
        <v>0.35826544500000002</v>
      </c>
      <c r="W708" s="3">
        <v>0.53699245699999998</v>
      </c>
      <c r="X708" s="3">
        <v>2.5154605480000001</v>
      </c>
      <c r="Y708" s="3">
        <v>1.439252795</v>
      </c>
      <c r="Z708" s="3">
        <v>2.0610354989999999</v>
      </c>
      <c r="AA708" s="3">
        <v>8.9012359999999999E-2</v>
      </c>
      <c r="AB708" s="3">
        <v>2.3729471059999998</v>
      </c>
      <c r="AC708" s="3">
        <v>4.6843498730000004</v>
      </c>
      <c r="AD708" s="3">
        <v>9.9447501999999993E-2</v>
      </c>
      <c r="AE708" s="3">
        <v>7.8967867199999997</v>
      </c>
      <c r="AF708" s="4">
        <v>40842</v>
      </c>
      <c r="AG708" s="5">
        <f>YEAR(AF708)</f>
        <v>2011</v>
      </c>
      <c r="AH708" s="5" t="str">
        <f>"Q"&amp;ROUNDUP(MONTH(AF708)/3,0)</f>
        <v>Q4</v>
      </c>
      <c r="AI708" s="5">
        <f>INDEX(RatingLookup!$B$2:$B$11,MATCH(A708,RatingLookup!$A$2:$A$11,0))</f>
        <v>6</v>
      </c>
      <c r="AJ708" s="5" t="str">
        <f>INDEX(RatingLookup!$C$2:$C$11,MATCH(A708,RatingLookup!$A$2:$A$11,0))</f>
        <v>Speculative Grade</v>
      </c>
    </row>
    <row r="709" spans="1:36" x14ac:dyDescent="0.3">
      <c r="A709" s="3" t="s">
        <v>109</v>
      </c>
      <c r="B709" s="3" t="s">
        <v>863</v>
      </c>
      <c r="C709" s="3" t="s">
        <v>864</v>
      </c>
      <c r="D709" s="3" t="s">
        <v>47</v>
      </c>
      <c r="E709" s="3" t="s">
        <v>318</v>
      </c>
      <c r="F709" s="3" t="s">
        <v>96</v>
      </c>
      <c r="G709" s="3">
        <v>0.31032821500000002</v>
      </c>
      <c r="H709" s="3">
        <v>0.29839365099999998</v>
      </c>
      <c r="I709" s="3">
        <v>0.124943475</v>
      </c>
      <c r="J709" s="3">
        <v>6.9004920140000001</v>
      </c>
      <c r="K709" s="3">
        <v>4.1311353000000002E-2</v>
      </c>
      <c r="L709" s="3">
        <v>6.6798896999999996E-2</v>
      </c>
      <c r="M709" s="3">
        <v>0.69243533599999996</v>
      </c>
      <c r="N709" s="3">
        <v>7.9302347999999995E-2</v>
      </c>
      <c r="O709" s="3">
        <v>4.2483268999999997E-2</v>
      </c>
      <c r="P709" s="3">
        <v>7.7365637000000001E-2</v>
      </c>
      <c r="Q709" s="3">
        <v>9.5447064999999998E-2</v>
      </c>
      <c r="R709" s="3">
        <v>1.0283678970000001</v>
      </c>
      <c r="S709" s="3">
        <v>9.2249671620000004</v>
      </c>
      <c r="T709" s="3">
        <v>1.246697744</v>
      </c>
      <c r="U709" s="3">
        <v>0.55490229899999999</v>
      </c>
      <c r="V709" s="3">
        <v>0.38155635700000001</v>
      </c>
      <c r="W709" s="3">
        <v>0.19334980900000001</v>
      </c>
      <c r="X709" s="3">
        <v>0.47396175499999998</v>
      </c>
      <c r="Y709" s="3">
        <v>0.77136705299999997</v>
      </c>
      <c r="Z709" s="3">
        <v>2.246697744</v>
      </c>
      <c r="AA709" s="3">
        <v>6.6798896999999996E-2</v>
      </c>
      <c r="AB709" s="3">
        <v>1.5127199149999999</v>
      </c>
      <c r="AC709" s="3">
        <v>2.4513174219999998</v>
      </c>
      <c r="AD709" s="3">
        <v>4.3277731999999999E-2</v>
      </c>
      <c r="AE709" s="3">
        <v>7.9451508750000004</v>
      </c>
      <c r="AF709" s="4">
        <v>41793</v>
      </c>
      <c r="AG709" s="5">
        <f>YEAR(AF709)</f>
        <v>2014</v>
      </c>
      <c r="AH709" s="5" t="str">
        <f>"Q"&amp;ROUNDUP(MONTH(AF709)/3,0)</f>
        <v>Q2</v>
      </c>
      <c r="AI709" s="5">
        <f>INDEX(RatingLookup!$B$2:$B$11,MATCH(A709,RatingLookup!$A$2:$A$11,0))</f>
        <v>5</v>
      </c>
      <c r="AJ709" s="5" t="str">
        <f>INDEX(RatingLookup!$C$2:$C$11,MATCH(A709,RatingLookup!$A$2:$A$11,0))</f>
        <v>Speculative Grade</v>
      </c>
    </row>
    <row r="710" spans="1:36" x14ac:dyDescent="0.3">
      <c r="A710" s="3" t="s">
        <v>109</v>
      </c>
      <c r="B710" s="3" t="s">
        <v>863</v>
      </c>
      <c r="C710" s="3" t="s">
        <v>864</v>
      </c>
      <c r="D710" s="3" t="s">
        <v>47</v>
      </c>
      <c r="E710" s="3" t="s">
        <v>314</v>
      </c>
      <c r="F710" s="3" t="s">
        <v>96</v>
      </c>
      <c r="G710" s="3">
        <v>0.50942991900000001</v>
      </c>
      <c r="H710" s="3">
        <v>0.48819510700000002</v>
      </c>
      <c r="I710" s="3">
        <v>0.201746022</v>
      </c>
      <c r="J710" s="3">
        <v>7.5700203559999997</v>
      </c>
      <c r="K710" s="3">
        <v>3.0534588000000001E-2</v>
      </c>
      <c r="L710" s="3">
        <v>4.5079859E-2</v>
      </c>
      <c r="M710" s="3">
        <v>0.69173657799999999</v>
      </c>
      <c r="N710" s="3">
        <v>6.1264882E-2</v>
      </c>
      <c r="O710" s="3">
        <v>2.9476059999999998E-2</v>
      </c>
      <c r="P710" s="3">
        <v>4.6787199000000002E-2</v>
      </c>
      <c r="Q710" s="3">
        <v>6.9398551000000003E-2</v>
      </c>
      <c r="R710" s="3">
        <v>0.96533348500000005</v>
      </c>
      <c r="S710" s="3">
        <v>9.4906800189999991</v>
      </c>
      <c r="T710" s="3">
        <v>1.3544038949999999</v>
      </c>
      <c r="U710" s="3">
        <v>0.575264039</v>
      </c>
      <c r="V710" s="3">
        <v>0.32265565200000002</v>
      </c>
      <c r="W710" s="3">
        <v>-3.3836655680000001</v>
      </c>
      <c r="X710" s="3">
        <v>-1.2236896880000001</v>
      </c>
      <c r="Y710" s="3">
        <v>0.87277199599999999</v>
      </c>
      <c r="Z710" s="3">
        <v>2.3544038949999999</v>
      </c>
      <c r="AA710" s="3">
        <v>4.5079859E-2</v>
      </c>
      <c r="AB710" s="3">
        <v>1.8625610669999999</v>
      </c>
      <c r="AC710" s="3">
        <v>0.36164616799999999</v>
      </c>
      <c r="AD710" s="3">
        <v>6.0526390000000003E-3</v>
      </c>
      <c r="AE710" s="3">
        <v>6.8610566830000002</v>
      </c>
      <c r="AF710" s="4">
        <v>42158</v>
      </c>
      <c r="AG710" s="5">
        <f>YEAR(AF710)</f>
        <v>2015</v>
      </c>
      <c r="AH710" s="5" t="str">
        <f>"Q"&amp;ROUNDUP(MONTH(AF710)/3,0)</f>
        <v>Q2</v>
      </c>
      <c r="AI710" s="5">
        <f>INDEX(RatingLookup!$B$2:$B$11,MATCH(A710,RatingLookup!$A$2:$A$11,0))</f>
        <v>5</v>
      </c>
      <c r="AJ710" s="5" t="str">
        <f>INDEX(RatingLookup!$C$2:$C$11,MATCH(A710,RatingLookup!$A$2:$A$11,0))</f>
        <v>Speculative Grade</v>
      </c>
    </row>
    <row r="711" spans="1:36" x14ac:dyDescent="0.3">
      <c r="A711" s="3" t="s">
        <v>109</v>
      </c>
      <c r="B711" s="3" t="s">
        <v>863</v>
      </c>
      <c r="C711" s="3" t="s">
        <v>864</v>
      </c>
      <c r="D711" s="3" t="s">
        <v>47</v>
      </c>
      <c r="E711" s="3" t="s">
        <v>866</v>
      </c>
      <c r="F711" s="3" t="s">
        <v>96</v>
      </c>
      <c r="G711" s="3">
        <v>0.84313940899999995</v>
      </c>
      <c r="H711" s="3">
        <v>0.82501398500000001</v>
      </c>
      <c r="I711" s="3">
        <v>0.476465417</v>
      </c>
      <c r="J711" s="3">
        <v>8.5958011669999994</v>
      </c>
      <c r="K711" s="3">
        <v>-3.5499849E-2</v>
      </c>
      <c r="L711" s="3">
        <v>-3.8226245999999998E-2</v>
      </c>
      <c r="M711" s="3">
        <v>0.65301533599999995</v>
      </c>
      <c r="N711" s="3">
        <v>-2.2473957999999999E-2</v>
      </c>
      <c r="O711" s="3">
        <v>-6.5634435000000005E-2</v>
      </c>
      <c r="P711" s="3">
        <v>-8.0764336000000006E-2</v>
      </c>
      <c r="Q711" s="3">
        <v>-0.39706265400000001</v>
      </c>
      <c r="R711" s="3">
        <v>1.8488651629999999</v>
      </c>
      <c r="S711" s="3">
        <v>9.3646959180000007</v>
      </c>
      <c r="T711" s="3">
        <v>5.0496087689999998</v>
      </c>
      <c r="U711" s="3">
        <v>0.83470005400000002</v>
      </c>
      <c r="V711" s="3">
        <v>7.1322633999999996E-2</v>
      </c>
      <c r="W711" s="3">
        <v>0.82715026800000002</v>
      </c>
      <c r="X711" s="3">
        <v>5.5080288399999997</v>
      </c>
      <c r="Y711" s="3">
        <v>1.795824627</v>
      </c>
      <c r="Z711" s="3">
        <v>6.0496087689999998</v>
      </c>
      <c r="AA711" s="3">
        <v>-3.8226245999999998E-2</v>
      </c>
      <c r="AB711" s="3">
        <v>0.81904527800000004</v>
      </c>
      <c r="AC711" s="3">
        <v>6.6590425629999999</v>
      </c>
      <c r="AD711" s="3">
        <v>0.119373918</v>
      </c>
      <c r="AE711" s="3">
        <v>9.4994641439999992</v>
      </c>
      <c r="AF711" s="4">
        <v>42697</v>
      </c>
      <c r="AG711" s="5">
        <f>YEAR(AF711)</f>
        <v>2016</v>
      </c>
      <c r="AH711" s="5" t="str">
        <f>"Q"&amp;ROUNDUP(MONTH(AF711)/3,0)</f>
        <v>Q4</v>
      </c>
      <c r="AI711" s="5">
        <f>INDEX(RatingLookup!$B$2:$B$11,MATCH(A711,RatingLookup!$A$2:$A$11,0))</f>
        <v>5</v>
      </c>
      <c r="AJ711" s="5" t="str">
        <f>INDEX(RatingLookup!$C$2:$C$11,MATCH(A711,RatingLookup!$A$2:$A$11,0))</f>
        <v>Speculative Grade</v>
      </c>
    </row>
    <row r="712" spans="1:36" x14ac:dyDescent="0.3">
      <c r="A712" s="3" t="s">
        <v>109</v>
      </c>
      <c r="B712" s="3" t="s">
        <v>863</v>
      </c>
      <c r="C712" s="3" t="s">
        <v>864</v>
      </c>
      <c r="D712" s="3" t="s">
        <v>47</v>
      </c>
      <c r="E712" s="3" t="s">
        <v>867</v>
      </c>
      <c r="F712" s="3" t="s">
        <v>96</v>
      </c>
      <c r="G712" s="3">
        <v>0.67640869199999998</v>
      </c>
      <c r="H712" s="3">
        <v>0.65290700000000002</v>
      </c>
      <c r="I712" s="3">
        <v>0.30390587200000002</v>
      </c>
      <c r="J712" s="3">
        <v>7.717681078</v>
      </c>
      <c r="K712" s="3">
        <v>-0.26434319000000001</v>
      </c>
      <c r="L712" s="3">
        <v>-0.32228329500000003</v>
      </c>
      <c r="M712" s="3">
        <v>0.64607615900000004</v>
      </c>
      <c r="N712" s="3">
        <v>-0.30743101900000003</v>
      </c>
      <c r="O712" s="3">
        <v>-0.43614721200000001</v>
      </c>
      <c r="P712" s="3">
        <v>-0.59080152799999996</v>
      </c>
      <c r="Q712" s="3">
        <v>-1.842000332</v>
      </c>
      <c r="R712" s="3">
        <v>1.649927932</v>
      </c>
      <c r="S712" s="3">
        <v>9.9064177989999997</v>
      </c>
      <c r="T712" s="3">
        <v>3.2233454199999998</v>
      </c>
      <c r="U712" s="3">
        <v>0.76322088300000002</v>
      </c>
      <c r="V712" s="3">
        <v>0.179780045</v>
      </c>
      <c r="W712" s="3">
        <v>0.64913574699999999</v>
      </c>
      <c r="X712" s="3">
        <v>2.8203204519999998</v>
      </c>
      <c r="Y712" s="3">
        <v>1.137851084</v>
      </c>
      <c r="Z712" s="3">
        <v>4.2233454200000002</v>
      </c>
      <c r="AA712" s="3">
        <v>-0.32228329500000003</v>
      </c>
      <c r="AB712" s="3">
        <v>-5.3280860319999999</v>
      </c>
      <c r="AC712" s="3">
        <v>4.3447313850000002</v>
      </c>
      <c r="AD712" s="3">
        <v>7.0304597999999996E-2</v>
      </c>
      <c r="AE712" s="3">
        <v>12.04204245</v>
      </c>
      <c r="AF712" s="4">
        <v>42538</v>
      </c>
      <c r="AG712" s="5">
        <f>YEAR(AF712)</f>
        <v>2016</v>
      </c>
      <c r="AH712" s="5" t="str">
        <f>"Q"&amp;ROUNDUP(MONTH(AF712)/3,0)</f>
        <v>Q2</v>
      </c>
      <c r="AI712" s="5">
        <f>INDEX(RatingLookup!$B$2:$B$11,MATCH(A712,RatingLookup!$A$2:$A$11,0))</f>
        <v>5</v>
      </c>
      <c r="AJ712" s="5" t="str">
        <f>INDEX(RatingLookup!$C$2:$C$11,MATCH(A712,RatingLookup!$A$2:$A$11,0))</f>
        <v>Speculative Grade</v>
      </c>
    </row>
    <row r="713" spans="1:36" x14ac:dyDescent="0.3">
      <c r="A713" s="3" t="s">
        <v>42</v>
      </c>
      <c r="B713" s="3" t="s">
        <v>868</v>
      </c>
      <c r="C713" s="3" t="s">
        <v>869</v>
      </c>
      <c r="D713" s="3" t="s">
        <v>60</v>
      </c>
      <c r="E713" s="3" t="s">
        <v>870</v>
      </c>
      <c r="F713" s="3" t="s">
        <v>246</v>
      </c>
      <c r="G713" s="3">
        <v>0.60351648400000002</v>
      </c>
      <c r="H713" s="3">
        <v>0.38505494499999998</v>
      </c>
      <c r="I713" s="3">
        <v>0.13978022000000001</v>
      </c>
      <c r="J713" s="3">
        <v>0</v>
      </c>
      <c r="K713" s="3">
        <v>0.105517456</v>
      </c>
      <c r="L713" s="3">
        <v>0.17097880300000001</v>
      </c>
      <c r="M713" s="3">
        <v>1</v>
      </c>
      <c r="N713" s="3">
        <v>0.18952618500000001</v>
      </c>
      <c r="O713" s="3">
        <v>7.8175519999999998E-2</v>
      </c>
      <c r="P713" s="3">
        <v>0.171808927</v>
      </c>
      <c r="Q713" s="3">
        <v>0.210903427</v>
      </c>
      <c r="R713" s="3">
        <v>0.74087759799999997</v>
      </c>
      <c r="S713" s="3">
        <v>0.96452194800000002</v>
      </c>
      <c r="T713" s="3">
        <v>1.6978193150000001</v>
      </c>
      <c r="U713" s="3">
        <v>0.62933025399999998</v>
      </c>
      <c r="V713" s="3">
        <v>0.38286235200000002</v>
      </c>
      <c r="W713" s="3">
        <v>0.47622027500000003</v>
      </c>
      <c r="X713" s="3">
        <v>2.4151063150000001</v>
      </c>
      <c r="Y713" s="3">
        <v>2.7800698189999999</v>
      </c>
      <c r="Z713" s="3">
        <v>2.6978193149999998</v>
      </c>
      <c r="AA713" s="3">
        <v>0.17097880300000001</v>
      </c>
      <c r="AB713" s="3">
        <v>5.2785272259999996</v>
      </c>
      <c r="AC713" s="3">
        <v>5.0714059029999996</v>
      </c>
      <c r="AD713" s="3">
        <v>0.24906483800000001</v>
      </c>
      <c r="AE713" s="3">
        <v>6.5756097560000004</v>
      </c>
      <c r="AF713" s="4">
        <v>42200</v>
      </c>
      <c r="AG713" s="5">
        <f>YEAR(AF713)</f>
        <v>2015</v>
      </c>
      <c r="AH713" s="5" t="str">
        <f>"Q"&amp;ROUNDUP(MONTH(AF713)/3,0)</f>
        <v>Q3</v>
      </c>
      <c r="AI713" s="5">
        <f>INDEX(RatingLookup!$B$2:$B$11,MATCH(A713,RatingLookup!$A$2:$A$11,0))</f>
        <v>7</v>
      </c>
      <c r="AJ713" s="5" t="str">
        <f>INDEX(RatingLookup!$C$2:$C$11,MATCH(A713,RatingLookup!$A$2:$A$11,0))</f>
        <v>Investment Grade</v>
      </c>
    </row>
    <row r="714" spans="1:36" x14ac:dyDescent="0.3">
      <c r="A714" s="3" t="s">
        <v>92</v>
      </c>
      <c r="B714" s="3" t="s">
        <v>868</v>
      </c>
      <c r="C714" s="3" t="s">
        <v>869</v>
      </c>
      <c r="D714" s="3" t="s">
        <v>39</v>
      </c>
      <c r="E714" s="3" t="s">
        <v>871</v>
      </c>
      <c r="F714" s="3" t="s">
        <v>246</v>
      </c>
      <c r="G714" s="3">
        <v>0.61983471099999998</v>
      </c>
      <c r="H714" s="3">
        <v>0.36570247900000002</v>
      </c>
      <c r="I714" s="3">
        <v>0.17613636399999999</v>
      </c>
      <c r="J714" s="3">
        <v>0</v>
      </c>
      <c r="K714" s="3">
        <v>6.8935878000000006E-2</v>
      </c>
      <c r="L714" s="3">
        <v>0.10709987999999999</v>
      </c>
      <c r="M714" s="3">
        <v>1</v>
      </c>
      <c r="N714" s="3">
        <v>8.8533608E-2</v>
      </c>
      <c r="O714" s="3">
        <v>5.1154484E-2</v>
      </c>
      <c r="P714" s="3">
        <v>0.10553955600000001</v>
      </c>
      <c r="Q714" s="3">
        <v>0.158560696</v>
      </c>
      <c r="R714" s="3">
        <v>0.74205893599999995</v>
      </c>
      <c r="S714" s="3">
        <v>0.95800395299999996</v>
      </c>
      <c r="T714" s="3">
        <v>2.099644128</v>
      </c>
      <c r="U714" s="3">
        <v>0.67738231900000001</v>
      </c>
      <c r="V714" s="3">
        <v>0.35634028899999998</v>
      </c>
      <c r="W714" s="3">
        <v>0.199561404</v>
      </c>
      <c r="X714" s="3">
        <v>0.61757719700000002</v>
      </c>
      <c r="Y714" s="3">
        <v>2.402443163</v>
      </c>
      <c r="Z714" s="3">
        <v>3.099644128</v>
      </c>
      <c r="AA714" s="3">
        <v>0.10709987999999999</v>
      </c>
      <c r="AB714" s="3">
        <v>8.1428726190000003</v>
      </c>
      <c r="AC714" s="3">
        <v>3.0946725480000001</v>
      </c>
      <c r="AD714" s="3">
        <v>0.156781846</v>
      </c>
      <c r="AE714" s="3">
        <v>9.192307692</v>
      </c>
      <c r="AF714" s="4">
        <v>42012</v>
      </c>
      <c r="AG714" s="5">
        <f>YEAR(AF714)</f>
        <v>2015</v>
      </c>
      <c r="AH714" s="5" t="str">
        <f>"Q"&amp;ROUNDUP(MONTH(AF714)/3,0)</f>
        <v>Q1</v>
      </c>
      <c r="AI714" s="5">
        <f>INDEX(RatingLookup!$B$2:$B$11,MATCH(A714,RatingLookup!$A$2:$A$11,0))</f>
        <v>6</v>
      </c>
      <c r="AJ714" s="5" t="str">
        <f>INDEX(RatingLookup!$C$2:$C$11,MATCH(A714,RatingLookup!$A$2:$A$11,0))</f>
        <v>Speculative Grade</v>
      </c>
    </row>
    <row r="715" spans="1:36" x14ac:dyDescent="0.3">
      <c r="A715" s="3" t="s">
        <v>92</v>
      </c>
      <c r="B715" s="3" t="s">
        <v>868</v>
      </c>
      <c r="C715" s="3" t="s">
        <v>869</v>
      </c>
      <c r="D715" s="3" t="s">
        <v>39</v>
      </c>
      <c r="E715" s="3" t="s">
        <v>872</v>
      </c>
      <c r="F715" s="3" t="s">
        <v>246</v>
      </c>
      <c r="G715" s="3">
        <v>0.563500534</v>
      </c>
      <c r="H715" s="3">
        <v>0.33457844199999998</v>
      </c>
      <c r="I715" s="3">
        <v>0.120064034</v>
      </c>
      <c r="J715" s="3">
        <v>0</v>
      </c>
      <c r="K715" s="3">
        <v>3.0876677000000002E-2</v>
      </c>
      <c r="L715" s="3">
        <v>5.1277338999999998E-2</v>
      </c>
      <c r="M715" s="3">
        <v>1</v>
      </c>
      <c r="N715" s="3">
        <v>7.8662011000000004E-2</v>
      </c>
      <c r="O715" s="3">
        <v>2.2857143E-2</v>
      </c>
      <c r="P715" s="3">
        <v>5.0949597999999999E-2</v>
      </c>
      <c r="Q715" s="3">
        <v>7.8725398000000002E-2</v>
      </c>
      <c r="R715" s="3">
        <v>0.74027210899999996</v>
      </c>
      <c r="S715" s="3">
        <v>0.96198726999999995</v>
      </c>
      <c r="T715" s="3">
        <v>2.444236176</v>
      </c>
      <c r="U715" s="3">
        <v>0.70965986400000003</v>
      </c>
      <c r="V715" s="3">
        <v>0.39784946199999999</v>
      </c>
      <c r="W715" s="3">
        <v>0.188654354</v>
      </c>
      <c r="X715" s="3">
        <v>0.50573818299999995</v>
      </c>
      <c r="Y715" s="3">
        <v>2.2174674190000001</v>
      </c>
      <c r="Z715" s="3">
        <v>3.444236176</v>
      </c>
      <c r="AA715" s="3">
        <v>5.1277338999999998E-2</v>
      </c>
      <c r="AB715" s="3">
        <v>6.678429768</v>
      </c>
      <c r="AC715" s="3">
        <v>2.6807660339999999</v>
      </c>
      <c r="AD715" s="3">
        <v>0.13931262599999999</v>
      </c>
      <c r="AE715" s="3">
        <v>10.55</v>
      </c>
      <c r="AF715" s="4">
        <v>41632</v>
      </c>
      <c r="AG715" s="5">
        <f>YEAR(AF715)</f>
        <v>2013</v>
      </c>
      <c r="AH715" s="5" t="str">
        <f>"Q"&amp;ROUNDUP(MONTH(AF715)/3,0)</f>
        <v>Q4</v>
      </c>
      <c r="AI715" s="5">
        <f>INDEX(RatingLookup!$B$2:$B$11,MATCH(A715,RatingLookup!$A$2:$A$11,0))</f>
        <v>6</v>
      </c>
      <c r="AJ715" s="5" t="str">
        <f>INDEX(RatingLookup!$C$2:$C$11,MATCH(A715,RatingLookup!$A$2:$A$11,0))</f>
        <v>Speculative Grade</v>
      </c>
    </row>
    <row r="716" spans="1:36" x14ac:dyDescent="0.3">
      <c r="A716" s="3" t="s">
        <v>36</v>
      </c>
      <c r="B716" s="3" t="s">
        <v>873</v>
      </c>
      <c r="C716" s="3" t="s">
        <v>874</v>
      </c>
      <c r="D716" s="3" t="s">
        <v>60</v>
      </c>
      <c r="E716" s="3" t="s">
        <v>46</v>
      </c>
      <c r="F716" s="3" t="s">
        <v>66</v>
      </c>
      <c r="G716" s="3">
        <v>2.080798911</v>
      </c>
      <c r="H716" s="3">
        <v>0.102436072</v>
      </c>
      <c r="I716" s="3">
        <v>4.6527462999999998E-2</v>
      </c>
      <c r="J716" s="3">
        <v>0</v>
      </c>
      <c r="K716" s="3">
        <v>2.5236748999999999E-2</v>
      </c>
      <c r="L716" s="3">
        <v>3.7371709000000003E-2</v>
      </c>
      <c r="M716" s="3">
        <v>5.3299618E-2</v>
      </c>
      <c r="N716" s="3">
        <v>2.5236748999999999E-2</v>
      </c>
      <c r="O716" s="3">
        <v>4.8254449999999997E-2</v>
      </c>
      <c r="P716" s="3">
        <v>0.10405522</v>
      </c>
      <c r="Q716" s="3">
        <v>0.108079414</v>
      </c>
      <c r="R716" s="3">
        <v>1.912070723</v>
      </c>
      <c r="S716" s="3">
        <v>8.4922105259999991</v>
      </c>
      <c r="T716" s="3">
        <v>1.2397812930000001</v>
      </c>
      <c r="U716" s="3">
        <v>0.553527836</v>
      </c>
      <c r="V716" s="3">
        <v>0.33067993400000001</v>
      </c>
      <c r="W716" s="3">
        <v>1.532905983</v>
      </c>
      <c r="X716" s="3">
        <v>-5.587227414</v>
      </c>
      <c r="Y716" s="3">
        <v>2.1090342679999998</v>
      </c>
      <c r="Z716" s="3">
        <v>2.2397812930000001</v>
      </c>
      <c r="AA716" s="3">
        <v>3.7371709000000003E-2</v>
      </c>
      <c r="AB716" s="3">
        <v>9.3830964639999994</v>
      </c>
      <c r="AC716" s="3">
        <v>-3.6448598130000001</v>
      </c>
      <c r="AD716" s="3">
        <v>-2.9004908999999999E-2</v>
      </c>
      <c r="AE716" s="3">
        <v>10.116026489999999</v>
      </c>
      <c r="AF716" s="4">
        <v>41075</v>
      </c>
      <c r="AG716" s="5">
        <f>YEAR(AF716)</f>
        <v>2012</v>
      </c>
      <c r="AH716" s="5" t="str">
        <f>"Q"&amp;ROUNDUP(MONTH(AF716)/3,0)</f>
        <v>Q2</v>
      </c>
      <c r="AI716" s="5">
        <f>INDEX(RatingLookup!$B$2:$B$11,MATCH(A716,RatingLookup!$A$2:$A$11,0))</f>
        <v>8</v>
      </c>
      <c r="AJ716" s="5" t="str">
        <f>INDEX(RatingLookup!$C$2:$C$11,MATCH(A716,RatingLookup!$A$2:$A$11,0))</f>
        <v>Investment Grade</v>
      </c>
    </row>
    <row r="717" spans="1:36" x14ac:dyDescent="0.3">
      <c r="A717" s="3" t="s">
        <v>36</v>
      </c>
      <c r="B717" s="3" t="s">
        <v>873</v>
      </c>
      <c r="C717" s="3" t="s">
        <v>874</v>
      </c>
      <c r="D717" s="3" t="s">
        <v>60</v>
      </c>
      <c r="E717" s="3" t="s">
        <v>557</v>
      </c>
      <c r="F717" s="3" t="s">
        <v>66</v>
      </c>
      <c r="G717" s="3">
        <v>1.597585971</v>
      </c>
      <c r="H717" s="3">
        <v>0.214074243</v>
      </c>
      <c r="I717" s="3">
        <v>4.6990055000000003E-2</v>
      </c>
      <c r="J717" s="3">
        <v>11.152680200000001</v>
      </c>
      <c r="K717" s="3">
        <v>2.0514548000000001E-2</v>
      </c>
      <c r="L717" s="3">
        <v>2.9224007999999999E-2</v>
      </c>
      <c r="M717" s="3">
        <v>5.9089597000000001E-2</v>
      </c>
      <c r="N717" s="3">
        <v>2.9224007999999999E-2</v>
      </c>
      <c r="O717" s="3">
        <v>3.2160728E-2</v>
      </c>
      <c r="P717" s="3">
        <v>6.8506542000000004E-2</v>
      </c>
      <c r="Q717" s="3">
        <v>7.4442698000000002E-2</v>
      </c>
      <c r="R717" s="3">
        <v>1.567703488</v>
      </c>
      <c r="S717" s="3">
        <v>6.3892191020000002</v>
      </c>
      <c r="T717" s="3">
        <v>1.314708108</v>
      </c>
      <c r="U717" s="3">
        <v>0.56798008499999997</v>
      </c>
      <c r="V717" s="3">
        <v>0.29308452299999999</v>
      </c>
      <c r="W717" s="3">
        <v>0.402033898</v>
      </c>
      <c r="X717" s="3">
        <v>1.008503401</v>
      </c>
      <c r="Y717" s="3">
        <v>1.5561224490000001</v>
      </c>
      <c r="Z717" s="3">
        <v>2.314708108</v>
      </c>
      <c r="AA717" s="3">
        <v>2.9224007999999999E-2</v>
      </c>
      <c r="AB717" s="3">
        <v>11.795165320000001</v>
      </c>
      <c r="AC717" s="3">
        <v>2.508503401</v>
      </c>
      <c r="AD717" s="3">
        <v>2.3658294E-2</v>
      </c>
      <c r="AE717" s="3">
        <v>16.267886860000001</v>
      </c>
      <c r="AF717" s="4">
        <v>42590</v>
      </c>
      <c r="AG717" s="5">
        <f>YEAR(AF717)</f>
        <v>2016</v>
      </c>
      <c r="AH717" s="5" t="str">
        <f>"Q"&amp;ROUNDUP(MONTH(AF717)/3,0)</f>
        <v>Q3</v>
      </c>
      <c r="AI717" s="5">
        <f>INDEX(RatingLookup!$B$2:$B$11,MATCH(A717,RatingLookup!$A$2:$A$11,0))</f>
        <v>8</v>
      </c>
      <c r="AJ717" s="5" t="str">
        <f>INDEX(RatingLookup!$C$2:$C$11,MATCH(A717,RatingLookup!$A$2:$A$11,0))</f>
        <v>Investment Grade</v>
      </c>
    </row>
    <row r="718" spans="1:36" x14ac:dyDescent="0.3">
      <c r="A718" s="3" t="s">
        <v>36</v>
      </c>
      <c r="B718" s="3" t="s">
        <v>873</v>
      </c>
      <c r="C718" s="3" t="s">
        <v>874</v>
      </c>
      <c r="D718" s="3" t="s">
        <v>39</v>
      </c>
      <c r="E718" s="3" t="s">
        <v>666</v>
      </c>
      <c r="F718" s="3" t="s">
        <v>66</v>
      </c>
      <c r="G718" s="3">
        <v>1.822071784</v>
      </c>
      <c r="H718" s="3">
        <v>0.432877762</v>
      </c>
      <c r="I718" s="3">
        <v>0.19932303000000001</v>
      </c>
      <c r="J718" s="3">
        <v>13.10364794</v>
      </c>
      <c r="K718" s="3">
        <v>1.4943655E-2</v>
      </c>
      <c r="L718" s="3">
        <v>2.2537972E-2</v>
      </c>
      <c r="M718" s="3">
        <v>4.3305420999999997E-2</v>
      </c>
      <c r="N718" s="3">
        <v>2.2537972E-2</v>
      </c>
      <c r="O718" s="3">
        <v>3.0672884000000001E-2</v>
      </c>
      <c r="P718" s="3">
        <v>7.2043853000000005E-2</v>
      </c>
      <c r="Q718" s="3">
        <v>6.6455383000000007E-2</v>
      </c>
      <c r="R718" s="3">
        <v>2.0525690249999999</v>
      </c>
      <c r="S718" s="3">
        <v>8.8590312719999993</v>
      </c>
      <c r="T718" s="3">
        <v>1.1665841340000001</v>
      </c>
      <c r="U718" s="3">
        <v>0.53844395700000003</v>
      </c>
      <c r="V718" s="3">
        <v>0.331027668</v>
      </c>
      <c r="W718" s="3">
        <v>0.82529659399999999</v>
      </c>
      <c r="X718" s="3">
        <v>6.5249621790000001</v>
      </c>
      <c r="Y718" s="3">
        <v>5.3767019669999998</v>
      </c>
      <c r="Z718" s="3">
        <v>2.1665841339999998</v>
      </c>
      <c r="AA718" s="3">
        <v>2.2537972E-2</v>
      </c>
      <c r="AB718" s="3">
        <v>10.060385269999999</v>
      </c>
      <c r="AC718" s="3">
        <v>7.9062027229999998</v>
      </c>
      <c r="AD718" s="3">
        <v>5.8193399E-2</v>
      </c>
      <c r="AE718" s="3">
        <v>19.037225790000001</v>
      </c>
      <c r="AF718" s="4">
        <v>41786</v>
      </c>
      <c r="AG718" s="5">
        <f>YEAR(AF718)</f>
        <v>2014</v>
      </c>
      <c r="AH718" s="5" t="str">
        <f>"Q"&amp;ROUNDUP(MONTH(AF718)/3,0)</f>
        <v>Q2</v>
      </c>
      <c r="AI718" s="5">
        <f>INDEX(RatingLookup!$B$2:$B$11,MATCH(A718,RatingLookup!$A$2:$A$11,0))</f>
        <v>8</v>
      </c>
      <c r="AJ718" s="5" t="str">
        <f>INDEX(RatingLookup!$C$2:$C$11,MATCH(A718,RatingLookup!$A$2:$A$11,0))</f>
        <v>Investment Grade</v>
      </c>
    </row>
    <row r="719" spans="1:36" x14ac:dyDescent="0.3">
      <c r="A719" s="3" t="s">
        <v>36</v>
      </c>
      <c r="B719" s="3" t="s">
        <v>873</v>
      </c>
      <c r="C719" s="3" t="s">
        <v>874</v>
      </c>
      <c r="D719" s="3" t="s">
        <v>39</v>
      </c>
      <c r="E719" s="3" t="s">
        <v>633</v>
      </c>
      <c r="F719" s="3" t="s">
        <v>66</v>
      </c>
      <c r="G719" s="3">
        <v>1.61636431</v>
      </c>
      <c r="H719" s="3">
        <v>0.22850796000000001</v>
      </c>
      <c r="I719" s="3">
        <v>6.7382450999999996E-2</v>
      </c>
      <c r="J719" s="3">
        <v>9.3700333820000008</v>
      </c>
      <c r="K719" s="3">
        <v>2.7310862000000002E-2</v>
      </c>
      <c r="L719" s="3">
        <v>3.3736079000000002E-2</v>
      </c>
      <c r="M719" s="3">
        <v>5.9377861999999997E-2</v>
      </c>
      <c r="N719" s="3">
        <v>3.3736079000000002E-2</v>
      </c>
      <c r="O719" s="3">
        <v>4.6044276000000002E-2</v>
      </c>
      <c r="P719" s="3">
        <v>8.5697132999999995E-2</v>
      </c>
      <c r="Q719" s="3">
        <v>0.103209601</v>
      </c>
      <c r="R719" s="3">
        <v>1.685932714</v>
      </c>
      <c r="S719" s="3">
        <v>6.8712067389999998</v>
      </c>
      <c r="T719" s="3">
        <v>1.2415294450000001</v>
      </c>
      <c r="U719" s="3">
        <v>0.55387603699999999</v>
      </c>
      <c r="V719" s="3">
        <v>0.191768827</v>
      </c>
      <c r="W719" s="3">
        <v>0.54655380899999995</v>
      </c>
      <c r="X719" s="3">
        <v>2.1941747569999999</v>
      </c>
      <c r="Y719" s="3">
        <v>2.1812297730000001</v>
      </c>
      <c r="Z719" s="3">
        <v>2.2415294449999998</v>
      </c>
      <c r="AA719" s="3">
        <v>3.3736079000000002E-2</v>
      </c>
      <c r="AB719" s="3">
        <v>8.4419772579999997</v>
      </c>
      <c r="AC719" s="3">
        <v>4.0145631069999999</v>
      </c>
      <c r="AD719" s="3">
        <v>3.6645889000000001E-2</v>
      </c>
      <c r="AE719" s="3">
        <v>18.331030510000001</v>
      </c>
      <c r="AF719" s="4">
        <v>42268</v>
      </c>
      <c r="AG719" s="5">
        <f>YEAR(AF719)</f>
        <v>2015</v>
      </c>
      <c r="AH719" s="5" t="str">
        <f>"Q"&amp;ROUNDUP(MONTH(AF719)/3,0)</f>
        <v>Q3</v>
      </c>
      <c r="AI719" s="5">
        <f>INDEX(RatingLookup!$B$2:$B$11,MATCH(A719,RatingLookup!$A$2:$A$11,0))</f>
        <v>8</v>
      </c>
      <c r="AJ719" s="5" t="str">
        <f>INDEX(RatingLookup!$C$2:$C$11,MATCH(A719,RatingLookup!$A$2:$A$11,0))</f>
        <v>Investment Grade</v>
      </c>
    </row>
    <row r="720" spans="1:36" x14ac:dyDescent="0.3">
      <c r="A720" s="3" t="s">
        <v>36</v>
      </c>
      <c r="B720" s="3" t="s">
        <v>873</v>
      </c>
      <c r="C720" s="3" t="s">
        <v>874</v>
      </c>
      <c r="D720" s="3" t="s">
        <v>39</v>
      </c>
      <c r="E720" s="3" t="s">
        <v>180</v>
      </c>
      <c r="F720" s="3" t="s">
        <v>66</v>
      </c>
      <c r="G720" s="3">
        <v>1.6682476610000001</v>
      </c>
      <c r="H720" s="3">
        <v>0.27675938999999999</v>
      </c>
      <c r="I720" s="3">
        <v>7.0439687000000001E-2</v>
      </c>
      <c r="J720" s="3">
        <v>12.15453012</v>
      </c>
      <c r="K720" s="3">
        <v>2.7684388000000001E-2</v>
      </c>
      <c r="L720" s="3">
        <v>3.8546323E-2</v>
      </c>
      <c r="M720" s="3">
        <v>5.8718488999999999E-2</v>
      </c>
      <c r="N720" s="3">
        <v>3.8546323E-2</v>
      </c>
      <c r="O720" s="3">
        <v>5.1059577000000002E-2</v>
      </c>
      <c r="P720" s="3">
        <v>0.11011433599999999</v>
      </c>
      <c r="Q720" s="3">
        <v>0.114518594</v>
      </c>
      <c r="R720" s="3">
        <v>1.8443455150000001</v>
      </c>
      <c r="S720" s="3">
        <v>8.1527108429999995</v>
      </c>
      <c r="T720" s="3">
        <v>1.242842588</v>
      </c>
      <c r="U720" s="3">
        <v>0.55413723400000003</v>
      </c>
      <c r="V720" s="3">
        <v>0.28019169300000002</v>
      </c>
      <c r="W720" s="3">
        <v>0.81983071299999999</v>
      </c>
      <c r="X720" s="3">
        <v>6.229709035</v>
      </c>
      <c r="Y720" s="3">
        <v>2.4716692189999998</v>
      </c>
      <c r="Z720" s="3">
        <v>2.2428425879999998</v>
      </c>
      <c r="AA720" s="3">
        <v>3.8546323E-2</v>
      </c>
      <c r="AB720" s="3">
        <v>8.6810114309999999</v>
      </c>
      <c r="AC720" s="3">
        <v>7.5987748850000001</v>
      </c>
      <c r="AD720" s="3">
        <v>6.1107622E-2</v>
      </c>
      <c r="AE720" s="3">
        <v>17.668284790000001</v>
      </c>
      <c r="AF720" s="4">
        <v>41976</v>
      </c>
      <c r="AG720" s="5">
        <f>YEAR(AF720)</f>
        <v>2014</v>
      </c>
      <c r="AH720" s="5" t="str">
        <f>"Q"&amp;ROUNDUP(MONTH(AF720)/3,0)</f>
        <v>Q4</v>
      </c>
      <c r="AI720" s="5">
        <f>INDEX(RatingLookup!$B$2:$B$11,MATCH(A720,RatingLookup!$A$2:$A$11,0))</f>
        <v>8</v>
      </c>
      <c r="AJ720" s="5" t="str">
        <f>INDEX(RatingLookup!$C$2:$C$11,MATCH(A720,RatingLookup!$A$2:$A$11,0))</f>
        <v>Investment Grade</v>
      </c>
    </row>
    <row r="721" spans="1:36" x14ac:dyDescent="0.3">
      <c r="A721" s="3" t="s">
        <v>42</v>
      </c>
      <c r="B721" s="3" t="s">
        <v>875</v>
      </c>
      <c r="C721" s="3" t="s">
        <v>876</v>
      </c>
      <c r="D721" s="3" t="s">
        <v>60</v>
      </c>
      <c r="E721" s="3" t="s">
        <v>877</v>
      </c>
      <c r="F721" s="3" t="s">
        <v>219</v>
      </c>
      <c r="G721" s="3">
        <v>2.0704902490000001</v>
      </c>
      <c r="H721" s="3">
        <v>1.240046046</v>
      </c>
      <c r="I721" s="3">
        <v>0.455782774</v>
      </c>
      <c r="J721" s="3">
        <v>28.067515499999999</v>
      </c>
      <c r="K721" s="3">
        <v>4.1575920000000002E-2</v>
      </c>
      <c r="L721" s="3">
        <v>3.3841514000000003E-2</v>
      </c>
      <c r="M721" s="3">
        <v>0.113084269</v>
      </c>
      <c r="N721" s="3">
        <v>4.4535656E-2</v>
      </c>
      <c r="O721" s="3">
        <v>1.768335E-2</v>
      </c>
      <c r="P721" s="3">
        <v>1.5777243999999999E-2</v>
      </c>
      <c r="Q721" s="3">
        <v>3.1070675999999998E-2</v>
      </c>
      <c r="R721" s="3">
        <v>0.42532673799999998</v>
      </c>
      <c r="S721" s="3">
        <v>0.77869217800000001</v>
      </c>
      <c r="T721" s="3">
        <v>0.75705819799999996</v>
      </c>
      <c r="U721" s="3">
        <v>0.430866888</v>
      </c>
      <c r="V721" s="3">
        <v>-0.306105611</v>
      </c>
      <c r="W721" s="3">
        <v>0.33409683299999998</v>
      </c>
      <c r="X721" s="3">
        <v>1.2071917809999999</v>
      </c>
      <c r="Y721" s="3">
        <v>3.6543949769999999</v>
      </c>
      <c r="Z721" s="3">
        <v>1.757058198</v>
      </c>
      <c r="AA721" s="3">
        <v>3.3841514000000003E-2</v>
      </c>
      <c r="AB721" s="3">
        <v>13.58657348</v>
      </c>
      <c r="AC721" s="3">
        <v>3.6132990870000001</v>
      </c>
      <c r="AD721" s="3">
        <v>0.17676048499999999</v>
      </c>
      <c r="AE721" s="3">
        <v>13.46502755</v>
      </c>
      <c r="AF721" s="4">
        <v>42675</v>
      </c>
      <c r="AG721" s="5">
        <f>YEAR(AF721)</f>
        <v>2016</v>
      </c>
      <c r="AH721" s="5" t="str">
        <f>"Q"&amp;ROUNDUP(MONTH(AF721)/3,0)</f>
        <v>Q4</v>
      </c>
      <c r="AI721" s="5">
        <f>INDEX(RatingLookup!$B$2:$B$11,MATCH(A721,RatingLookup!$A$2:$A$11,0))</f>
        <v>7</v>
      </c>
      <c r="AJ721" s="5" t="str">
        <f>INDEX(RatingLookup!$C$2:$C$11,MATCH(A721,RatingLookup!$A$2:$A$11,0))</f>
        <v>Investment Grade</v>
      </c>
    </row>
    <row r="722" spans="1:36" x14ac:dyDescent="0.3">
      <c r="A722" s="3" t="s">
        <v>42</v>
      </c>
      <c r="B722" s="3" t="s">
        <v>875</v>
      </c>
      <c r="C722" s="3" t="s">
        <v>876</v>
      </c>
      <c r="D722" s="3" t="s">
        <v>60</v>
      </c>
      <c r="E722" s="3" t="s">
        <v>46</v>
      </c>
      <c r="F722" s="3" t="s">
        <v>219</v>
      </c>
      <c r="G722" s="3">
        <v>3.466372829</v>
      </c>
      <c r="H722" s="3">
        <v>2.649831475</v>
      </c>
      <c r="I722" s="3">
        <v>2.0256157639999999</v>
      </c>
      <c r="J722" s="3">
        <v>32.412857979999998</v>
      </c>
      <c r="K722" s="3">
        <v>0.25303387100000002</v>
      </c>
      <c r="L722" s="3">
        <v>0.25342631199999999</v>
      </c>
      <c r="M722" s="3">
        <v>0.31413391299999999</v>
      </c>
      <c r="N722" s="3">
        <v>0.26808750399999998</v>
      </c>
      <c r="O722" s="3">
        <v>0.159283963</v>
      </c>
      <c r="P722" s="3">
        <v>0.18173093600000001</v>
      </c>
      <c r="Q722" s="3">
        <v>0.21600123700000001</v>
      </c>
      <c r="R722" s="3">
        <v>0.62949660799999996</v>
      </c>
      <c r="S722" s="3">
        <v>1.497581338</v>
      </c>
      <c r="T722" s="3">
        <v>0.35607648400000003</v>
      </c>
      <c r="U722" s="3">
        <v>0.26257846699999998</v>
      </c>
      <c r="V722" s="3">
        <v>0.29890808000000002</v>
      </c>
      <c r="W722" s="3">
        <v>0.47945769999999999</v>
      </c>
      <c r="X722" s="3">
        <v>2.608744395</v>
      </c>
      <c r="Y722" s="3">
        <v>9.4791479820000006</v>
      </c>
      <c r="Z722" s="3">
        <v>1.3560764839999999</v>
      </c>
      <c r="AA722" s="3">
        <v>0.25342631199999999</v>
      </c>
      <c r="AB722" s="3">
        <v>8.7127137159999997</v>
      </c>
      <c r="AC722" s="3">
        <v>5.44103139</v>
      </c>
      <c r="AD722" s="3">
        <v>0.24418885500000001</v>
      </c>
      <c r="AE722" s="3">
        <v>7.2425884600000003</v>
      </c>
      <c r="AF722" s="4">
        <v>41075</v>
      </c>
      <c r="AG722" s="5">
        <f>YEAR(AF722)</f>
        <v>2012</v>
      </c>
      <c r="AH722" s="5" t="str">
        <f>"Q"&amp;ROUNDUP(MONTH(AF722)/3,0)</f>
        <v>Q2</v>
      </c>
      <c r="AI722" s="5">
        <f>INDEX(RatingLookup!$B$2:$B$11,MATCH(A722,RatingLookup!$A$2:$A$11,0))</f>
        <v>7</v>
      </c>
      <c r="AJ722" s="5" t="str">
        <f>INDEX(RatingLookup!$C$2:$C$11,MATCH(A722,RatingLookup!$A$2:$A$11,0))</f>
        <v>Investment Grade</v>
      </c>
    </row>
    <row r="723" spans="1:36" x14ac:dyDescent="0.3">
      <c r="A723" s="3" t="s">
        <v>42</v>
      </c>
      <c r="B723" s="3" t="s">
        <v>878</v>
      </c>
      <c r="C723" s="3" t="s">
        <v>879</v>
      </c>
      <c r="D723" s="3" t="s">
        <v>39</v>
      </c>
      <c r="E723" s="3" t="s">
        <v>880</v>
      </c>
      <c r="F723" s="3" t="s">
        <v>79</v>
      </c>
      <c r="G723" s="3">
        <v>1.0490635180000001</v>
      </c>
      <c r="H723" s="3">
        <v>0.89861563499999997</v>
      </c>
      <c r="I723" s="3">
        <v>0.22434853399999999</v>
      </c>
      <c r="J723" s="3">
        <v>28.405986510000002</v>
      </c>
      <c r="K723" s="3">
        <v>9.5278245999999997E-2</v>
      </c>
      <c r="L723" s="3">
        <v>9.5193928999999997E-2</v>
      </c>
      <c r="M723" s="3">
        <v>1</v>
      </c>
      <c r="N723" s="3">
        <v>0.197217538</v>
      </c>
      <c r="O723" s="3">
        <v>2.4427679000000001E-2</v>
      </c>
      <c r="P723" s="3">
        <v>2.7305487999999999E-2</v>
      </c>
      <c r="Q723" s="3">
        <v>9.0646559000000002E-2</v>
      </c>
      <c r="R723" s="3">
        <v>0.25638254199999999</v>
      </c>
      <c r="S723" s="3">
        <v>0.35844893799999999</v>
      </c>
      <c r="T723" s="3">
        <v>2.7108134119999998</v>
      </c>
      <c r="U723" s="3">
        <v>0.73051730500000001</v>
      </c>
      <c r="V723" s="3">
        <v>0.15943312700000001</v>
      </c>
      <c r="W723" s="3">
        <v>-0.50752537600000003</v>
      </c>
      <c r="X723" s="3">
        <v>-2.3810188459999999</v>
      </c>
      <c r="Y723" s="3">
        <v>5.7325081320000004</v>
      </c>
      <c r="Z723" s="3">
        <v>3.7108134119999998</v>
      </c>
      <c r="AA723" s="3">
        <v>9.5193928999999997E-2</v>
      </c>
      <c r="AB723" s="3">
        <v>9.9530652150000005</v>
      </c>
      <c r="AC723" s="3">
        <v>4.6914281679999998</v>
      </c>
      <c r="AD723" s="3">
        <v>0.24089376100000001</v>
      </c>
      <c r="AE723" s="3">
        <v>0.80198776800000005</v>
      </c>
      <c r="AF723" s="4">
        <v>41717</v>
      </c>
      <c r="AG723" s="5">
        <f>YEAR(AF723)</f>
        <v>2014</v>
      </c>
      <c r="AH723" s="5" t="str">
        <f>"Q"&amp;ROUNDUP(MONTH(AF723)/3,0)</f>
        <v>Q1</v>
      </c>
      <c r="AI723" s="5">
        <f>INDEX(RatingLookup!$B$2:$B$11,MATCH(A723,RatingLookup!$A$2:$A$11,0))</f>
        <v>7</v>
      </c>
      <c r="AJ723" s="5" t="str">
        <f>INDEX(RatingLookup!$C$2:$C$11,MATCH(A723,RatingLookup!$A$2:$A$11,0))</f>
        <v>Investment Grade</v>
      </c>
    </row>
    <row r="724" spans="1:36" x14ac:dyDescent="0.3">
      <c r="A724" s="3" t="s">
        <v>36</v>
      </c>
      <c r="B724" s="3" t="s">
        <v>878</v>
      </c>
      <c r="C724" s="3" t="s">
        <v>879</v>
      </c>
      <c r="D724" s="3" t="s">
        <v>39</v>
      </c>
      <c r="E724" s="3" t="s">
        <v>881</v>
      </c>
      <c r="F724" s="3" t="s">
        <v>79</v>
      </c>
      <c r="G724" s="3">
        <v>0.82748891599999996</v>
      </c>
      <c r="H724" s="3">
        <v>0.71086927300000002</v>
      </c>
      <c r="I724" s="3">
        <v>0.23525460200000001</v>
      </c>
      <c r="J724" s="3">
        <v>29.29776502</v>
      </c>
      <c r="K724" s="3">
        <v>0.15105661400000001</v>
      </c>
      <c r="L724" s="3">
        <v>0.13766414499999999</v>
      </c>
      <c r="M724" s="3">
        <v>1</v>
      </c>
      <c r="N724" s="3">
        <v>0.28454648199999999</v>
      </c>
      <c r="O724" s="3">
        <v>3.5547641999999997E-2</v>
      </c>
      <c r="P724" s="3">
        <v>3.8217329000000001E-2</v>
      </c>
      <c r="Q724" s="3">
        <v>0.12745817400000001</v>
      </c>
      <c r="R724" s="3">
        <v>0.23532662100000001</v>
      </c>
      <c r="S724" s="3">
        <v>0.33236985899999999</v>
      </c>
      <c r="T724" s="3">
        <v>2.5855591429999998</v>
      </c>
      <c r="U724" s="3">
        <v>0.72110347100000005</v>
      </c>
      <c r="V724" s="3">
        <v>0.49336702500000001</v>
      </c>
      <c r="W724" s="3">
        <v>-0.22979723799999999</v>
      </c>
      <c r="X724" s="3">
        <v>-1.1966261869999999</v>
      </c>
      <c r="Y724" s="3">
        <v>6.6839682700000003</v>
      </c>
      <c r="Z724" s="3">
        <v>3.5855591429999998</v>
      </c>
      <c r="AA724" s="3">
        <v>0.13766414499999999</v>
      </c>
      <c r="AB724" s="3">
        <v>8.4958501670000004</v>
      </c>
      <c r="AC724" s="3">
        <v>5.207313192</v>
      </c>
      <c r="AD724" s="3">
        <v>0.29593877699999999</v>
      </c>
      <c r="AE724" s="3">
        <v>1.593657817</v>
      </c>
      <c r="AF724" s="4">
        <v>41977</v>
      </c>
      <c r="AG724" s="5">
        <f>YEAR(AF724)</f>
        <v>2014</v>
      </c>
      <c r="AH724" s="5" t="str">
        <f>"Q"&amp;ROUNDUP(MONTH(AF724)/3,0)</f>
        <v>Q4</v>
      </c>
      <c r="AI724" s="5">
        <f>INDEX(RatingLookup!$B$2:$B$11,MATCH(A724,RatingLookup!$A$2:$A$11,0))</f>
        <v>8</v>
      </c>
      <c r="AJ724" s="5" t="str">
        <f>INDEX(RatingLookup!$C$2:$C$11,MATCH(A724,RatingLookup!$A$2:$A$11,0))</f>
        <v>Investment Grade</v>
      </c>
    </row>
    <row r="725" spans="1:36" x14ac:dyDescent="0.3">
      <c r="A725" s="3" t="s">
        <v>92</v>
      </c>
      <c r="B725" s="3" t="s">
        <v>878</v>
      </c>
      <c r="C725" s="3" t="s">
        <v>879</v>
      </c>
      <c r="D725" s="3" t="s">
        <v>39</v>
      </c>
      <c r="E725" s="3" t="s">
        <v>882</v>
      </c>
      <c r="F725" s="3" t="s">
        <v>79</v>
      </c>
      <c r="G725" s="3">
        <v>0.90097777800000001</v>
      </c>
      <c r="H725" s="3">
        <v>0.77262222199999997</v>
      </c>
      <c r="I725" s="3">
        <v>0.16017777799999999</v>
      </c>
      <c r="J725" s="3">
        <v>22.13291551</v>
      </c>
      <c r="K725" s="3">
        <v>0.124206414</v>
      </c>
      <c r="L725" s="3">
        <v>0.12510174199999999</v>
      </c>
      <c r="M725" s="3">
        <v>1</v>
      </c>
      <c r="N725" s="3">
        <v>0.253052255</v>
      </c>
      <c r="O725" s="3">
        <v>3.4972728000000002E-2</v>
      </c>
      <c r="P725" s="3">
        <v>4.0437791000000001E-2</v>
      </c>
      <c r="Q725" s="3">
        <v>0.14561068699999999</v>
      </c>
      <c r="R725" s="3">
        <v>0.28156941800000002</v>
      </c>
      <c r="S725" s="3">
        <v>0.40909696299999998</v>
      </c>
      <c r="T725" s="3">
        <v>3.1635496179999998</v>
      </c>
      <c r="U725" s="3">
        <v>0.75982032399999999</v>
      </c>
      <c r="V725" s="3">
        <v>0.354586858</v>
      </c>
      <c r="W725" s="3">
        <v>-0.139652677</v>
      </c>
      <c r="X725" s="3">
        <v>-0.66520069800000003</v>
      </c>
      <c r="Y725" s="3">
        <v>6.2056676480000004</v>
      </c>
      <c r="Z725" s="3">
        <v>4.1635496180000002</v>
      </c>
      <c r="AA725" s="3">
        <v>0.12510174199999999</v>
      </c>
      <c r="AB725" s="3">
        <v>7.8915726419999999</v>
      </c>
      <c r="AC725" s="3">
        <v>4.7632505910000003</v>
      </c>
      <c r="AD725" s="3">
        <v>0.22497151200000001</v>
      </c>
      <c r="AE725" s="3">
        <v>0.77076677299999996</v>
      </c>
      <c r="AF725" s="4">
        <v>41437</v>
      </c>
      <c r="AG725" s="5">
        <f>YEAR(AF725)</f>
        <v>2013</v>
      </c>
      <c r="AH725" s="5" t="str">
        <f>"Q"&amp;ROUNDUP(MONTH(AF725)/3,0)</f>
        <v>Q2</v>
      </c>
      <c r="AI725" s="5">
        <f>INDEX(RatingLookup!$B$2:$B$11,MATCH(A725,RatingLookup!$A$2:$A$11,0))</f>
        <v>6</v>
      </c>
      <c r="AJ725" s="5" t="str">
        <f>INDEX(RatingLookup!$C$2:$C$11,MATCH(A725,RatingLookup!$A$2:$A$11,0))</f>
        <v>Speculative Grade</v>
      </c>
    </row>
    <row r="726" spans="1:36" x14ac:dyDescent="0.3">
      <c r="A726" s="3" t="s">
        <v>42</v>
      </c>
      <c r="B726" s="3" t="s">
        <v>878</v>
      </c>
      <c r="C726" s="3" t="s">
        <v>879</v>
      </c>
      <c r="D726" s="3" t="s">
        <v>39</v>
      </c>
      <c r="E726" s="3" t="s">
        <v>883</v>
      </c>
      <c r="F726" s="3" t="s">
        <v>79</v>
      </c>
      <c r="G726" s="3">
        <v>0.68266253899999996</v>
      </c>
      <c r="H726" s="3">
        <v>0.57430340599999996</v>
      </c>
      <c r="I726" s="3">
        <v>0.21568627500000001</v>
      </c>
      <c r="J726" s="3">
        <v>32.030903639999998</v>
      </c>
      <c r="K726" s="3">
        <v>8.8929456000000004E-2</v>
      </c>
      <c r="L726" s="3">
        <v>0.209023341</v>
      </c>
      <c r="M726" s="3">
        <v>1</v>
      </c>
      <c r="N726" s="3">
        <v>0.36914851999999998</v>
      </c>
      <c r="O726" s="3">
        <v>1.7353248000000002E-2</v>
      </c>
      <c r="P726" s="3">
        <v>4.5250528999999998E-2</v>
      </c>
      <c r="Q726" s="3">
        <v>6.8756930999999993E-2</v>
      </c>
      <c r="R726" s="3">
        <v>0.19513498400000001</v>
      </c>
      <c r="S726" s="3">
        <v>0.25241919600000001</v>
      </c>
      <c r="T726" s="3">
        <v>2.9621937699999998</v>
      </c>
      <c r="U726" s="3">
        <v>0.74761456500000001</v>
      </c>
      <c r="V726" s="3">
        <v>0.29008109799999998</v>
      </c>
      <c r="W726" s="3">
        <v>-0.36520076499999998</v>
      </c>
      <c r="X726" s="3">
        <v>-1.425768945</v>
      </c>
      <c r="Y726" s="3">
        <v>2.3185541060000001</v>
      </c>
      <c r="Z726" s="3">
        <v>3.9621937699999998</v>
      </c>
      <c r="AA726" s="3">
        <v>0.209023341</v>
      </c>
      <c r="AB726" s="3">
        <v>11.051067809999999</v>
      </c>
      <c r="AC726" s="3">
        <v>3.9040688910000001</v>
      </c>
      <c r="AD726" s="3">
        <v>0.34098317900000003</v>
      </c>
      <c r="AE726" s="3">
        <v>1.062807882</v>
      </c>
      <c r="AF726" s="4">
        <v>42283</v>
      </c>
      <c r="AG726" s="5">
        <f>YEAR(AF726)</f>
        <v>2015</v>
      </c>
      <c r="AH726" s="5" t="str">
        <f>"Q"&amp;ROUNDUP(MONTH(AF726)/3,0)</f>
        <v>Q4</v>
      </c>
      <c r="AI726" s="5">
        <f>INDEX(RatingLookup!$B$2:$B$11,MATCH(A726,RatingLookup!$A$2:$A$11,0))</f>
        <v>7</v>
      </c>
      <c r="AJ726" s="5" t="str">
        <f>INDEX(RatingLookup!$C$2:$C$11,MATCH(A726,RatingLookup!$A$2:$A$11,0))</f>
        <v>Investment Grade</v>
      </c>
    </row>
    <row r="727" spans="1:36" x14ac:dyDescent="0.3">
      <c r="A727" s="3" t="s">
        <v>42</v>
      </c>
      <c r="B727" s="3" t="s">
        <v>884</v>
      </c>
      <c r="C727" s="3" t="s">
        <v>885</v>
      </c>
      <c r="D727" s="3" t="s">
        <v>60</v>
      </c>
      <c r="E727" s="3" t="s">
        <v>46</v>
      </c>
      <c r="F727" s="3" t="s">
        <v>174</v>
      </c>
      <c r="G727" s="3">
        <v>1.4752759200000001</v>
      </c>
      <c r="H727" s="3">
        <v>0.900273133</v>
      </c>
      <c r="I727" s="3">
        <v>4.5287068E-2</v>
      </c>
      <c r="J727" s="3">
        <v>59.784770139999999</v>
      </c>
      <c r="K727" s="3">
        <v>9.8910678000000002E-2</v>
      </c>
      <c r="L727" s="3">
        <v>0.15928679900000001</v>
      </c>
      <c r="M727" s="3">
        <v>1</v>
      </c>
      <c r="N727" s="3">
        <v>0.168796007</v>
      </c>
      <c r="O727" s="3">
        <v>6.1824523999999999E-2</v>
      </c>
      <c r="P727" s="3">
        <v>0.113294032</v>
      </c>
      <c r="Q727" s="3">
        <v>0.12687891000000001</v>
      </c>
      <c r="R727" s="3">
        <v>0.62505408900000003</v>
      </c>
      <c r="S727" s="3">
        <v>1.0155001749999999</v>
      </c>
      <c r="T727" s="3">
        <v>1.052242422</v>
      </c>
      <c r="U727" s="3">
        <v>0.51272813100000003</v>
      </c>
      <c r="V727" s="3">
        <v>0.37067383199999998</v>
      </c>
      <c r="W727" s="3">
        <v>0.27486658400000002</v>
      </c>
      <c r="X727" s="3">
        <v>1.5824952480000001</v>
      </c>
      <c r="Y727" s="3">
        <v>0.3677917</v>
      </c>
      <c r="Z727" s="3">
        <v>2.052242422</v>
      </c>
      <c r="AA727" s="3">
        <v>0.15928679900000001</v>
      </c>
      <c r="AB727" s="3">
        <v>10.121872700000001</v>
      </c>
      <c r="AC727" s="3">
        <v>5.7573213259999996</v>
      </c>
      <c r="AD727" s="3">
        <v>0.16860794100000001</v>
      </c>
      <c r="AE727" s="3">
        <v>7.7330899249999998</v>
      </c>
      <c r="AF727" s="4">
        <v>41075</v>
      </c>
      <c r="AG727" s="5">
        <f>YEAR(AF727)</f>
        <v>2012</v>
      </c>
      <c r="AH727" s="5" t="str">
        <f>"Q"&amp;ROUNDUP(MONTH(AF727)/3,0)</f>
        <v>Q2</v>
      </c>
      <c r="AI727" s="5">
        <f>INDEX(RatingLookup!$B$2:$B$11,MATCH(A727,RatingLookup!$A$2:$A$11,0))</f>
        <v>7</v>
      </c>
      <c r="AJ727" s="5" t="str">
        <f>INDEX(RatingLookup!$C$2:$C$11,MATCH(A727,RatingLookup!$A$2:$A$11,0))</f>
        <v>Investment Grade</v>
      </c>
    </row>
    <row r="728" spans="1:36" x14ac:dyDescent="0.3">
      <c r="A728" s="3" t="s">
        <v>42</v>
      </c>
      <c r="B728" s="3" t="s">
        <v>884</v>
      </c>
      <c r="C728" s="3" t="s">
        <v>885</v>
      </c>
      <c r="D728" s="3" t="s">
        <v>60</v>
      </c>
      <c r="E728" s="3" t="s">
        <v>85</v>
      </c>
      <c r="F728" s="3" t="s">
        <v>174</v>
      </c>
      <c r="G728" s="3">
        <v>1.770505392</v>
      </c>
      <c r="H728" s="3">
        <v>0.82589654499999998</v>
      </c>
      <c r="I728" s="3">
        <v>1.6260634E-2</v>
      </c>
      <c r="J728" s="3">
        <v>49.447372610000002</v>
      </c>
      <c r="K728" s="3">
        <v>0.10555558700000001</v>
      </c>
      <c r="L728" s="3">
        <v>0.16843148299999999</v>
      </c>
      <c r="M728" s="3">
        <v>1</v>
      </c>
      <c r="N728" s="3">
        <v>0.177255566</v>
      </c>
      <c r="O728" s="3">
        <v>5.4540300999999999E-2</v>
      </c>
      <c r="P728" s="3">
        <v>9.5329132999999996E-2</v>
      </c>
      <c r="Q728" s="3">
        <v>9.9913126000000005E-2</v>
      </c>
      <c r="R728" s="3">
        <v>0.51669743899999998</v>
      </c>
      <c r="S728" s="3">
        <v>0.77277706199999996</v>
      </c>
      <c r="T728" s="3">
        <v>0.83191371999999997</v>
      </c>
      <c r="U728" s="3">
        <v>0.45412276299999998</v>
      </c>
      <c r="V728" s="3">
        <v>0.369747202</v>
      </c>
      <c r="W728" s="3">
        <v>0.33728815200000001</v>
      </c>
      <c r="X728" s="3">
        <v>3.2127391329999999</v>
      </c>
      <c r="Y728" s="3">
        <v>0.14571799199999999</v>
      </c>
      <c r="Z728" s="3">
        <v>1.83191372</v>
      </c>
      <c r="AA728" s="3">
        <v>0.16843148299999999</v>
      </c>
      <c r="AB728" s="3">
        <v>6.4363241139999996</v>
      </c>
      <c r="AC728" s="3">
        <v>9.5252060150000002</v>
      </c>
      <c r="AD728" s="3">
        <v>0.242746092</v>
      </c>
      <c r="AE728" s="3">
        <v>10.258857369999999</v>
      </c>
      <c r="AF728" s="4">
        <v>42269</v>
      </c>
      <c r="AG728" s="5">
        <f>YEAR(AF728)</f>
        <v>2015</v>
      </c>
      <c r="AH728" s="5" t="str">
        <f>"Q"&amp;ROUNDUP(MONTH(AF728)/3,0)</f>
        <v>Q3</v>
      </c>
      <c r="AI728" s="5">
        <f>INDEX(RatingLookup!$B$2:$B$11,MATCH(A728,RatingLookup!$A$2:$A$11,0))</f>
        <v>7</v>
      </c>
      <c r="AJ728" s="5" t="str">
        <f>INDEX(RatingLookup!$C$2:$C$11,MATCH(A728,RatingLookup!$A$2:$A$11,0))</f>
        <v>Investment Grade</v>
      </c>
    </row>
    <row r="729" spans="1:36" x14ac:dyDescent="0.3">
      <c r="A729" s="3" t="s">
        <v>42</v>
      </c>
      <c r="B729" s="3" t="s">
        <v>884</v>
      </c>
      <c r="C729" s="3" t="s">
        <v>885</v>
      </c>
      <c r="D729" s="3" t="s">
        <v>44</v>
      </c>
      <c r="E729" s="3" t="s">
        <v>886</v>
      </c>
      <c r="F729" s="3" t="s">
        <v>174</v>
      </c>
      <c r="G729" s="3">
        <v>1.6794997460000001</v>
      </c>
      <c r="H729" s="3">
        <v>0.91839614700000005</v>
      </c>
      <c r="I729" s="3">
        <v>3.1150358E-2</v>
      </c>
      <c r="J729" s="3">
        <v>54.107872639999997</v>
      </c>
      <c r="K729" s="3">
        <v>9.9134834000000005E-2</v>
      </c>
      <c r="L729" s="3">
        <v>9.8297026999999995E-2</v>
      </c>
      <c r="M729" s="3">
        <v>1</v>
      </c>
      <c r="N729" s="3">
        <v>0.17268909599999999</v>
      </c>
      <c r="O729" s="3">
        <v>5.7331142000000002E-2</v>
      </c>
      <c r="P729" s="3">
        <v>6.2965797000000004E-2</v>
      </c>
      <c r="Q729" s="3">
        <v>0.123564575</v>
      </c>
      <c r="R729" s="3">
        <v>0.57831480300000004</v>
      </c>
      <c r="S729" s="3">
        <v>0.91253020799999995</v>
      </c>
      <c r="T729" s="3">
        <v>1.155278448</v>
      </c>
      <c r="U729" s="3">
        <v>0.53602282800000001</v>
      </c>
      <c r="V729" s="3">
        <v>0.61592060400000004</v>
      </c>
      <c r="W729" s="3">
        <v>4.1638781E-2</v>
      </c>
      <c r="X729" s="3">
        <v>0.24452817900000001</v>
      </c>
      <c r="Y729" s="3">
        <v>0.23197995199999999</v>
      </c>
      <c r="Z729" s="3">
        <v>2.1552784479999998</v>
      </c>
      <c r="AA729" s="3">
        <v>9.8297026999999995E-2</v>
      </c>
      <c r="AB729" s="3">
        <v>9.4356353970000004</v>
      </c>
      <c r="AC729" s="3">
        <v>5.872606642</v>
      </c>
      <c r="AD729" s="3">
        <v>0.154180184</v>
      </c>
      <c r="AE729" s="3">
        <v>8.9923132369999994</v>
      </c>
      <c r="AF729" s="4">
        <v>41242</v>
      </c>
      <c r="AG729" s="5">
        <f>YEAR(AF729)</f>
        <v>2012</v>
      </c>
      <c r="AH729" s="5" t="str">
        <f>"Q"&amp;ROUNDUP(MONTH(AF729)/3,0)</f>
        <v>Q4</v>
      </c>
      <c r="AI729" s="5">
        <f>INDEX(RatingLookup!$B$2:$B$11,MATCH(A729,RatingLookup!$A$2:$A$11,0))</f>
        <v>7</v>
      </c>
      <c r="AJ729" s="5" t="str">
        <f>INDEX(RatingLookup!$C$2:$C$11,MATCH(A729,RatingLookup!$A$2:$A$11,0))</f>
        <v>Investment Grade</v>
      </c>
    </row>
    <row r="730" spans="1:36" x14ac:dyDescent="0.3">
      <c r="A730" s="3" t="s">
        <v>42</v>
      </c>
      <c r="B730" s="3" t="s">
        <v>887</v>
      </c>
      <c r="C730" s="3" t="s">
        <v>888</v>
      </c>
      <c r="D730" s="3" t="s">
        <v>60</v>
      </c>
      <c r="E730" s="3" t="s">
        <v>46</v>
      </c>
      <c r="F730" s="3" t="s">
        <v>113</v>
      </c>
      <c r="G730" s="3">
        <v>1.718317654</v>
      </c>
      <c r="H730" s="3">
        <v>0.83729939099999995</v>
      </c>
      <c r="I730" s="3">
        <v>0.14775871600000001</v>
      </c>
      <c r="J730" s="3">
        <v>59.668066119999999</v>
      </c>
      <c r="K730" s="3">
        <v>5.785883E-2</v>
      </c>
      <c r="L730" s="3">
        <v>8.4229861000000003E-2</v>
      </c>
      <c r="M730" s="3">
        <v>0.65114143300000005</v>
      </c>
      <c r="N730" s="3">
        <v>0.11860404099999999</v>
      </c>
      <c r="O730" s="3">
        <v>2.0713949999999998E-2</v>
      </c>
      <c r="P730" s="3">
        <v>3.2951804000000001E-2</v>
      </c>
      <c r="Q730" s="3">
        <v>3.8844358000000002E-2</v>
      </c>
      <c r="R730" s="3">
        <v>0.358008455</v>
      </c>
      <c r="S730" s="3">
        <v>4.564071856</v>
      </c>
      <c r="T730" s="3">
        <v>0.87527525799999994</v>
      </c>
      <c r="U730" s="3">
        <v>0.46674495100000002</v>
      </c>
      <c r="V730" s="3">
        <v>0.31308411200000003</v>
      </c>
      <c r="W730" s="3">
        <v>0.69841269800000005</v>
      </c>
      <c r="X730" s="3">
        <v>0.46644139699999998</v>
      </c>
      <c r="Y730" s="3">
        <v>0.17690320000000001</v>
      </c>
      <c r="Z730" s="3">
        <v>1.8752752580000001</v>
      </c>
      <c r="AA730" s="3">
        <v>8.4229861000000003E-2</v>
      </c>
      <c r="AB730" s="3">
        <v>8.0411517579999998</v>
      </c>
      <c r="AC730" s="3">
        <v>0.66785927300000003</v>
      </c>
      <c r="AD730" s="3">
        <v>0.132248754</v>
      </c>
      <c r="AE730" s="3">
        <v>13.098522170000001</v>
      </c>
      <c r="AF730" s="4">
        <v>41075</v>
      </c>
      <c r="AG730" s="5">
        <f>YEAR(AF730)</f>
        <v>2012</v>
      </c>
      <c r="AH730" s="5" t="str">
        <f>"Q"&amp;ROUNDUP(MONTH(AF730)/3,0)</f>
        <v>Q2</v>
      </c>
      <c r="AI730" s="5">
        <f>INDEX(RatingLookup!$B$2:$B$11,MATCH(A730,RatingLookup!$A$2:$A$11,0))</f>
        <v>7</v>
      </c>
      <c r="AJ730" s="5" t="str">
        <f>INDEX(RatingLookup!$C$2:$C$11,MATCH(A730,RatingLookup!$A$2:$A$11,0))</f>
        <v>Investment Grade</v>
      </c>
    </row>
    <row r="731" spans="1:36" x14ac:dyDescent="0.3">
      <c r="A731" s="3" t="s">
        <v>92</v>
      </c>
      <c r="B731" s="3" t="s">
        <v>887</v>
      </c>
      <c r="C731" s="3" t="s">
        <v>888</v>
      </c>
      <c r="D731" s="3" t="s">
        <v>39</v>
      </c>
      <c r="E731" s="3" t="s">
        <v>889</v>
      </c>
      <c r="F731" s="3" t="s">
        <v>113</v>
      </c>
      <c r="G731" s="3">
        <v>1.650767544</v>
      </c>
      <c r="H731" s="3">
        <v>0.83552631600000005</v>
      </c>
      <c r="I731" s="3">
        <v>0.118969298</v>
      </c>
      <c r="J731" s="3">
        <v>66.786364270000007</v>
      </c>
      <c r="K731" s="3">
        <v>-1.6939661000000002E-2</v>
      </c>
      <c r="L731" s="3">
        <v>-3.1219376E-2</v>
      </c>
      <c r="M731" s="3">
        <v>0.69564608699999997</v>
      </c>
      <c r="N731" s="3">
        <v>1.6799663999999999E-2</v>
      </c>
      <c r="O731" s="3">
        <v>-7.3019130000000002E-3</v>
      </c>
      <c r="P731" s="3">
        <v>-1.512172E-2</v>
      </c>
      <c r="Q731" s="3">
        <v>-1.8504357999999999E-2</v>
      </c>
      <c r="R731" s="3">
        <v>0.431054251</v>
      </c>
      <c r="S731" s="3">
        <v>4.6203104789999996</v>
      </c>
      <c r="T731" s="3">
        <v>1.5341795380000001</v>
      </c>
      <c r="U731" s="3">
        <v>0.60539496699999995</v>
      </c>
      <c r="V731" s="3">
        <v>0.45739910299999997</v>
      </c>
      <c r="W731" s="3">
        <v>0.77356746799999998</v>
      </c>
      <c r="X731" s="3">
        <v>0.62406799899999998</v>
      </c>
      <c r="Y731" s="3">
        <v>0.161795407</v>
      </c>
      <c r="Z731" s="3">
        <v>2.5341795380000001</v>
      </c>
      <c r="AA731" s="3">
        <v>-3.1219376E-2</v>
      </c>
      <c r="AB731" s="3">
        <v>27.453241040000002</v>
      </c>
      <c r="AC731" s="3">
        <v>0.80674023299999997</v>
      </c>
      <c r="AD731" s="3">
        <v>0.15147696999999999</v>
      </c>
      <c r="AE731" s="3">
        <v>8.8373983739999993</v>
      </c>
      <c r="AF731" s="4">
        <v>41502</v>
      </c>
      <c r="AG731" s="5">
        <f>YEAR(AF731)</f>
        <v>2013</v>
      </c>
      <c r="AH731" s="5" t="str">
        <f>"Q"&amp;ROUNDUP(MONTH(AF731)/3,0)</f>
        <v>Q3</v>
      </c>
      <c r="AI731" s="5">
        <f>INDEX(RatingLookup!$B$2:$B$11,MATCH(A731,RatingLookup!$A$2:$A$11,0))</f>
        <v>6</v>
      </c>
      <c r="AJ731" s="5" t="str">
        <f>INDEX(RatingLookup!$C$2:$C$11,MATCH(A731,RatingLookup!$A$2:$A$11,0))</f>
        <v>Speculative Grade</v>
      </c>
    </row>
    <row r="732" spans="1:36" x14ac:dyDescent="0.3">
      <c r="A732" s="3" t="s">
        <v>92</v>
      </c>
      <c r="B732" s="3" t="s">
        <v>887</v>
      </c>
      <c r="C732" s="3" t="s">
        <v>888</v>
      </c>
      <c r="D732" s="3" t="s">
        <v>39</v>
      </c>
      <c r="E732" s="3" t="s">
        <v>78</v>
      </c>
      <c r="F732" s="3" t="s">
        <v>113</v>
      </c>
      <c r="G732" s="3">
        <v>1.2670414619999999</v>
      </c>
      <c r="H732" s="3">
        <v>0.62192550899999999</v>
      </c>
      <c r="I732" s="3">
        <v>0.20625439200000001</v>
      </c>
      <c r="J732" s="3">
        <v>58.508807590000004</v>
      </c>
      <c r="K732" s="3">
        <v>-1.6124660999999998E-2</v>
      </c>
      <c r="L732" s="3">
        <v>-6.8970190000000001E-2</v>
      </c>
      <c r="M732" s="3">
        <v>0.70054200499999997</v>
      </c>
      <c r="N732" s="3">
        <v>-4.0785908000000003E-2</v>
      </c>
      <c r="O732" s="3">
        <v>-6.9827489999999999E-3</v>
      </c>
      <c r="P732" s="3">
        <v>-3.5855169999999999E-2</v>
      </c>
      <c r="Q732" s="3">
        <v>-1.8429610999999999E-2</v>
      </c>
      <c r="R732" s="3">
        <v>0.433047764</v>
      </c>
      <c r="S732" s="3">
        <v>4.8971466489999997</v>
      </c>
      <c r="T732" s="3">
        <v>1.6393061790000001</v>
      </c>
      <c r="U732" s="3">
        <v>0.62111254500000002</v>
      </c>
      <c r="V732" s="3">
        <v>0.76620825100000001</v>
      </c>
      <c r="W732" s="3">
        <v>0.79590228500000004</v>
      </c>
      <c r="X732" s="3">
        <v>0.76266706900000003</v>
      </c>
      <c r="Y732" s="3">
        <v>0.44325303900000002</v>
      </c>
      <c r="Z732" s="3">
        <v>2.6393061790000001</v>
      </c>
      <c r="AA732" s="3">
        <v>-6.8970190000000001E-2</v>
      </c>
      <c r="AB732" s="3">
        <v>54.924252359999997</v>
      </c>
      <c r="AC732" s="3">
        <v>0.95824209000000005</v>
      </c>
      <c r="AD732" s="3">
        <v>0.17195121999999999</v>
      </c>
      <c r="AE732" s="3">
        <v>8.4351145039999995</v>
      </c>
      <c r="AF732" s="4">
        <v>41940</v>
      </c>
      <c r="AG732" s="5">
        <f>YEAR(AF732)</f>
        <v>2014</v>
      </c>
      <c r="AH732" s="5" t="str">
        <f>"Q"&amp;ROUNDUP(MONTH(AF732)/3,0)</f>
        <v>Q4</v>
      </c>
      <c r="AI732" s="5">
        <f>INDEX(RatingLookup!$B$2:$B$11,MATCH(A732,RatingLookup!$A$2:$A$11,0))</f>
        <v>6</v>
      </c>
      <c r="AJ732" s="5" t="str">
        <f>INDEX(RatingLookup!$C$2:$C$11,MATCH(A732,RatingLookup!$A$2:$A$11,0))</f>
        <v>Speculative Grade</v>
      </c>
    </row>
    <row r="733" spans="1:36" x14ac:dyDescent="0.3">
      <c r="A733" s="3" t="s">
        <v>42</v>
      </c>
      <c r="B733" s="3" t="s">
        <v>887</v>
      </c>
      <c r="C733" s="3" t="s">
        <v>888</v>
      </c>
      <c r="D733" s="3" t="s">
        <v>60</v>
      </c>
      <c r="E733" s="3" t="s">
        <v>862</v>
      </c>
      <c r="F733" s="3" t="s">
        <v>113</v>
      </c>
      <c r="G733" s="3">
        <v>0.90298299400000004</v>
      </c>
      <c r="H733" s="3">
        <v>0.56175076700000004</v>
      </c>
      <c r="I733" s="3">
        <v>5.4641762000000003E-2</v>
      </c>
      <c r="J733" s="3">
        <v>64.068685909999999</v>
      </c>
      <c r="K733" s="3">
        <v>4.1378487999999998E-2</v>
      </c>
      <c r="L733" s="3">
        <v>2.1106606E-2</v>
      </c>
      <c r="M733" s="3">
        <v>0.71094681599999998</v>
      </c>
      <c r="N733" s="3">
        <v>5.3303124E-2</v>
      </c>
      <c r="O733" s="3">
        <v>1.9175508000000001E-2</v>
      </c>
      <c r="P733" s="3">
        <v>1.2199325E-2</v>
      </c>
      <c r="Q733" s="3">
        <v>5.1537205000000003E-2</v>
      </c>
      <c r="R733" s="3">
        <v>0.46341733000000002</v>
      </c>
      <c r="S733" s="3">
        <v>5.1447852760000004</v>
      </c>
      <c r="T733" s="3">
        <v>1.687657805</v>
      </c>
      <c r="U733" s="3">
        <v>0.62792882400000005</v>
      </c>
      <c r="V733" s="3">
        <v>-0.96045197699999996</v>
      </c>
      <c r="W733" s="3">
        <v>0.613168724</v>
      </c>
      <c r="X733" s="3">
        <v>0.439010018</v>
      </c>
      <c r="Y733" s="3">
        <v>0.39997053599999999</v>
      </c>
      <c r="Z733" s="3">
        <v>2.6876578050000002</v>
      </c>
      <c r="AA733" s="3">
        <v>2.1106606E-2</v>
      </c>
      <c r="AB733" s="3">
        <v>29.33548287</v>
      </c>
      <c r="AC733" s="3">
        <v>0.71596935799999994</v>
      </c>
      <c r="AD733" s="3">
        <v>0.115907465</v>
      </c>
      <c r="AE733" s="3">
        <v>5.4228187920000002</v>
      </c>
      <c r="AF733" s="4">
        <v>42711</v>
      </c>
      <c r="AG733" s="5">
        <f>YEAR(AF733)</f>
        <v>2016</v>
      </c>
      <c r="AH733" s="5" t="str">
        <f>"Q"&amp;ROUNDUP(MONTH(AF733)/3,0)</f>
        <v>Q4</v>
      </c>
      <c r="AI733" s="5">
        <f>INDEX(RatingLookup!$B$2:$B$11,MATCH(A733,RatingLookup!$A$2:$A$11,0))</f>
        <v>7</v>
      </c>
      <c r="AJ733" s="5" t="str">
        <f>INDEX(RatingLookup!$C$2:$C$11,MATCH(A733,RatingLookup!$A$2:$A$11,0))</f>
        <v>Investment Grade</v>
      </c>
    </row>
    <row r="734" spans="1:36" x14ac:dyDescent="0.3">
      <c r="A734" s="3" t="s">
        <v>92</v>
      </c>
      <c r="B734" s="3" t="s">
        <v>887</v>
      </c>
      <c r="C734" s="3" t="s">
        <v>888</v>
      </c>
      <c r="D734" s="3" t="s">
        <v>39</v>
      </c>
      <c r="E734" s="3" t="s">
        <v>400</v>
      </c>
      <c r="F734" s="3" t="s">
        <v>113</v>
      </c>
      <c r="G734" s="3">
        <v>1.4283950620000001</v>
      </c>
      <c r="H734" s="3">
        <v>0.65596707799999998</v>
      </c>
      <c r="I734" s="3">
        <v>0.13127572000000001</v>
      </c>
      <c r="J734" s="3">
        <v>62.240872009999997</v>
      </c>
      <c r="K734" s="3">
        <v>-3.1964692000000003E-2</v>
      </c>
      <c r="L734" s="3">
        <v>-8.6933261999999997E-2</v>
      </c>
      <c r="M734" s="3">
        <v>0.70937541800000004</v>
      </c>
      <c r="N734" s="3">
        <v>-4.3734118000000002E-2</v>
      </c>
      <c r="O734" s="3">
        <v>-1.3180389000000001E-2</v>
      </c>
      <c r="P734" s="3">
        <v>-4.1393364000000002E-2</v>
      </c>
      <c r="Q734" s="3">
        <v>-3.7816455999999998E-2</v>
      </c>
      <c r="R734" s="3">
        <v>0.412342139</v>
      </c>
      <c r="S734" s="3">
        <v>5.0181208049999997</v>
      </c>
      <c r="T734" s="3">
        <v>1.8691455699999999</v>
      </c>
      <c r="U734" s="3">
        <v>0.65146418100000003</v>
      </c>
      <c r="V734" s="3">
        <v>0.63230769200000003</v>
      </c>
      <c r="W734" s="3">
        <v>0.58833333300000001</v>
      </c>
      <c r="X734" s="3">
        <v>0.26319713700000003</v>
      </c>
      <c r="Y734" s="3">
        <v>0.23784670399999999</v>
      </c>
      <c r="Z734" s="3">
        <v>2.8691455700000001</v>
      </c>
      <c r="AA734" s="3">
        <v>-8.6933261999999997E-2</v>
      </c>
      <c r="AB734" s="3">
        <v>60.395891210000002</v>
      </c>
      <c r="AC734" s="3">
        <v>0.44736057299999998</v>
      </c>
      <c r="AD734" s="3">
        <v>8.0246087999999993E-2</v>
      </c>
      <c r="AE734" s="3">
        <v>10.397129189999999</v>
      </c>
      <c r="AF734" s="4">
        <v>42215</v>
      </c>
      <c r="AG734" s="5">
        <f>YEAR(AF734)</f>
        <v>2015</v>
      </c>
      <c r="AH734" s="5" t="str">
        <f>"Q"&amp;ROUNDUP(MONTH(AF734)/3,0)</f>
        <v>Q3</v>
      </c>
      <c r="AI734" s="5">
        <f>INDEX(RatingLookup!$B$2:$B$11,MATCH(A734,RatingLookup!$A$2:$A$11,0))</f>
        <v>6</v>
      </c>
      <c r="AJ734" s="5" t="str">
        <f>INDEX(RatingLookup!$C$2:$C$11,MATCH(A734,RatingLookup!$A$2:$A$11,0))</f>
        <v>Speculative Grade</v>
      </c>
    </row>
    <row r="735" spans="1:36" x14ac:dyDescent="0.3">
      <c r="A735" s="3" t="s">
        <v>116</v>
      </c>
      <c r="B735" s="3" t="s">
        <v>890</v>
      </c>
      <c r="C735" s="3" t="s">
        <v>891</v>
      </c>
      <c r="D735" s="3" t="s">
        <v>39</v>
      </c>
      <c r="E735" s="3" t="s">
        <v>892</v>
      </c>
      <c r="F735" s="3" t="s">
        <v>96</v>
      </c>
      <c r="G735" s="3">
        <v>1.317995013</v>
      </c>
      <c r="H735" s="3">
        <v>0.67917745699999998</v>
      </c>
      <c r="I735" s="3">
        <v>0.45921672299999999</v>
      </c>
      <c r="J735" s="3">
        <v>52.495474039999998</v>
      </c>
      <c r="K735" s="3">
        <v>3.8127346999999999E-2</v>
      </c>
      <c r="L735" s="3">
        <v>1.6585414E-2</v>
      </c>
      <c r="M735" s="3">
        <v>0.19586447500000001</v>
      </c>
      <c r="N735" s="3">
        <v>6.3380987E-2</v>
      </c>
      <c r="O735" s="3">
        <v>2.4519262E-2</v>
      </c>
      <c r="P735" s="3">
        <v>1.8578520000000001E-2</v>
      </c>
      <c r="Q735" s="3">
        <v>8.5645068000000005E-2</v>
      </c>
      <c r="R735" s="3">
        <v>0.64308857600000002</v>
      </c>
      <c r="S735" s="3">
        <v>4.700532634</v>
      </c>
      <c r="T735" s="3">
        <v>2.4929709459999998</v>
      </c>
      <c r="U735" s="3">
        <v>0.71371075900000003</v>
      </c>
      <c r="V735" s="3">
        <v>0.28629487999999997</v>
      </c>
      <c r="W735" s="3">
        <v>0.79034532000000002</v>
      </c>
      <c r="X735" s="3">
        <v>1.0625398319999999</v>
      </c>
      <c r="Y735" s="3">
        <v>6.3496056080000001</v>
      </c>
      <c r="Z735" s="3">
        <v>3.4929709459999998</v>
      </c>
      <c r="AA735" s="3">
        <v>1.6585414E-2</v>
      </c>
      <c r="AB735" s="3">
        <v>12.91856336</v>
      </c>
      <c r="AC735" s="3">
        <v>1.344399474</v>
      </c>
      <c r="AD735" s="3">
        <v>6.4784941999999998E-2</v>
      </c>
      <c r="AE735" s="3">
        <v>4.5411526479999997</v>
      </c>
      <c r="AF735" s="4">
        <v>41537</v>
      </c>
      <c r="AG735" s="5">
        <f>YEAR(AF735)</f>
        <v>2013</v>
      </c>
      <c r="AH735" s="5" t="str">
        <f>"Q"&amp;ROUNDUP(MONTH(AF735)/3,0)</f>
        <v>Q3</v>
      </c>
      <c r="AI735" s="5">
        <f>INDEX(RatingLookup!$B$2:$B$11,MATCH(A735,RatingLookup!$A$2:$A$11,0))</f>
        <v>4</v>
      </c>
      <c r="AJ735" s="5" t="str">
        <f>INDEX(RatingLookup!$C$2:$C$11,MATCH(A735,RatingLookup!$A$2:$A$11,0))</f>
        <v>Speculative Grade</v>
      </c>
    </row>
    <row r="736" spans="1:36" x14ac:dyDescent="0.3">
      <c r="A736" s="3" t="s">
        <v>49</v>
      </c>
      <c r="B736" s="3" t="s">
        <v>893</v>
      </c>
      <c r="C736" s="3" t="s">
        <v>894</v>
      </c>
      <c r="D736" s="3" t="s">
        <v>39</v>
      </c>
      <c r="E736" s="3" t="s">
        <v>804</v>
      </c>
      <c r="F736" s="3" t="s">
        <v>59</v>
      </c>
      <c r="G736" s="3">
        <v>1.2658715730000001</v>
      </c>
      <c r="H736" s="3">
        <v>0.94749472800000001</v>
      </c>
      <c r="I736" s="3">
        <v>0.31910406499999999</v>
      </c>
      <c r="J736" s="3">
        <v>47.91423571</v>
      </c>
      <c r="K736" s="3">
        <v>8.2101647E-2</v>
      </c>
      <c r="L736" s="3">
        <v>0.12323350199999999</v>
      </c>
      <c r="M736" s="3">
        <v>0.50294956599999996</v>
      </c>
      <c r="N736" s="3">
        <v>0.126053416</v>
      </c>
      <c r="O736" s="3">
        <v>7.1644745999999995E-2</v>
      </c>
      <c r="P736" s="3">
        <v>0.17598592900000001</v>
      </c>
      <c r="Q736" s="3">
        <v>0.21413475400000001</v>
      </c>
      <c r="R736" s="3">
        <v>0.87263470499999995</v>
      </c>
      <c r="S736" s="3">
        <v>9.267647942</v>
      </c>
      <c r="T736" s="3">
        <v>1.9888409840000001</v>
      </c>
      <c r="U736" s="3">
        <v>0.66542214700000002</v>
      </c>
      <c r="V736" s="3">
        <v>0.29694897399999998</v>
      </c>
      <c r="W736" s="3">
        <v>0.86024678099999996</v>
      </c>
      <c r="X736" s="3">
        <v>9.5676507789999992</v>
      </c>
      <c r="Y736" s="3">
        <v>26.787632160000001</v>
      </c>
      <c r="Z736" s="3">
        <v>2.9888409839999999</v>
      </c>
      <c r="AA736" s="3">
        <v>0.12323350199999999</v>
      </c>
      <c r="AB736" s="3">
        <v>10.07387145</v>
      </c>
      <c r="AC736" s="3">
        <v>11.121983820000001</v>
      </c>
      <c r="AD736" s="3">
        <v>0.12083495399999999</v>
      </c>
      <c r="AE736" s="3">
        <v>7.4550315989999998</v>
      </c>
      <c r="AF736" s="4">
        <v>42129</v>
      </c>
      <c r="AG736" s="5">
        <f>YEAR(AF736)</f>
        <v>2015</v>
      </c>
      <c r="AH736" s="5" t="str">
        <f>"Q"&amp;ROUNDUP(MONTH(AF736)/3,0)</f>
        <v>Q2</v>
      </c>
      <c r="AI736" s="5">
        <f>INDEX(RatingLookup!$B$2:$B$11,MATCH(A736,RatingLookup!$A$2:$A$11,0))</f>
        <v>9</v>
      </c>
      <c r="AJ736" s="5" t="str">
        <f>INDEX(RatingLookup!$C$2:$C$11,MATCH(A736,RatingLookup!$A$2:$A$11,0))</f>
        <v>Investment Grade</v>
      </c>
    </row>
    <row r="737" spans="1:36" x14ac:dyDescent="0.3">
      <c r="A737" s="3" t="s">
        <v>36</v>
      </c>
      <c r="B737" s="3" t="s">
        <v>893</v>
      </c>
      <c r="C737" s="3" t="s">
        <v>894</v>
      </c>
      <c r="D737" s="3" t="s">
        <v>39</v>
      </c>
      <c r="E737" s="3" t="s">
        <v>496</v>
      </c>
      <c r="F737" s="3" t="s">
        <v>59</v>
      </c>
      <c r="G737" s="3">
        <v>1.4667869440000001</v>
      </c>
      <c r="H737" s="3">
        <v>1.18771527</v>
      </c>
      <c r="I737" s="3">
        <v>0.434721994</v>
      </c>
      <c r="J737" s="3">
        <v>51.468063299999997</v>
      </c>
      <c r="K737" s="3">
        <v>7.5501313E-2</v>
      </c>
      <c r="L737" s="3">
        <v>0.11554231500000001</v>
      </c>
      <c r="M737" s="3">
        <v>0.51002626699999998</v>
      </c>
      <c r="N737" s="3">
        <v>0.118040874</v>
      </c>
      <c r="O737" s="3">
        <v>6.6491762999999995E-2</v>
      </c>
      <c r="P737" s="3">
        <v>0.155113099</v>
      </c>
      <c r="Q737" s="3">
        <v>0.162540514</v>
      </c>
      <c r="R737" s="3">
        <v>0.88067027799999997</v>
      </c>
      <c r="S737" s="3">
        <v>9.1414348459999992</v>
      </c>
      <c r="T737" s="3">
        <v>1.444521068</v>
      </c>
      <c r="U737" s="3">
        <v>0.59092191400000005</v>
      </c>
      <c r="V737" s="3">
        <v>0.31078458599999997</v>
      </c>
      <c r="W737" s="3">
        <v>0.85833869900000004</v>
      </c>
      <c r="X737" s="3">
        <v>7.6016355210000004</v>
      </c>
      <c r="Y737" s="3">
        <v>28.74421894</v>
      </c>
      <c r="Z737" s="3">
        <v>2.4445210679999998</v>
      </c>
      <c r="AA737" s="3">
        <v>0.11554231500000001</v>
      </c>
      <c r="AB737" s="3">
        <v>8.7744045889999995</v>
      </c>
      <c r="AC737" s="3">
        <v>8.8562190269999999</v>
      </c>
      <c r="AD737" s="3">
        <v>9.9493882000000006E-2</v>
      </c>
      <c r="AE737" s="3">
        <v>6.8042704629999999</v>
      </c>
      <c r="AF737" s="4">
        <v>41575</v>
      </c>
      <c r="AG737" s="5">
        <f>YEAR(AF737)</f>
        <v>2013</v>
      </c>
      <c r="AH737" s="5" t="str">
        <f>"Q"&amp;ROUNDUP(MONTH(AF737)/3,0)</f>
        <v>Q4</v>
      </c>
      <c r="AI737" s="5">
        <f>INDEX(RatingLookup!$B$2:$B$11,MATCH(A737,RatingLookup!$A$2:$A$11,0))</f>
        <v>8</v>
      </c>
      <c r="AJ737" s="5" t="str">
        <f>INDEX(RatingLookup!$C$2:$C$11,MATCH(A737,RatingLookup!$A$2:$A$11,0))</f>
        <v>Investment Grade</v>
      </c>
    </row>
    <row r="738" spans="1:36" x14ac:dyDescent="0.3">
      <c r="A738" s="3" t="s">
        <v>36</v>
      </c>
      <c r="B738" s="3" t="s">
        <v>893</v>
      </c>
      <c r="C738" s="3" t="s">
        <v>894</v>
      </c>
      <c r="D738" s="3" t="s">
        <v>60</v>
      </c>
      <c r="E738" s="3" t="s">
        <v>758</v>
      </c>
      <c r="F738" s="3" t="s">
        <v>59</v>
      </c>
      <c r="G738" s="3">
        <v>1.3549053360000001</v>
      </c>
      <c r="H738" s="3">
        <v>1.0726333910000001</v>
      </c>
      <c r="I738" s="3">
        <v>0.28364888100000002</v>
      </c>
      <c r="J738" s="3">
        <v>48.692920379999997</v>
      </c>
      <c r="K738" s="3">
        <v>-1.0535335E-2</v>
      </c>
      <c r="L738" s="3">
        <v>1.7167518E-2</v>
      </c>
      <c r="M738" s="3">
        <v>0.48503792099999998</v>
      </c>
      <c r="N738" s="3">
        <v>2.6433535000000001E-2</v>
      </c>
      <c r="O738" s="3">
        <v>-9.6767610000000007E-3</v>
      </c>
      <c r="P738" s="3">
        <v>2.3844153999999999E-2</v>
      </c>
      <c r="Q738" s="3">
        <v>-2.9148376E-2</v>
      </c>
      <c r="R738" s="3">
        <v>0.91850534800000005</v>
      </c>
      <c r="S738" s="3">
        <v>9.2603585069999994</v>
      </c>
      <c r="T738" s="3">
        <v>2.012203687</v>
      </c>
      <c r="U738" s="3">
        <v>0.66801713799999995</v>
      </c>
      <c r="V738" s="3">
        <v>1.6136783729999999</v>
      </c>
      <c r="W738" s="3">
        <v>0.83252698199999997</v>
      </c>
      <c r="X738" s="3">
        <v>6.3309051180000004</v>
      </c>
      <c r="Y738" s="3">
        <v>23.376520459999998</v>
      </c>
      <c r="Z738" s="3">
        <v>3.012203687</v>
      </c>
      <c r="AA738" s="3">
        <v>1.7167518E-2</v>
      </c>
      <c r="AB738" s="3">
        <v>19.20197301</v>
      </c>
      <c r="AC738" s="3">
        <v>7.6044443690000003</v>
      </c>
      <c r="AD738" s="3">
        <v>8.5266397999999993E-2</v>
      </c>
      <c r="AE738" s="3">
        <v>6.5727014989999999</v>
      </c>
      <c r="AF738" s="4">
        <v>41214</v>
      </c>
      <c r="AG738" s="5">
        <f>YEAR(AF738)</f>
        <v>2012</v>
      </c>
      <c r="AH738" s="5" t="str">
        <f>"Q"&amp;ROUNDUP(MONTH(AF738)/3,0)</f>
        <v>Q4</v>
      </c>
      <c r="AI738" s="5">
        <f>INDEX(RatingLookup!$B$2:$B$11,MATCH(A738,RatingLookup!$A$2:$A$11,0))</f>
        <v>8</v>
      </c>
      <c r="AJ738" s="5" t="str">
        <f>INDEX(RatingLookup!$C$2:$C$11,MATCH(A738,RatingLookup!$A$2:$A$11,0))</f>
        <v>Investment Grade</v>
      </c>
    </row>
    <row r="739" spans="1:36" x14ac:dyDescent="0.3">
      <c r="A739" s="3" t="s">
        <v>49</v>
      </c>
      <c r="B739" s="3" t="s">
        <v>893</v>
      </c>
      <c r="C739" s="3" t="s">
        <v>894</v>
      </c>
      <c r="D739" s="3" t="s">
        <v>39</v>
      </c>
      <c r="E739" s="3" t="s">
        <v>895</v>
      </c>
      <c r="F739" s="3" t="s">
        <v>59</v>
      </c>
      <c r="G739" s="3">
        <v>1.1708316590000001</v>
      </c>
      <c r="H739" s="3">
        <v>0.85078344699999997</v>
      </c>
      <c r="I739" s="3">
        <v>0.223784652</v>
      </c>
      <c r="J739" s="3">
        <v>39.969176009999998</v>
      </c>
      <c r="K739" s="3">
        <v>9.4219707999999999E-2</v>
      </c>
      <c r="L739" s="3">
        <v>0.13035050400000001</v>
      </c>
      <c r="M739" s="3">
        <v>0.495662398</v>
      </c>
      <c r="N739" s="3">
        <v>0.13276557899999999</v>
      </c>
      <c r="O739" s="3">
        <v>9.2664937000000003E-2</v>
      </c>
      <c r="P739" s="3">
        <v>0.209799509</v>
      </c>
      <c r="Q739" s="3">
        <v>0.27612218300000002</v>
      </c>
      <c r="R739" s="3">
        <v>0.98349845300000005</v>
      </c>
      <c r="S739" s="3">
        <v>9.0793421809999995</v>
      </c>
      <c r="T739" s="3">
        <v>1.9797913949999999</v>
      </c>
      <c r="U739" s="3">
        <v>0.66440603799999998</v>
      </c>
      <c r="V739" s="3">
        <v>0.27718186299999997</v>
      </c>
      <c r="W739" s="3">
        <v>0.77230892399999995</v>
      </c>
      <c r="X739" s="3">
        <v>6.0066041520000004</v>
      </c>
      <c r="Y739" s="3">
        <v>22.22754759</v>
      </c>
      <c r="Z739" s="3">
        <v>2.9797913949999999</v>
      </c>
      <c r="AA739" s="3">
        <v>0.13035050400000001</v>
      </c>
      <c r="AB739" s="3">
        <v>9.3553733930000007</v>
      </c>
      <c r="AC739" s="3">
        <v>7.777463097</v>
      </c>
      <c r="AD739" s="3">
        <v>7.9411484000000004E-2</v>
      </c>
      <c r="AE739" s="3">
        <v>8.0809572299999992</v>
      </c>
      <c r="AF739" s="4">
        <v>42220</v>
      </c>
      <c r="AG739" s="5">
        <f>YEAR(AF739)</f>
        <v>2015</v>
      </c>
      <c r="AH739" s="5" t="str">
        <f>"Q"&amp;ROUNDUP(MONTH(AF739)/3,0)</f>
        <v>Q3</v>
      </c>
      <c r="AI739" s="5">
        <f>INDEX(RatingLookup!$B$2:$B$11,MATCH(A739,RatingLookup!$A$2:$A$11,0))</f>
        <v>9</v>
      </c>
      <c r="AJ739" s="5" t="str">
        <f>INDEX(RatingLookup!$C$2:$C$11,MATCH(A739,RatingLookup!$A$2:$A$11,0))</f>
        <v>Investment Grade</v>
      </c>
    </row>
    <row r="740" spans="1:36" x14ac:dyDescent="0.3">
      <c r="A740" s="3" t="s">
        <v>36</v>
      </c>
      <c r="B740" s="3" t="s">
        <v>893</v>
      </c>
      <c r="C740" s="3" t="s">
        <v>894</v>
      </c>
      <c r="D740" s="3" t="s">
        <v>60</v>
      </c>
      <c r="E740" s="3" t="s">
        <v>896</v>
      </c>
      <c r="F740" s="3" t="s">
        <v>59</v>
      </c>
      <c r="G740" s="3">
        <v>1.2024754790000001</v>
      </c>
      <c r="H740" s="3">
        <v>0.87396855100000004</v>
      </c>
      <c r="I740" s="3">
        <v>0.18169079899999999</v>
      </c>
      <c r="J740" s="3">
        <v>42.03792301</v>
      </c>
      <c r="K740" s="3">
        <v>9.4249353999999994E-2</v>
      </c>
      <c r="L740" s="3">
        <v>0.13494721400000001</v>
      </c>
      <c r="M740" s="3">
        <v>0.50744745300000005</v>
      </c>
      <c r="N740" s="3">
        <v>0.13743501399999999</v>
      </c>
      <c r="O740" s="3">
        <v>8.9894135E-2</v>
      </c>
      <c r="P740" s="3">
        <v>0.211275342</v>
      </c>
      <c r="Q740" s="3">
        <v>0.26922376100000001</v>
      </c>
      <c r="R740" s="3">
        <v>0.95379046000000001</v>
      </c>
      <c r="S740" s="3">
        <v>9.0432650710000004</v>
      </c>
      <c r="T740" s="3">
        <v>1.994897959</v>
      </c>
      <c r="U740" s="3">
        <v>0.66609880700000001</v>
      </c>
      <c r="V740" s="3">
        <v>0.27629401999999997</v>
      </c>
      <c r="W740" s="3">
        <v>0.82165605100000005</v>
      </c>
      <c r="X740" s="3">
        <v>5.9270052870000001</v>
      </c>
      <c r="Y740" s="3">
        <v>24.994502919999999</v>
      </c>
      <c r="Z740" s="3">
        <v>2.9948979590000002</v>
      </c>
      <c r="AA740" s="3">
        <v>0.13494721400000001</v>
      </c>
      <c r="AB740" s="3">
        <v>11.999556220000001</v>
      </c>
      <c r="AC740" s="3">
        <v>7.2134870549999999</v>
      </c>
      <c r="AD740" s="3">
        <v>7.0104933999999994E-2</v>
      </c>
      <c r="AE740" s="3">
        <v>6.0847123720000003</v>
      </c>
      <c r="AF740" s="4">
        <v>42591</v>
      </c>
      <c r="AG740" s="5">
        <f>YEAR(AF740)</f>
        <v>2016</v>
      </c>
      <c r="AH740" s="5" t="str">
        <f>"Q"&amp;ROUNDUP(MONTH(AF740)/3,0)</f>
        <v>Q3</v>
      </c>
      <c r="AI740" s="5">
        <f>INDEX(RatingLookup!$B$2:$B$11,MATCH(A740,RatingLookup!$A$2:$A$11,0))</f>
        <v>8</v>
      </c>
      <c r="AJ740" s="5" t="str">
        <f>INDEX(RatingLookup!$C$2:$C$11,MATCH(A740,RatingLookup!$A$2:$A$11,0))</f>
        <v>Investment Grade</v>
      </c>
    </row>
    <row r="741" spans="1:36" x14ac:dyDescent="0.3">
      <c r="A741" s="3" t="s">
        <v>36</v>
      </c>
      <c r="B741" s="3" t="s">
        <v>893</v>
      </c>
      <c r="C741" s="3" t="s">
        <v>894</v>
      </c>
      <c r="D741" s="3" t="s">
        <v>60</v>
      </c>
      <c r="E741" s="3" t="s">
        <v>46</v>
      </c>
      <c r="F741" s="3" t="s">
        <v>59</v>
      </c>
      <c r="G741" s="3">
        <v>1.3789143109999999</v>
      </c>
      <c r="H741" s="3">
        <v>1.1008524</v>
      </c>
      <c r="I741" s="3">
        <v>0.237685061</v>
      </c>
      <c r="J741" s="3">
        <v>49.728555249999999</v>
      </c>
      <c r="K741" s="3">
        <v>7.7302077999999996E-2</v>
      </c>
      <c r="L741" s="3">
        <v>0.113780335</v>
      </c>
      <c r="M741" s="3">
        <v>0.47271781400000001</v>
      </c>
      <c r="N741" s="3">
        <v>0.117085412</v>
      </c>
      <c r="O741" s="3">
        <v>7.2413496999999993E-2</v>
      </c>
      <c r="P741" s="3">
        <v>0.156626506</v>
      </c>
      <c r="Q741" s="3">
        <v>0.19090084600000001</v>
      </c>
      <c r="R741" s="3">
        <v>0.93676002599999997</v>
      </c>
      <c r="S741" s="3">
        <v>9.9503654079999997</v>
      </c>
      <c r="T741" s="3">
        <v>1.6362605800000001</v>
      </c>
      <c r="U741" s="3">
        <v>0.62067482699999998</v>
      </c>
      <c r="V741" s="3">
        <v>0.31360946699999998</v>
      </c>
      <c r="W741" s="3">
        <v>0.85855466300000005</v>
      </c>
      <c r="X741" s="3">
        <v>7.6342795629999998</v>
      </c>
      <c r="Y741" s="3">
        <v>21.466605520000002</v>
      </c>
      <c r="Z741" s="3">
        <v>2.6362605800000001</v>
      </c>
      <c r="AA741" s="3">
        <v>0.113780335</v>
      </c>
      <c r="AB741" s="3">
        <v>5.991183339</v>
      </c>
      <c r="AC741" s="3">
        <v>8.8920133900000007</v>
      </c>
      <c r="AD741" s="3">
        <v>9.9091103999999999E-2</v>
      </c>
      <c r="AE741" s="3">
        <v>5.9516407600000001</v>
      </c>
      <c r="AF741" s="4">
        <v>41075</v>
      </c>
      <c r="AG741" s="5">
        <f>YEAR(AF741)</f>
        <v>2012</v>
      </c>
      <c r="AH741" s="5" t="str">
        <f>"Q"&amp;ROUNDUP(MONTH(AF741)/3,0)</f>
        <v>Q2</v>
      </c>
      <c r="AI741" s="5">
        <f>INDEX(RatingLookup!$B$2:$B$11,MATCH(A741,RatingLookup!$A$2:$A$11,0))</f>
        <v>8</v>
      </c>
      <c r="AJ741" s="5" t="str">
        <f>INDEX(RatingLookup!$C$2:$C$11,MATCH(A741,RatingLookup!$A$2:$A$11,0))</f>
        <v>Investment Grade</v>
      </c>
    </row>
    <row r="742" spans="1:36" x14ac:dyDescent="0.3">
      <c r="A742" s="3" t="s">
        <v>109</v>
      </c>
      <c r="B742" s="3" t="s">
        <v>897</v>
      </c>
      <c r="C742" s="3" t="s">
        <v>898</v>
      </c>
      <c r="D742" s="3" t="s">
        <v>47</v>
      </c>
      <c r="E742" s="3" t="s">
        <v>899</v>
      </c>
      <c r="F742" s="3" t="s">
        <v>174</v>
      </c>
      <c r="G742" s="3">
        <v>2.0246696040000001</v>
      </c>
      <c r="H742" s="3">
        <v>1.041409692</v>
      </c>
      <c r="I742" s="3">
        <v>7.4889867999999998E-2</v>
      </c>
      <c r="J742" s="3">
        <v>40.601215940000003</v>
      </c>
      <c r="K742" s="3">
        <v>3.3776200000000002E-4</v>
      </c>
      <c r="L742" s="3">
        <v>5.8545369999999999E-3</v>
      </c>
      <c r="M742" s="3">
        <v>0.28799819900000001</v>
      </c>
      <c r="N742" s="3">
        <v>6.9578924E-2</v>
      </c>
      <c r="O742" s="3">
        <v>4.9505000000000003E-4</v>
      </c>
      <c r="P742" s="3">
        <v>1.0558376E-2</v>
      </c>
      <c r="Q742" s="3">
        <v>-3.9473679999999997E-3</v>
      </c>
      <c r="R742" s="3">
        <v>1.4656765679999999</v>
      </c>
      <c r="S742" s="3">
        <v>23.87634409</v>
      </c>
      <c r="T742" s="3">
        <v>-8.9736842110000001</v>
      </c>
      <c r="U742" s="3">
        <v>1.125412541</v>
      </c>
      <c r="V742" s="3">
        <v>1.076923077</v>
      </c>
      <c r="W742" s="3">
        <v>0.59661016899999997</v>
      </c>
      <c r="X742" s="3">
        <v>9.0739399999999995E-4</v>
      </c>
      <c r="Y742" s="3">
        <v>1.0001960000000001E-3</v>
      </c>
      <c r="Z742" s="3">
        <v>-7.9736842110000001</v>
      </c>
      <c r="AA742" s="3">
        <v>5.8545369999999999E-3</v>
      </c>
      <c r="AB742" s="3">
        <v>6776.4129380000004</v>
      </c>
      <c r="AC742" s="3">
        <v>1.520916E-3</v>
      </c>
      <c r="AD742" s="3">
        <v>3.3213239999999998E-2</v>
      </c>
      <c r="AE742" s="3">
        <v>9.1918604649999995</v>
      </c>
      <c r="AF742" s="4">
        <v>42475</v>
      </c>
      <c r="AG742" s="5">
        <f>YEAR(AF742)</f>
        <v>2016</v>
      </c>
      <c r="AH742" s="5" t="str">
        <f>"Q"&amp;ROUNDUP(MONTH(AF742)/3,0)</f>
        <v>Q2</v>
      </c>
      <c r="AI742" s="5">
        <f>INDEX(RatingLookup!$B$2:$B$11,MATCH(A742,RatingLookup!$A$2:$A$11,0))</f>
        <v>5</v>
      </c>
      <c r="AJ742" s="5" t="str">
        <f>INDEX(RatingLookup!$C$2:$C$11,MATCH(A742,RatingLookup!$A$2:$A$11,0))</f>
        <v>Speculative Grade</v>
      </c>
    </row>
    <row r="743" spans="1:36" x14ac:dyDescent="0.3">
      <c r="A743" s="3" t="s">
        <v>109</v>
      </c>
      <c r="B743" s="3" t="s">
        <v>897</v>
      </c>
      <c r="C743" s="3" t="s">
        <v>898</v>
      </c>
      <c r="D743" s="3" t="s">
        <v>47</v>
      </c>
      <c r="E743" s="3" t="s">
        <v>900</v>
      </c>
      <c r="F743" s="3" t="s">
        <v>174</v>
      </c>
      <c r="G743" s="3">
        <v>2.2766934559999998</v>
      </c>
      <c r="H743" s="3">
        <v>1.345579793</v>
      </c>
      <c r="I743" s="3">
        <v>0.30884041299999998</v>
      </c>
      <c r="J743" s="3">
        <v>40.264618300000002</v>
      </c>
      <c r="K743" s="3">
        <v>0.199242014</v>
      </c>
      <c r="L743" s="3">
        <v>3.2620466000000001E-2</v>
      </c>
      <c r="M743" s="3">
        <v>0.33243096900000002</v>
      </c>
      <c r="N743" s="3">
        <v>9.9621006999999998E-2</v>
      </c>
      <c r="O743" s="3">
        <v>0.244680851</v>
      </c>
      <c r="P743" s="3">
        <v>4.6841594E-2</v>
      </c>
      <c r="Q743" s="3">
        <v>1.9784946240000001</v>
      </c>
      <c r="R743" s="3">
        <v>1.228058511</v>
      </c>
      <c r="S743" s="3">
        <v>22.662576690000002</v>
      </c>
      <c r="T743" s="3">
        <v>7.0860215049999997</v>
      </c>
      <c r="U743" s="3">
        <v>0.87632978699999997</v>
      </c>
      <c r="V743" s="3">
        <v>-4.5020746889999996</v>
      </c>
      <c r="W743" s="3">
        <v>0.796208531</v>
      </c>
      <c r="X743" s="3">
        <v>1.7054889999999999E-3</v>
      </c>
      <c r="Y743" s="3">
        <v>1.812082E-3</v>
      </c>
      <c r="Z743" s="3">
        <v>8.0860215049999997</v>
      </c>
      <c r="AA743" s="3">
        <v>3.2620466000000001E-2</v>
      </c>
      <c r="AB743" s="3">
        <v>6438.074149</v>
      </c>
      <c r="AC743" s="3">
        <v>2.142012E-3</v>
      </c>
      <c r="AD743" s="3">
        <v>5.7119652999999999E-2</v>
      </c>
      <c r="AE743" s="3">
        <v>9.7086614170000001</v>
      </c>
      <c r="AF743" s="4">
        <v>42725</v>
      </c>
      <c r="AG743" s="5">
        <f>YEAR(AF743)</f>
        <v>2016</v>
      </c>
      <c r="AH743" s="5" t="str">
        <f>"Q"&amp;ROUNDUP(MONTH(AF743)/3,0)</f>
        <v>Q4</v>
      </c>
      <c r="AI743" s="5">
        <f>INDEX(RatingLookup!$B$2:$B$11,MATCH(A743,RatingLookup!$A$2:$A$11,0))</f>
        <v>5</v>
      </c>
      <c r="AJ743" s="5" t="str">
        <f>INDEX(RatingLookup!$C$2:$C$11,MATCH(A743,RatingLookup!$A$2:$A$11,0))</f>
        <v>Speculative Grade</v>
      </c>
    </row>
    <row r="744" spans="1:36" x14ac:dyDescent="0.3">
      <c r="A744" s="3" t="s">
        <v>42</v>
      </c>
      <c r="B744" s="3" t="s">
        <v>901</v>
      </c>
      <c r="C744" s="3" t="s">
        <v>902</v>
      </c>
      <c r="D744" s="3" t="s">
        <v>39</v>
      </c>
      <c r="E744" s="3" t="s">
        <v>903</v>
      </c>
      <c r="F744" s="3" t="s">
        <v>59</v>
      </c>
      <c r="G744" s="3">
        <v>1.348526959</v>
      </c>
      <c r="H744" s="3">
        <v>0.74819344099999996</v>
      </c>
      <c r="I744" s="3">
        <v>0.156753752</v>
      </c>
      <c r="J744" s="3">
        <v>46.123515439999998</v>
      </c>
      <c r="K744" s="3">
        <v>2.6840855E-2</v>
      </c>
      <c r="L744" s="3">
        <v>4.7624702999999997E-2</v>
      </c>
      <c r="M744" s="3">
        <v>1</v>
      </c>
      <c r="N744" s="3">
        <v>4.7624702999999997E-2</v>
      </c>
      <c r="O744" s="3">
        <v>5.6359102000000001E-2</v>
      </c>
      <c r="P744" s="3">
        <v>0.181365898</v>
      </c>
      <c r="Q744" s="3">
        <v>0.45472836999999999</v>
      </c>
      <c r="R744" s="3">
        <v>2.0997506229999998</v>
      </c>
      <c r="S744" s="3">
        <v>6.9129720849999998</v>
      </c>
      <c r="T744" s="3">
        <v>7.0684104630000002</v>
      </c>
      <c r="U744" s="3">
        <v>0.87605984999999997</v>
      </c>
      <c r="V744" s="3">
        <v>0.32668329200000001</v>
      </c>
      <c r="W744" s="3">
        <v>3.8123166999999999E-2</v>
      </c>
      <c r="X744" s="3">
        <v>0.21404806700000001</v>
      </c>
      <c r="Y744" s="3">
        <v>4.6431965269999997</v>
      </c>
      <c r="Z744" s="3">
        <v>8.0684104629999993</v>
      </c>
      <c r="AA744" s="3">
        <v>4.7624702999999997E-2</v>
      </c>
      <c r="AB744" s="3">
        <v>6.5187904950000002</v>
      </c>
      <c r="AC744" s="3">
        <v>5.6146454449999998</v>
      </c>
      <c r="AD744" s="3">
        <v>4.0498812000000002E-2</v>
      </c>
      <c r="AE744" s="3">
        <v>2.471574344</v>
      </c>
      <c r="AF744" s="4">
        <v>42039</v>
      </c>
      <c r="AG744" s="5">
        <f>YEAR(AF744)</f>
        <v>2015</v>
      </c>
      <c r="AH744" s="5" t="str">
        <f>"Q"&amp;ROUNDUP(MONTH(AF744)/3,0)</f>
        <v>Q1</v>
      </c>
      <c r="AI744" s="5">
        <f>INDEX(RatingLookup!$B$2:$B$11,MATCH(A744,RatingLookup!$A$2:$A$11,0))</f>
        <v>7</v>
      </c>
      <c r="AJ744" s="5" t="str">
        <f>INDEX(RatingLookup!$C$2:$C$11,MATCH(A744,RatingLookup!$A$2:$A$11,0))</f>
        <v>Investment Grade</v>
      </c>
    </row>
    <row r="745" spans="1:36" x14ac:dyDescent="0.3">
      <c r="A745" s="3" t="s">
        <v>42</v>
      </c>
      <c r="B745" s="3" t="s">
        <v>901</v>
      </c>
      <c r="C745" s="3" t="s">
        <v>902</v>
      </c>
      <c r="D745" s="3" t="s">
        <v>39</v>
      </c>
      <c r="E745" s="3" t="s">
        <v>193</v>
      </c>
      <c r="F745" s="3" t="s">
        <v>59</v>
      </c>
      <c r="G745" s="3">
        <v>1.245919478</v>
      </c>
      <c r="H745" s="3">
        <v>0.71599564699999996</v>
      </c>
      <c r="I745" s="3">
        <v>0.14961915100000001</v>
      </c>
      <c r="J745" s="3">
        <v>47.710321450000002</v>
      </c>
      <c r="K745" s="3">
        <v>2.2978403000000001E-2</v>
      </c>
      <c r="L745" s="3">
        <v>4.3194375E-2</v>
      </c>
      <c r="M745" s="3">
        <v>1</v>
      </c>
      <c r="N745" s="3">
        <v>4.3194375E-2</v>
      </c>
      <c r="O745" s="3">
        <v>4.7780679E-2</v>
      </c>
      <c r="P745" s="3">
        <v>0.172690763</v>
      </c>
      <c r="Q745" s="3">
        <v>0.42263279399999998</v>
      </c>
      <c r="R745" s="3">
        <v>2.0793733680000002</v>
      </c>
      <c r="S745" s="3">
        <v>6.7778723400000001</v>
      </c>
      <c r="T745" s="3">
        <v>7.8452655890000003</v>
      </c>
      <c r="U745" s="3">
        <v>0.88694516999999995</v>
      </c>
      <c r="V745" s="3">
        <v>0.35465116299999999</v>
      </c>
      <c r="W745" s="3">
        <v>0.514910537</v>
      </c>
      <c r="X745" s="3">
        <v>4.2827974480000002</v>
      </c>
      <c r="Y745" s="3">
        <v>4.5473718080000003</v>
      </c>
      <c r="Z745" s="3">
        <v>8.8452655890000003</v>
      </c>
      <c r="AA745" s="3">
        <v>4.3194375E-2</v>
      </c>
      <c r="AB745" s="3">
        <v>7.5912767539999999</v>
      </c>
      <c r="AC745" s="3">
        <v>8.3175564340000001</v>
      </c>
      <c r="AD745" s="3">
        <v>6.3159216000000004E-2</v>
      </c>
      <c r="AE745" s="3">
        <v>4.955114054</v>
      </c>
      <c r="AF745" s="4">
        <v>41486</v>
      </c>
      <c r="AG745" s="5">
        <f>YEAR(AF745)</f>
        <v>2013</v>
      </c>
      <c r="AH745" s="5" t="str">
        <f>"Q"&amp;ROUNDUP(MONTH(AF745)/3,0)</f>
        <v>Q3</v>
      </c>
      <c r="AI745" s="5">
        <f>INDEX(RatingLookup!$B$2:$B$11,MATCH(A745,RatingLookup!$A$2:$A$11,0))</f>
        <v>7</v>
      </c>
      <c r="AJ745" s="5" t="str">
        <f>INDEX(RatingLookup!$C$2:$C$11,MATCH(A745,RatingLookup!$A$2:$A$11,0))</f>
        <v>Investment Grade</v>
      </c>
    </row>
    <row r="746" spans="1:36" x14ac:dyDescent="0.3">
      <c r="A746" s="3" t="s">
        <v>36</v>
      </c>
      <c r="B746" s="3" t="s">
        <v>901</v>
      </c>
      <c r="C746" s="3" t="s">
        <v>902</v>
      </c>
      <c r="D746" s="3" t="s">
        <v>39</v>
      </c>
      <c r="E746" s="3" t="s">
        <v>340</v>
      </c>
      <c r="F746" s="3" t="s">
        <v>59</v>
      </c>
      <c r="G746" s="3">
        <v>1.2881828319999999</v>
      </c>
      <c r="H746" s="3">
        <v>0.77424749199999998</v>
      </c>
      <c r="I746" s="3">
        <v>0.159977703</v>
      </c>
      <c r="J746" s="3">
        <v>48.998660010000002</v>
      </c>
      <c r="K746" s="3">
        <v>3.0088927000000001E-2</v>
      </c>
      <c r="L746" s="3">
        <v>5.5061517999999997E-2</v>
      </c>
      <c r="M746" s="3">
        <v>0.16615909400000001</v>
      </c>
      <c r="N746" s="3">
        <v>5.5061517999999997E-2</v>
      </c>
      <c r="O746" s="3">
        <v>6.2263674999999997E-2</v>
      </c>
      <c r="P746" s="3">
        <v>0.208007363</v>
      </c>
      <c r="Q746" s="3">
        <v>0.57043879900000005</v>
      </c>
      <c r="R746" s="3">
        <v>2.0693219059999999</v>
      </c>
      <c r="S746" s="3">
        <v>6.6041834269999997</v>
      </c>
      <c r="T746" s="3">
        <v>8.1616628179999999</v>
      </c>
      <c r="U746" s="3">
        <v>0.89084950799999996</v>
      </c>
      <c r="V746" s="3">
        <v>0.32964601799999999</v>
      </c>
      <c r="W746" s="3">
        <v>0.44680851100000002</v>
      </c>
      <c r="X746" s="3">
        <v>3.8707531070000001</v>
      </c>
      <c r="Y746" s="3">
        <v>4.8091174969999999</v>
      </c>
      <c r="Z746" s="3">
        <v>9.1616628179999999</v>
      </c>
      <c r="AA746" s="3">
        <v>5.5061517999999997E-2</v>
      </c>
      <c r="AB746" s="3">
        <v>4.8905468499999998</v>
      </c>
      <c r="AC746" s="3">
        <v>8.6631140969999993</v>
      </c>
      <c r="AD746" s="3">
        <v>6.2979655999999995E-2</v>
      </c>
      <c r="AE746" s="3">
        <v>4.9745639529999996</v>
      </c>
      <c r="AF746" s="4">
        <v>42306</v>
      </c>
      <c r="AG746" s="5">
        <f>YEAR(AF746)</f>
        <v>2015</v>
      </c>
      <c r="AH746" s="5" t="str">
        <f>"Q"&amp;ROUNDUP(MONTH(AF746)/3,0)</f>
        <v>Q4</v>
      </c>
      <c r="AI746" s="5">
        <f>INDEX(RatingLookup!$B$2:$B$11,MATCH(A746,RatingLookup!$A$2:$A$11,0))</f>
        <v>8</v>
      </c>
      <c r="AJ746" s="5" t="str">
        <f>INDEX(RatingLookup!$C$2:$C$11,MATCH(A746,RatingLookup!$A$2:$A$11,0))</f>
        <v>Investment Grade</v>
      </c>
    </row>
    <row r="747" spans="1:36" x14ac:dyDescent="0.3">
      <c r="A747" s="3" t="s">
        <v>42</v>
      </c>
      <c r="B747" s="3" t="s">
        <v>901</v>
      </c>
      <c r="C747" s="3" t="s">
        <v>902</v>
      </c>
      <c r="D747" s="3" t="s">
        <v>47</v>
      </c>
      <c r="E747" s="3" t="s">
        <v>610</v>
      </c>
      <c r="F747" s="3" t="s">
        <v>59</v>
      </c>
      <c r="G747" s="3">
        <v>1.3188038520000001</v>
      </c>
      <c r="H747" s="3">
        <v>0.82057780000000002</v>
      </c>
      <c r="I747" s="3">
        <v>0.17587430300000001</v>
      </c>
      <c r="J747" s="3">
        <v>53.992324689999997</v>
      </c>
      <c r="K747" s="3">
        <v>4.1400162999999997E-2</v>
      </c>
      <c r="L747" s="3">
        <v>4.9308059000000001E-2</v>
      </c>
      <c r="M747" s="3">
        <v>0.17164786600000001</v>
      </c>
      <c r="N747" s="3">
        <v>4.9308059000000001E-2</v>
      </c>
      <c r="O747" s="3">
        <v>8.1914403999999996E-2</v>
      </c>
      <c r="P747" s="3">
        <v>0.17867678000000001</v>
      </c>
      <c r="Q747" s="3">
        <v>0.621291449</v>
      </c>
      <c r="R747" s="3">
        <v>1.9786010119999999</v>
      </c>
      <c r="S747" s="3">
        <v>6.336772292</v>
      </c>
      <c r="T747" s="3">
        <v>6.5846422340000004</v>
      </c>
      <c r="U747" s="3">
        <v>0.86815462499999996</v>
      </c>
      <c r="V747" s="3">
        <v>-0.22405660399999999</v>
      </c>
      <c r="W747" s="3">
        <v>0.33537832299999998</v>
      </c>
      <c r="X747" s="3">
        <v>2.931757883</v>
      </c>
      <c r="Y747" s="3">
        <v>6.203170643</v>
      </c>
      <c r="Z747" s="3">
        <v>7.5846422340000004</v>
      </c>
      <c r="AA747" s="3">
        <v>4.9308059000000001E-2</v>
      </c>
      <c r="AB747" s="3">
        <v>7.4487009119999996</v>
      </c>
      <c r="AC747" s="3">
        <v>8.7416439310000005</v>
      </c>
      <c r="AD747" s="3">
        <v>5.6867078000000001E-2</v>
      </c>
      <c r="AE747" s="3">
        <v>4.7455029980000001</v>
      </c>
      <c r="AF747" s="4">
        <v>42718</v>
      </c>
      <c r="AG747" s="5">
        <f>YEAR(AF747)</f>
        <v>2016</v>
      </c>
      <c r="AH747" s="5" t="str">
        <f>"Q"&amp;ROUNDUP(MONTH(AF747)/3,0)</f>
        <v>Q4</v>
      </c>
      <c r="AI747" s="5">
        <f>INDEX(RatingLookup!$B$2:$B$11,MATCH(A747,RatingLookup!$A$2:$A$11,0))</f>
        <v>7</v>
      </c>
      <c r="AJ747" s="5" t="str">
        <f>INDEX(RatingLookup!$C$2:$C$11,MATCH(A747,RatingLookup!$A$2:$A$11,0))</f>
        <v>Investment Grade</v>
      </c>
    </row>
    <row r="748" spans="1:36" x14ac:dyDescent="0.3">
      <c r="A748" s="3" t="s">
        <v>42</v>
      </c>
      <c r="B748" s="3" t="s">
        <v>904</v>
      </c>
      <c r="C748" s="3" t="s">
        <v>905</v>
      </c>
      <c r="D748" s="3" t="s">
        <v>47</v>
      </c>
      <c r="E748" s="3" t="s">
        <v>906</v>
      </c>
      <c r="F748" s="3" t="s">
        <v>174</v>
      </c>
      <c r="G748" s="3">
        <v>1.326402225</v>
      </c>
      <c r="H748" s="3">
        <v>0.88947751799999997</v>
      </c>
      <c r="I748" s="3">
        <v>0.284683134</v>
      </c>
      <c r="J748" s="3">
        <v>136.55913319999999</v>
      </c>
      <c r="K748" s="3">
        <v>6.7633444000000001E-2</v>
      </c>
      <c r="L748" s="3">
        <v>5.3500471000000001E-2</v>
      </c>
      <c r="M748" s="3">
        <v>0.27417967300000001</v>
      </c>
      <c r="N748" s="3">
        <v>0.1876613</v>
      </c>
      <c r="O748" s="3">
        <v>1.0329984E-2</v>
      </c>
      <c r="P748" s="3">
        <v>3.1362929999999997E-2</v>
      </c>
      <c r="Q748" s="3">
        <v>6.2412581000000002E-2</v>
      </c>
      <c r="R748" s="3">
        <v>0.15273484900000001</v>
      </c>
      <c r="S748" s="3">
        <v>0.538327526</v>
      </c>
      <c r="T748" s="3">
        <v>3.4074774130000001</v>
      </c>
      <c r="U748" s="3">
        <v>0.56397582400000001</v>
      </c>
      <c r="V748" s="3">
        <v>-0.26416539100000003</v>
      </c>
      <c r="W748" s="3">
        <v>1.2069412909999999</v>
      </c>
      <c r="X748" s="3">
        <v>3.7666840239999999</v>
      </c>
      <c r="Y748" s="3">
        <v>4.3517803329999998</v>
      </c>
      <c r="Z748" s="3">
        <v>6.0418856080000003</v>
      </c>
      <c r="AA748" s="3">
        <v>0.18594076400000001</v>
      </c>
      <c r="AB748" s="3">
        <v>14.478141109999999</v>
      </c>
      <c r="AC748" s="3">
        <v>3.1208510739999999</v>
      </c>
      <c r="AD748" s="3">
        <v>0.12629552299999999</v>
      </c>
      <c r="AE748" s="3">
        <v>1.4870331510000001</v>
      </c>
      <c r="AF748" s="4">
        <v>42633</v>
      </c>
      <c r="AG748" s="5">
        <f>YEAR(AF748)</f>
        <v>2016</v>
      </c>
      <c r="AH748" s="5" t="str">
        <f>"Q"&amp;ROUNDUP(MONTH(AF748)/3,0)</f>
        <v>Q3</v>
      </c>
      <c r="AI748" s="5">
        <f>INDEX(RatingLookup!$B$2:$B$11,MATCH(A748,RatingLookup!$A$2:$A$11,0))</f>
        <v>7</v>
      </c>
      <c r="AJ748" s="5" t="str">
        <f>INDEX(RatingLookup!$C$2:$C$11,MATCH(A748,RatingLookup!$A$2:$A$11,0))</f>
        <v>Investment Grade</v>
      </c>
    </row>
    <row r="749" spans="1:36" x14ac:dyDescent="0.3">
      <c r="A749" s="3" t="s">
        <v>36</v>
      </c>
      <c r="B749" s="3" t="s">
        <v>907</v>
      </c>
      <c r="C749" s="3" t="s">
        <v>908</v>
      </c>
      <c r="D749" s="3" t="s">
        <v>39</v>
      </c>
      <c r="E749" s="3" t="s">
        <v>909</v>
      </c>
      <c r="F749" s="3" t="s">
        <v>66</v>
      </c>
      <c r="G749" s="3">
        <v>2.794919315</v>
      </c>
      <c r="H749" s="3">
        <v>1.4962918119999999</v>
      </c>
      <c r="I749" s="3">
        <v>0.67155241499999996</v>
      </c>
      <c r="J749" s="3">
        <v>40.44942176</v>
      </c>
      <c r="K749" s="3">
        <v>9.6186947999999994E-2</v>
      </c>
      <c r="L749" s="3">
        <v>0.14507249</v>
      </c>
      <c r="M749" s="3">
        <v>0.42916817600000001</v>
      </c>
      <c r="N749" s="3">
        <v>0.15555611599999999</v>
      </c>
      <c r="O749" s="3">
        <v>0.102712489</v>
      </c>
      <c r="P749" s="3">
        <v>0.18185379300000001</v>
      </c>
      <c r="Q749" s="3">
        <v>0.22283468400000001</v>
      </c>
      <c r="R749" s="3">
        <v>1.067842269</v>
      </c>
      <c r="S749" s="3">
        <v>5.1374548009999996</v>
      </c>
      <c r="T749" s="3">
        <v>1.1694994190000001</v>
      </c>
      <c r="U749" s="3">
        <v>0.53906417699999998</v>
      </c>
      <c r="V749" s="3">
        <v>0.371679808</v>
      </c>
      <c r="W749" s="3">
        <v>0.62479923299999995</v>
      </c>
      <c r="X749" s="3">
        <v>3.1281794650000001</v>
      </c>
      <c r="Y749" s="3">
        <v>3.7373080239999998</v>
      </c>
      <c r="Z749" s="3">
        <v>2.1694994190000001</v>
      </c>
      <c r="AA749" s="3">
        <v>0.14507249</v>
      </c>
      <c r="AB749" s="3">
        <v>12.550846809999999</v>
      </c>
      <c r="AC749" s="3">
        <v>5.0066954270000004</v>
      </c>
      <c r="AD749" s="3">
        <v>0.12961598799999999</v>
      </c>
      <c r="AE749" s="3">
        <v>23.315563789999999</v>
      </c>
      <c r="AF749" s="4">
        <v>42278</v>
      </c>
      <c r="AG749" s="5">
        <f>YEAR(AF749)</f>
        <v>2015</v>
      </c>
      <c r="AH749" s="5" t="str">
        <f>"Q"&amp;ROUNDUP(MONTH(AF749)/3,0)</f>
        <v>Q4</v>
      </c>
      <c r="AI749" s="5">
        <f>INDEX(RatingLookup!$B$2:$B$11,MATCH(A749,RatingLookup!$A$2:$A$11,0))</f>
        <v>8</v>
      </c>
      <c r="AJ749" s="5" t="str">
        <f>INDEX(RatingLookup!$C$2:$C$11,MATCH(A749,RatingLookup!$A$2:$A$11,0))</f>
        <v>Investment Grade</v>
      </c>
    </row>
    <row r="750" spans="1:36" x14ac:dyDescent="0.3">
      <c r="A750" s="3" t="s">
        <v>36</v>
      </c>
      <c r="B750" s="3" t="s">
        <v>907</v>
      </c>
      <c r="C750" s="3" t="s">
        <v>908</v>
      </c>
      <c r="D750" s="3" t="s">
        <v>39</v>
      </c>
      <c r="E750" s="3" t="s">
        <v>910</v>
      </c>
      <c r="F750" s="3" t="s">
        <v>66</v>
      </c>
      <c r="G750" s="3">
        <v>2.865564462</v>
      </c>
      <c r="H750" s="3">
        <v>1.6304466849999999</v>
      </c>
      <c r="I750" s="3">
        <v>0.81457347800000002</v>
      </c>
      <c r="J750" s="3">
        <v>40.769666010000002</v>
      </c>
      <c r="K750" s="3">
        <v>8.2262185000000002E-2</v>
      </c>
      <c r="L750" s="3">
        <v>0.130765726</v>
      </c>
      <c r="M750" s="3">
        <v>0.42057668500000001</v>
      </c>
      <c r="N750" s="3">
        <v>0.124567974</v>
      </c>
      <c r="O750" s="3">
        <v>8.3909473999999998E-2</v>
      </c>
      <c r="P750" s="3">
        <v>0.15531606000000001</v>
      </c>
      <c r="Q750" s="3">
        <v>0.170755243</v>
      </c>
      <c r="R750" s="3">
        <v>1.0200248649999999</v>
      </c>
      <c r="S750" s="3">
        <v>5.3193892270000003</v>
      </c>
      <c r="T750" s="3">
        <v>1.0349936019999999</v>
      </c>
      <c r="U750" s="3">
        <v>0.50859796400000001</v>
      </c>
      <c r="V750" s="3">
        <v>0.39215014300000001</v>
      </c>
      <c r="W750" s="3">
        <v>0.76054700200000003</v>
      </c>
      <c r="X750" s="3">
        <v>3.841173978</v>
      </c>
      <c r="Y750" s="3">
        <v>4.3111890150000001</v>
      </c>
      <c r="Z750" s="3">
        <v>2.0349936020000001</v>
      </c>
      <c r="AA750" s="3">
        <v>0.130765726</v>
      </c>
      <c r="AB750" s="3">
        <v>11.13175652</v>
      </c>
      <c r="AC750" s="3">
        <v>5.0505412160000001</v>
      </c>
      <c r="AD750" s="3">
        <v>0.13356636899999999</v>
      </c>
      <c r="AE750" s="3">
        <v>17.574638499999999</v>
      </c>
      <c r="AF750" s="4">
        <v>41913</v>
      </c>
      <c r="AG750" s="5">
        <f>YEAR(AF750)</f>
        <v>2014</v>
      </c>
      <c r="AH750" s="5" t="str">
        <f>"Q"&amp;ROUNDUP(MONTH(AF750)/3,0)</f>
        <v>Q4</v>
      </c>
      <c r="AI750" s="5">
        <f>INDEX(RatingLookup!$B$2:$B$11,MATCH(A750,RatingLookup!$A$2:$A$11,0))</f>
        <v>8</v>
      </c>
      <c r="AJ750" s="5" t="str">
        <f>INDEX(RatingLookup!$C$2:$C$11,MATCH(A750,RatingLookup!$A$2:$A$11,0))</f>
        <v>Investment Grade</v>
      </c>
    </row>
    <row r="751" spans="1:36" x14ac:dyDescent="0.3">
      <c r="A751" s="3" t="s">
        <v>36</v>
      </c>
      <c r="B751" s="3" t="s">
        <v>907</v>
      </c>
      <c r="C751" s="3" t="s">
        <v>908</v>
      </c>
      <c r="D751" s="3" t="s">
        <v>39</v>
      </c>
      <c r="E751" s="3" t="s">
        <v>911</v>
      </c>
      <c r="F751" s="3" t="s">
        <v>66</v>
      </c>
      <c r="G751" s="3">
        <v>2.9210039980000002</v>
      </c>
      <c r="H751" s="3">
        <v>1.5352679339999999</v>
      </c>
      <c r="I751" s="3">
        <v>0.63329294400000002</v>
      </c>
      <c r="J751" s="3">
        <v>41.945812910000001</v>
      </c>
      <c r="K751" s="3">
        <v>7.3078678999999994E-2</v>
      </c>
      <c r="L751" s="3">
        <v>0.115814053</v>
      </c>
      <c r="M751" s="3">
        <v>0.41401112200000001</v>
      </c>
      <c r="N751" s="3">
        <v>0.130942847</v>
      </c>
      <c r="O751" s="3">
        <v>7.2588290999999999E-2</v>
      </c>
      <c r="P751" s="3">
        <v>0.13192356699999999</v>
      </c>
      <c r="Q751" s="3">
        <v>0.14328555400000001</v>
      </c>
      <c r="R751" s="3">
        <v>0.993289584</v>
      </c>
      <c r="S751" s="3">
        <v>4.3746405959999999</v>
      </c>
      <c r="T751" s="3">
        <v>0.97394857700000004</v>
      </c>
      <c r="U751" s="3">
        <v>0.49340118999999999</v>
      </c>
      <c r="V751" s="3">
        <v>0.36899989599999999</v>
      </c>
      <c r="W751" s="3">
        <v>0.64452879100000005</v>
      </c>
      <c r="X751" s="3">
        <v>2.8741004870000002</v>
      </c>
      <c r="Y751" s="3">
        <v>2.8877424249999999</v>
      </c>
      <c r="Z751" s="3">
        <v>1.973948577</v>
      </c>
      <c r="AA751" s="3">
        <v>0.115814053</v>
      </c>
      <c r="AB751" s="3">
        <v>8.7489454379999998</v>
      </c>
      <c r="AC751" s="3">
        <v>4.4592274679999999</v>
      </c>
      <c r="AD751" s="3">
        <v>0.128055534</v>
      </c>
      <c r="AE751" s="3">
        <v>20.899156399999999</v>
      </c>
      <c r="AF751" s="4">
        <v>41556</v>
      </c>
      <c r="AG751" s="5">
        <f>YEAR(AF751)</f>
        <v>2013</v>
      </c>
      <c r="AH751" s="5" t="str">
        <f>"Q"&amp;ROUNDUP(MONTH(AF751)/3,0)</f>
        <v>Q4</v>
      </c>
      <c r="AI751" s="5">
        <f>INDEX(RatingLookup!$B$2:$B$11,MATCH(A751,RatingLookup!$A$2:$A$11,0))</f>
        <v>8</v>
      </c>
      <c r="AJ751" s="5" t="str">
        <f>INDEX(RatingLookup!$C$2:$C$11,MATCH(A751,RatingLookup!$A$2:$A$11,0))</f>
        <v>Investment Grade</v>
      </c>
    </row>
    <row r="752" spans="1:36" x14ac:dyDescent="0.3">
      <c r="A752" s="3" t="s">
        <v>36</v>
      </c>
      <c r="B752" s="3" t="s">
        <v>912</v>
      </c>
      <c r="C752" s="3" t="s">
        <v>913</v>
      </c>
      <c r="D752" s="3" t="s">
        <v>39</v>
      </c>
      <c r="E752" s="3" t="s">
        <v>315</v>
      </c>
      <c r="F752" s="3" t="s">
        <v>79</v>
      </c>
      <c r="G752" s="3">
        <v>0.55822842399999995</v>
      </c>
      <c r="H752" s="3">
        <v>0.35666849499999997</v>
      </c>
      <c r="I752" s="3">
        <v>2.9411976999999999E-2</v>
      </c>
      <c r="J752" s="3">
        <v>11740.53831</v>
      </c>
      <c r="K752" s="3">
        <v>39.72744908</v>
      </c>
      <c r="L752" s="3">
        <v>56.65033948</v>
      </c>
      <c r="M752" s="3">
        <v>1</v>
      </c>
      <c r="N752" s="3">
        <v>70.897672159999999</v>
      </c>
      <c r="O752" s="3">
        <v>2.53314E-2</v>
      </c>
      <c r="P752" s="3">
        <v>3.9506721000000002E-2</v>
      </c>
      <c r="Q752" s="3">
        <v>8.0585280999999995E-2</v>
      </c>
      <c r="R752" s="3">
        <v>6.3763000000000003E-4</v>
      </c>
      <c r="S752" s="3">
        <v>9.0183199999999998E-4</v>
      </c>
      <c r="T752" s="3">
        <v>2.1812406420000001</v>
      </c>
      <c r="U752" s="3">
        <v>0.68565722900000003</v>
      </c>
      <c r="V752" s="3">
        <v>0.29872531299999999</v>
      </c>
      <c r="W752" s="3">
        <v>-0.14102590100000001</v>
      </c>
      <c r="X752" s="3">
        <v>-0.86373710999999997</v>
      </c>
      <c r="Y752" s="3">
        <v>0.806803508</v>
      </c>
      <c r="Z752" s="3">
        <v>3.1812406420000001</v>
      </c>
      <c r="AA752" s="3">
        <v>56.65033948</v>
      </c>
      <c r="AB752" s="3">
        <v>9.8252083809999995</v>
      </c>
      <c r="AC752" s="3">
        <v>6.1246700369999996</v>
      </c>
      <c r="AD752" s="3">
        <v>119.62706110000001</v>
      </c>
      <c r="AE752" s="3">
        <v>3.1411517560000002</v>
      </c>
      <c r="AF752" s="4">
        <v>42338</v>
      </c>
      <c r="AG752" s="5">
        <f>YEAR(AF752)</f>
        <v>2015</v>
      </c>
      <c r="AH752" s="5" t="str">
        <f>"Q"&amp;ROUNDUP(MONTH(AF752)/3,0)</f>
        <v>Q4</v>
      </c>
      <c r="AI752" s="5">
        <f>INDEX(RatingLookup!$B$2:$B$11,MATCH(A752,RatingLookup!$A$2:$A$11,0))</f>
        <v>8</v>
      </c>
      <c r="AJ752" s="5" t="str">
        <f>INDEX(RatingLookup!$C$2:$C$11,MATCH(A752,RatingLookup!$A$2:$A$11,0))</f>
        <v>Investment Grade</v>
      </c>
    </row>
    <row r="753" spans="1:36" x14ac:dyDescent="0.3">
      <c r="A753" s="3" t="s">
        <v>36</v>
      </c>
      <c r="B753" s="3" t="s">
        <v>912</v>
      </c>
      <c r="C753" s="3" t="s">
        <v>913</v>
      </c>
      <c r="D753" s="3" t="s">
        <v>39</v>
      </c>
      <c r="E753" s="3" t="s">
        <v>126</v>
      </c>
      <c r="F753" s="3" t="s">
        <v>79</v>
      </c>
      <c r="G753" s="3">
        <v>1.300090167</v>
      </c>
      <c r="H753" s="3">
        <v>0.87108244499999998</v>
      </c>
      <c r="I753" s="3">
        <v>0.186093861</v>
      </c>
      <c r="J753" s="3">
        <v>26240.64906</v>
      </c>
      <c r="K753" s="3">
        <v>97.451045100000002</v>
      </c>
      <c r="L753" s="3">
        <v>145.4763476</v>
      </c>
      <c r="M753" s="3">
        <v>1</v>
      </c>
      <c r="N753" s="3">
        <v>182.21672169999999</v>
      </c>
      <c r="O753" s="3">
        <v>3.1792477999999999E-2</v>
      </c>
      <c r="P753" s="3">
        <v>4.9924379999999997E-2</v>
      </c>
      <c r="Q753" s="3">
        <v>9.3854526999999993E-2</v>
      </c>
      <c r="R753" s="3">
        <v>3.2624100000000001E-4</v>
      </c>
      <c r="S753" s="3">
        <v>4.8806400000000002E-4</v>
      </c>
      <c r="T753" s="3">
        <v>1.952098517</v>
      </c>
      <c r="U753" s="3">
        <v>0.66125791700000003</v>
      </c>
      <c r="V753" s="3">
        <v>0.33012447299999997</v>
      </c>
      <c r="W753" s="3">
        <v>4.0666734000000003E-2</v>
      </c>
      <c r="X753" s="3">
        <v>0.25088126300000002</v>
      </c>
      <c r="Y753" s="3">
        <v>1.3571868629999999</v>
      </c>
      <c r="Z753" s="3">
        <v>2.952098517</v>
      </c>
      <c r="AA753" s="3">
        <v>145.4763476</v>
      </c>
      <c r="AB753" s="3">
        <v>8.0358503589999994</v>
      </c>
      <c r="AC753" s="3">
        <v>6.1692011640000004</v>
      </c>
      <c r="AD753" s="3">
        <v>272.24972500000001</v>
      </c>
      <c r="AE753" s="3">
        <v>3.6696820130000001</v>
      </c>
      <c r="AF753" s="4">
        <v>41803</v>
      </c>
      <c r="AG753" s="5">
        <f>YEAR(AF753)</f>
        <v>2014</v>
      </c>
      <c r="AH753" s="5" t="str">
        <f>"Q"&amp;ROUNDUP(MONTH(AF753)/3,0)</f>
        <v>Q2</v>
      </c>
      <c r="AI753" s="5">
        <f>INDEX(RatingLookup!$B$2:$B$11,MATCH(A753,RatingLookup!$A$2:$A$11,0))</f>
        <v>8</v>
      </c>
      <c r="AJ753" s="5" t="str">
        <f>INDEX(RatingLookup!$C$2:$C$11,MATCH(A753,RatingLookup!$A$2:$A$11,0))</f>
        <v>Investment Grade</v>
      </c>
    </row>
    <row r="754" spans="1:36" x14ac:dyDescent="0.3">
      <c r="A754" s="3" t="s">
        <v>36</v>
      </c>
      <c r="B754" s="3" t="s">
        <v>912</v>
      </c>
      <c r="C754" s="3" t="s">
        <v>913</v>
      </c>
      <c r="D754" s="3" t="s">
        <v>39</v>
      </c>
      <c r="E754" s="3" t="s">
        <v>914</v>
      </c>
      <c r="F754" s="3" t="s">
        <v>79</v>
      </c>
      <c r="G754" s="3">
        <v>1.1084058530000001</v>
      </c>
      <c r="H754" s="3">
        <v>0.79032506899999999</v>
      </c>
      <c r="I754" s="3">
        <v>0.23143952600000001</v>
      </c>
      <c r="J754" s="3">
        <v>6374.2883439999996</v>
      </c>
      <c r="K754" s="3">
        <v>22.436319019999999</v>
      </c>
      <c r="L754" s="3">
        <v>32.519263799999997</v>
      </c>
      <c r="M754" s="3">
        <v>1</v>
      </c>
      <c r="N754" s="3">
        <v>37.095214720000001</v>
      </c>
      <c r="O754" s="3">
        <v>2.9885258000000001E-2</v>
      </c>
      <c r="P754" s="3">
        <v>4.5944031000000003E-2</v>
      </c>
      <c r="Q754" s="3">
        <v>9.2890656000000002E-2</v>
      </c>
      <c r="R754" s="3">
        <v>1.3320039999999999E-3</v>
      </c>
      <c r="S754" s="3">
        <v>2.0763449999999998E-3</v>
      </c>
      <c r="T754" s="3">
        <v>2.1082434010000002</v>
      </c>
      <c r="U754" s="3">
        <v>0.67827487399999997</v>
      </c>
      <c r="V754" s="3">
        <v>0.31006067199999998</v>
      </c>
      <c r="W754" s="3">
        <v>-0.138645517</v>
      </c>
      <c r="X754" s="3">
        <v>-0.83944185400000004</v>
      </c>
      <c r="Y754" s="3">
        <v>1.670747556</v>
      </c>
      <c r="Z754" s="3">
        <v>3.1082434010000002</v>
      </c>
      <c r="AA754" s="3">
        <v>32.519263799999997</v>
      </c>
      <c r="AB754" s="3">
        <v>9.1617026490000004</v>
      </c>
      <c r="AC754" s="3">
        <v>6.0545906919999997</v>
      </c>
      <c r="AD754" s="3">
        <v>59.715337419999997</v>
      </c>
      <c r="AE754" s="3">
        <v>3.1828383759999999</v>
      </c>
      <c r="AF754" s="4">
        <v>41991</v>
      </c>
      <c r="AG754" s="5">
        <f>YEAR(AF754)</f>
        <v>2014</v>
      </c>
      <c r="AH754" s="5" t="str">
        <f>"Q"&amp;ROUNDUP(MONTH(AF754)/3,0)</f>
        <v>Q4</v>
      </c>
      <c r="AI754" s="5">
        <f>INDEX(RatingLookup!$B$2:$B$11,MATCH(A754,RatingLookup!$A$2:$A$11,0))</f>
        <v>8</v>
      </c>
      <c r="AJ754" s="5" t="str">
        <f>INDEX(RatingLookup!$C$2:$C$11,MATCH(A754,RatingLookup!$A$2:$A$11,0))</f>
        <v>Investment Grade</v>
      </c>
    </row>
    <row r="755" spans="1:36" x14ac:dyDescent="0.3">
      <c r="A755" s="3" t="s">
        <v>36</v>
      </c>
      <c r="B755" s="3" t="s">
        <v>915</v>
      </c>
      <c r="C755" s="3" t="s">
        <v>916</v>
      </c>
      <c r="D755" s="3" t="s">
        <v>39</v>
      </c>
      <c r="E755" s="3" t="s">
        <v>264</v>
      </c>
      <c r="F755" s="3" t="s">
        <v>59</v>
      </c>
      <c r="G755" s="3">
        <v>1.6316423040000001</v>
      </c>
      <c r="H755" s="3">
        <v>1.347377472</v>
      </c>
      <c r="I755" s="3">
        <v>0.88564058499999998</v>
      </c>
      <c r="J755" s="3">
        <v>39.739872669999997</v>
      </c>
      <c r="K755" s="3">
        <v>7.9153319E-2</v>
      </c>
      <c r="L755" s="3">
        <v>7.9153319E-2</v>
      </c>
      <c r="M755" s="3">
        <v>0.56923887900000003</v>
      </c>
      <c r="N755" s="3">
        <v>0.12663720000000001</v>
      </c>
      <c r="O755" s="3">
        <v>7.3992645999999995E-2</v>
      </c>
      <c r="P755" s="3">
        <v>9.4913936000000004E-2</v>
      </c>
      <c r="Q755" s="3">
        <v>0.183804143</v>
      </c>
      <c r="R755" s="3">
        <v>0.93480156199999997</v>
      </c>
      <c r="S755" s="3">
        <v>8.7886671419999995</v>
      </c>
      <c r="T755" s="3">
        <v>1.4840866290000001</v>
      </c>
      <c r="U755" s="3">
        <v>0.59743754999999998</v>
      </c>
      <c r="V755" s="3">
        <v>0.46670082000000002</v>
      </c>
      <c r="W755" s="3">
        <v>0.85340314100000003</v>
      </c>
      <c r="X755" s="3">
        <v>9.2290940769999992</v>
      </c>
      <c r="Y755" s="3">
        <v>22.430313590000001</v>
      </c>
      <c r="Z755" s="3">
        <v>2.4840866290000001</v>
      </c>
      <c r="AA755" s="3">
        <v>7.9153319E-2</v>
      </c>
      <c r="AB755" s="3">
        <v>7.4024875620000001</v>
      </c>
      <c r="AC755" s="3">
        <v>10.81445993</v>
      </c>
      <c r="AD755" s="3">
        <v>0.100685293</v>
      </c>
      <c r="AE755" s="3">
        <v>8.6436126929999997</v>
      </c>
      <c r="AF755" s="4">
        <v>41771</v>
      </c>
      <c r="AG755" s="5">
        <f>YEAR(AF755)</f>
        <v>2014</v>
      </c>
      <c r="AH755" s="5" t="str">
        <f>"Q"&amp;ROUNDUP(MONTH(AF755)/3,0)</f>
        <v>Q2</v>
      </c>
      <c r="AI755" s="5">
        <f>INDEX(RatingLookup!$B$2:$B$11,MATCH(A755,RatingLookup!$A$2:$A$11,0))</f>
        <v>8</v>
      </c>
      <c r="AJ755" s="5" t="str">
        <f>INDEX(RatingLookup!$C$2:$C$11,MATCH(A755,RatingLookup!$A$2:$A$11,0))</f>
        <v>Investment Grade</v>
      </c>
    </row>
    <row r="756" spans="1:36" x14ac:dyDescent="0.3">
      <c r="A756" s="3" t="s">
        <v>42</v>
      </c>
      <c r="B756" s="3" t="s">
        <v>915</v>
      </c>
      <c r="C756" s="3" t="s">
        <v>916</v>
      </c>
      <c r="D756" s="3" t="s">
        <v>44</v>
      </c>
      <c r="E756" s="3" t="s">
        <v>379</v>
      </c>
      <c r="F756" s="3" t="s">
        <v>59</v>
      </c>
      <c r="G756" s="3">
        <v>1.385733157</v>
      </c>
      <c r="H756" s="3">
        <v>1.1096433290000001</v>
      </c>
      <c r="I756" s="3">
        <v>0.63771466300000001</v>
      </c>
      <c r="J756" s="3">
        <v>41.366087720000003</v>
      </c>
      <c r="K756" s="3">
        <v>7.8436038E-2</v>
      </c>
      <c r="L756" s="3">
        <v>0.11757474800000001</v>
      </c>
      <c r="M756" s="3">
        <v>0.58700134800000003</v>
      </c>
      <c r="N756" s="3">
        <v>0.124117694</v>
      </c>
      <c r="O756" s="3">
        <v>7.4520588999999998E-2</v>
      </c>
      <c r="P756" s="3">
        <v>0.14472592400000001</v>
      </c>
      <c r="Q756" s="3">
        <v>0.20790414099999999</v>
      </c>
      <c r="R756" s="3">
        <v>0.95008100100000004</v>
      </c>
      <c r="S756" s="3">
        <v>8.7350190510000001</v>
      </c>
      <c r="T756" s="3">
        <v>1.7898885849999999</v>
      </c>
      <c r="U756" s="3">
        <v>0.64156274700000004</v>
      </c>
      <c r="V756" s="3">
        <v>0.33288364199999998</v>
      </c>
      <c r="W756" s="3">
        <v>0.87462121199999998</v>
      </c>
      <c r="X756" s="3">
        <v>9.2880128719999995</v>
      </c>
      <c r="Y756" s="3">
        <v>15.53499598</v>
      </c>
      <c r="Z756" s="3">
        <v>2.7898885849999999</v>
      </c>
      <c r="AA756" s="3">
        <v>0.11757474800000001</v>
      </c>
      <c r="AB756" s="3">
        <v>4.5508582420000003</v>
      </c>
      <c r="AC756" s="3">
        <v>10.619469029999999</v>
      </c>
      <c r="AD756" s="3">
        <v>0.104687128</v>
      </c>
      <c r="AE756" s="3">
        <v>7.48204023</v>
      </c>
      <c r="AF756" s="4">
        <v>41423</v>
      </c>
      <c r="AG756" s="5">
        <f>YEAR(AF756)</f>
        <v>2013</v>
      </c>
      <c r="AH756" s="5" t="str">
        <f>"Q"&amp;ROUNDUP(MONTH(AF756)/3,0)</f>
        <v>Q2</v>
      </c>
      <c r="AI756" s="5">
        <f>INDEX(RatingLookup!$B$2:$B$11,MATCH(A756,RatingLookup!$A$2:$A$11,0))</f>
        <v>7</v>
      </c>
      <c r="AJ756" s="5" t="str">
        <f>INDEX(RatingLookup!$C$2:$C$11,MATCH(A756,RatingLookup!$A$2:$A$11,0))</f>
        <v>Investment Grade</v>
      </c>
    </row>
    <row r="757" spans="1:36" x14ac:dyDescent="0.3">
      <c r="A757" s="3" t="s">
        <v>36</v>
      </c>
      <c r="B757" s="3" t="s">
        <v>915</v>
      </c>
      <c r="C757" s="3" t="s">
        <v>916</v>
      </c>
      <c r="D757" s="3" t="s">
        <v>39</v>
      </c>
      <c r="E757" s="3" t="s">
        <v>917</v>
      </c>
      <c r="F757" s="3" t="s">
        <v>59</v>
      </c>
      <c r="G757" s="3">
        <v>1.389002037</v>
      </c>
      <c r="H757" s="3">
        <v>1.1318737270000001</v>
      </c>
      <c r="I757" s="3">
        <v>0.65563475900000001</v>
      </c>
      <c r="J757" s="3">
        <v>42.711956299999997</v>
      </c>
      <c r="K757" s="3">
        <v>8.6283832000000005E-2</v>
      </c>
      <c r="L757" s="3">
        <v>0.122482172</v>
      </c>
      <c r="M757" s="3">
        <v>0.56499436999999997</v>
      </c>
      <c r="N757" s="3">
        <v>0.13328329</v>
      </c>
      <c r="O757" s="3">
        <v>7.7863917000000005E-2</v>
      </c>
      <c r="P757" s="3">
        <v>0.142021277</v>
      </c>
      <c r="Q757" s="3">
        <v>0.28597097399999999</v>
      </c>
      <c r="R757" s="3">
        <v>0.90241607700000004</v>
      </c>
      <c r="S757" s="3">
        <v>8.0170511530000006</v>
      </c>
      <c r="T757" s="3">
        <v>2.6727021419999999</v>
      </c>
      <c r="U757" s="3">
        <v>0.72772090899999997</v>
      </c>
      <c r="V757" s="3">
        <v>0.29553966599999998</v>
      </c>
      <c r="W757" s="3">
        <v>0.78364828399999997</v>
      </c>
      <c r="X757" s="3">
        <v>9.7318007659999992</v>
      </c>
      <c r="Y757" s="3">
        <v>18.500957849999999</v>
      </c>
      <c r="Z757" s="3">
        <v>3.6727021419999999</v>
      </c>
      <c r="AA757" s="3">
        <v>0.122482172</v>
      </c>
      <c r="AB757" s="3">
        <v>9.5232804810000005</v>
      </c>
      <c r="AC757" s="3">
        <v>12.41858238</v>
      </c>
      <c r="AD757" s="3">
        <v>0.108136286</v>
      </c>
      <c r="AE757" s="3">
        <v>7.9931034480000003</v>
      </c>
      <c r="AF757" s="4">
        <v>42135</v>
      </c>
      <c r="AG757" s="5">
        <f>YEAR(AF757)</f>
        <v>2015</v>
      </c>
      <c r="AH757" s="5" t="str">
        <f>"Q"&amp;ROUNDUP(MONTH(AF757)/3,0)</f>
        <v>Q2</v>
      </c>
      <c r="AI757" s="5">
        <f>INDEX(RatingLookup!$B$2:$B$11,MATCH(A757,RatingLookup!$A$2:$A$11,0))</f>
        <v>8</v>
      </c>
      <c r="AJ757" s="5" t="str">
        <f>INDEX(RatingLookup!$C$2:$C$11,MATCH(A757,RatingLookup!$A$2:$A$11,0))</f>
        <v>Investment Grade</v>
      </c>
    </row>
    <row r="758" spans="1:36" x14ac:dyDescent="0.3">
      <c r="A758" s="3" t="s">
        <v>36</v>
      </c>
      <c r="B758" s="3" t="s">
        <v>915</v>
      </c>
      <c r="C758" s="3" t="s">
        <v>916</v>
      </c>
      <c r="D758" s="3" t="s">
        <v>39</v>
      </c>
      <c r="E758" s="3" t="s">
        <v>604</v>
      </c>
      <c r="F758" s="3" t="s">
        <v>59</v>
      </c>
      <c r="G758" s="3">
        <v>1.160711013</v>
      </c>
      <c r="H758" s="3">
        <v>0.94557449100000002</v>
      </c>
      <c r="I758" s="3">
        <v>0.42495876900000001</v>
      </c>
      <c r="J758" s="3">
        <v>44.07740372</v>
      </c>
      <c r="K758" s="3">
        <v>8.4587264999999995E-2</v>
      </c>
      <c r="L758" s="3">
        <v>0.118592196</v>
      </c>
      <c r="M758" s="3">
        <v>0.56078381399999999</v>
      </c>
      <c r="N758" s="3">
        <v>0.130748959</v>
      </c>
      <c r="O758" s="3">
        <v>8.1377279999999996E-2</v>
      </c>
      <c r="P758" s="3">
        <v>0.14686529500000001</v>
      </c>
      <c r="Q758" s="3">
        <v>0.36037667499999998</v>
      </c>
      <c r="R758" s="3">
        <v>0.96205119800000005</v>
      </c>
      <c r="S758" s="3">
        <v>7.6781984330000004</v>
      </c>
      <c r="T758" s="3">
        <v>3.428467946</v>
      </c>
      <c r="U758" s="3">
        <v>0.77418827199999996</v>
      </c>
      <c r="V758" s="3">
        <v>0.286738351</v>
      </c>
      <c r="W758" s="3">
        <v>0.78214616100000001</v>
      </c>
      <c r="X758" s="3">
        <v>8.9281942979999993</v>
      </c>
      <c r="Y758" s="3">
        <v>12.24392819</v>
      </c>
      <c r="Z758" s="3">
        <v>4.4284679459999996</v>
      </c>
      <c r="AA758" s="3">
        <v>0.118592196</v>
      </c>
      <c r="AB758" s="3">
        <v>11.0802608</v>
      </c>
      <c r="AC758" s="3">
        <v>11.414994719999999</v>
      </c>
      <c r="AD758" s="3">
        <v>9.1898325000000003E-2</v>
      </c>
      <c r="AE758" s="3">
        <v>8.0600624019999998</v>
      </c>
      <c r="AF758" s="4">
        <v>42263</v>
      </c>
      <c r="AG758" s="5">
        <f>YEAR(AF758)</f>
        <v>2015</v>
      </c>
      <c r="AH758" s="5" t="str">
        <f>"Q"&amp;ROUNDUP(MONTH(AF758)/3,0)</f>
        <v>Q3</v>
      </c>
      <c r="AI758" s="5">
        <f>INDEX(RatingLookup!$B$2:$B$11,MATCH(A758,RatingLookup!$A$2:$A$11,0))</f>
        <v>8</v>
      </c>
      <c r="AJ758" s="5" t="str">
        <f>INDEX(RatingLookup!$C$2:$C$11,MATCH(A758,RatingLookup!$A$2:$A$11,0))</f>
        <v>Investment Grade</v>
      </c>
    </row>
    <row r="759" spans="1:36" x14ac:dyDescent="0.3">
      <c r="A759" s="3" t="s">
        <v>42</v>
      </c>
      <c r="B759" s="3" t="s">
        <v>915</v>
      </c>
      <c r="C759" s="3" t="s">
        <v>916</v>
      </c>
      <c r="D759" s="3" t="s">
        <v>60</v>
      </c>
      <c r="E759" s="3" t="s">
        <v>688</v>
      </c>
      <c r="F759" s="3" t="s">
        <v>59</v>
      </c>
      <c r="G759" s="3">
        <v>1.217761989</v>
      </c>
      <c r="H759" s="3">
        <v>1.037300178</v>
      </c>
      <c r="I759" s="3">
        <v>0.45133214900000002</v>
      </c>
      <c r="J759" s="3">
        <v>49.132324140000001</v>
      </c>
      <c r="K759" s="3">
        <v>8.9766606999999998E-2</v>
      </c>
      <c r="L759" s="3">
        <v>0.119267178</v>
      </c>
      <c r="M759" s="3">
        <v>0.55108535999999997</v>
      </c>
      <c r="N759" s="3">
        <v>0.13028398899999999</v>
      </c>
      <c r="O759" s="3">
        <v>8.5890528999999993E-2</v>
      </c>
      <c r="P759" s="3">
        <v>0.146267014</v>
      </c>
      <c r="Q759" s="3">
        <v>0.41833048099999998</v>
      </c>
      <c r="R759" s="3">
        <v>0.95682048900000005</v>
      </c>
      <c r="S759" s="3">
        <v>6.8305462649999997</v>
      </c>
      <c r="T759" s="3">
        <v>3.8705077010000002</v>
      </c>
      <c r="U759" s="3">
        <v>0.79468259500000005</v>
      </c>
      <c r="V759" s="3">
        <v>0.24734861399999999</v>
      </c>
      <c r="W759" s="3">
        <v>0.67294703199999995</v>
      </c>
      <c r="X759" s="3">
        <v>10.58133035</v>
      </c>
      <c r="Y759" s="3">
        <v>14.203465619999999</v>
      </c>
      <c r="Z759" s="3">
        <v>4.8705077010000002</v>
      </c>
      <c r="AA759" s="3">
        <v>0.119267178</v>
      </c>
      <c r="AB759" s="3">
        <v>12.491907919999999</v>
      </c>
      <c r="AC759" s="3">
        <v>15.723868080000001</v>
      </c>
      <c r="AD759" s="3">
        <v>0.114778848</v>
      </c>
      <c r="AE759" s="3">
        <v>7.0797940800000001</v>
      </c>
      <c r="AF759" s="4">
        <v>42702</v>
      </c>
      <c r="AG759" s="5">
        <f>YEAR(AF759)</f>
        <v>2016</v>
      </c>
      <c r="AH759" s="5" t="str">
        <f>"Q"&amp;ROUNDUP(MONTH(AF759)/3,0)</f>
        <v>Q4</v>
      </c>
      <c r="AI759" s="5">
        <f>INDEX(RatingLookup!$B$2:$B$11,MATCH(A759,RatingLookup!$A$2:$A$11,0))</f>
        <v>7</v>
      </c>
      <c r="AJ759" s="5" t="str">
        <f>INDEX(RatingLookup!$C$2:$C$11,MATCH(A759,RatingLookup!$A$2:$A$11,0))</f>
        <v>Investment Grade</v>
      </c>
    </row>
    <row r="760" spans="1:36" x14ac:dyDescent="0.3">
      <c r="A760" s="3" t="s">
        <v>42</v>
      </c>
      <c r="B760" s="3" t="s">
        <v>918</v>
      </c>
      <c r="C760" s="3" t="s">
        <v>919</v>
      </c>
      <c r="D760" s="3" t="s">
        <v>60</v>
      </c>
      <c r="E760" s="3" t="s">
        <v>228</v>
      </c>
      <c r="F760" s="3" t="s">
        <v>59</v>
      </c>
      <c r="G760" s="3">
        <v>2.3874925789999999</v>
      </c>
      <c r="H760" s="3">
        <v>1.175341381</v>
      </c>
      <c r="I760" s="3">
        <v>0.25648129800000002</v>
      </c>
      <c r="J760" s="3">
        <v>57.768687110000002</v>
      </c>
      <c r="K760" s="3">
        <v>-2.4649236000000001E-2</v>
      </c>
      <c r="L760" s="3">
        <v>-6.6009817999999998E-2</v>
      </c>
      <c r="M760" s="3">
        <v>0.27639870500000002</v>
      </c>
      <c r="N760" s="3">
        <v>-5.2710370999999999E-2</v>
      </c>
      <c r="O760" s="3">
        <v>-2.5419165000000001E-2</v>
      </c>
      <c r="P760" s="3">
        <v>-8.3157894999999996E-2</v>
      </c>
      <c r="Q760" s="3">
        <v>-5.3454134E-2</v>
      </c>
      <c r="R760" s="3">
        <v>1.031235414</v>
      </c>
      <c r="S760" s="3">
        <v>3.6928516330000001</v>
      </c>
      <c r="T760" s="3">
        <v>1.102906757</v>
      </c>
      <c r="U760" s="3">
        <v>0.52446774100000004</v>
      </c>
      <c r="V760" s="3">
        <v>0.641350211</v>
      </c>
      <c r="W760" s="3">
        <v>0.71824973299999995</v>
      </c>
      <c r="X760" s="3">
        <v>3.1808382900000001</v>
      </c>
      <c r="Y760" s="3">
        <v>1.64595384</v>
      </c>
      <c r="Z760" s="3">
        <v>2.102906757</v>
      </c>
      <c r="AA760" s="3">
        <v>-6.6009817999999998E-2</v>
      </c>
      <c r="AB760" s="3">
        <v>-131.70260709999999</v>
      </c>
      <c r="AC760" s="3">
        <v>4.4285965489999999</v>
      </c>
      <c r="AD760" s="3">
        <v>0.13048776200000001</v>
      </c>
      <c r="AE760" s="3">
        <v>13.014402</v>
      </c>
      <c r="AF760" s="4">
        <v>42247</v>
      </c>
      <c r="AG760" s="5">
        <f>YEAR(AF760)</f>
        <v>2015</v>
      </c>
      <c r="AH760" s="5" t="str">
        <f>"Q"&amp;ROUNDUP(MONTH(AF760)/3,0)</f>
        <v>Q3</v>
      </c>
      <c r="AI760" s="5">
        <f>INDEX(RatingLookup!$B$2:$B$11,MATCH(A760,RatingLookup!$A$2:$A$11,0))</f>
        <v>7</v>
      </c>
      <c r="AJ760" s="5" t="str">
        <f>INDEX(RatingLookup!$C$2:$C$11,MATCH(A760,RatingLookup!$A$2:$A$11,0))</f>
        <v>Investment Grade</v>
      </c>
    </row>
    <row r="761" spans="1:36" x14ac:dyDescent="0.3">
      <c r="A761" s="3" t="s">
        <v>42</v>
      </c>
      <c r="B761" s="3" t="s">
        <v>918</v>
      </c>
      <c r="C761" s="3" t="s">
        <v>919</v>
      </c>
      <c r="D761" s="3" t="s">
        <v>60</v>
      </c>
      <c r="E761" s="3" t="s">
        <v>920</v>
      </c>
      <c r="F761" s="3" t="s">
        <v>59</v>
      </c>
      <c r="G761" s="3">
        <v>2.7761333829999999</v>
      </c>
      <c r="H761" s="3">
        <v>1.4291869610000001</v>
      </c>
      <c r="I761" s="3">
        <v>0.52229299399999995</v>
      </c>
      <c r="J761" s="3">
        <v>56.443176649999998</v>
      </c>
      <c r="K761" s="3">
        <v>5.5523047999999998E-2</v>
      </c>
      <c r="L761" s="3">
        <v>6.6315583999999997E-2</v>
      </c>
      <c r="M761" s="3">
        <v>0.291918601</v>
      </c>
      <c r="N761" s="3">
        <v>6.7745920000000001E-2</v>
      </c>
      <c r="O761" s="3">
        <v>5.6906776999999999E-2</v>
      </c>
      <c r="P761" s="3">
        <v>8.2671421999999994E-2</v>
      </c>
      <c r="Q761" s="3">
        <v>0.10836188300000001</v>
      </c>
      <c r="R761" s="3">
        <v>1.024921703</v>
      </c>
      <c r="S761" s="3">
        <v>3.9413196670000001</v>
      </c>
      <c r="T761" s="3">
        <v>0.90419997500000004</v>
      </c>
      <c r="U761" s="3">
        <v>0.47484507199999998</v>
      </c>
      <c r="V761" s="3">
        <v>0.26813725500000002</v>
      </c>
      <c r="W761" s="3">
        <v>0.58697068399999996</v>
      </c>
      <c r="X761" s="3">
        <v>1.99408315</v>
      </c>
      <c r="Y761" s="3">
        <v>3.1781391829999999</v>
      </c>
      <c r="Z761" s="3">
        <v>1.904199975</v>
      </c>
      <c r="AA761" s="3">
        <v>6.6315583999999997E-2</v>
      </c>
      <c r="AB761" s="3">
        <v>10.65073186</v>
      </c>
      <c r="AC761" s="3">
        <v>3.3972448790000001</v>
      </c>
      <c r="AD761" s="3">
        <v>9.9798452999999995E-2</v>
      </c>
      <c r="AE761" s="3">
        <v>15.13690063</v>
      </c>
      <c r="AF761" s="4">
        <v>41864</v>
      </c>
      <c r="AG761" s="5">
        <f>YEAR(AF761)</f>
        <v>2014</v>
      </c>
      <c r="AH761" s="5" t="str">
        <f>"Q"&amp;ROUNDUP(MONTH(AF761)/3,0)</f>
        <v>Q3</v>
      </c>
      <c r="AI761" s="5">
        <f>INDEX(RatingLookup!$B$2:$B$11,MATCH(A761,RatingLookup!$A$2:$A$11,0))</f>
        <v>7</v>
      </c>
      <c r="AJ761" s="5" t="str">
        <f>INDEX(RatingLookup!$C$2:$C$11,MATCH(A761,RatingLookup!$A$2:$A$11,0))</f>
        <v>Investment Grade</v>
      </c>
    </row>
    <row r="762" spans="1:36" x14ac:dyDescent="0.3">
      <c r="A762" s="3" t="s">
        <v>42</v>
      </c>
      <c r="B762" s="3" t="s">
        <v>921</v>
      </c>
      <c r="C762" s="3" t="s">
        <v>922</v>
      </c>
      <c r="D762" s="3" t="s">
        <v>39</v>
      </c>
      <c r="E762" s="3" t="s">
        <v>685</v>
      </c>
      <c r="F762" s="3" t="s">
        <v>113</v>
      </c>
      <c r="G762" s="3">
        <v>1.718563034</v>
      </c>
      <c r="H762" s="3">
        <v>1.0547687349999999</v>
      </c>
      <c r="I762" s="3">
        <v>0.114736528</v>
      </c>
      <c r="J762" s="3">
        <v>0.79745133999999995</v>
      </c>
      <c r="K762" s="3">
        <v>3.4784857000000002E-2</v>
      </c>
      <c r="L762" s="3">
        <v>5.9128977999999999E-2</v>
      </c>
      <c r="M762" s="3">
        <v>0.23038114800000001</v>
      </c>
      <c r="N762" s="3">
        <v>5.9128977999999999E-2</v>
      </c>
      <c r="O762" s="3">
        <v>4.1403367000000003E-2</v>
      </c>
      <c r="P762" s="3">
        <v>0.100852889</v>
      </c>
      <c r="Q762" s="3">
        <v>0.10596133000000001</v>
      </c>
      <c r="R762" s="3">
        <v>1.1902698780000001</v>
      </c>
      <c r="S762" s="3">
        <v>37.995216790000001</v>
      </c>
      <c r="T762" s="3">
        <v>1.5592442470000001</v>
      </c>
      <c r="U762" s="3">
        <v>0.60925964700000002</v>
      </c>
      <c r="V762" s="3">
        <v>0.41390993799999998</v>
      </c>
      <c r="W762" s="3">
        <v>0.78790846800000003</v>
      </c>
      <c r="X762" s="3">
        <v>9.6219644800000008</v>
      </c>
      <c r="Y762" s="3">
        <v>71.109459950000002</v>
      </c>
      <c r="Z762" s="3">
        <v>2.5592442470000001</v>
      </c>
      <c r="AA762" s="3">
        <v>5.9128977999999999E-2</v>
      </c>
      <c r="AB762" s="3">
        <v>9.5487658789999994</v>
      </c>
      <c r="AC762" s="3">
        <v>12.21203335</v>
      </c>
      <c r="AD762" s="3">
        <v>4.5608677E-2</v>
      </c>
      <c r="AE762" s="3">
        <v>15.56900707</v>
      </c>
      <c r="AF762" s="4">
        <v>41857</v>
      </c>
      <c r="AG762" s="5">
        <f>YEAR(AF762)</f>
        <v>2014</v>
      </c>
      <c r="AH762" s="5" t="str">
        <f>"Q"&amp;ROUNDUP(MONTH(AF762)/3,0)</f>
        <v>Q3</v>
      </c>
      <c r="AI762" s="5">
        <f>INDEX(RatingLookup!$B$2:$B$11,MATCH(A762,RatingLookup!$A$2:$A$11,0))</f>
        <v>7</v>
      </c>
      <c r="AJ762" s="5" t="str">
        <f>INDEX(RatingLookup!$C$2:$C$11,MATCH(A762,RatingLookup!$A$2:$A$11,0))</f>
        <v>Investment Grade</v>
      </c>
    </row>
    <row r="763" spans="1:36" x14ac:dyDescent="0.3">
      <c r="A763" s="3" t="s">
        <v>42</v>
      </c>
      <c r="B763" s="3" t="s">
        <v>921</v>
      </c>
      <c r="C763" s="3" t="s">
        <v>922</v>
      </c>
      <c r="D763" s="3" t="s">
        <v>39</v>
      </c>
      <c r="E763" s="3" t="s">
        <v>767</v>
      </c>
      <c r="F763" s="3" t="s">
        <v>113</v>
      </c>
      <c r="G763" s="3">
        <v>1.8191480900000001</v>
      </c>
      <c r="H763" s="3">
        <v>1.20377947</v>
      </c>
      <c r="I763" s="3">
        <v>9.6755648999999999E-2</v>
      </c>
      <c r="J763" s="3">
        <v>5.4644519069999999</v>
      </c>
      <c r="K763" s="3">
        <v>3.5054595000000001E-2</v>
      </c>
      <c r="L763" s="3">
        <v>5.4069428000000003E-2</v>
      </c>
      <c r="M763" s="3">
        <v>0.20819024699999999</v>
      </c>
      <c r="N763" s="3">
        <v>5.4069428000000003E-2</v>
      </c>
      <c r="O763" s="3">
        <v>4.1791370000000001E-2</v>
      </c>
      <c r="P763" s="3">
        <v>8.8846216000000006E-2</v>
      </c>
      <c r="Q763" s="3">
        <v>0.100532198</v>
      </c>
      <c r="R763" s="3">
        <v>1.1921795399999999</v>
      </c>
      <c r="S763" s="3">
        <v>39.424646129999999</v>
      </c>
      <c r="T763" s="3">
        <v>1.405573143</v>
      </c>
      <c r="U763" s="3">
        <v>0.584298651</v>
      </c>
      <c r="V763" s="3">
        <v>0.31402010299999999</v>
      </c>
      <c r="W763" s="3">
        <v>0.78819251099999998</v>
      </c>
      <c r="X763" s="3">
        <v>8.0596314909999993</v>
      </c>
      <c r="Y763" s="3">
        <v>62.37956449</v>
      </c>
      <c r="Z763" s="3">
        <v>2.4055731429999998</v>
      </c>
      <c r="AA763" s="3">
        <v>5.4069428000000003E-2</v>
      </c>
      <c r="AB763" s="3">
        <v>8.1503179620000008</v>
      </c>
      <c r="AC763" s="3">
        <v>10.22546064</v>
      </c>
      <c r="AD763" s="3">
        <v>4.2975916000000003E-2</v>
      </c>
      <c r="AE763" s="3">
        <v>16.413361349999999</v>
      </c>
      <c r="AF763" s="4">
        <v>41576</v>
      </c>
      <c r="AG763" s="5">
        <f>YEAR(AF763)</f>
        <v>2013</v>
      </c>
      <c r="AH763" s="5" t="str">
        <f>"Q"&amp;ROUNDUP(MONTH(AF763)/3,0)</f>
        <v>Q4</v>
      </c>
      <c r="AI763" s="5">
        <f>INDEX(RatingLookup!$B$2:$B$11,MATCH(A763,RatingLookup!$A$2:$A$11,0))</f>
        <v>7</v>
      </c>
      <c r="AJ763" s="5" t="str">
        <f>INDEX(RatingLookup!$C$2:$C$11,MATCH(A763,RatingLookup!$A$2:$A$11,0))</f>
        <v>Investment Grade</v>
      </c>
    </row>
    <row r="764" spans="1:36" x14ac:dyDescent="0.3">
      <c r="A764" s="3" t="s">
        <v>42</v>
      </c>
      <c r="B764" s="3" t="s">
        <v>923</v>
      </c>
      <c r="C764" s="3" t="s">
        <v>924</v>
      </c>
      <c r="D764" s="3" t="s">
        <v>47</v>
      </c>
      <c r="E764" s="3" t="s">
        <v>925</v>
      </c>
      <c r="F764" s="3" t="s">
        <v>53</v>
      </c>
      <c r="G764" s="3">
        <v>1.2378743240000001</v>
      </c>
      <c r="H764" s="3">
        <v>0.96785079699999998</v>
      </c>
      <c r="I764" s="3">
        <v>0.43136341099999997</v>
      </c>
      <c r="J764" s="3">
        <v>42.746206860000001</v>
      </c>
      <c r="K764" s="3">
        <v>0.200860342</v>
      </c>
      <c r="L764" s="3">
        <v>0.30844032500000002</v>
      </c>
      <c r="M764" s="3">
        <v>0.40209476100000002</v>
      </c>
      <c r="N764" s="3">
        <v>0.33949959600000001</v>
      </c>
      <c r="O764" s="3">
        <v>0.15690231199999999</v>
      </c>
      <c r="P764" s="3">
        <v>0.29142494800000002</v>
      </c>
      <c r="Q764" s="3">
        <v>0.30215083300000001</v>
      </c>
      <c r="R764" s="3">
        <v>0.78115127200000001</v>
      </c>
      <c r="S764" s="3">
        <v>1.4633000570000001</v>
      </c>
      <c r="T764" s="3">
        <v>0.91434227800000001</v>
      </c>
      <c r="U764" s="3">
        <v>0.47480397699999999</v>
      </c>
      <c r="V764" s="3">
        <v>0.34878702499999997</v>
      </c>
      <c r="W764" s="3">
        <v>0.27991786299999999</v>
      </c>
      <c r="X764" s="3">
        <v>101.2602564</v>
      </c>
      <c r="Y764" s="3">
        <v>98.512514920000001</v>
      </c>
      <c r="Z764" s="3">
        <v>1.92572582</v>
      </c>
      <c r="AA764" s="3">
        <v>0.30844032500000002</v>
      </c>
      <c r="AB764" s="3">
        <v>0.43036563</v>
      </c>
      <c r="AC764" s="3">
        <v>361.74989060000001</v>
      </c>
      <c r="AD764" s="3">
        <v>0.35814992899999998</v>
      </c>
      <c r="AE764" s="3">
        <v>4.892090821</v>
      </c>
      <c r="AF764" s="4">
        <v>40620</v>
      </c>
      <c r="AG764" s="5">
        <f>YEAR(AF764)</f>
        <v>2011</v>
      </c>
      <c r="AH764" s="5" t="str">
        <f>"Q"&amp;ROUNDUP(MONTH(AF764)/3,0)</f>
        <v>Q1</v>
      </c>
      <c r="AI764" s="5">
        <f>INDEX(RatingLookup!$B$2:$B$11,MATCH(A764,RatingLookup!$A$2:$A$11,0))</f>
        <v>7</v>
      </c>
      <c r="AJ764" s="5" t="str">
        <f>INDEX(RatingLookup!$C$2:$C$11,MATCH(A764,RatingLookup!$A$2:$A$11,0))</f>
        <v>Investment Grade</v>
      </c>
    </row>
    <row r="765" spans="1:36" x14ac:dyDescent="0.3">
      <c r="A765" s="3" t="s">
        <v>42</v>
      </c>
      <c r="B765" s="3" t="s">
        <v>923</v>
      </c>
      <c r="C765" s="3" t="s">
        <v>924</v>
      </c>
      <c r="D765" s="3" t="s">
        <v>47</v>
      </c>
      <c r="E765" s="3" t="s">
        <v>926</v>
      </c>
      <c r="F765" s="3" t="s">
        <v>53</v>
      </c>
      <c r="G765" s="3">
        <v>1.2253388650000001</v>
      </c>
      <c r="H765" s="3">
        <v>0.87513739499999998</v>
      </c>
      <c r="I765" s="3">
        <v>0.45228568699999999</v>
      </c>
      <c r="J765" s="3">
        <v>26.13051342</v>
      </c>
      <c r="K765" s="3">
        <v>7.6494961E-2</v>
      </c>
      <c r="L765" s="3">
        <v>0.15887633800000001</v>
      </c>
      <c r="M765" s="3">
        <v>0.34858423300000002</v>
      </c>
      <c r="N765" s="3">
        <v>0.21901793999999999</v>
      </c>
      <c r="O765" s="3">
        <v>4.5495328000000002E-2</v>
      </c>
      <c r="P765" s="3">
        <v>0.128844073</v>
      </c>
      <c r="Q765" s="3">
        <v>0.107320307</v>
      </c>
      <c r="R765" s="3">
        <v>0.59474934700000004</v>
      </c>
      <c r="S765" s="3">
        <v>0.82686386099999998</v>
      </c>
      <c r="T765" s="3">
        <v>1.326791031</v>
      </c>
      <c r="U765" s="3">
        <v>0.56245453499999998</v>
      </c>
      <c r="V765" s="3">
        <v>0.51852515099999996</v>
      </c>
      <c r="W765" s="3">
        <v>0.147963663</v>
      </c>
      <c r="X765" s="3">
        <v>65.26601359</v>
      </c>
      <c r="Y765" s="3">
        <v>243.63874960000001</v>
      </c>
      <c r="Z765" s="3">
        <v>2.3589302760000002</v>
      </c>
      <c r="AA765" s="3">
        <v>0.183739868</v>
      </c>
      <c r="AB765" s="3">
        <v>1.5313963159999999</v>
      </c>
      <c r="AC765" s="3">
        <v>441.09487580000001</v>
      </c>
      <c r="AD765" s="3">
        <v>0.274910504</v>
      </c>
      <c r="AE765" s="3">
        <v>4.8672739409999997</v>
      </c>
      <c r="AF765" s="4">
        <v>42185</v>
      </c>
      <c r="AG765" s="5">
        <f>YEAR(AF765)</f>
        <v>2015</v>
      </c>
      <c r="AH765" s="5" t="str">
        <f>"Q"&amp;ROUNDUP(MONTH(AF765)/3,0)</f>
        <v>Q2</v>
      </c>
      <c r="AI765" s="5">
        <f>INDEX(RatingLookup!$B$2:$B$11,MATCH(A765,RatingLookup!$A$2:$A$11,0))</f>
        <v>7</v>
      </c>
      <c r="AJ765" s="5" t="str">
        <f>INDEX(RatingLookup!$C$2:$C$11,MATCH(A765,RatingLookup!$A$2:$A$11,0))</f>
        <v>Investment Grade</v>
      </c>
    </row>
    <row r="766" spans="1:36" x14ac:dyDescent="0.3">
      <c r="A766" s="3" t="s">
        <v>42</v>
      </c>
      <c r="B766" s="3" t="s">
        <v>923</v>
      </c>
      <c r="C766" s="3" t="s">
        <v>924</v>
      </c>
      <c r="D766" s="3" t="s">
        <v>47</v>
      </c>
      <c r="E766" s="3" t="s">
        <v>927</v>
      </c>
      <c r="F766" s="3" t="s">
        <v>53</v>
      </c>
      <c r="G766" s="3">
        <v>1.153049252</v>
      </c>
      <c r="H766" s="3">
        <v>0.67676071800000004</v>
      </c>
      <c r="I766" s="3">
        <v>0.37552153100000002</v>
      </c>
      <c r="J766" s="3">
        <v>27.97421464</v>
      </c>
      <c r="K766" s="3">
        <v>-0.120139577</v>
      </c>
      <c r="L766" s="3">
        <v>-0.106569567</v>
      </c>
      <c r="M766" s="3">
        <v>0.29328663599999999</v>
      </c>
      <c r="N766" s="3">
        <v>4.0712054999999997E-2</v>
      </c>
      <c r="O766" s="3">
        <v>-5.0886569E-2</v>
      </c>
      <c r="P766" s="3">
        <v>-2.6946377000000001E-2</v>
      </c>
      <c r="Q766" s="3">
        <v>-0.152549193</v>
      </c>
      <c r="R766" s="3">
        <v>0.42356208099999998</v>
      </c>
      <c r="S766" s="3">
        <v>0.58719268800000002</v>
      </c>
      <c r="T766" s="3">
        <v>1.952345768</v>
      </c>
      <c r="U766" s="3">
        <v>0.65125338399999999</v>
      </c>
      <c r="V766" s="3">
        <v>-0.12733475899999999</v>
      </c>
      <c r="W766" s="3">
        <v>-0.30498321</v>
      </c>
      <c r="X766" s="3">
        <v>-86.62096262</v>
      </c>
      <c r="Y766" s="3">
        <v>189.53771320000001</v>
      </c>
      <c r="Z766" s="3">
        <v>2.9978282100000002</v>
      </c>
      <c r="AA766" s="3">
        <v>-5.4639181000000002E-2</v>
      </c>
      <c r="AB766" s="3">
        <v>12.049333519999999</v>
      </c>
      <c r="AC766" s="3">
        <v>284.0187914</v>
      </c>
      <c r="AD766" s="3">
        <v>0.22308545900000001</v>
      </c>
      <c r="AE766" s="3">
        <v>4.7690043019999999</v>
      </c>
      <c r="AF766" s="4">
        <v>42398</v>
      </c>
      <c r="AG766" s="5">
        <f>YEAR(AF766)</f>
        <v>2016</v>
      </c>
      <c r="AH766" s="5" t="str">
        <f>"Q"&amp;ROUNDUP(MONTH(AF766)/3,0)</f>
        <v>Q1</v>
      </c>
      <c r="AI766" s="5">
        <f>INDEX(RatingLookup!$B$2:$B$11,MATCH(A766,RatingLookup!$A$2:$A$11,0))</f>
        <v>7</v>
      </c>
      <c r="AJ766" s="5" t="str">
        <f>INDEX(RatingLookup!$C$2:$C$11,MATCH(A766,RatingLookup!$A$2:$A$11,0))</f>
        <v>Investment Grade</v>
      </c>
    </row>
    <row r="767" spans="1:36" x14ac:dyDescent="0.3">
      <c r="A767" s="3" t="s">
        <v>42</v>
      </c>
      <c r="B767" s="3" t="s">
        <v>923</v>
      </c>
      <c r="C767" s="3" t="s">
        <v>924</v>
      </c>
      <c r="D767" s="3" t="s">
        <v>47</v>
      </c>
      <c r="E767" s="3" t="s">
        <v>928</v>
      </c>
      <c r="F767" s="3" t="s">
        <v>53</v>
      </c>
      <c r="G767" s="3">
        <v>1.133260648</v>
      </c>
      <c r="H767" s="3">
        <v>0.89364546199999995</v>
      </c>
      <c r="I767" s="3">
        <v>0.44808867499999999</v>
      </c>
      <c r="J767" s="3">
        <v>35.97518591</v>
      </c>
      <c r="K767" s="3">
        <v>0.21977386300000001</v>
      </c>
      <c r="L767" s="3">
        <v>0.332325235</v>
      </c>
      <c r="M767" s="3">
        <v>0.42641951299999997</v>
      </c>
      <c r="N767" s="3">
        <v>0.35229507399999999</v>
      </c>
      <c r="O767" s="3">
        <v>0.18027195100000001</v>
      </c>
      <c r="P767" s="3">
        <v>0.34869797000000002</v>
      </c>
      <c r="Q767" s="3">
        <v>0.39033976799999998</v>
      </c>
      <c r="R767" s="3">
        <v>0.82026110100000005</v>
      </c>
      <c r="S767" s="3">
        <v>1.3181391920000001</v>
      </c>
      <c r="T767" s="3">
        <v>1.1006200749999999</v>
      </c>
      <c r="U767" s="3">
        <v>0.50830313500000002</v>
      </c>
      <c r="V767" s="3">
        <v>0.33867837899999997</v>
      </c>
      <c r="W767" s="3">
        <v>0.24366188999999999</v>
      </c>
      <c r="X767" s="3">
        <v>119.2766974</v>
      </c>
      <c r="Y767" s="3">
        <v>226.40567820000001</v>
      </c>
      <c r="Z767" s="3">
        <v>2.1652828789999998</v>
      </c>
      <c r="AA767" s="3">
        <v>0.332325235</v>
      </c>
      <c r="AB767" s="3">
        <v>0.32598480600000002</v>
      </c>
      <c r="AC767" s="3">
        <v>489.51724619999999</v>
      </c>
      <c r="AD767" s="3">
        <v>0.30100485700000001</v>
      </c>
      <c r="AE767" s="3">
        <v>5.2978464220000001</v>
      </c>
      <c r="AF767" s="4">
        <v>41137</v>
      </c>
      <c r="AG767" s="5">
        <f>YEAR(AF767)</f>
        <v>2012</v>
      </c>
      <c r="AH767" s="5" t="str">
        <f>"Q"&amp;ROUNDUP(MONTH(AF767)/3,0)</f>
        <v>Q3</v>
      </c>
      <c r="AI767" s="5">
        <f>INDEX(RatingLookup!$B$2:$B$11,MATCH(A767,RatingLookup!$A$2:$A$11,0))</f>
        <v>7</v>
      </c>
      <c r="AJ767" s="5" t="str">
        <f>INDEX(RatingLookup!$C$2:$C$11,MATCH(A767,RatingLookup!$A$2:$A$11,0))</f>
        <v>Investment Grade</v>
      </c>
    </row>
    <row r="768" spans="1:36" x14ac:dyDescent="0.3">
      <c r="A768" s="3" t="s">
        <v>42</v>
      </c>
      <c r="B768" s="3" t="s">
        <v>923</v>
      </c>
      <c r="C768" s="3" t="s">
        <v>924</v>
      </c>
      <c r="D768" s="3" t="s">
        <v>60</v>
      </c>
      <c r="E768" s="3" t="s">
        <v>46</v>
      </c>
      <c r="F768" s="3" t="s">
        <v>53</v>
      </c>
      <c r="G768" s="3">
        <v>1.273604521</v>
      </c>
      <c r="H768" s="3">
        <v>0.99285178799999996</v>
      </c>
      <c r="I768" s="3">
        <v>0.50584985999999998</v>
      </c>
      <c r="J768" s="3">
        <v>34.231666369999999</v>
      </c>
      <c r="K768" s="3">
        <v>0.23625949900000001</v>
      </c>
      <c r="L768" s="3">
        <v>0.37018243299999998</v>
      </c>
      <c r="M768" s="3">
        <v>0.46553342199999997</v>
      </c>
      <c r="N768" s="3">
        <v>0.37747714799999998</v>
      </c>
      <c r="O768" s="3">
        <v>0.208960647</v>
      </c>
      <c r="P768" s="3">
        <v>0.407835848</v>
      </c>
      <c r="Q768" s="3">
        <v>0.410959254</v>
      </c>
      <c r="R768" s="3">
        <v>0.88445395000000004</v>
      </c>
      <c r="S768" s="3">
        <v>1.5186946059999999</v>
      </c>
      <c r="T768" s="3">
        <v>0.90322093299999995</v>
      </c>
      <c r="U768" s="3">
        <v>0.45926117599999999</v>
      </c>
      <c r="V768" s="3">
        <v>0.36177550000000003</v>
      </c>
      <c r="W768" s="3">
        <v>0.33493203999999999</v>
      </c>
      <c r="X768" s="3">
        <v>183.38770009999999</v>
      </c>
      <c r="Y768" s="3">
        <v>197.70734479999999</v>
      </c>
      <c r="Z768" s="3">
        <v>1.966682534</v>
      </c>
      <c r="AA768" s="3">
        <v>0.37018243299999998</v>
      </c>
      <c r="AB768" s="3">
        <v>0.15319813199999999</v>
      </c>
      <c r="AC768" s="3">
        <v>547.53704630000004</v>
      </c>
      <c r="AD768" s="3">
        <v>0.35334309200000003</v>
      </c>
      <c r="AE768" s="3">
        <v>6.465906886</v>
      </c>
      <c r="AF768" s="4">
        <v>41075</v>
      </c>
      <c r="AG768" s="5">
        <f>YEAR(AF768)</f>
        <v>2012</v>
      </c>
      <c r="AH768" s="5" t="str">
        <f>"Q"&amp;ROUNDUP(MONTH(AF768)/3,0)</f>
        <v>Q2</v>
      </c>
      <c r="AI768" s="5">
        <f>INDEX(RatingLookup!$B$2:$B$11,MATCH(A768,RatingLookup!$A$2:$A$11,0))</f>
        <v>7</v>
      </c>
      <c r="AJ768" s="5" t="str">
        <f>INDEX(RatingLookup!$C$2:$C$11,MATCH(A768,RatingLookup!$A$2:$A$11,0))</f>
        <v>Investment Grade</v>
      </c>
    </row>
    <row r="769" spans="1:36" x14ac:dyDescent="0.3">
      <c r="A769" s="3" t="s">
        <v>42</v>
      </c>
      <c r="B769" s="3" t="s">
        <v>923</v>
      </c>
      <c r="C769" s="3" t="s">
        <v>924</v>
      </c>
      <c r="D769" s="3" t="s">
        <v>60</v>
      </c>
      <c r="E769" s="3" t="s">
        <v>929</v>
      </c>
      <c r="F769" s="3" t="s">
        <v>53</v>
      </c>
      <c r="G769" s="3">
        <v>1.268025527</v>
      </c>
      <c r="H769" s="3">
        <v>0.96411838100000002</v>
      </c>
      <c r="I769" s="3">
        <v>0.47114500399999998</v>
      </c>
      <c r="J769" s="3">
        <v>32.860293800000001</v>
      </c>
      <c r="K769" s="3">
        <v>0.20380412000000001</v>
      </c>
      <c r="L769" s="3">
        <v>0.33202975000000001</v>
      </c>
      <c r="M769" s="3">
        <v>0.41295503</v>
      </c>
      <c r="N769" s="3">
        <v>0.34077209800000002</v>
      </c>
      <c r="O769" s="3">
        <v>0.13663218199999999</v>
      </c>
      <c r="P769" s="3">
        <v>0.27248392199999999</v>
      </c>
      <c r="Q769" s="3">
        <v>0.28697825399999999</v>
      </c>
      <c r="R769" s="3">
        <v>0.67040932200000003</v>
      </c>
      <c r="S769" s="3">
        <v>1.001577009</v>
      </c>
      <c r="T769" s="3">
        <v>1.0743297249999999</v>
      </c>
      <c r="U769" s="3">
        <v>0.51149525299999998</v>
      </c>
      <c r="V769" s="3">
        <v>0.386187171</v>
      </c>
      <c r="W769" s="3">
        <v>0.20042606399999999</v>
      </c>
      <c r="X769" s="3">
        <v>81.701914939999995</v>
      </c>
      <c r="Y769" s="3">
        <v>288.38054720000002</v>
      </c>
      <c r="Z769" s="3">
        <v>2.10037086</v>
      </c>
      <c r="AA769" s="3">
        <v>0.33202975000000001</v>
      </c>
      <c r="AB769" s="3">
        <v>0.56573120099999996</v>
      </c>
      <c r="AC769" s="3">
        <v>407.64116840000003</v>
      </c>
      <c r="AD769" s="3">
        <v>0.244924904</v>
      </c>
      <c r="AE769" s="3">
        <v>4.0156957139999996</v>
      </c>
      <c r="AF769" s="4">
        <v>41527</v>
      </c>
      <c r="AG769" s="5">
        <f>YEAR(AF769)</f>
        <v>2013</v>
      </c>
      <c r="AH769" s="5" t="str">
        <f>"Q"&amp;ROUNDUP(MONTH(AF769)/3,0)</f>
        <v>Q3</v>
      </c>
      <c r="AI769" s="5">
        <f>INDEX(RatingLookup!$B$2:$B$11,MATCH(A769,RatingLookup!$A$2:$A$11,0))</f>
        <v>7</v>
      </c>
      <c r="AJ769" s="5" t="str">
        <f>INDEX(RatingLookup!$C$2:$C$11,MATCH(A769,RatingLookup!$A$2:$A$11,0))</f>
        <v>Investment Grade</v>
      </c>
    </row>
    <row r="770" spans="1:36" x14ac:dyDescent="0.3">
      <c r="A770" s="3" t="s">
        <v>36</v>
      </c>
      <c r="B770" s="3" t="s">
        <v>930</v>
      </c>
      <c r="C770" s="3" t="s">
        <v>931</v>
      </c>
      <c r="D770" s="3" t="s">
        <v>60</v>
      </c>
      <c r="E770" s="3" t="s">
        <v>932</v>
      </c>
      <c r="F770" s="3" t="s">
        <v>174</v>
      </c>
      <c r="G770" s="3">
        <v>0.67680712899999995</v>
      </c>
      <c r="H770" s="3">
        <v>0.51144240299999999</v>
      </c>
      <c r="I770" s="3">
        <v>0.12625151300000001</v>
      </c>
      <c r="J770" s="3">
        <v>33.781237419999997</v>
      </c>
      <c r="K770" s="3">
        <v>0.109555764</v>
      </c>
      <c r="L770" s="3">
        <v>0.17946584400000001</v>
      </c>
      <c r="M770" s="3">
        <v>1</v>
      </c>
      <c r="N770" s="3">
        <v>0.214709435</v>
      </c>
      <c r="O770" s="3">
        <v>4.9005247000000002E-2</v>
      </c>
      <c r="P770" s="3">
        <v>9.0110246000000005E-2</v>
      </c>
      <c r="Q770" s="3">
        <v>0.15617287499999999</v>
      </c>
      <c r="R770" s="3">
        <v>0.447308704</v>
      </c>
      <c r="S770" s="3">
        <v>2.2132778850000001</v>
      </c>
      <c r="T770" s="3">
        <v>2.1868602799999999</v>
      </c>
      <c r="U770" s="3">
        <v>0.68621153400000001</v>
      </c>
      <c r="V770" s="3">
        <v>0.37084953599999998</v>
      </c>
      <c r="W770" s="3">
        <v>0.47443817199999999</v>
      </c>
      <c r="X770" s="3">
        <v>3.583668544</v>
      </c>
      <c r="Y770" s="3">
        <v>0.96580852800000005</v>
      </c>
      <c r="Z770" s="3">
        <v>3.1868602799999999</v>
      </c>
      <c r="AA770" s="3">
        <v>0.17946584400000001</v>
      </c>
      <c r="AB770" s="3">
        <v>6.6732312179999997</v>
      </c>
      <c r="AC770" s="3">
        <v>7.5534995980000001</v>
      </c>
      <c r="AD770" s="3">
        <v>0.25201986300000001</v>
      </c>
      <c r="AE770" s="3">
        <v>0</v>
      </c>
      <c r="AF770" s="4">
        <v>42417</v>
      </c>
      <c r="AG770" s="5">
        <f>YEAR(AF770)</f>
        <v>2016</v>
      </c>
      <c r="AH770" s="5" t="str">
        <f>"Q"&amp;ROUNDUP(MONTH(AF770)/3,0)</f>
        <v>Q1</v>
      </c>
      <c r="AI770" s="5">
        <f>INDEX(RatingLookup!$B$2:$B$11,MATCH(A770,RatingLookup!$A$2:$A$11,0))</f>
        <v>8</v>
      </c>
      <c r="AJ770" s="5" t="str">
        <f>INDEX(RatingLookup!$C$2:$C$11,MATCH(A770,RatingLookup!$A$2:$A$11,0))</f>
        <v>Investment Grade</v>
      </c>
    </row>
    <row r="771" spans="1:36" x14ac:dyDescent="0.3">
      <c r="A771" s="3" t="s">
        <v>42</v>
      </c>
      <c r="B771" s="3" t="s">
        <v>930</v>
      </c>
      <c r="C771" s="3" t="s">
        <v>931</v>
      </c>
      <c r="D771" s="3" t="s">
        <v>60</v>
      </c>
      <c r="E771" s="3" t="s">
        <v>46</v>
      </c>
      <c r="F771" s="3" t="s">
        <v>174</v>
      </c>
      <c r="G771" s="3">
        <v>0.647458651</v>
      </c>
      <c r="H771" s="3">
        <v>1.1951514240000001</v>
      </c>
      <c r="I771" s="3">
        <v>0.122347255</v>
      </c>
      <c r="J771" s="3">
        <v>28.439436270000002</v>
      </c>
      <c r="K771" s="3">
        <v>7.4495899000000004E-2</v>
      </c>
      <c r="L771" s="3">
        <v>0.146968232</v>
      </c>
      <c r="M771" s="3">
        <v>1</v>
      </c>
      <c r="N771" s="3">
        <v>0.19198810899999999</v>
      </c>
      <c r="O771" s="3">
        <v>2.6359476999999999E-2</v>
      </c>
      <c r="P771" s="3">
        <v>5.6765599E-2</v>
      </c>
      <c r="Q771" s="3">
        <v>8.7997631000000007E-2</v>
      </c>
      <c r="R771" s="3">
        <v>0.35383796499999998</v>
      </c>
      <c r="S771" s="3">
        <v>2.02627091</v>
      </c>
      <c r="T771" s="3">
        <v>2.3383678130000001</v>
      </c>
      <c r="U771" s="3">
        <v>0.70045241999999996</v>
      </c>
      <c r="V771" s="3">
        <v>0.37163397100000001</v>
      </c>
      <c r="W771" s="3">
        <v>0.56354130400000002</v>
      </c>
      <c r="X771" s="3">
        <v>2.9439184269999998</v>
      </c>
      <c r="Y771" s="3">
        <v>4.1784413689999997</v>
      </c>
      <c r="Z771" s="3">
        <v>3.3383678130000001</v>
      </c>
      <c r="AA771" s="3">
        <v>0.146968232</v>
      </c>
      <c r="AB771" s="3">
        <v>5.7494161630000002</v>
      </c>
      <c r="AC771" s="3">
        <v>5.2239621270000001</v>
      </c>
      <c r="AD771" s="3">
        <v>0.25688549799999999</v>
      </c>
      <c r="AE771" s="3">
        <v>0</v>
      </c>
      <c r="AF771" s="4">
        <v>41075</v>
      </c>
      <c r="AG771" s="5">
        <f>YEAR(AF771)</f>
        <v>2012</v>
      </c>
      <c r="AH771" s="5" t="str">
        <f>"Q"&amp;ROUNDUP(MONTH(AF771)/3,0)</f>
        <v>Q2</v>
      </c>
      <c r="AI771" s="5">
        <f>INDEX(RatingLookup!$B$2:$B$11,MATCH(A771,RatingLookup!$A$2:$A$11,0))</f>
        <v>7</v>
      </c>
      <c r="AJ771" s="5" t="str">
        <f>INDEX(RatingLookup!$C$2:$C$11,MATCH(A771,RatingLookup!$A$2:$A$11,0))</f>
        <v>Investment Grade</v>
      </c>
    </row>
    <row r="772" spans="1:36" x14ac:dyDescent="0.3">
      <c r="A772" s="3" t="s">
        <v>36</v>
      </c>
      <c r="B772" s="3" t="s">
        <v>930</v>
      </c>
      <c r="C772" s="3" t="s">
        <v>931</v>
      </c>
      <c r="D772" s="3" t="s">
        <v>60</v>
      </c>
      <c r="E772" s="3" t="s">
        <v>933</v>
      </c>
      <c r="F772" s="3" t="s">
        <v>174</v>
      </c>
      <c r="G772" s="3">
        <v>1.196063181</v>
      </c>
      <c r="H772" s="3">
        <v>1.073112361</v>
      </c>
      <c r="I772" s="3">
        <v>0.65519923400000002</v>
      </c>
      <c r="J772" s="3">
        <v>32.20656864</v>
      </c>
      <c r="K772" s="3">
        <v>9.9136967000000006E-2</v>
      </c>
      <c r="L772" s="3">
        <v>0.18553619900000001</v>
      </c>
      <c r="M772" s="3">
        <v>1</v>
      </c>
      <c r="N772" s="3">
        <v>0.19464599599999999</v>
      </c>
      <c r="O772" s="3">
        <v>3.7600547999999998E-2</v>
      </c>
      <c r="P772" s="3">
        <v>7.8303216999999994E-2</v>
      </c>
      <c r="Q772" s="3">
        <v>0.12567874200000001</v>
      </c>
      <c r="R772" s="3">
        <v>0.37927878199999998</v>
      </c>
      <c r="S772" s="3">
        <v>2.2976645119999999</v>
      </c>
      <c r="T772" s="3">
        <v>2.3424710270000002</v>
      </c>
      <c r="U772" s="3">
        <v>0.70082014400000003</v>
      </c>
      <c r="V772" s="3">
        <v>0.322508399</v>
      </c>
      <c r="W772" s="3">
        <v>0.55318432699999998</v>
      </c>
      <c r="X772" s="3">
        <v>3.068334578</v>
      </c>
      <c r="Y772" s="3">
        <v>4.6359223299999996</v>
      </c>
      <c r="Z772" s="3">
        <v>3.3424710270000002</v>
      </c>
      <c r="AA772" s="3">
        <v>0.18553619900000001</v>
      </c>
      <c r="AB772" s="3">
        <v>4.8779524990000001</v>
      </c>
      <c r="AC772" s="3">
        <v>5.5466766239999998</v>
      </c>
      <c r="AD772" s="3">
        <v>0.23739811399999999</v>
      </c>
      <c r="AE772" s="3">
        <v>0</v>
      </c>
      <c r="AF772" s="4">
        <v>41318</v>
      </c>
      <c r="AG772" s="5">
        <f>YEAR(AF772)</f>
        <v>2013</v>
      </c>
      <c r="AH772" s="5" t="str">
        <f>"Q"&amp;ROUNDUP(MONTH(AF772)/3,0)</f>
        <v>Q1</v>
      </c>
      <c r="AI772" s="5">
        <f>INDEX(RatingLookup!$B$2:$B$11,MATCH(A772,RatingLookup!$A$2:$A$11,0))</f>
        <v>8</v>
      </c>
      <c r="AJ772" s="5" t="str">
        <f>INDEX(RatingLookup!$C$2:$C$11,MATCH(A772,RatingLookup!$A$2:$A$11,0))</f>
        <v>Investment Grade</v>
      </c>
    </row>
    <row r="773" spans="1:36" x14ac:dyDescent="0.3">
      <c r="A773" s="3" t="s">
        <v>36</v>
      </c>
      <c r="B773" s="3" t="s">
        <v>930</v>
      </c>
      <c r="C773" s="3" t="s">
        <v>931</v>
      </c>
      <c r="D773" s="3" t="s">
        <v>60</v>
      </c>
      <c r="E773" s="3" t="s">
        <v>599</v>
      </c>
      <c r="F773" s="3" t="s">
        <v>174</v>
      </c>
      <c r="G773" s="3">
        <v>0.77719701299999999</v>
      </c>
      <c r="H773" s="3">
        <v>0.62222860400000002</v>
      </c>
      <c r="I773" s="3">
        <v>0.22458357300000001</v>
      </c>
      <c r="J773" s="3">
        <v>33.546564889999999</v>
      </c>
      <c r="K773" s="3">
        <v>0.121846601</v>
      </c>
      <c r="L773" s="3">
        <v>0.181243184</v>
      </c>
      <c r="M773" s="3">
        <v>1</v>
      </c>
      <c r="N773" s="3">
        <v>0.216706652</v>
      </c>
      <c r="O773" s="3">
        <v>5.2592272000000002E-2</v>
      </c>
      <c r="P773" s="3">
        <v>8.7825603000000002E-2</v>
      </c>
      <c r="Q773" s="3">
        <v>0.15898009900000001</v>
      </c>
      <c r="R773" s="3">
        <v>0.431626909</v>
      </c>
      <c r="S773" s="3">
        <v>2.2219171000000002</v>
      </c>
      <c r="T773" s="3">
        <v>2.0228794749999999</v>
      </c>
      <c r="U773" s="3">
        <v>0.66918958900000003</v>
      </c>
      <c r="V773" s="3">
        <v>0.31070998799999999</v>
      </c>
      <c r="W773" s="3">
        <v>0.49589849499999999</v>
      </c>
      <c r="X773" s="3">
        <v>3.253193961</v>
      </c>
      <c r="Y773" s="3">
        <v>1.746806039</v>
      </c>
      <c r="Z773" s="3">
        <v>3.0228794749999999</v>
      </c>
      <c r="AA773" s="3">
        <v>0.181243184</v>
      </c>
      <c r="AB773" s="3">
        <v>7.7254373340000004</v>
      </c>
      <c r="AC773" s="3">
        <v>6.5602013159999997</v>
      </c>
      <c r="AD773" s="3">
        <v>0.246383133</v>
      </c>
      <c r="AE773" s="3">
        <v>0</v>
      </c>
      <c r="AF773" s="4">
        <v>41856</v>
      </c>
      <c r="AG773" s="5">
        <f>YEAR(AF773)</f>
        <v>2014</v>
      </c>
      <c r="AH773" s="5" t="str">
        <f>"Q"&amp;ROUNDUP(MONTH(AF773)/3,0)</f>
        <v>Q3</v>
      </c>
      <c r="AI773" s="5">
        <f>INDEX(RatingLookup!$B$2:$B$11,MATCH(A773,RatingLookup!$A$2:$A$11,0))</f>
        <v>8</v>
      </c>
      <c r="AJ773" s="5" t="str">
        <f>INDEX(RatingLookup!$C$2:$C$11,MATCH(A773,RatingLookup!$A$2:$A$11,0))</f>
        <v>Investment Grade</v>
      </c>
    </row>
    <row r="774" spans="1:36" x14ac:dyDescent="0.3">
      <c r="A774" s="3" t="s">
        <v>36</v>
      </c>
      <c r="B774" s="3" t="s">
        <v>930</v>
      </c>
      <c r="C774" s="3" t="s">
        <v>931</v>
      </c>
      <c r="D774" s="3" t="s">
        <v>60</v>
      </c>
      <c r="E774" s="3" t="s">
        <v>934</v>
      </c>
      <c r="F774" s="3" t="s">
        <v>174</v>
      </c>
      <c r="G774" s="3">
        <v>0.75973995800000005</v>
      </c>
      <c r="H774" s="3">
        <v>0.60496865600000005</v>
      </c>
      <c r="I774" s="3">
        <v>0.15328534899999999</v>
      </c>
      <c r="J774" s="3">
        <v>36.112769419999999</v>
      </c>
      <c r="K774" s="3">
        <v>0.10814273100000001</v>
      </c>
      <c r="L774" s="3">
        <v>0.17851323999999999</v>
      </c>
      <c r="M774" s="3">
        <v>1</v>
      </c>
      <c r="N774" s="3">
        <v>0.209681231</v>
      </c>
      <c r="O774" s="3">
        <v>4.8171745000000002E-2</v>
      </c>
      <c r="P774" s="3">
        <v>9.0290314999999996E-2</v>
      </c>
      <c r="Q774" s="3">
        <v>0.16118866200000001</v>
      </c>
      <c r="R774" s="3">
        <v>0.44544598299999999</v>
      </c>
      <c r="S774" s="3">
        <v>2.2178302489999999</v>
      </c>
      <c r="T774" s="3">
        <v>2.3461246130000002</v>
      </c>
      <c r="U774" s="3">
        <v>0.70114681400000001</v>
      </c>
      <c r="V774" s="3">
        <v>0.36981815600000001</v>
      </c>
      <c r="W774" s="3">
        <v>0.43757796300000001</v>
      </c>
      <c r="X774" s="3">
        <v>3.4933609959999998</v>
      </c>
      <c r="Y774" s="3">
        <v>2.1049792530000002</v>
      </c>
      <c r="Z774" s="3">
        <v>3.3461246130000002</v>
      </c>
      <c r="AA774" s="3">
        <v>0.17851323999999999</v>
      </c>
      <c r="AB774" s="3">
        <v>6.3906537459999999</v>
      </c>
      <c r="AC774" s="3">
        <v>7.9834024899999996</v>
      </c>
      <c r="AD774" s="3">
        <v>0.23929455399999999</v>
      </c>
      <c r="AE774" s="3">
        <v>0</v>
      </c>
      <c r="AF774" s="4">
        <v>42563</v>
      </c>
      <c r="AG774" s="5">
        <f>YEAR(AF774)</f>
        <v>2016</v>
      </c>
      <c r="AH774" s="5" t="str">
        <f>"Q"&amp;ROUNDUP(MONTH(AF774)/3,0)</f>
        <v>Q3</v>
      </c>
      <c r="AI774" s="5">
        <f>INDEX(RatingLookup!$B$2:$B$11,MATCH(A774,RatingLookup!$A$2:$A$11,0))</f>
        <v>8</v>
      </c>
      <c r="AJ774" s="5" t="str">
        <f>INDEX(RatingLookup!$C$2:$C$11,MATCH(A774,RatingLookup!$A$2:$A$11,0))</f>
        <v>Investment Grade</v>
      </c>
    </row>
    <row r="775" spans="1:36" x14ac:dyDescent="0.3">
      <c r="A775" s="3" t="s">
        <v>36</v>
      </c>
      <c r="B775" s="3" t="s">
        <v>930</v>
      </c>
      <c r="C775" s="3" t="s">
        <v>931</v>
      </c>
      <c r="D775" s="3" t="s">
        <v>60</v>
      </c>
      <c r="E775" s="3" t="s">
        <v>173</v>
      </c>
      <c r="F775" s="3" t="s">
        <v>174</v>
      </c>
      <c r="G775" s="3">
        <v>0.74423646399999999</v>
      </c>
      <c r="H775" s="3">
        <v>0.61690989799999996</v>
      </c>
      <c r="I775" s="3">
        <v>9.0841794000000003E-2</v>
      </c>
      <c r="J775" s="3">
        <v>35.993627910000001</v>
      </c>
      <c r="K775" s="3">
        <v>0.10541782</v>
      </c>
      <c r="L775" s="3">
        <v>0.17190714100000001</v>
      </c>
      <c r="M775" s="3">
        <v>1</v>
      </c>
      <c r="N775" s="3">
        <v>0.20976847100000001</v>
      </c>
      <c r="O775" s="3">
        <v>4.2918401000000002E-2</v>
      </c>
      <c r="P775" s="3">
        <v>7.9449038999999999E-2</v>
      </c>
      <c r="Q775" s="3">
        <v>0.13445378199999999</v>
      </c>
      <c r="R775" s="3">
        <v>0.40712662100000002</v>
      </c>
      <c r="S775" s="3">
        <v>2.1667895439999998</v>
      </c>
      <c r="T775" s="3">
        <v>2.1327770539999999</v>
      </c>
      <c r="U775" s="3">
        <v>0.680794393</v>
      </c>
      <c r="V775" s="3">
        <v>0.35807467399999998</v>
      </c>
      <c r="W775" s="3">
        <v>0.46292372900000001</v>
      </c>
      <c r="X775" s="3">
        <v>2.497142857</v>
      </c>
      <c r="Y775" s="3">
        <v>2.015619048</v>
      </c>
      <c r="Z775" s="3">
        <v>3.1327770539999999</v>
      </c>
      <c r="AA775" s="3">
        <v>0.17190714100000001</v>
      </c>
      <c r="AB775" s="3">
        <v>5.0029983490000003</v>
      </c>
      <c r="AC775" s="3">
        <v>5.3942857139999996</v>
      </c>
      <c r="AD775" s="3">
        <v>0.21900180999999999</v>
      </c>
      <c r="AE775" s="3">
        <v>0</v>
      </c>
      <c r="AF775" s="4">
        <v>41691</v>
      </c>
      <c r="AG775" s="5">
        <f>YEAR(AF775)</f>
        <v>2014</v>
      </c>
      <c r="AH775" s="5" t="str">
        <f>"Q"&amp;ROUNDUP(MONTH(AF775)/3,0)</f>
        <v>Q1</v>
      </c>
      <c r="AI775" s="5">
        <f>INDEX(RatingLookup!$B$2:$B$11,MATCH(A775,RatingLookup!$A$2:$A$11,0))</f>
        <v>8</v>
      </c>
      <c r="AJ775" s="5" t="str">
        <f>INDEX(RatingLookup!$C$2:$C$11,MATCH(A775,RatingLookup!$A$2:$A$11,0))</f>
        <v>Investment Grade</v>
      </c>
    </row>
    <row r="776" spans="1:36" x14ac:dyDescent="0.3">
      <c r="A776" s="3" t="s">
        <v>42</v>
      </c>
      <c r="B776" s="3" t="s">
        <v>935</v>
      </c>
      <c r="C776" s="3" t="s">
        <v>936</v>
      </c>
      <c r="D776" s="3" t="s">
        <v>39</v>
      </c>
      <c r="E776" s="3" t="s">
        <v>937</v>
      </c>
      <c r="F776" s="3" t="s">
        <v>96</v>
      </c>
      <c r="G776" s="3">
        <v>1.106390457</v>
      </c>
      <c r="H776" s="3">
        <v>0.62604072799999999</v>
      </c>
      <c r="I776" s="3">
        <v>0.26719535999999999</v>
      </c>
      <c r="J776" s="3">
        <v>51.601453280000001</v>
      </c>
      <c r="K776" s="3">
        <v>4.5530642000000003E-2</v>
      </c>
      <c r="L776" s="3">
        <v>2.3312970999999998E-2</v>
      </c>
      <c r="M776" s="3">
        <v>0.50460382199999998</v>
      </c>
      <c r="N776" s="3">
        <v>6.3500686000000001E-2</v>
      </c>
      <c r="O776" s="3">
        <v>4.8383739000000002E-2</v>
      </c>
      <c r="P776" s="3">
        <v>4.3520903999999999E-2</v>
      </c>
      <c r="Q776" s="3">
        <v>0.18750229199999999</v>
      </c>
      <c r="R776" s="3">
        <v>1.062663235</v>
      </c>
      <c r="S776" s="3">
        <v>9.7965628539999994</v>
      </c>
      <c r="T776" s="3">
        <v>2.875316293</v>
      </c>
      <c r="U776" s="3">
        <v>0.74195654600000005</v>
      </c>
      <c r="V776" s="3">
        <v>0.53361344499999996</v>
      </c>
      <c r="W776" s="3">
        <v>0.72441419699999998</v>
      </c>
      <c r="X776" s="3">
        <v>4.3479834540000004</v>
      </c>
      <c r="Y776" s="3">
        <v>6.5263702170000002</v>
      </c>
      <c r="Z776" s="3">
        <v>3.875316293</v>
      </c>
      <c r="AA776" s="3">
        <v>2.3312970999999998E-2</v>
      </c>
      <c r="AB776" s="3">
        <v>2.9334253110000001</v>
      </c>
      <c r="AC776" s="3">
        <v>6.0020682519999999</v>
      </c>
      <c r="AD776" s="3">
        <v>0.103367825</v>
      </c>
      <c r="AE776" s="3">
        <v>3.968328697</v>
      </c>
      <c r="AF776" s="4">
        <v>41654</v>
      </c>
      <c r="AG776" s="5">
        <f>YEAR(AF776)</f>
        <v>2014</v>
      </c>
      <c r="AH776" s="5" t="str">
        <f>"Q"&amp;ROUNDUP(MONTH(AF776)/3,0)</f>
        <v>Q1</v>
      </c>
      <c r="AI776" s="5">
        <f>INDEX(RatingLookup!$B$2:$B$11,MATCH(A776,RatingLookup!$A$2:$A$11,0))</f>
        <v>7</v>
      </c>
      <c r="AJ776" s="5" t="str">
        <f>INDEX(RatingLookup!$C$2:$C$11,MATCH(A776,RatingLookup!$A$2:$A$11,0))</f>
        <v>Investment Grade</v>
      </c>
    </row>
    <row r="777" spans="1:36" x14ac:dyDescent="0.3">
      <c r="A777" s="3" t="s">
        <v>36</v>
      </c>
      <c r="B777" s="3" t="s">
        <v>935</v>
      </c>
      <c r="C777" s="3" t="s">
        <v>936</v>
      </c>
      <c r="D777" s="3" t="s">
        <v>60</v>
      </c>
      <c r="E777" s="3" t="s">
        <v>46</v>
      </c>
      <c r="F777" s="3" t="s">
        <v>96</v>
      </c>
      <c r="G777" s="3">
        <v>1.01147853</v>
      </c>
      <c r="H777" s="3">
        <v>0.53298838299999995</v>
      </c>
      <c r="I777" s="3">
        <v>0.15945045799999999</v>
      </c>
      <c r="J777" s="3">
        <v>52.275217099999999</v>
      </c>
      <c r="K777" s="3">
        <v>5.5593539999999997E-2</v>
      </c>
      <c r="L777" s="3">
        <v>2.3883060000000001E-2</v>
      </c>
      <c r="M777" s="3">
        <v>0.48786199899999999</v>
      </c>
      <c r="N777" s="3">
        <v>7.6050139000000003E-2</v>
      </c>
      <c r="O777" s="3">
        <v>5.4618313000000002E-2</v>
      </c>
      <c r="P777" s="3">
        <v>3.8431868000000001E-2</v>
      </c>
      <c r="Q777" s="3">
        <v>0.183145631</v>
      </c>
      <c r="R777" s="3">
        <v>0.98245790099999997</v>
      </c>
      <c r="S777" s="3">
        <v>10.35185486</v>
      </c>
      <c r="T777" s="3">
        <v>2.3531909390000001</v>
      </c>
      <c r="U777" s="3">
        <v>0.70177660100000006</v>
      </c>
      <c r="V777" s="3">
        <v>0.62783810500000004</v>
      </c>
      <c r="W777" s="3">
        <v>0.64087348700000002</v>
      </c>
      <c r="X777" s="3">
        <v>3.8681948419999999</v>
      </c>
      <c r="Y777" s="3">
        <v>4.1361031519999996</v>
      </c>
      <c r="Z777" s="3">
        <v>3.3531909390000001</v>
      </c>
      <c r="AA777" s="3">
        <v>2.3883060000000001E-2</v>
      </c>
      <c r="AB777" s="3">
        <v>3.3533769869999999</v>
      </c>
      <c r="AC777" s="3">
        <v>6.0358166190000002</v>
      </c>
      <c r="AD777" s="3">
        <v>9.9328068000000005E-2</v>
      </c>
      <c r="AE777" s="3">
        <v>4.4181016949999998</v>
      </c>
      <c r="AF777" s="4">
        <v>41075</v>
      </c>
      <c r="AG777" s="5">
        <f>YEAR(AF777)</f>
        <v>2012</v>
      </c>
      <c r="AH777" s="5" t="str">
        <f>"Q"&amp;ROUNDUP(MONTH(AF777)/3,0)</f>
        <v>Q2</v>
      </c>
      <c r="AI777" s="5">
        <f>INDEX(RatingLookup!$B$2:$B$11,MATCH(A777,RatingLookup!$A$2:$A$11,0))</f>
        <v>8</v>
      </c>
      <c r="AJ777" s="5" t="str">
        <f>INDEX(RatingLookup!$C$2:$C$11,MATCH(A777,RatingLookup!$A$2:$A$11,0))</f>
        <v>Investment Grade</v>
      </c>
    </row>
    <row r="778" spans="1:36" x14ac:dyDescent="0.3">
      <c r="A778" s="3" t="s">
        <v>42</v>
      </c>
      <c r="B778" s="3" t="s">
        <v>935</v>
      </c>
      <c r="C778" s="3" t="s">
        <v>936</v>
      </c>
      <c r="D778" s="3" t="s">
        <v>39</v>
      </c>
      <c r="E778" s="3" t="s">
        <v>938</v>
      </c>
      <c r="F778" s="3" t="s">
        <v>96</v>
      </c>
      <c r="G778" s="3">
        <v>1.1465645360000001</v>
      </c>
      <c r="H778" s="3">
        <v>0.67527152199999996</v>
      </c>
      <c r="I778" s="3">
        <v>0.34601577700000002</v>
      </c>
      <c r="J778" s="3">
        <v>45.298329359999997</v>
      </c>
      <c r="K778" s="3">
        <v>4.4978196999999998E-2</v>
      </c>
      <c r="L778" s="3">
        <v>5.8831446000000003E-2</v>
      </c>
      <c r="M778" s="3">
        <v>0.49334254500000002</v>
      </c>
      <c r="N778" s="3">
        <v>6.4466058000000007E-2</v>
      </c>
      <c r="O778" s="3">
        <v>4.8572757000000001E-2</v>
      </c>
      <c r="P778" s="3">
        <v>0.11025541899999999</v>
      </c>
      <c r="Q778" s="3">
        <v>0.187535072</v>
      </c>
      <c r="R778" s="3">
        <v>1.079917834</v>
      </c>
      <c r="S778" s="3">
        <v>9.8283950620000002</v>
      </c>
      <c r="T778" s="3">
        <v>2.8609105530000001</v>
      </c>
      <c r="U778" s="3">
        <v>0.74099374100000004</v>
      </c>
      <c r="V778" s="3">
        <v>0.23547354000000001</v>
      </c>
      <c r="W778" s="3">
        <v>0.68758615099999998</v>
      </c>
      <c r="X778" s="3">
        <v>4.5058448459999996</v>
      </c>
      <c r="Y778" s="3">
        <v>8.3427205099999995</v>
      </c>
      <c r="Z778" s="3">
        <v>3.8609105530000001</v>
      </c>
      <c r="AA778" s="3">
        <v>5.8831446000000003E-2</v>
      </c>
      <c r="AB778" s="3">
        <v>3.279684</v>
      </c>
      <c r="AC778" s="3">
        <v>6.5531349629999998</v>
      </c>
      <c r="AD778" s="3">
        <v>0.11065551699999999</v>
      </c>
      <c r="AE778" s="3">
        <v>3.5508394640000001</v>
      </c>
      <c r="AF778" s="4">
        <v>42101</v>
      </c>
      <c r="AG778" s="5">
        <f>YEAR(AF778)</f>
        <v>2015</v>
      </c>
      <c r="AH778" s="5" t="str">
        <f>"Q"&amp;ROUNDUP(MONTH(AF778)/3,0)</f>
        <v>Q2</v>
      </c>
      <c r="AI778" s="5">
        <f>INDEX(RatingLookup!$B$2:$B$11,MATCH(A778,RatingLookup!$A$2:$A$11,0))</f>
        <v>7</v>
      </c>
      <c r="AJ778" s="5" t="str">
        <f>INDEX(RatingLookup!$C$2:$C$11,MATCH(A778,RatingLookup!$A$2:$A$11,0))</f>
        <v>Investment Grade</v>
      </c>
    </row>
    <row r="779" spans="1:36" x14ac:dyDescent="0.3">
      <c r="A779" s="3" t="s">
        <v>42</v>
      </c>
      <c r="B779" s="3" t="s">
        <v>935</v>
      </c>
      <c r="C779" s="3" t="s">
        <v>936</v>
      </c>
      <c r="D779" s="3" t="s">
        <v>60</v>
      </c>
      <c r="E779" s="3" t="s">
        <v>80</v>
      </c>
      <c r="F779" s="3" t="s">
        <v>96</v>
      </c>
      <c r="G779" s="3">
        <v>1.085094073</v>
      </c>
      <c r="H779" s="3">
        <v>0.611708739</v>
      </c>
      <c r="I779" s="3">
        <v>0.24216774499999999</v>
      </c>
      <c r="J779" s="3">
        <v>49.756599119999997</v>
      </c>
      <c r="K779" s="3">
        <v>-0.105103982</v>
      </c>
      <c r="L779" s="3">
        <v>-2.6521099999999999E-2</v>
      </c>
      <c r="M779" s="3">
        <v>0.50590327099999999</v>
      </c>
      <c r="N779" s="3">
        <v>-9.1868357999999997E-2</v>
      </c>
      <c r="O779" s="3">
        <v>-0.116302589</v>
      </c>
      <c r="P779" s="3">
        <v>-5.1399311000000003E-2</v>
      </c>
      <c r="Q779" s="3">
        <v>-0.563825994</v>
      </c>
      <c r="R779" s="3">
        <v>1.1065478820000001</v>
      </c>
      <c r="S779" s="3">
        <v>10.068345320000001</v>
      </c>
      <c r="T779" s="3">
        <v>3.847922981</v>
      </c>
      <c r="U779" s="3">
        <v>0.79372609599999999</v>
      </c>
      <c r="V779" s="3">
        <v>-0.22462405999999999</v>
      </c>
      <c r="W779" s="3">
        <v>0.64941822000000005</v>
      </c>
      <c r="X779" s="3">
        <v>3.4777102329999998</v>
      </c>
      <c r="Y779" s="3">
        <v>6.149442756</v>
      </c>
      <c r="Z779" s="3">
        <v>4.847922981</v>
      </c>
      <c r="AA779" s="3">
        <v>-2.6521099999999999E-2</v>
      </c>
      <c r="AB779" s="3">
        <v>-4.8275075479999998</v>
      </c>
      <c r="AC779" s="3">
        <v>5.3551165149999997</v>
      </c>
      <c r="AD779" s="3">
        <v>8.7830371000000004E-2</v>
      </c>
      <c r="AE779" s="3">
        <v>4.4545318350000001</v>
      </c>
      <c r="AF779" s="4">
        <v>41241</v>
      </c>
      <c r="AG779" s="5">
        <f>YEAR(AF779)</f>
        <v>2012</v>
      </c>
      <c r="AH779" s="5" t="str">
        <f>"Q"&amp;ROUNDUP(MONTH(AF779)/3,0)</f>
        <v>Q4</v>
      </c>
      <c r="AI779" s="5">
        <f>INDEX(RatingLookup!$B$2:$B$11,MATCH(A779,RatingLookup!$A$2:$A$11,0))</f>
        <v>7</v>
      </c>
      <c r="AJ779" s="5" t="str">
        <f>INDEX(RatingLookup!$C$2:$C$11,MATCH(A779,RatingLookup!$A$2:$A$11,0))</f>
        <v>Investment Grade</v>
      </c>
    </row>
    <row r="780" spans="1:36" x14ac:dyDescent="0.3">
      <c r="A780" s="3" t="s">
        <v>42</v>
      </c>
      <c r="B780" s="3" t="s">
        <v>939</v>
      </c>
      <c r="C780" s="3" t="s">
        <v>940</v>
      </c>
      <c r="D780" s="3" t="s">
        <v>39</v>
      </c>
      <c r="E780" s="3" t="s">
        <v>290</v>
      </c>
      <c r="F780" s="3" t="s">
        <v>59</v>
      </c>
      <c r="G780" s="3">
        <v>2.710226102</v>
      </c>
      <c r="H780" s="3">
        <v>1.3457715240000001</v>
      </c>
      <c r="I780" s="3">
        <v>0.316174328</v>
      </c>
      <c r="J780" s="3">
        <v>68.378562939999995</v>
      </c>
      <c r="K780" s="3">
        <v>5.5817904000000002E-2</v>
      </c>
      <c r="L780" s="3">
        <v>6.5359034999999996E-2</v>
      </c>
      <c r="M780" s="3">
        <v>0.316158946</v>
      </c>
      <c r="N780" s="3">
        <v>9.2849614999999996E-2</v>
      </c>
      <c r="O780" s="3">
        <v>4.0941696E-2</v>
      </c>
      <c r="P780" s="3">
        <v>5.6102114000000002E-2</v>
      </c>
      <c r="Q780" s="3">
        <v>8.2086566E-2</v>
      </c>
      <c r="R780" s="3">
        <v>0.73348679400000005</v>
      </c>
      <c r="S780" s="3">
        <v>3.207828975</v>
      </c>
      <c r="T780" s="3">
        <v>1.004962535</v>
      </c>
      <c r="U780" s="3">
        <v>0.501237563</v>
      </c>
      <c r="V780" s="3">
        <v>0.35921288200000001</v>
      </c>
      <c r="W780" s="3">
        <v>0.56826900800000002</v>
      </c>
      <c r="X780" s="3">
        <v>1.9636620149999999</v>
      </c>
      <c r="Y780" s="3">
        <v>2.87025598</v>
      </c>
      <c r="Z780" s="3">
        <v>2.0049625350000002</v>
      </c>
      <c r="AA780" s="3">
        <v>6.5359034999999996E-2</v>
      </c>
      <c r="AB780" s="3">
        <v>10.905263250000001</v>
      </c>
      <c r="AC780" s="3">
        <v>3.4555148830000002</v>
      </c>
      <c r="AD780" s="3">
        <v>9.5824742000000004E-2</v>
      </c>
      <c r="AE780" s="3">
        <v>9.3778221380000009</v>
      </c>
      <c r="AF780" s="4">
        <v>42045</v>
      </c>
      <c r="AG780" s="5">
        <f>YEAR(AF780)</f>
        <v>2015</v>
      </c>
      <c r="AH780" s="5" t="str">
        <f>"Q"&amp;ROUNDUP(MONTH(AF780)/3,0)</f>
        <v>Q1</v>
      </c>
      <c r="AI780" s="5">
        <f>INDEX(RatingLookup!$B$2:$B$11,MATCH(A780,RatingLookup!$A$2:$A$11,0))</f>
        <v>7</v>
      </c>
      <c r="AJ780" s="5" t="str">
        <f>INDEX(RatingLookup!$C$2:$C$11,MATCH(A780,RatingLookup!$A$2:$A$11,0))</f>
        <v>Investment Grade</v>
      </c>
    </row>
    <row r="781" spans="1:36" x14ac:dyDescent="0.3">
      <c r="A781" s="3" t="s">
        <v>36</v>
      </c>
      <c r="B781" s="3" t="s">
        <v>939</v>
      </c>
      <c r="C781" s="3" t="s">
        <v>940</v>
      </c>
      <c r="D781" s="3" t="s">
        <v>39</v>
      </c>
      <c r="E781" s="3" t="s">
        <v>423</v>
      </c>
      <c r="F781" s="3" t="s">
        <v>59</v>
      </c>
      <c r="G781" s="3">
        <v>3.2067909490000002</v>
      </c>
      <c r="H781" s="3">
        <v>1.865607483</v>
      </c>
      <c r="I781" s="3">
        <v>0.80693252500000001</v>
      </c>
      <c r="J781" s="3">
        <v>62.77292997</v>
      </c>
      <c r="K781" s="3">
        <v>7.8499699000000006E-2</v>
      </c>
      <c r="L781" s="3">
        <v>0.102962764</v>
      </c>
      <c r="M781" s="3">
        <v>0.32633537200000001</v>
      </c>
      <c r="N781" s="3">
        <v>0.114465548</v>
      </c>
      <c r="O781" s="3">
        <v>6.1576066999999998E-2</v>
      </c>
      <c r="P781" s="3">
        <v>9.4093552999999996E-2</v>
      </c>
      <c r="Q781" s="3">
        <v>0.11407679499999999</v>
      </c>
      <c r="R781" s="3">
        <v>0.78441151399999998</v>
      </c>
      <c r="S781" s="3">
        <v>3.4921589470000001</v>
      </c>
      <c r="T781" s="3">
        <v>0.85261580000000003</v>
      </c>
      <c r="U781" s="3">
        <v>0.46022267500000003</v>
      </c>
      <c r="V781" s="3">
        <v>0.22389716800000001</v>
      </c>
      <c r="W781" s="3">
        <v>0.70848143600000002</v>
      </c>
      <c r="X781" s="3">
        <v>2.5334432379999998</v>
      </c>
      <c r="Y781" s="3">
        <v>5.373859532</v>
      </c>
      <c r="Z781" s="3">
        <v>1.8526157999999999</v>
      </c>
      <c r="AA781" s="3">
        <v>0.102962764</v>
      </c>
      <c r="AB781" s="3">
        <v>9.0860864029999995</v>
      </c>
      <c r="AC781" s="3">
        <v>3.575878082</v>
      </c>
      <c r="AD781" s="3">
        <v>0.10973699000000001</v>
      </c>
      <c r="AE781" s="3">
        <v>9.1508842060000006</v>
      </c>
      <c r="AF781" s="4">
        <v>41684</v>
      </c>
      <c r="AG781" s="5">
        <f>YEAR(AF781)</f>
        <v>2014</v>
      </c>
      <c r="AH781" s="5" t="str">
        <f>"Q"&amp;ROUNDUP(MONTH(AF781)/3,0)</f>
        <v>Q1</v>
      </c>
      <c r="AI781" s="5">
        <f>INDEX(RatingLookup!$B$2:$B$11,MATCH(A781,RatingLookup!$A$2:$A$11,0))</f>
        <v>8</v>
      </c>
      <c r="AJ781" s="5" t="str">
        <f>INDEX(RatingLookup!$C$2:$C$11,MATCH(A781,RatingLookup!$A$2:$A$11,0))</f>
        <v>Investment Grade</v>
      </c>
    </row>
    <row r="782" spans="1:36" x14ac:dyDescent="0.3">
      <c r="A782" s="3" t="s">
        <v>42</v>
      </c>
      <c r="B782" s="3" t="s">
        <v>939</v>
      </c>
      <c r="C782" s="3" t="s">
        <v>940</v>
      </c>
      <c r="D782" s="3" t="s">
        <v>60</v>
      </c>
      <c r="E782" s="3" t="s">
        <v>941</v>
      </c>
      <c r="F782" s="3" t="s">
        <v>59</v>
      </c>
      <c r="G782" s="3">
        <v>2.6070671000000001</v>
      </c>
      <c r="H782" s="3">
        <v>1.291193676</v>
      </c>
      <c r="I782" s="3">
        <v>0.218529904</v>
      </c>
      <c r="J782" s="3">
        <v>61.408828970000002</v>
      </c>
      <c r="K782" s="3">
        <v>-0.141242334</v>
      </c>
      <c r="L782" s="3">
        <v>-0.14642480099999999</v>
      </c>
      <c r="M782" s="3">
        <v>0.30447058100000002</v>
      </c>
      <c r="N782" s="3">
        <v>-0.13517062399999999</v>
      </c>
      <c r="O782" s="3">
        <v>-0.131213264</v>
      </c>
      <c r="P782" s="3">
        <v>-0.163772797</v>
      </c>
      <c r="Q782" s="3">
        <v>-0.27782289700000001</v>
      </c>
      <c r="R782" s="3">
        <v>0.92899387899999997</v>
      </c>
      <c r="S782" s="3">
        <v>3.2448074039999999</v>
      </c>
      <c r="T782" s="3">
        <v>1.117338519</v>
      </c>
      <c r="U782" s="3">
        <v>0.52770896499999997</v>
      </c>
      <c r="V782" s="3">
        <v>4.2965313999999998E-2</v>
      </c>
      <c r="W782" s="3">
        <v>0.71278209199999998</v>
      </c>
      <c r="X782" s="3">
        <v>3.1571929120000002</v>
      </c>
      <c r="Y782" s="3">
        <v>2.2427339869999998</v>
      </c>
      <c r="Z782" s="3">
        <v>2.117338519</v>
      </c>
      <c r="AA782" s="3">
        <v>-0.14642480099999999</v>
      </c>
      <c r="AB782" s="3">
        <v>-14.45664652</v>
      </c>
      <c r="AC782" s="3">
        <v>4.4293942680000002</v>
      </c>
      <c r="AD782" s="3">
        <v>0.13275825899999999</v>
      </c>
      <c r="AE782" s="3">
        <v>9.8259802220000001</v>
      </c>
      <c r="AF782" s="4">
        <v>42389</v>
      </c>
      <c r="AG782" s="5">
        <f>YEAR(AF782)</f>
        <v>2016</v>
      </c>
      <c r="AH782" s="5" t="str">
        <f>"Q"&amp;ROUNDUP(MONTH(AF782)/3,0)</f>
        <v>Q1</v>
      </c>
      <c r="AI782" s="5">
        <f>INDEX(RatingLookup!$B$2:$B$11,MATCH(A782,RatingLookup!$A$2:$A$11,0))</f>
        <v>7</v>
      </c>
      <c r="AJ782" s="5" t="str">
        <f>INDEX(RatingLookup!$C$2:$C$11,MATCH(A782,RatingLookup!$A$2:$A$11,0))</f>
        <v>Investment Grade</v>
      </c>
    </row>
    <row r="783" spans="1:36" x14ac:dyDescent="0.3">
      <c r="A783" s="3" t="s">
        <v>92</v>
      </c>
      <c r="B783" s="3" t="s">
        <v>942</v>
      </c>
      <c r="C783" s="3" t="s">
        <v>943</v>
      </c>
      <c r="D783" s="3" t="s">
        <v>39</v>
      </c>
      <c r="E783" s="3" t="s">
        <v>944</v>
      </c>
      <c r="F783" s="3" t="s">
        <v>66</v>
      </c>
      <c r="G783" s="3">
        <v>1.5028722430000001</v>
      </c>
      <c r="H783" s="3">
        <v>0.252987132</v>
      </c>
      <c r="I783" s="3">
        <v>2.9181985000000001E-2</v>
      </c>
      <c r="J783" s="3">
        <v>11.749269610000001</v>
      </c>
      <c r="K783" s="3">
        <v>9.0096389999999998E-3</v>
      </c>
      <c r="L783" s="3">
        <v>1.2840923000000001E-2</v>
      </c>
      <c r="M783" s="3">
        <v>4.5852942000000001E-2</v>
      </c>
      <c r="N783" s="3">
        <v>1.2840923000000001E-2</v>
      </c>
      <c r="O783" s="3">
        <v>2.4029489000000001E-2</v>
      </c>
      <c r="P783" s="3">
        <v>5.7668133000000003E-2</v>
      </c>
      <c r="Q783" s="3">
        <v>6.097561E-2</v>
      </c>
      <c r="R783" s="3">
        <v>2.6670865990000001</v>
      </c>
      <c r="S783" s="3">
        <v>10.16014931</v>
      </c>
      <c r="T783" s="3">
        <v>1.53753256</v>
      </c>
      <c r="U783" s="3">
        <v>0.60591638699999995</v>
      </c>
      <c r="V783" s="3">
        <v>0.33923705700000001</v>
      </c>
      <c r="W783" s="3">
        <v>0.40028591899999999</v>
      </c>
      <c r="X783" s="3">
        <v>3.8301202679999999</v>
      </c>
      <c r="Y783" s="3">
        <v>2.4758991730000002</v>
      </c>
      <c r="Z783" s="3">
        <v>2.5375325599999998</v>
      </c>
      <c r="AA783" s="3">
        <v>1.2840923000000001E-2</v>
      </c>
      <c r="AB783" s="3">
        <v>12.005322339999999</v>
      </c>
      <c r="AC783" s="3">
        <v>9.5684611700000008</v>
      </c>
      <c r="AD783" s="3">
        <v>2.4474729000000001E-2</v>
      </c>
      <c r="AE783" s="3">
        <v>16.791871919999998</v>
      </c>
      <c r="AF783" s="4">
        <v>41866</v>
      </c>
      <c r="AG783" s="5">
        <f>YEAR(AF783)</f>
        <v>2014</v>
      </c>
      <c r="AH783" s="5" t="str">
        <f>"Q"&amp;ROUNDUP(MONTH(AF783)/3,0)</f>
        <v>Q3</v>
      </c>
      <c r="AI783" s="5">
        <f>INDEX(RatingLookup!$B$2:$B$11,MATCH(A783,RatingLookup!$A$2:$A$11,0))</f>
        <v>6</v>
      </c>
      <c r="AJ783" s="5" t="str">
        <f>INDEX(RatingLookup!$C$2:$C$11,MATCH(A783,RatingLookup!$A$2:$A$11,0))</f>
        <v>Speculative Grade</v>
      </c>
    </row>
    <row r="784" spans="1:36" x14ac:dyDescent="0.3">
      <c r="A784" s="3" t="s">
        <v>42</v>
      </c>
      <c r="B784" s="3" t="s">
        <v>942</v>
      </c>
      <c r="C784" s="3" t="s">
        <v>943</v>
      </c>
      <c r="D784" s="3" t="s">
        <v>39</v>
      </c>
      <c r="E784" s="3" t="s">
        <v>945</v>
      </c>
      <c r="F784" s="3" t="s">
        <v>66</v>
      </c>
      <c r="G784" s="3">
        <v>1.417790187</v>
      </c>
      <c r="H784" s="3">
        <v>0.24315915399999999</v>
      </c>
      <c r="I784" s="3">
        <v>5.9194256000000001E-2</v>
      </c>
      <c r="J784" s="3">
        <v>12.756288</v>
      </c>
      <c r="K784" s="3">
        <v>4.9880189999999998E-3</v>
      </c>
      <c r="L784" s="3">
        <v>1.6528925999999999E-2</v>
      </c>
      <c r="M784" s="3">
        <v>4.4989975000000001E-2</v>
      </c>
      <c r="N784" s="3">
        <v>1.6528925999999999E-2</v>
      </c>
      <c r="O784" s="3">
        <v>1.1426011E-2</v>
      </c>
      <c r="P784" s="3">
        <v>7.1177874000000002E-2</v>
      </c>
      <c r="Q784" s="3">
        <v>3.1043927999999998E-2</v>
      </c>
      <c r="R784" s="3">
        <v>2.2906911619999999</v>
      </c>
      <c r="S784" s="3">
        <v>10.0982716</v>
      </c>
      <c r="T784" s="3">
        <v>1.7169524199999999</v>
      </c>
      <c r="U784" s="3">
        <v>0.63194055500000001</v>
      </c>
      <c r="V784" s="3">
        <v>0.89151873800000003</v>
      </c>
      <c r="W784" s="3">
        <v>0.53168539299999995</v>
      </c>
      <c r="X784" s="3">
        <v>8.0364619239999993</v>
      </c>
      <c r="Y784" s="3">
        <v>6.1411340479999996</v>
      </c>
      <c r="Z784" s="3">
        <v>2.7169524200000001</v>
      </c>
      <c r="AA784" s="3">
        <v>1.6528925999999999E-2</v>
      </c>
      <c r="AB784" s="3">
        <v>9.1534265769999994</v>
      </c>
      <c r="AC784" s="3">
        <v>15.11506997</v>
      </c>
      <c r="AD784" s="3">
        <v>3.6269092000000003E-2</v>
      </c>
      <c r="AE784" s="3">
        <v>16.63458262</v>
      </c>
      <c r="AF784" s="4">
        <v>41586</v>
      </c>
      <c r="AG784" s="5">
        <f>YEAR(AF784)</f>
        <v>2013</v>
      </c>
      <c r="AH784" s="5" t="str">
        <f>"Q"&amp;ROUNDUP(MONTH(AF784)/3,0)</f>
        <v>Q4</v>
      </c>
      <c r="AI784" s="5">
        <f>INDEX(RatingLookup!$B$2:$B$11,MATCH(A784,RatingLookup!$A$2:$A$11,0))</f>
        <v>7</v>
      </c>
      <c r="AJ784" s="5" t="str">
        <f>INDEX(RatingLookup!$C$2:$C$11,MATCH(A784,RatingLookup!$A$2:$A$11,0))</f>
        <v>Investment Grade</v>
      </c>
    </row>
    <row r="785" spans="1:36" x14ac:dyDescent="0.3">
      <c r="A785" s="3" t="s">
        <v>42</v>
      </c>
      <c r="B785" s="3" t="s">
        <v>942</v>
      </c>
      <c r="C785" s="3" t="s">
        <v>943</v>
      </c>
      <c r="D785" s="3" t="s">
        <v>39</v>
      </c>
      <c r="E785" s="3" t="s">
        <v>40</v>
      </c>
      <c r="F785" s="3" t="s">
        <v>66</v>
      </c>
      <c r="G785" s="3">
        <v>1.4871934600000001</v>
      </c>
      <c r="H785" s="3">
        <v>0.27493188000000002</v>
      </c>
      <c r="I785" s="3">
        <v>2.4114441E-2</v>
      </c>
      <c r="J785" s="3">
        <v>13.49798642</v>
      </c>
      <c r="K785" s="3">
        <v>1.8202738E-2</v>
      </c>
      <c r="L785" s="3">
        <v>2.4185939E-2</v>
      </c>
      <c r="M785" s="3">
        <v>6.1972155000000001E-2</v>
      </c>
      <c r="N785" s="3">
        <v>2.4185939E-2</v>
      </c>
      <c r="O785" s="3">
        <v>4.4135699E-2</v>
      </c>
      <c r="P785" s="3">
        <v>9.9319598999999995E-2</v>
      </c>
      <c r="Q785" s="3">
        <v>0.122807018</v>
      </c>
      <c r="R785" s="3">
        <v>2.4246735859999999</v>
      </c>
      <c r="S785" s="3">
        <v>9.1754645270000008</v>
      </c>
      <c r="T785" s="3">
        <v>1.782487191</v>
      </c>
      <c r="U785" s="3">
        <v>0.64060930699999996</v>
      </c>
      <c r="V785" s="3">
        <v>0.28163653700000002</v>
      </c>
      <c r="W785" s="3">
        <v>-6.3934426000000003E-2</v>
      </c>
      <c r="X785" s="3">
        <v>-0.27145249799999999</v>
      </c>
      <c r="Y785" s="3">
        <v>2.8606917059999999</v>
      </c>
      <c r="Z785" s="3">
        <v>2.782487191</v>
      </c>
      <c r="AA785" s="3">
        <v>2.4185939E-2</v>
      </c>
      <c r="AB785" s="3">
        <v>7.8540554929999997</v>
      </c>
      <c r="AC785" s="3">
        <v>4.2457954759999996</v>
      </c>
      <c r="AD785" s="3">
        <v>1.403751E-2</v>
      </c>
      <c r="AE785" s="3">
        <v>15.23813084</v>
      </c>
      <c r="AF785" s="4">
        <v>42335</v>
      </c>
      <c r="AG785" s="5">
        <f>YEAR(AF785)</f>
        <v>2015</v>
      </c>
      <c r="AH785" s="5" t="str">
        <f>"Q"&amp;ROUNDUP(MONTH(AF785)/3,0)</f>
        <v>Q4</v>
      </c>
      <c r="AI785" s="5">
        <f>INDEX(RatingLookup!$B$2:$B$11,MATCH(A785,RatingLookup!$A$2:$A$11,0))</f>
        <v>7</v>
      </c>
      <c r="AJ785" s="5" t="str">
        <f>INDEX(RatingLookup!$C$2:$C$11,MATCH(A785,RatingLookup!$A$2:$A$11,0))</f>
        <v>Investment Grade</v>
      </c>
    </row>
    <row r="786" spans="1:36" x14ac:dyDescent="0.3">
      <c r="A786" s="3" t="s">
        <v>92</v>
      </c>
      <c r="B786" s="3" t="s">
        <v>942</v>
      </c>
      <c r="C786" s="3" t="s">
        <v>943</v>
      </c>
      <c r="D786" s="3" t="s">
        <v>47</v>
      </c>
      <c r="E786" s="3" t="s">
        <v>946</v>
      </c>
      <c r="F786" s="3" t="s">
        <v>66</v>
      </c>
      <c r="G786" s="3">
        <v>1.8897365770000001</v>
      </c>
      <c r="H786" s="3">
        <v>0.48135886</v>
      </c>
      <c r="I786" s="3">
        <v>0.12019576799999999</v>
      </c>
      <c r="J786" s="3">
        <v>15.279011970000001</v>
      </c>
      <c r="K786" s="3">
        <v>1.6035952999999999E-2</v>
      </c>
      <c r="L786" s="3">
        <v>-4.8346190000000001E-3</v>
      </c>
      <c r="M786" s="3">
        <v>4.6439576000000003E-2</v>
      </c>
      <c r="N786" s="3">
        <v>1.6035952999999999E-2</v>
      </c>
      <c r="O786" s="3">
        <v>4.0472609999999999E-2</v>
      </c>
      <c r="P786" s="3">
        <v>-1.7393434999999999E-2</v>
      </c>
      <c r="Q786" s="3">
        <v>8.0464678999999997E-2</v>
      </c>
      <c r="R786" s="3">
        <v>2.5238668099999999</v>
      </c>
      <c r="S786" s="3">
        <v>10.64763458</v>
      </c>
      <c r="T786" s="3">
        <v>0.98812676200000005</v>
      </c>
      <c r="U786" s="3">
        <v>0.497013963</v>
      </c>
      <c r="V786" s="3">
        <v>-0.15492957700000001</v>
      </c>
      <c r="W786" s="3">
        <v>0.569625096</v>
      </c>
      <c r="X786" s="3">
        <v>10.15805857</v>
      </c>
      <c r="Y786" s="3">
        <v>6.0375297760000004</v>
      </c>
      <c r="Z786" s="3">
        <v>1.988126762</v>
      </c>
      <c r="AA786" s="3">
        <v>-4.8346190000000001E-3</v>
      </c>
      <c r="AB786" s="3">
        <v>7.4489156830000001</v>
      </c>
      <c r="AC786" s="3">
        <v>17.83288456</v>
      </c>
      <c r="AD786" s="3">
        <v>4.4498918999999998E-2</v>
      </c>
      <c r="AE786" s="3">
        <v>17.65364009</v>
      </c>
      <c r="AF786" s="4">
        <v>41022</v>
      </c>
      <c r="AG786" s="5">
        <f>YEAR(AF786)</f>
        <v>2012</v>
      </c>
      <c r="AH786" s="5" t="str">
        <f>"Q"&amp;ROUNDUP(MONTH(AF786)/3,0)</f>
        <v>Q2</v>
      </c>
      <c r="AI786" s="5">
        <f>INDEX(RatingLookup!$B$2:$B$11,MATCH(A786,RatingLookup!$A$2:$A$11,0))</f>
        <v>6</v>
      </c>
      <c r="AJ786" s="5" t="str">
        <f>INDEX(RatingLookup!$C$2:$C$11,MATCH(A786,RatingLookup!$A$2:$A$11,0))</f>
        <v>Speculative Grade</v>
      </c>
    </row>
    <row r="787" spans="1:36" x14ac:dyDescent="0.3">
      <c r="A787" s="3" t="s">
        <v>92</v>
      </c>
      <c r="B787" s="3" t="s">
        <v>942</v>
      </c>
      <c r="C787" s="3" t="s">
        <v>943</v>
      </c>
      <c r="D787" s="3" t="s">
        <v>47</v>
      </c>
      <c r="E787" s="3" t="s">
        <v>134</v>
      </c>
      <c r="F787" s="3" t="s">
        <v>66</v>
      </c>
      <c r="G787" s="3">
        <v>1.4435190010000001</v>
      </c>
      <c r="H787" s="3">
        <v>0.33966684000000003</v>
      </c>
      <c r="I787" s="3">
        <v>0.10931806400000001</v>
      </c>
      <c r="J787" s="3">
        <v>14.333512969999999</v>
      </c>
      <c r="K787" s="3">
        <v>1.7455892000000001E-2</v>
      </c>
      <c r="L787" s="3">
        <v>2.3337004000000001E-2</v>
      </c>
      <c r="M787" s="3">
        <v>5.6468051999999998E-2</v>
      </c>
      <c r="N787" s="3">
        <v>2.3337004000000001E-2</v>
      </c>
      <c r="O787" s="3">
        <v>3.8826350000000003E-2</v>
      </c>
      <c r="P787" s="3">
        <v>8.6578581000000002E-2</v>
      </c>
      <c r="Q787" s="3">
        <v>0.104283315</v>
      </c>
      <c r="R787" s="3">
        <v>2.2242547429999999</v>
      </c>
      <c r="S787" s="3">
        <v>8.3700725630000008</v>
      </c>
      <c r="T787" s="3">
        <v>1.6858902579999999</v>
      </c>
      <c r="U787" s="3">
        <v>0.62768396900000001</v>
      </c>
      <c r="V787" s="3">
        <v>0.22088353399999999</v>
      </c>
      <c r="W787" s="3">
        <v>0.58823529399999996</v>
      </c>
      <c r="X787" s="3">
        <v>8.0088598579999992</v>
      </c>
      <c r="Y787" s="3">
        <v>6.6788170610000002</v>
      </c>
      <c r="Z787" s="3">
        <v>2.6858902580000001</v>
      </c>
      <c r="AA787" s="3">
        <v>2.3337004000000001E-2</v>
      </c>
      <c r="AB787" s="3">
        <v>8.1982487739999996</v>
      </c>
      <c r="AC787" s="3">
        <v>13.61506176</v>
      </c>
      <c r="AD787" s="3">
        <v>4.4612104E-2</v>
      </c>
      <c r="AE787" s="3">
        <v>11.554949779999999</v>
      </c>
      <c r="AF787" s="4">
        <v>42703</v>
      </c>
      <c r="AG787" s="5">
        <f>YEAR(AF787)</f>
        <v>2016</v>
      </c>
      <c r="AH787" s="5" t="str">
        <f>"Q"&amp;ROUNDUP(MONTH(AF787)/3,0)</f>
        <v>Q4</v>
      </c>
      <c r="AI787" s="5">
        <f>INDEX(RatingLookup!$B$2:$B$11,MATCH(A787,RatingLookup!$A$2:$A$11,0))</f>
        <v>6</v>
      </c>
      <c r="AJ787" s="5" t="str">
        <f>INDEX(RatingLookup!$C$2:$C$11,MATCH(A787,RatingLookup!$A$2:$A$11,0))</f>
        <v>Speculative Grade</v>
      </c>
    </row>
    <row r="788" spans="1:36" x14ac:dyDescent="0.3">
      <c r="A788" s="3" t="s">
        <v>92</v>
      </c>
      <c r="B788" s="3" t="s">
        <v>942</v>
      </c>
      <c r="C788" s="3" t="s">
        <v>943</v>
      </c>
      <c r="D788" s="3" t="s">
        <v>47</v>
      </c>
      <c r="E788" s="3" t="s">
        <v>104</v>
      </c>
      <c r="F788" s="3" t="s">
        <v>66</v>
      </c>
      <c r="G788" s="3">
        <v>1.5808676530000001</v>
      </c>
      <c r="H788" s="3">
        <v>0.35165933599999999</v>
      </c>
      <c r="I788" s="3">
        <v>5.7776888999999998E-2</v>
      </c>
      <c r="J788" s="3">
        <v>23.166364009999999</v>
      </c>
      <c r="K788" s="3">
        <v>5.1501958E-2</v>
      </c>
      <c r="L788" s="3">
        <v>6.6729385000000002E-2</v>
      </c>
      <c r="M788" s="3">
        <v>5.4936881E-2</v>
      </c>
      <c r="N788" s="3">
        <v>6.6729385000000002E-2</v>
      </c>
      <c r="O788" s="3">
        <v>9.0534979000000002E-2</v>
      </c>
      <c r="P788" s="3">
        <v>0.19066074899999999</v>
      </c>
      <c r="Q788" s="3">
        <v>0.19263502499999999</v>
      </c>
      <c r="R788" s="3">
        <v>1.757893927</v>
      </c>
      <c r="S788" s="3">
        <v>8.604480422</v>
      </c>
      <c r="T788" s="3">
        <v>1.1277414079999999</v>
      </c>
      <c r="U788" s="3">
        <v>0.53001807599999995</v>
      </c>
      <c r="V788" s="3">
        <v>0.22590163899999999</v>
      </c>
      <c r="W788" s="3">
        <v>1.4402464070000001</v>
      </c>
      <c r="X788" s="3">
        <v>-24.838669759999998</v>
      </c>
      <c r="Y788" s="3">
        <v>4.3699627149999998</v>
      </c>
      <c r="Z788" s="3">
        <v>2.1277414079999999</v>
      </c>
      <c r="AA788" s="3">
        <v>6.6729385000000002E-2</v>
      </c>
      <c r="AB788" s="3">
        <v>3.4409939039999999</v>
      </c>
      <c r="AC788" s="3">
        <v>-17.24612514</v>
      </c>
      <c r="AD788" s="3">
        <v>-5.3274116000000003E-2</v>
      </c>
      <c r="AE788" s="3">
        <v>11.87682156</v>
      </c>
      <c r="AF788" s="4">
        <v>40660</v>
      </c>
      <c r="AG788" s="5">
        <f>YEAR(AF788)</f>
        <v>2011</v>
      </c>
      <c r="AH788" s="5" t="str">
        <f>"Q"&amp;ROUNDUP(MONTH(AF788)/3,0)</f>
        <v>Q2</v>
      </c>
      <c r="AI788" s="5">
        <f>INDEX(RatingLookup!$B$2:$B$11,MATCH(A788,RatingLookup!$A$2:$A$11,0))</f>
        <v>6</v>
      </c>
      <c r="AJ788" s="5" t="str">
        <f>INDEX(RatingLookup!$C$2:$C$11,MATCH(A788,RatingLookup!$A$2:$A$11,0))</f>
        <v>Speculative Grade</v>
      </c>
    </row>
    <row r="789" spans="1:36" x14ac:dyDescent="0.3">
      <c r="A789" s="3" t="s">
        <v>92</v>
      </c>
      <c r="B789" s="3" t="s">
        <v>942</v>
      </c>
      <c r="C789" s="3" t="s">
        <v>943</v>
      </c>
      <c r="D789" s="3" t="s">
        <v>47</v>
      </c>
      <c r="E789" s="3" t="s">
        <v>947</v>
      </c>
      <c r="F789" s="3" t="s">
        <v>66</v>
      </c>
      <c r="G789" s="3">
        <v>1.4932964280000001</v>
      </c>
      <c r="H789" s="3">
        <v>0.27203529100000001</v>
      </c>
      <c r="I789" s="3">
        <v>4.9217195999999998E-2</v>
      </c>
      <c r="J789" s="3">
        <v>14.787673590000001</v>
      </c>
      <c r="K789" s="3">
        <v>1.049335E-3</v>
      </c>
      <c r="L789" s="3">
        <v>6.0992609999999999E-3</v>
      </c>
      <c r="M789" s="3">
        <v>4.2186552000000002E-2</v>
      </c>
      <c r="N789" s="3">
        <v>6.0992609999999999E-3</v>
      </c>
      <c r="O789" s="3">
        <v>2.3460410000000001E-3</v>
      </c>
      <c r="P789" s="3">
        <v>2.3665628000000001E-2</v>
      </c>
      <c r="Q789" s="3">
        <v>5.8921010000000003E-3</v>
      </c>
      <c r="R789" s="3">
        <v>2.235740469</v>
      </c>
      <c r="S789" s="3">
        <v>10.358525820000001</v>
      </c>
      <c r="T789" s="3">
        <v>1.51150801</v>
      </c>
      <c r="U789" s="3">
        <v>0.60183284500000001</v>
      </c>
      <c r="V789" s="3">
        <v>-1.6129032000000001E-2</v>
      </c>
      <c r="W789" s="3">
        <v>3.396061269</v>
      </c>
      <c r="X789" s="3">
        <v>-10.630097599999999</v>
      </c>
      <c r="Y789" s="3">
        <v>4.6164212500000001</v>
      </c>
      <c r="Z789" s="3">
        <v>2.51150801</v>
      </c>
      <c r="AA789" s="3">
        <v>6.0992609999999999E-3</v>
      </c>
      <c r="AB789" s="3">
        <v>16.084716029999999</v>
      </c>
      <c r="AC789" s="3">
        <v>-3.1301253880000002</v>
      </c>
      <c r="AD789" s="3">
        <v>-7.4929089999999999E-3</v>
      </c>
      <c r="AE789" s="3">
        <v>17.601084660000001</v>
      </c>
      <c r="AF789" s="4">
        <v>41373</v>
      </c>
      <c r="AG789" s="5">
        <f>YEAR(AF789)</f>
        <v>2013</v>
      </c>
      <c r="AH789" s="5" t="str">
        <f>"Q"&amp;ROUNDUP(MONTH(AF789)/3,0)</f>
        <v>Q2</v>
      </c>
      <c r="AI789" s="5">
        <f>INDEX(RatingLookup!$B$2:$B$11,MATCH(A789,RatingLookup!$A$2:$A$11,0))</f>
        <v>6</v>
      </c>
      <c r="AJ789" s="5" t="str">
        <f>INDEX(RatingLookup!$C$2:$C$11,MATCH(A789,RatingLookup!$A$2:$A$11,0))</f>
        <v>Speculative Grade</v>
      </c>
    </row>
    <row r="790" spans="1:36" x14ac:dyDescent="0.3">
      <c r="A790" s="3" t="s">
        <v>42</v>
      </c>
      <c r="B790" s="3" t="s">
        <v>948</v>
      </c>
      <c r="C790" s="3" t="s">
        <v>949</v>
      </c>
      <c r="D790" s="3" t="s">
        <v>44</v>
      </c>
      <c r="E790" s="3" t="s">
        <v>950</v>
      </c>
      <c r="F790" s="3" t="s">
        <v>79</v>
      </c>
      <c r="G790" s="3">
        <v>0.722608044</v>
      </c>
      <c r="H790" s="3">
        <v>0.58031476400000004</v>
      </c>
      <c r="I790" s="3">
        <v>0.33764676500000002</v>
      </c>
      <c r="J790" s="3">
        <v>42.676638359999998</v>
      </c>
      <c r="K790" s="3">
        <v>2.3450374E-2</v>
      </c>
      <c r="L790" s="3">
        <v>6.3328685999999995E-2</v>
      </c>
      <c r="M790" s="3">
        <v>1</v>
      </c>
      <c r="N790" s="3">
        <v>0.111446318</v>
      </c>
      <c r="O790" s="3">
        <v>1.0463327E-2</v>
      </c>
      <c r="P790" s="3">
        <v>6.0696896E-2</v>
      </c>
      <c r="Q790" s="3">
        <v>3.1293346E-2</v>
      </c>
      <c r="R790" s="3">
        <v>0.44619021800000003</v>
      </c>
      <c r="S790" s="3">
        <v>1.6919018619999999</v>
      </c>
      <c r="T790" s="3">
        <v>1.918298995</v>
      </c>
      <c r="U790" s="3">
        <v>0.64140762900000003</v>
      </c>
      <c r="V790" s="3">
        <v>0.62970376299999997</v>
      </c>
      <c r="W790" s="3">
        <v>0.32526698500000001</v>
      </c>
      <c r="X790" s="3">
        <v>1.0808319669999999</v>
      </c>
      <c r="Y790" s="3">
        <v>2.6437534989999998</v>
      </c>
      <c r="Z790" s="3">
        <v>2.9907642339999998</v>
      </c>
      <c r="AA790" s="3">
        <v>0.10523513800000001</v>
      </c>
      <c r="AB790" s="3">
        <v>7.8553717479999996</v>
      </c>
      <c r="AC790" s="3">
        <v>3.322907083</v>
      </c>
      <c r="AD790" s="3">
        <v>0.22314615300000001</v>
      </c>
      <c r="AE790" s="3">
        <v>0</v>
      </c>
      <c r="AF790" s="4">
        <v>42164</v>
      </c>
      <c r="AG790" s="5">
        <f>YEAR(AF790)</f>
        <v>2015</v>
      </c>
      <c r="AH790" s="5" t="str">
        <f>"Q"&amp;ROUNDUP(MONTH(AF790)/3,0)</f>
        <v>Q2</v>
      </c>
      <c r="AI790" s="5">
        <f>INDEX(RatingLookup!$B$2:$B$11,MATCH(A790,RatingLookup!$A$2:$A$11,0))</f>
        <v>7</v>
      </c>
      <c r="AJ790" s="5" t="str">
        <f>INDEX(RatingLookup!$C$2:$C$11,MATCH(A790,RatingLookup!$A$2:$A$11,0))</f>
        <v>Investment Grade</v>
      </c>
    </row>
    <row r="791" spans="1:36" x14ac:dyDescent="0.3">
      <c r="A791" s="3" t="s">
        <v>42</v>
      </c>
      <c r="B791" s="3" t="s">
        <v>948</v>
      </c>
      <c r="C791" s="3" t="s">
        <v>949</v>
      </c>
      <c r="D791" s="3" t="s">
        <v>44</v>
      </c>
      <c r="E791" s="3" t="s">
        <v>85</v>
      </c>
      <c r="F791" s="3" t="s">
        <v>79</v>
      </c>
      <c r="G791" s="3">
        <v>0.661795986</v>
      </c>
      <c r="H791" s="3">
        <v>0.49144548199999999</v>
      </c>
      <c r="I791" s="3">
        <v>0.20664940300000001</v>
      </c>
      <c r="J791" s="3">
        <v>44.232528080000002</v>
      </c>
      <c r="K791" s="3">
        <v>6.5911124000000001E-2</v>
      </c>
      <c r="L791" s="3">
        <v>8.2040957999999997E-2</v>
      </c>
      <c r="M791" s="3">
        <v>1</v>
      </c>
      <c r="N791" s="3">
        <v>0.114226066</v>
      </c>
      <c r="O791" s="3">
        <v>2.9005797E-2</v>
      </c>
      <c r="P791" s="3">
        <v>7.0167899000000006E-2</v>
      </c>
      <c r="Q791" s="3">
        <v>8.5805804999999999E-2</v>
      </c>
      <c r="R791" s="3">
        <v>0.44007437399999999</v>
      </c>
      <c r="S791" s="3">
        <v>1.601560323</v>
      </c>
      <c r="T791" s="3">
        <v>1.881871421</v>
      </c>
      <c r="U791" s="3">
        <v>0.63614787299999997</v>
      </c>
      <c r="V791" s="3">
        <v>0.19660708900000001</v>
      </c>
      <c r="W791" s="3">
        <v>0.32392148599999998</v>
      </c>
      <c r="X791" s="3">
        <v>1.1650183199999999</v>
      </c>
      <c r="Y791" s="3">
        <v>2.171479384</v>
      </c>
      <c r="Z791" s="3">
        <v>2.9582295269999999</v>
      </c>
      <c r="AA791" s="3">
        <v>0.121731782</v>
      </c>
      <c r="AB791" s="3">
        <v>7.1014644059999998</v>
      </c>
      <c r="AC791" s="3">
        <v>3.5966071089999998</v>
      </c>
      <c r="AD791" s="3">
        <v>0.23677801000000001</v>
      </c>
      <c r="AE791" s="3">
        <v>0</v>
      </c>
      <c r="AF791" s="4">
        <v>42269</v>
      </c>
      <c r="AG791" s="5">
        <f>YEAR(AF791)</f>
        <v>2015</v>
      </c>
      <c r="AH791" s="5" t="str">
        <f>"Q"&amp;ROUNDUP(MONTH(AF791)/3,0)</f>
        <v>Q3</v>
      </c>
      <c r="AI791" s="5">
        <f>INDEX(RatingLookup!$B$2:$B$11,MATCH(A791,RatingLookup!$A$2:$A$11,0))</f>
        <v>7</v>
      </c>
      <c r="AJ791" s="5" t="str">
        <f>INDEX(RatingLookup!$C$2:$C$11,MATCH(A791,RatingLookup!$A$2:$A$11,0))</f>
        <v>Investment Grade</v>
      </c>
    </row>
    <row r="792" spans="1:36" x14ac:dyDescent="0.3">
      <c r="A792" s="3" t="s">
        <v>42</v>
      </c>
      <c r="B792" s="3" t="s">
        <v>948</v>
      </c>
      <c r="C792" s="3" t="s">
        <v>949</v>
      </c>
      <c r="D792" s="3" t="s">
        <v>60</v>
      </c>
      <c r="E792" s="3" t="s">
        <v>877</v>
      </c>
      <c r="F792" s="3" t="s">
        <v>79</v>
      </c>
      <c r="G792" s="3">
        <v>0.81140080199999998</v>
      </c>
      <c r="H792" s="3">
        <v>0.62758407900000002</v>
      </c>
      <c r="I792" s="3">
        <v>0.24510182</v>
      </c>
      <c r="J792" s="3">
        <v>44.50869608</v>
      </c>
      <c r="K792" s="3">
        <v>6.9101895999999996E-2</v>
      </c>
      <c r="L792" s="3">
        <v>9.2463398000000002E-2</v>
      </c>
      <c r="M792" s="3">
        <v>1</v>
      </c>
      <c r="N792" s="3">
        <v>9.3175788999999995E-2</v>
      </c>
      <c r="O792" s="3">
        <v>2.9482973999999999E-2</v>
      </c>
      <c r="P792" s="3">
        <v>7.4421081E-2</v>
      </c>
      <c r="Q792" s="3">
        <v>9.0041932000000005E-2</v>
      </c>
      <c r="R792" s="3">
        <v>0.42665940000000002</v>
      </c>
      <c r="S792" s="3">
        <v>1.571009571</v>
      </c>
      <c r="T792" s="3">
        <v>1.9706795560000001</v>
      </c>
      <c r="U792" s="3">
        <v>0.64527151000000005</v>
      </c>
      <c r="V792" s="3">
        <v>0.25265674799999999</v>
      </c>
      <c r="W792" s="3">
        <v>4.9714286000000003E-2</v>
      </c>
      <c r="X792" s="3">
        <v>0.164220016</v>
      </c>
      <c r="Y792" s="3">
        <v>4.2689653820000002</v>
      </c>
      <c r="Z792" s="3">
        <v>3.054031561</v>
      </c>
      <c r="AA792" s="3">
        <v>0.127026629</v>
      </c>
      <c r="AB792" s="3">
        <v>6.3131911330000001</v>
      </c>
      <c r="AC792" s="3">
        <v>3.303276184</v>
      </c>
      <c r="AD792" s="3">
        <v>0.214945465</v>
      </c>
      <c r="AE792" s="3">
        <v>0</v>
      </c>
      <c r="AF792" s="4">
        <v>42675</v>
      </c>
      <c r="AG792" s="5">
        <f>YEAR(AF792)</f>
        <v>2016</v>
      </c>
      <c r="AH792" s="5" t="str">
        <f>"Q"&amp;ROUNDUP(MONTH(AF792)/3,0)</f>
        <v>Q4</v>
      </c>
      <c r="AI792" s="5">
        <f>INDEX(RatingLookup!$B$2:$B$11,MATCH(A792,RatingLookup!$A$2:$A$11,0))</f>
        <v>7</v>
      </c>
      <c r="AJ792" s="5" t="str">
        <f>INDEX(RatingLookup!$C$2:$C$11,MATCH(A792,RatingLookup!$A$2:$A$11,0))</f>
        <v>Investment Grade</v>
      </c>
    </row>
    <row r="793" spans="1:36" x14ac:dyDescent="0.3">
      <c r="A793" s="3" t="s">
        <v>116</v>
      </c>
      <c r="B793" s="3" t="s">
        <v>951</v>
      </c>
      <c r="C793" s="3" t="s">
        <v>952</v>
      </c>
      <c r="D793" s="3" t="s">
        <v>60</v>
      </c>
      <c r="E793" s="3" t="s">
        <v>835</v>
      </c>
      <c r="F793" s="3" t="s">
        <v>246</v>
      </c>
      <c r="G793" s="3">
        <v>1.7413304270000001</v>
      </c>
      <c r="H793" s="3">
        <v>1.6973768950000001</v>
      </c>
      <c r="I793" s="3">
        <v>0.57917685399999996</v>
      </c>
      <c r="J793" s="3">
        <v>39.339531340000001</v>
      </c>
      <c r="K793" s="3">
        <v>2.0123979E-2</v>
      </c>
      <c r="L793" s="3">
        <v>3.1649126E-2</v>
      </c>
      <c r="M793" s="3">
        <v>0.117056837</v>
      </c>
      <c r="N793" s="3">
        <v>3.3194397E-2</v>
      </c>
      <c r="O793" s="3">
        <v>5.4528084999999997E-2</v>
      </c>
      <c r="P793" s="3">
        <v>0.118395796</v>
      </c>
      <c r="Q793" s="3">
        <v>0.109516239</v>
      </c>
      <c r="R793" s="3">
        <v>2.7096075310000001</v>
      </c>
      <c r="S793" s="3">
        <v>9.4054240799999995</v>
      </c>
      <c r="T793" s="3">
        <v>1.008437268</v>
      </c>
      <c r="U793" s="3">
        <v>0.50210045599999997</v>
      </c>
      <c r="V793" s="3">
        <v>0.36415371699999999</v>
      </c>
      <c r="W793" s="3">
        <v>0.51634565499999996</v>
      </c>
      <c r="X793" s="3">
        <v>2.4711506299999999</v>
      </c>
      <c r="Y793" s="3">
        <v>6.3791113839999998</v>
      </c>
      <c r="Z793" s="3">
        <v>2.0084372680000002</v>
      </c>
      <c r="AA793" s="3">
        <v>3.1649126E-2</v>
      </c>
      <c r="AB793" s="3">
        <v>6.611822525</v>
      </c>
      <c r="AC793" s="3">
        <v>4.7858456909999996</v>
      </c>
      <c r="AD793" s="3">
        <v>4.8700147999999999E-2</v>
      </c>
      <c r="AE793" s="3">
        <v>13.50897445</v>
      </c>
      <c r="AF793" s="4">
        <v>42396</v>
      </c>
      <c r="AG793" s="5">
        <f>YEAR(AF793)</f>
        <v>2016</v>
      </c>
      <c r="AH793" s="5" t="str">
        <f>"Q"&amp;ROUNDUP(MONTH(AF793)/3,0)</f>
        <v>Q1</v>
      </c>
      <c r="AI793" s="5">
        <f>INDEX(RatingLookup!$B$2:$B$11,MATCH(A793,RatingLookup!$A$2:$A$11,0))</f>
        <v>4</v>
      </c>
      <c r="AJ793" s="5" t="str">
        <f>INDEX(RatingLookup!$C$2:$C$11,MATCH(A793,RatingLookup!$A$2:$A$11,0))</f>
        <v>Speculative Grade</v>
      </c>
    </row>
    <row r="794" spans="1:36" x14ac:dyDescent="0.3">
      <c r="A794" s="3" t="s">
        <v>116</v>
      </c>
      <c r="B794" s="3" t="s">
        <v>951</v>
      </c>
      <c r="C794" s="3" t="s">
        <v>952</v>
      </c>
      <c r="D794" s="3" t="s">
        <v>60</v>
      </c>
      <c r="E794" s="3" t="s">
        <v>180</v>
      </c>
      <c r="F794" s="3" t="s">
        <v>246</v>
      </c>
      <c r="G794" s="3">
        <v>1.5870392419999999</v>
      </c>
      <c r="H794" s="3">
        <v>1.4839840230000001</v>
      </c>
      <c r="I794" s="3">
        <v>0.30532438099999998</v>
      </c>
      <c r="J794" s="3">
        <v>41.067745860000002</v>
      </c>
      <c r="K794" s="3">
        <v>1.4437462999999999E-2</v>
      </c>
      <c r="L794" s="3">
        <v>2.2924702000000002E-2</v>
      </c>
      <c r="M794" s="3">
        <v>0.103730588</v>
      </c>
      <c r="N794" s="3">
        <v>2.3487549999999999E-2</v>
      </c>
      <c r="O794" s="3">
        <v>4.2535147000000002E-2</v>
      </c>
      <c r="P794" s="3">
        <v>9.6019169000000001E-2</v>
      </c>
      <c r="Q794" s="3">
        <v>8.5817864999999993E-2</v>
      </c>
      <c r="R794" s="3">
        <v>2.9461648820000002</v>
      </c>
      <c r="S794" s="3">
        <v>10.5552498</v>
      </c>
      <c r="T794" s="3">
        <v>1.0175753679999999</v>
      </c>
      <c r="U794" s="3">
        <v>0.50435556699999995</v>
      </c>
      <c r="V794" s="3">
        <v>0.37022243399999999</v>
      </c>
      <c r="W794" s="3">
        <v>-0.20935448200000001</v>
      </c>
      <c r="X794" s="3">
        <v>-0.56381524999999999</v>
      </c>
      <c r="Y794" s="3">
        <v>3.5996993709999998</v>
      </c>
      <c r="Z794" s="3">
        <v>2.0175753680000001</v>
      </c>
      <c r="AA794" s="3">
        <v>2.2924702000000002E-2</v>
      </c>
      <c r="AB794" s="3">
        <v>10.63436256</v>
      </c>
      <c r="AC794" s="3">
        <v>2.6931128719999999</v>
      </c>
      <c r="AD794" s="3">
        <v>2.7593817999999999E-2</v>
      </c>
      <c r="AE794" s="3">
        <v>12.48587255</v>
      </c>
      <c r="AF794" s="4">
        <v>41976</v>
      </c>
      <c r="AG794" s="5">
        <f>YEAR(AF794)</f>
        <v>2014</v>
      </c>
      <c r="AH794" s="5" t="str">
        <f>"Q"&amp;ROUNDUP(MONTH(AF794)/3,0)</f>
        <v>Q4</v>
      </c>
      <c r="AI794" s="5">
        <f>INDEX(RatingLookup!$B$2:$B$11,MATCH(A794,RatingLookup!$A$2:$A$11,0))</f>
        <v>4</v>
      </c>
      <c r="AJ794" s="5" t="str">
        <f>INDEX(RatingLookup!$C$2:$C$11,MATCH(A794,RatingLookup!$A$2:$A$11,0))</f>
        <v>Speculative Grade</v>
      </c>
    </row>
    <row r="795" spans="1:36" x14ac:dyDescent="0.3">
      <c r="A795" s="3" t="s">
        <v>116</v>
      </c>
      <c r="B795" s="3" t="s">
        <v>951</v>
      </c>
      <c r="C795" s="3" t="s">
        <v>952</v>
      </c>
      <c r="D795" s="3" t="s">
        <v>60</v>
      </c>
      <c r="E795" s="3" t="s">
        <v>929</v>
      </c>
      <c r="F795" s="3" t="s">
        <v>246</v>
      </c>
      <c r="G795" s="3">
        <v>1.5125931690000001</v>
      </c>
      <c r="H795" s="3">
        <v>1.4354500889999999</v>
      </c>
      <c r="I795" s="3">
        <v>0.21462382299999999</v>
      </c>
      <c r="J795" s="3">
        <v>40.193189009999998</v>
      </c>
      <c r="K795" s="3">
        <v>2.0483725000000001E-2</v>
      </c>
      <c r="L795" s="3">
        <v>3.3360521999999997E-2</v>
      </c>
      <c r="M795" s="3">
        <v>0.109968648</v>
      </c>
      <c r="N795" s="3">
        <v>3.3713822999999997E-2</v>
      </c>
      <c r="O795" s="3">
        <v>6.5948243000000004E-2</v>
      </c>
      <c r="P795" s="3">
        <v>0.15490257599999999</v>
      </c>
      <c r="Q795" s="3">
        <v>0.123075115</v>
      </c>
      <c r="R795" s="3">
        <v>3.2195434289999998</v>
      </c>
      <c r="S795" s="3">
        <v>12.956597540000001</v>
      </c>
      <c r="T795" s="3">
        <v>0.866237955</v>
      </c>
      <c r="U795" s="3">
        <v>0.46416265000000001</v>
      </c>
      <c r="V795" s="3">
        <v>0.38598907199999999</v>
      </c>
      <c r="W795" s="3">
        <v>5.5358253000000003E-2</v>
      </c>
      <c r="X795" s="3">
        <v>0.17649135199999999</v>
      </c>
      <c r="Y795" s="3">
        <v>2.4360694020000002</v>
      </c>
      <c r="Z795" s="3">
        <v>1.8662379549999999</v>
      </c>
      <c r="AA795" s="3">
        <v>3.3360521999999997E-2</v>
      </c>
      <c r="AB795" s="3">
        <v>10.845983159999999</v>
      </c>
      <c r="AC795" s="3">
        <v>3.1881669339999998</v>
      </c>
      <c r="AD795" s="3">
        <v>3.4801586000000002E-2</v>
      </c>
      <c r="AE795" s="3">
        <v>12.92392942</v>
      </c>
      <c r="AF795" s="4">
        <v>41527</v>
      </c>
      <c r="AG795" s="5">
        <f>YEAR(AF795)</f>
        <v>2013</v>
      </c>
      <c r="AH795" s="5" t="str">
        <f>"Q"&amp;ROUNDUP(MONTH(AF795)/3,0)</f>
        <v>Q3</v>
      </c>
      <c r="AI795" s="5">
        <f>INDEX(RatingLookup!$B$2:$B$11,MATCH(A795,RatingLookup!$A$2:$A$11,0))</f>
        <v>4</v>
      </c>
      <c r="AJ795" s="5" t="str">
        <f>INDEX(RatingLookup!$C$2:$C$11,MATCH(A795,RatingLookup!$A$2:$A$11,0))</f>
        <v>Speculative Grade</v>
      </c>
    </row>
    <row r="796" spans="1:36" x14ac:dyDescent="0.3">
      <c r="A796" s="3" t="s">
        <v>42</v>
      </c>
      <c r="B796" s="3" t="s">
        <v>953</v>
      </c>
      <c r="C796" s="3" t="s">
        <v>954</v>
      </c>
      <c r="D796" s="3" t="s">
        <v>47</v>
      </c>
      <c r="E796" s="3" t="s">
        <v>843</v>
      </c>
      <c r="F796" s="3" t="s">
        <v>215</v>
      </c>
      <c r="G796" s="3">
        <v>1.5467508910000001</v>
      </c>
      <c r="H796" s="3">
        <v>1.0998186249999999</v>
      </c>
      <c r="I796" s="3">
        <v>0.30821189599999999</v>
      </c>
      <c r="J796" s="3">
        <v>64.101780539999993</v>
      </c>
      <c r="K796" s="3">
        <v>0.10588106899999999</v>
      </c>
      <c r="L796" s="3">
        <v>0.16423960800000001</v>
      </c>
      <c r="M796" s="3">
        <v>0.32447223200000003</v>
      </c>
      <c r="N796" s="3">
        <v>0.19810408800000001</v>
      </c>
      <c r="O796" s="3">
        <v>4.6768362000000001E-2</v>
      </c>
      <c r="P796" s="3">
        <v>8.1522412000000002E-2</v>
      </c>
      <c r="Q796" s="3">
        <v>0.103573444</v>
      </c>
      <c r="R796" s="3">
        <v>0.441706553</v>
      </c>
      <c r="S796" s="3">
        <v>13.27084627</v>
      </c>
      <c r="T796" s="3">
        <v>1.2146049080000001</v>
      </c>
      <c r="U796" s="3">
        <v>0.54845218799999995</v>
      </c>
      <c r="V796" s="3">
        <v>0.31811277799999998</v>
      </c>
      <c r="W796" s="3">
        <v>0.87252124600000003</v>
      </c>
      <c r="X796" s="3">
        <v>3.5688202250000001</v>
      </c>
      <c r="Y796" s="3">
        <v>2.219452247</v>
      </c>
      <c r="Z796" s="3">
        <v>2.2146049080000001</v>
      </c>
      <c r="AA796" s="3">
        <v>0.16423960800000001</v>
      </c>
      <c r="AB796" s="3">
        <v>11.66386518</v>
      </c>
      <c r="AC796" s="3">
        <v>4.0902387640000004</v>
      </c>
      <c r="AD796" s="3">
        <v>0.18162399800000001</v>
      </c>
      <c r="AE796" s="3">
        <v>5.9327673560000003</v>
      </c>
      <c r="AF796" s="4">
        <v>42152</v>
      </c>
      <c r="AG796" s="5">
        <f>YEAR(AF796)</f>
        <v>2015</v>
      </c>
      <c r="AH796" s="5" t="str">
        <f>"Q"&amp;ROUNDUP(MONTH(AF796)/3,0)</f>
        <v>Q2</v>
      </c>
      <c r="AI796" s="5">
        <f>INDEX(RatingLookup!$B$2:$B$11,MATCH(A796,RatingLookup!$A$2:$A$11,0))</f>
        <v>7</v>
      </c>
      <c r="AJ796" s="5" t="str">
        <f>INDEX(RatingLookup!$C$2:$C$11,MATCH(A796,RatingLookup!$A$2:$A$11,0))</f>
        <v>Investment Grade</v>
      </c>
    </row>
    <row r="797" spans="1:36" x14ac:dyDescent="0.3">
      <c r="A797" s="3" t="s">
        <v>42</v>
      </c>
      <c r="B797" s="3" t="s">
        <v>953</v>
      </c>
      <c r="C797" s="3" t="s">
        <v>954</v>
      </c>
      <c r="D797" s="3" t="s">
        <v>47</v>
      </c>
      <c r="E797" s="3" t="s">
        <v>955</v>
      </c>
      <c r="F797" s="3" t="s">
        <v>215</v>
      </c>
      <c r="G797" s="3">
        <v>1.4854266249999999</v>
      </c>
      <c r="H797" s="3">
        <v>1.063412158</v>
      </c>
      <c r="I797" s="3">
        <v>0.290875249</v>
      </c>
      <c r="J797" s="3">
        <v>94.149987870000004</v>
      </c>
      <c r="K797" s="3">
        <v>9.5751455999999999E-2</v>
      </c>
      <c r="L797" s="3">
        <v>0.15722040300000001</v>
      </c>
      <c r="M797" s="3">
        <v>0.33387918500000002</v>
      </c>
      <c r="N797" s="3">
        <v>0.16666666699999999</v>
      </c>
      <c r="O797" s="3">
        <v>2.4039926E-2</v>
      </c>
      <c r="P797" s="3">
        <v>4.3376044000000002E-2</v>
      </c>
      <c r="Q797" s="3">
        <v>6.7750241000000003E-2</v>
      </c>
      <c r="R797" s="3">
        <v>0.25106590299999998</v>
      </c>
      <c r="S797" s="3">
        <v>10.79941051</v>
      </c>
      <c r="T797" s="3">
        <v>1.818238386</v>
      </c>
      <c r="U797" s="3">
        <v>0.64516841300000005</v>
      </c>
      <c r="V797" s="3">
        <v>0.365319703</v>
      </c>
      <c r="W797" s="3">
        <v>0.88275134099999997</v>
      </c>
      <c r="X797" s="3">
        <v>3.5214035090000002</v>
      </c>
      <c r="Y797" s="3">
        <v>2.8512280699999999</v>
      </c>
      <c r="Z797" s="3">
        <v>2.818238386</v>
      </c>
      <c r="AA797" s="3">
        <v>0.15722040300000001</v>
      </c>
      <c r="AB797" s="3">
        <v>15.64964878</v>
      </c>
      <c r="AC797" s="3">
        <v>3.9891228070000002</v>
      </c>
      <c r="AD797" s="3">
        <v>0.17238294500000001</v>
      </c>
      <c r="AE797" s="3">
        <v>3.7029669589999998</v>
      </c>
      <c r="AF797" s="4">
        <v>42380</v>
      </c>
      <c r="AG797" s="5">
        <f>YEAR(AF797)</f>
        <v>2016</v>
      </c>
      <c r="AH797" s="5" t="str">
        <f>"Q"&amp;ROUNDUP(MONTH(AF797)/3,0)</f>
        <v>Q1</v>
      </c>
      <c r="AI797" s="5">
        <f>INDEX(RatingLookup!$B$2:$B$11,MATCH(A797,RatingLookup!$A$2:$A$11,0))</f>
        <v>7</v>
      </c>
      <c r="AJ797" s="5" t="str">
        <f>INDEX(RatingLookup!$C$2:$C$11,MATCH(A797,RatingLookup!$A$2:$A$11,0))</f>
        <v>Investment Grade</v>
      </c>
    </row>
    <row r="798" spans="1:36" x14ac:dyDescent="0.3">
      <c r="A798" s="3" t="s">
        <v>42</v>
      </c>
      <c r="B798" s="3" t="s">
        <v>953</v>
      </c>
      <c r="C798" s="3" t="s">
        <v>954</v>
      </c>
      <c r="D798" s="3" t="s">
        <v>47</v>
      </c>
      <c r="E798" s="3" t="s">
        <v>605</v>
      </c>
      <c r="F798" s="3" t="s">
        <v>215</v>
      </c>
      <c r="G798" s="3">
        <v>1.406050099</v>
      </c>
      <c r="H798" s="3">
        <v>0.91791714000000002</v>
      </c>
      <c r="I798" s="3">
        <v>0.32731511899999999</v>
      </c>
      <c r="J798" s="3">
        <v>59.397351209999997</v>
      </c>
      <c r="K798" s="3">
        <v>8.1226218000000003E-2</v>
      </c>
      <c r="L798" s="3">
        <v>8.4965490000000005E-2</v>
      </c>
      <c r="M798" s="3">
        <v>0.32699688700000001</v>
      </c>
      <c r="N798" s="3">
        <v>0.175333981</v>
      </c>
      <c r="O798" s="3">
        <v>3.5322096999999997E-2</v>
      </c>
      <c r="P798" s="3">
        <v>4.1977961000000001E-2</v>
      </c>
      <c r="Q798" s="3">
        <v>7.4933516000000006E-2</v>
      </c>
      <c r="R798" s="3">
        <v>0.434860782</v>
      </c>
      <c r="S798" s="3">
        <v>13.828473799999999</v>
      </c>
      <c r="T798" s="3">
        <v>1.121434541</v>
      </c>
      <c r="U798" s="3">
        <v>0.528620855</v>
      </c>
      <c r="V798" s="3">
        <v>0.59945715399999999</v>
      </c>
      <c r="W798" s="3">
        <v>0.87578987100000005</v>
      </c>
      <c r="X798" s="3">
        <v>3.2053848810000001</v>
      </c>
      <c r="Y798" s="3">
        <v>1.889886089</v>
      </c>
      <c r="Z798" s="3">
        <v>2.1214345410000002</v>
      </c>
      <c r="AA798" s="3">
        <v>8.4965490000000005E-2</v>
      </c>
      <c r="AB798" s="3">
        <v>11.12742598</v>
      </c>
      <c r="AC798" s="3">
        <v>3.659993096</v>
      </c>
      <c r="AD798" s="3">
        <v>0.17465860599999999</v>
      </c>
      <c r="AE798" s="3">
        <v>5.3197916669999996</v>
      </c>
      <c r="AF798" s="4">
        <v>41663</v>
      </c>
      <c r="AG798" s="5">
        <f>YEAR(AF798)</f>
        <v>2014</v>
      </c>
      <c r="AH798" s="5" t="str">
        <f>"Q"&amp;ROUNDUP(MONTH(AF798)/3,0)</f>
        <v>Q1</v>
      </c>
      <c r="AI798" s="5">
        <f>INDEX(RatingLookup!$B$2:$B$11,MATCH(A798,RatingLookup!$A$2:$A$11,0))</f>
        <v>7</v>
      </c>
      <c r="AJ798" s="5" t="str">
        <f>INDEX(RatingLookup!$C$2:$C$11,MATCH(A798,RatingLookup!$A$2:$A$11,0))</f>
        <v>Investment Grade</v>
      </c>
    </row>
    <row r="799" spans="1:36" x14ac:dyDescent="0.3">
      <c r="A799" s="3" t="s">
        <v>42</v>
      </c>
      <c r="B799" s="3" t="s">
        <v>953</v>
      </c>
      <c r="C799" s="3" t="s">
        <v>954</v>
      </c>
      <c r="D799" s="3" t="s">
        <v>47</v>
      </c>
      <c r="E799" s="3" t="s">
        <v>956</v>
      </c>
      <c r="F799" s="3" t="s">
        <v>215</v>
      </c>
      <c r="G799" s="3">
        <v>1.4673774669999999</v>
      </c>
      <c r="H799" s="3">
        <v>1.148392743</v>
      </c>
      <c r="I799" s="3">
        <v>0.411839593</v>
      </c>
      <c r="J799" s="3">
        <v>58.179024040000002</v>
      </c>
      <c r="K799" s="3">
        <v>7.9413182999999998E-2</v>
      </c>
      <c r="L799" s="3">
        <v>0.14312280499999999</v>
      </c>
      <c r="M799" s="3">
        <v>0.32039052299999998</v>
      </c>
      <c r="N799" s="3">
        <v>0.18582546999999999</v>
      </c>
      <c r="O799" s="3">
        <v>3.4037654000000001E-2</v>
      </c>
      <c r="P799" s="3">
        <v>6.7616265999999994E-2</v>
      </c>
      <c r="Q799" s="3">
        <v>6.9448417999999998E-2</v>
      </c>
      <c r="R799" s="3">
        <v>0.42861465599999998</v>
      </c>
      <c r="S799" s="3">
        <v>13.84410012</v>
      </c>
      <c r="T799" s="3">
        <v>1.0403409180000001</v>
      </c>
      <c r="U799" s="3">
        <v>0.50988582800000004</v>
      </c>
      <c r="V799" s="3">
        <v>0.325914341</v>
      </c>
      <c r="W799" s="3">
        <v>0.88181905000000005</v>
      </c>
      <c r="X799" s="3">
        <v>3.1631254279999999</v>
      </c>
      <c r="Y799" s="3">
        <v>1.7738176830000001</v>
      </c>
      <c r="Z799" s="3">
        <v>2.0403409180000001</v>
      </c>
      <c r="AA799" s="3">
        <v>0.14312280499999999</v>
      </c>
      <c r="AB799" s="3">
        <v>8.4495842430000003</v>
      </c>
      <c r="AC799" s="3">
        <v>3.5870459220000002</v>
      </c>
      <c r="AD799" s="3">
        <v>0.18022935500000001</v>
      </c>
      <c r="AE799" s="3">
        <v>6.3190842140000001</v>
      </c>
      <c r="AF799" s="4">
        <v>41291</v>
      </c>
      <c r="AG799" s="5">
        <f>YEAR(AF799)</f>
        <v>2013</v>
      </c>
      <c r="AH799" s="5" t="str">
        <f>"Q"&amp;ROUNDUP(MONTH(AF799)/3,0)</f>
        <v>Q1</v>
      </c>
      <c r="AI799" s="5">
        <f>INDEX(RatingLookup!$B$2:$B$11,MATCH(A799,RatingLookup!$A$2:$A$11,0))</f>
        <v>7</v>
      </c>
      <c r="AJ799" s="5" t="str">
        <f>INDEX(RatingLookup!$C$2:$C$11,MATCH(A799,RatingLookup!$A$2:$A$11,0))</f>
        <v>Investment Grade</v>
      </c>
    </row>
    <row r="800" spans="1:36" x14ac:dyDescent="0.3">
      <c r="A800" s="3" t="s">
        <v>92</v>
      </c>
      <c r="B800" s="3" t="s">
        <v>953</v>
      </c>
      <c r="C800" s="3" t="s">
        <v>954</v>
      </c>
      <c r="D800" s="3" t="s">
        <v>47</v>
      </c>
      <c r="E800" s="3" t="s">
        <v>957</v>
      </c>
      <c r="F800" s="3" t="s">
        <v>215</v>
      </c>
      <c r="G800" s="3">
        <v>1.241936674</v>
      </c>
      <c r="H800" s="3">
        <v>0.94029079599999998</v>
      </c>
      <c r="I800" s="3">
        <v>0.30666469899999999</v>
      </c>
      <c r="J800" s="3">
        <v>54.536871050000002</v>
      </c>
      <c r="K800" s="3">
        <v>8.1730685999999997E-2</v>
      </c>
      <c r="L800" s="3">
        <v>0.129540352</v>
      </c>
      <c r="M800" s="3">
        <v>0.30417529599999998</v>
      </c>
      <c r="N800" s="3">
        <v>0.18566928299999999</v>
      </c>
      <c r="O800" s="3">
        <v>3.3910298999999998E-2</v>
      </c>
      <c r="P800" s="3">
        <v>5.9575455999999999E-2</v>
      </c>
      <c r="Q800" s="3">
        <v>7.2212824999999994E-2</v>
      </c>
      <c r="R800" s="3">
        <v>0.41490291200000001</v>
      </c>
      <c r="S800" s="3">
        <v>13.86176116</v>
      </c>
      <c r="T800" s="3">
        <v>1.129524835</v>
      </c>
      <c r="U800" s="3">
        <v>0.53041167499999997</v>
      </c>
      <c r="V800" s="3">
        <v>0.32110707999999999</v>
      </c>
      <c r="W800" s="3">
        <v>0.89423815600000001</v>
      </c>
      <c r="X800" s="3">
        <v>3.48502994</v>
      </c>
      <c r="Y800" s="3">
        <v>1.3822355289999999</v>
      </c>
      <c r="Z800" s="3">
        <v>2.1295248349999998</v>
      </c>
      <c r="AA800" s="3">
        <v>0.129540352</v>
      </c>
      <c r="AB800" s="3">
        <v>7.4500264029999999</v>
      </c>
      <c r="AC800" s="3">
        <v>3.8972055889999999</v>
      </c>
      <c r="AD800" s="3">
        <v>0.203891606</v>
      </c>
      <c r="AE800" s="3">
        <v>6.2322681219999998</v>
      </c>
      <c r="AF800" s="4">
        <v>40973</v>
      </c>
      <c r="AG800" s="5">
        <f>YEAR(AF800)</f>
        <v>2012</v>
      </c>
      <c r="AH800" s="5" t="str">
        <f>"Q"&amp;ROUNDUP(MONTH(AF800)/3,0)</f>
        <v>Q1</v>
      </c>
      <c r="AI800" s="5">
        <f>INDEX(RatingLookup!$B$2:$B$11,MATCH(A800,RatingLookup!$A$2:$A$11,0))</f>
        <v>6</v>
      </c>
      <c r="AJ800" s="5" t="str">
        <f>INDEX(RatingLookup!$C$2:$C$11,MATCH(A800,RatingLookup!$A$2:$A$11,0))</f>
        <v>Speculative Grade</v>
      </c>
    </row>
    <row r="801" spans="1:36" x14ac:dyDescent="0.3">
      <c r="A801" s="3" t="s">
        <v>116</v>
      </c>
      <c r="B801" s="3" t="s">
        <v>958</v>
      </c>
      <c r="C801" s="3" t="s">
        <v>959</v>
      </c>
      <c r="D801" s="3" t="s">
        <v>47</v>
      </c>
      <c r="E801" s="3" t="s">
        <v>845</v>
      </c>
      <c r="F801" s="3" t="s">
        <v>59</v>
      </c>
      <c r="G801" s="3">
        <v>1.898727735</v>
      </c>
      <c r="H801" s="3">
        <v>1.590330789</v>
      </c>
      <c r="I801" s="3">
        <v>0.351653944</v>
      </c>
      <c r="J801" s="3">
        <v>125.2145955</v>
      </c>
      <c r="K801" s="3">
        <v>-9.0474053999999998E-2</v>
      </c>
      <c r="L801" s="3">
        <v>-7.8211454999999999E-2</v>
      </c>
      <c r="M801" s="3">
        <v>0.22969941699999999</v>
      </c>
      <c r="N801" s="3">
        <v>-2.7815164E-2</v>
      </c>
      <c r="O801" s="3">
        <v>-6.3778198999999994E-2</v>
      </c>
      <c r="P801" s="3">
        <v>-6.9538625000000007E-2</v>
      </c>
      <c r="Q801" s="3">
        <v>-0.218885673</v>
      </c>
      <c r="R801" s="3">
        <v>0.704933586</v>
      </c>
      <c r="S801" s="3">
        <v>13.42771084</v>
      </c>
      <c r="T801" s="3">
        <v>2.4319826340000001</v>
      </c>
      <c r="U801" s="3">
        <v>0.70862323400000005</v>
      </c>
      <c r="V801" s="3">
        <v>-0.154875717</v>
      </c>
      <c r="W801" s="3">
        <v>1</v>
      </c>
      <c r="X801" s="3">
        <v>-0.20228384999999999</v>
      </c>
      <c r="Y801" s="3">
        <v>1.3556280590000001</v>
      </c>
      <c r="Z801" s="3">
        <v>3.4319826340000001</v>
      </c>
      <c r="AA801" s="3">
        <v>-7.8211454999999999E-2</v>
      </c>
      <c r="AB801" s="3">
        <v>129.5665152</v>
      </c>
      <c r="AC801" s="3">
        <v>-0.20228384999999999</v>
      </c>
      <c r="AD801" s="3">
        <v>-1.8543443E-2</v>
      </c>
      <c r="AE801" s="3">
        <v>9.7741935479999995</v>
      </c>
      <c r="AF801" s="4">
        <v>42720</v>
      </c>
      <c r="AG801" s="5">
        <f>YEAR(AF801)</f>
        <v>2016</v>
      </c>
      <c r="AH801" s="5" t="str">
        <f>"Q"&amp;ROUNDUP(MONTH(AF801)/3,0)</f>
        <v>Q4</v>
      </c>
      <c r="AI801" s="5">
        <f>INDEX(RatingLookup!$B$2:$B$11,MATCH(A801,RatingLookup!$A$2:$A$11,0))</f>
        <v>4</v>
      </c>
      <c r="AJ801" s="5" t="str">
        <f>INDEX(RatingLookup!$C$2:$C$11,MATCH(A801,RatingLookup!$A$2:$A$11,0))</f>
        <v>Speculative Grade</v>
      </c>
    </row>
    <row r="802" spans="1:36" x14ac:dyDescent="0.3">
      <c r="A802" s="3" t="s">
        <v>109</v>
      </c>
      <c r="B802" s="3" t="s">
        <v>958</v>
      </c>
      <c r="C802" s="3" t="s">
        <v>959</v>
      </c>
      <c r="D802" s="3" t="s">
        <v>47</v>
      </c>
      <c r="E802" s="3" t="s">
        <v>960</v>
      </c>
      <c r="F802" s="3" t="s">
        <v>59</v>
      </c>
      <c r="G802" s="3">
        <v>1.7143426289999999</v>
      </c>
      <c r="H802" s="3">
        <v>1.3505976099999999</v>
      </c>
      <c r="I802" s="3">
        <v>0.22191235100000001</v>
      </c>
      <c r="J802" s="3">
        <v>102.0586998</v>
      </c>
      <c r="K802" s="3">
        <v>-3.9133178999999997E-2</v>
      </c>
      <c r="L802" s="3">
        <v>-3.3557753000000003E-2</v>
      </c>
      <c r="M802" s="3">
        <v>0.25247212299999999</v>
      </c>
      <c r="N802" s="3">
        <v>3.3452556000000001E-2</v>
      </c>
      <c r="O802" s="3">
        <v>-3.0577018000000001E-2</v>
      </c>
      <c r="P802" s="3">
        <v>-3.3036454E-2</v>
      </c>
      <c r="Q802" s="3">
        <v>-0.125760649</v>
      </c>
      <c r="R802" s="3">
        <v>0.78135788299999998</v>
      </c>
      <c r="S802" s="3">
        <v>11.20990566</v>
      </c>
      <c r="T802" s="3">
        <v>3.1129141310000001</v>
      </c>
      <c r="U802" s="3">
        <v>0.75686339000000002</v>
      </c>
      <c r="V802" s="3">
        <v>0</v>
      </c>
      <c r="W802" s="3">
        <v>1</v>
      </c>
      <c r="X802" s="3">
        <v>0.39788732399999999</v>
      </c>
      <c r="Y802" s="3">
        <v>1.2887323939999999</v>
      </c>
      <c r="Z802" s="3">
        <v>4.1129141310000001</v>
      </c>
      <c r="AA802" s="3">
        <v>-3.3557753000000003E-2</v>
      </c>
      <c r="AB802" s="3">
        <v>11.411056909999999</v>
      </c>
      <c r="AC802" s="3">
        <v>0.39788732399999999</v>
      </c>
      <c r="AD802" s="3">
        <v>2.3774457999999998E-2</v>
      </c>
      <c r="AE802" s="3">
        <v>11.479806140000001</v>
      </c>
      <c r="AF802" s="4">
        <v>41765</v>
      </c>
      <c r="AG802" s="5">
        <f>YEAR(AF802)</f>
        <v>2014</v>
      </c>
      <c r="AH802" s="5" t="str">
        <f>"Q"&amp;ROUNDUP(MONTH(AF802)/3,0)</f>
        <v>Q2</v>
      </c>
      <c r="AI802" s="5">
        <f>INDEX(RatingLookup!$B$2:$B$11,MATCH(A802,RatingLookup!$A$2:$A$11,0))</f>
        <v>5</v>
      </c>
      <c r="AJ802" s="5" t="str">
        <f>INDEX(RatingLookup!$C$2:$C$11,MATCH(A802,RatingLookup!$A$2:$A$11,0))</f>
        <v>Speculative Grade</v>
      </c>
    </row>
    <row r="803" spans="1:36" x14ac:dyDescent="0.3">
      <c r="A803" s="3" t="s">
        <v>109</v>
      </c>
      <c r="B803" s="3" t="s">
        <v>958</v>
      </c>
      <c r="C803" s="3" t="s">
        <v>959</v>
      </c>
      <c r="D803" s="3" t="s">
        <v>47</v>
      </c>
      <c r="E803" s="3" t="s">
        <v>961</v>
      </c>
      <c r="F803" s="3" t="s">
        <v>59</v>
      </c>
      <c r="G803" s="3">
        <v>1.658115878</v>
      </c>
      <c r="H803" s="3">
        <v>1.3184431670000001</v>
      </c>
      <c r="I803" s="3">
        <v>0.15347191499999999</v>
      </c>
      <c r="J803" s="3">
        <v>104.3698157</v>
      </c>
      <c r="K803" s="3">
        <v>-8.9861751000000004E-2</v>
      </c>
      <c r="L803" s="3">
        <v>-8.3986174999999996E-2</v>
      </c>
      <c r="M803" s="3">
        <v>0.25138248800000002</v>
      </c>
      <c r="N803" s="3">
        <v>2.2926267E-2</v>
      </c>
      <c r="O803" s="3">
        <v>-6.8493151000000002E-2</v>
      </c>
      <c r="P803" s="3">
        <v>-7.9872904999999994E-2</v>
      </c>
      <c r="Q803" s="3">
        <v>-0.34774855100000002</v>
      </c>
      <c r="R803" s="3">
        <v>0.76220583099999994</v>
      </c>
      <c r="S803" s="3">
        <v>10.50847458</v>
      </c>
      <c r="T803" s="3">
        <v>4.0771288449999998</v>
      </c>
      <c r="U803" s="3">
        <v>0.80303828600000005</v>
      </c>
      <c r="V803" s="3">
        <v>-6.9958848000000004E-2</v>
      </c>
      <c r="W803" s="3">
        <v>1</v>
      </c>
      <c r="X803" s="3">
        <v>0.13368055600000001</v>
      </c>
      <c r="Y803" s="3">
        <v>0.86631944400000005</v>
      </c>
      <c r="Z803" s="3">
        <v>5.0771288449999998</v>
      </c>
      <c r="AA803" s="3">
        <v>-8.3986174999999996E-2</v>
      </c>
      <c r="AB803" s="3">
        <v>14.39862969</v>
      </c>
      <c r="AC803" s="3">
        <v>0.13368055600000001</v>
      </c>
      <c r="AD803" s="3">
        <v>8.8709679999999999E-3</v>
      </c>
      <c r="AE803" s="3">
        <v>13.42561983</v>
      </c>
      <c r="AF803" s="4">
        <v>42111</v>
      </c>
      <c r="AG803" s="5">
        <f>YEAR(AF803)</f>
        <v>2015</v>
      </c>
      <c r="AH803" s="5" t="str">
        <f>"Q"&amp;ROUNDUP(MONTH(AF803)/3,0)</f>
        <v>Q2</v>
      </c>
      <c r="AI803" s="5">
        <f>INDEX(RatingLookup!$B$2:$B$11,MATCH(A803,RatingLookup!$A$2:$A$11,0))</f>
        <v>5</v>
      </c>
      <c r="AJ803" s="5" t="str">
        <f>INDEX(RatingLookup!$C$2:$C$11,MATCH(A803,RatingLookup!$A$2:$A$11,0))</f>
        <v>Speculative Grade</v>
      </c>
    </row>
    <row r="804" spans="1:36" x14ac:dyDescent="0.3">
      <c r="A804" s="3" t="s">
        <v>109</v>
      </c>
      <c r="B804" s="3" t="s">
        <v>958</v>
      </c>
      <c r="C804" s="3" t="s">
        <v>959</v>
      </c>
      <c r="D804" s="3" t="s">
        <v>47</v>
      </c>
      <c r="E804" s="3" t="s">
        <v>962</v>
      </c>
      <c r="F804" s="3" t="s">
        <v>59</v>
      </c>
      <c r="G804" s="3">
        <v>1.8584686770000001</v>
      </c>
      <c r="H804" s="3">
        <v>1.457076566</v>
      </c>
      <c r="I804" s="3">
        <v>0.16531322500000001</v>
      </c>
      <c r="J804" s="3">
        <v>114.8714047</v>
      </c>
      <c r="K804" s="3">
        <v>3.01324E-2</v>
      </c>
      <c r="L804" s="3">
        <v>-6.7873991999999994E-2</v>
      </c>
      <c r="M804" s="3">
        <v>0.24623344999999999</v>
      </c>
      <c r="N804" s="3">
        <v>-6.8482730000000002E-3</v>
      </c>
      <c r="O804" s="3">
        <v>2.1919628E-2</v>
      </c>
      <c r="P804" s="3">
        <v>-6.1020658999999998E-2</v>
      </c>
      <c r="Q804" s="3">
        <v>7.7891424000000001E-2</v>
      </c>
      <c r="R804" s="3">
        <v>0.72744381700000005</v>
      </c>
      <c r="S804" s="3">
        <v>11.692170819999999</v>
      </c>
      <c r="T804" s="3">
        <v>2.55350118</v>
      </c>
      <c r="U804" s="3">
        <v>0.71858740200000004</v>
      </c>
      <c r="V804" s="3">
        <v>0.25560538100000002</v>
      </c>
      <c r="W804" s="3">
        <v>1</v>
      </c>
      <c r="X804" s="3">
        <v>-0.50596252100000005</v>
      </c>
      <c r="Y804" s="3">
        <v>0.75638841599999995</v>
      </c>
      <c r="Z804" s="3">
        <v>3.55350118</v>
      </c>
      <c r="AA804" s="3">
        <v>-6.7873991999999994E-2</v>
      </c>
      <c r="AB804" s="3">
        <v>24.671375000000001</v>
      </c>
      <c r="AC804" s="3">
        <v>-0.50596252100000005</v>
      </c>
      <c r="AD804" s="3">
        <v>-4.5198599999999998E-2</v>
      </c>
      <c r="AE804" s="3">
        <v>10.254658389999999</v>
      </c>
      <c r="AF804" s="4">
        <v>42459</v>
      </c>
      <c r="AG804" s="5">
        <f>YEAR(AF804)</f>
        <v>2016</v>
      </c>
      <c r="AH804" s="5" t="str">
        <f>"Q"&amp;ROUNDUP(MONTH(AF804)/3,0)</f>
        <v>Q1</v>
      </c>
      <c r="AI804" s="5">
        <f>INDEX(RatingLookup!$B$2:$B$11,MATCH(A804,RatingLookup!$A$2:$A$11,0))</f>
        <v>5</v>
      </c>
      <c r="AJ804" s="5" t="str">
        <f>INDEX(RatingLookup!$C$2:$C$11,MATCH(A804,RatingLookup!$A$2:$A$11,0))</f>
        <v>Speculative Grade</v>
      </c>
    </row>
    <row r="805" spans="1:36" x14ac:dyDescent="0.3">
      <c r="A805" s="3" t="s">
        <v>42</v>
      </c>
      <c r="B805" s="3" t="s">
        <v>963</v>
      </c>
      <c r="C805" s="3" t="s">
        <v>964</v>
      </c>
      <c r="D805" s="3" t="s">
        <v>47</v>
      </c>
      <c r="E805" s="3" t="s">
        <v>557</v>
      </c>
      <c r="F805" s="3" t="s">
        <v>219</v>
      </c>
      <c r="G805" s="3">
        <v>2.0356272550000001</v>
      </c>
      <c r="H805" s="3">
        <v>1.181824099</v>
      </c>
      <c r="I805" s="3">
        <v>0.38835229599999999</v>
      </c>
      <c r="J805" s="3">
        <v>67.509440530000006</v>
      </c>
      <c r="K805" s="3">
        <v>7.8585845000000001E-2</v>
      </c>
      <c r="L805" s="3">
        <v>0.110015534</v>
      </c>
      <c r="M805" s="3">
        <v>0.19319682799999999</v>
      </c>
      <c r="N805" s="3">
        <v>0.114561923</v>
      </c>
      <c r="O805" s="3">
        <v>3.6625320000000003E-2</v>
      </c>
      <c r="P805" s="3">
        <v>5.7522325999999999E-2</v>
      </c>
      <c r="Q805" s="3">
        <v>0.113195515</v>
      </c>
      <c r="R805" s="3">
        <v>0.46605492100000001</v>
      </c>
      <c r="S805" s="3">
        <v>0.79056183599999996</v>
      </c>
      <c r="T805" s="3">
        <v>2.0906355350000001</v>
      </c>
      <c r="U805" s="3">
        <v>0.67644195200000001</v>
      </c>
      <c r="V805" s="3">
        <v>0.24807523200000001</v>
      </c>
      <c r="W805" s="3">
        <v>0.24628950899999999</v>
      </c>
      <c r="X805" s="3">
        <v>1.5874826630000001</v>
      </c>
      <c r="Y805" s="3">
        <v>3.5515276020000002</v>
      </c>
      <c r="Z805" s="3">
        <v>3.0906355350000001</v>
      </c>
      <c r="AA805" s="3">
        <v>0.110015534</v>
      </c>
      <c r="AB805" s="3">
        <v>11.86403046</v>
      </c>
      <c r="AC805" s="3">
        <v>6.4455959460000001</v>
      </c>
      <c r="AD805" s="3">
        <v>0.16429105099999999</v>
      </c>
      <c r="AE805" s="3">
        <v>8.2515259170000004</v>
      </c>
      <c r="AF805" s="4">
        <v>42590</v>
      </c>
      <c r="AG805" s="5">
        <f>YEAR(AF805)</f>
        <v>2016</v>
      </c>
      <c r="AH805" s="5" t="str">
        <f>"Q"&amp;ROUNDUP(MONTH(AF805)/3,0)</f>
        <v>Q3</v>
      </c>
      <c r="AI805" s="5">
        <f>INDEX(RatingLookup!$B$2:$B$11,MATCH(A805,RatingLookup!$A$2:$A$11,0))</f>
        <v>7</v>
      </c>
      <c r="AJ805" s="5" t="str">
        <f>INDEX(RatingLookup!$C$2:$C$11,MATCH(A805,RatingLookup!$A$2:$A$11,0))</f>
        <v>Investment Grade</v>
      </c>
    </row>
    <row r="806" spans="1:36" x14ac:dyDescent="0.3">
      <c r="A806" s="3" t="s">
        <v>42</v>
      </c>
      <c r="B806" s="3" t="s">
        <v>963</v>
      </c>
      <c r="C806" s="3" t="s">
        <v>964</v>
      </c>
      <c r="D806" s="3" t="s">
        <v>60</v>
      </c>
      <c r="E806" s="3" t="s">
        <v>46</v>
      </c>
      <c r="F806" s="3" t="s">
        <v>219</v>
      </c>
      <c r="G806" s="3">
        <v>4.8167308929999999</v>
      </c>
      <c r="H806" s="3">
        <v>3.5107831979999999</v>
      </c>
      <c r="I806" s="3">
        <v>2.265255969</v>
      </c>
      <c r="J806" s="3">
        <v>41.076525869999998</v>
      </c>
      <c r="K806" s="3">
        <v>7.1540572999999996E-2</v>
      </c>
      <c r="L806" s="3">
        <v>0.111723476</v>
      </c>
      <c r="M806" s="3">
        <v>0.15442803099999999</v>
      </c>
      <c r="N806" s="3">
        <v>0.123429492</v>
      </c>
      <c r="O806" s="3">
        <v>7.9271561000000004E-2</v>
      </c>
      <c r="P806" s="3">
        <v>0.1393489</v>
      </c>
      <c r="Q806" s="3">
        <v>0.14744874499999999</v>
      </c>
      <c r="R806" s="3">
        <v>1.108064384</v>
      </c>
      <c r="S806" s="3">
        <v>2.9380309169999999</v>
      </c>
      <c r="T806" s="3">
        <v>0.86004593699999998</v>
      </c>
      <c r="U806" s="3">
        <v>0.46237886900000003</v>
      </c>
      <c r="V806" s="3">
        <v>0.35227064800000002</v>
      </c>
      <c r="W806" s="3">
        <v>0.51188254899999996</v>
      </c>
      <c r="X806" s="3">
        <v>2.8129873299999999</v>
      </c>
      <c r="Y806" s="3">
        <v>13.23640432</v>
      </c>
      <c r="Z806" s="3">
        <v>1.860045937</v>
      </c>
      <c r="AA806" s="3">
        <v>0.111723476</v>
      </c>
      <c r="AB806" s="3">
        <v>3.1458212460000001</v>
      </c>
      <c r="AC806" s="3">
        <v>5.4953764989999998</v>
      </c>
      <c r="AD806" s="3">
        <v>0.10008597</v>
      </c>
      <c r="AE806" s="3">
        <v>13.48186615</v>
      </c>
      <c r="AF806" s="4">
        <v>41075</v>
      </c>
      <c r="AG806" s="5">
        <f>YEAR(AF806)</f>
        <v>2012</v>
      </c>
      <c r="AH806" s="5" t="str">
        <f>"Q"&amp;ROUNDUP(MONTH(AF806)/3,0)</f>
        <v>Q2</v>
      </c>
      <c r="AI806" s="5">
        <f>INDEX(RatingLookup!$B$2:$B$11,MATCH(A806,RatingLookup!$A$2:$A$11,0))</f>
        <v>7</v>
      </c>
      <c r="AJ806" s="5" t="str">
        <f>INDEX(RatingLookup!$C$2:$C$11,MATCH(A806,RatingLookup!$A$2:$A$11,0))</f>
        <v>Investment Grade</v>
      </c>
    </row>
    <row r="807" spans="1:36" x14ac:dyDescent="0.3">
      <c r="A807" s="3" t="s">
        <v>42</v>
      </c>
      <c r="B807" s="3" t="s">
        <v>963</v>
      </c>
      <c r="C807" s="3" t="s">
        <v>964</v>
      </c>
      <c r="D807" s="3" t="s">
        <v>60</v>
      </c>
      <c r="E807" s="3" t="s">
        <v>965</v>
      </c>
      <c r="F807" s="3" t="s">
        <v>219</v>
      </c>
      <c r="G807" s="3">
        <v>4.3949035160000003</v>
      </c>
      <c r="H807" s="3">
        <v>3.3000677519999999</v>
      </c>
      <c r="I807" s="3">
        <v>1.9825801110000001</v>
      </c>
      <c r="J807" s="3">
        <v>40.900688340000002</v>
      </c>
      <c r="K807" s="3">
        <v>0.107967117</v>
      </c>
      <c r="L807" s="3">
        <v>0.16427450699999999</v>
      </c>
      <c r="M807" s="3">
        <v>0.20637119500000001</v>
      </c>
      <c r="N807" s="3">
        <v>0.17231698000000001</v>
      </c>
      <c r="O807" s="3">
        <v>0.11299321599999999</v>
      </c>
      <c r="P807" s="3">
        <v>0.19465564799999999</v>
      </c>
      <c r="Q807" s="3">
        <v>0.20593070599999999</v>
      </c>
      <c r="R807" s="3">
        <v>1.046552132</v>
      </c>
      <c r="S807" s="3">
        <v>2.3648526400000001</v>
      </c>
      <c r="T807" s="3">
        <v>0.82250504199999996</v>
      </c>
      <c r="U807" s="3">
        <v>0.45130467299999999</v>
      </c>
      <c r="V807" s="3">
        <v>0.34027182299999997</v>
      </c>
      <c r="W807" s="3">
        <v>0.38005044399999999</v>
      </c>
      <c r="X807" s="3">
        <v>3.577825357</v>
      </c>
      <c r="Y807" s="3">
        <v>13.80236659</v>
      </c>
      <c r="Z807" s="3">
        <v>1.822505042</v>
      </c>
      <c r="AA807" s="3">
        <v>0.16427450699999999</v>
      </c>
      <c r="AB807" s="3">
        <v>3.8623255429999999</v>
      </c>
      <c r="AC807" s="3">
        <v>9.4140801849999995</v>
      </c>
      <c r="AD807" s="3">
        <v>0.174754084</v>
      </c>
      <c r="AE807" s="3">
        <v>13.05727252</v>
      </c>
      <c r="AF807" s="4">
        <v>41100</v>
      </c>
      <c r="AG807" s="5">
        <f>YEAR(AF807)</f>
        <v>2012</v>
      </c>
      <c r="AH807" s="5" t="str">
        <f>"Q"&amp;ROUNDUP(MONTH(AF807)/3,0)</f>
        <v>Q3</v>
      </c>
      <c r="AI807" s="5">
        <f>INDEX(RatingLookup!$B$2:$B$11,MATCH(A807,RatingLookup!$A$2:$A$11,0))</f>
        <v>7</v>
      </c>
      <c r="AJ807" s="5" t="str">
        <f>INDEX(RatingLookup!$C$2:$C$11,MATCH(A807,RatingLookup!$A$2:$A$11,0))</f>
        <v>Investment Grade</v>
      </c>
    </row>
    <row r="808" spans="1:36" x14ac:dyDescent="0.3">
      <c r="A808" s="3" t="s">
        <v>42</v>
      </c>
      <c r="B808" s="3" t="s">
        <v>966</v>
      </c>
      <c r="C808" s="3" t="s">
        <v>967</v>
      </c>
      <c r="D808" s="3" t="s">
        <v>39</v>
      </c>
      <c r="E808" s="3" t="s">
        <v>524</v>
      </c>
      <c r="F808" s="3" t="s">
        <v>219</v>
      </c>
      <c r="G808" s="3">
        <v>2.699630515</v>
      </c>
      <c r="H808" s="3">
        <v>1.441643121</v>
      </c>
      <c r="I808" s="3">
        <v>0.29830471600000003</v>
      </c>
      <c r="J808" s="3">
        <v>32.449909830000003</v>
      </c>
      <c r="K808" s="3">
        <v>0.14594026800000001</v>
      </c>
      <c r="L808" s="3">
        <v>0.23567648999999999</v>
      </c>
      <c r="M808" s="3">
        <v>0.318595295</v>
      </c>
      <c r="N808" s="3">
        <v>0.28030678399999998</v>
      </c>
      <c r="O808" s="3">
        <v>5.8476002999999999E-2</v>
      </c>
      <c r="P808" s="3">
        <v>0.101876124</v>
      </c>
      <c r="Q808" s="3">
        <v>0.13992285600000001</v>
      </c>
      <c r="R808" s="3">
        <v>0.400684496</v>
      </c>
      <c r="S808" s="3">
        <v>0.61067676800000004</v>
      </c>
      <c r="T808" s="3">
        <v>1.3928252480000001</v>
      </c>
      <c r="U808" s="3">
        <v>0.582083982</v>
      </c>
      <c r="V808" s="3">
        <v>0.39093508199999999</v>
      </c>
      <c r="W808" s="3">
        <v>-0.30666060499999998</v>
      </c>
      <c r="X808" s="3">
        <v>-0.33949918200000001</v>
      </c>
      <c r="Y808" s="3">
        <v>1.104819429</v>
      </c>
      <c r="Z808" s="3">
        <v>2.3928252479999998</v>
      </c>
      <c r="AA808" s="3">
        <v>0.23567648999999999</v>
      </c>
      <c r="AB808" s="3">
        <v>13.660601529999999</v>
      </c>
      <c r="AC808" s="3">
        <v>1.1070844339999999</v>
      </c>
      <c r="AD808" s="3">
        <v>0.17435938100000001</v>
      </c>
      <c r="AE808" s="3">
        <v>4.5276832660000004</v>
      </c>
      <c r="AF808" s="4">
        <v>42325</v>
      </c>
      <c r="AG808" s="5">
        <f>YEAR(AF808)</f>
        <v>2015</v>
      </c>
      <c r="AH808" s="5" t="str">
        <f>"Q"&amp;ROUNDUP(MONTH(AF808)/3,0)</f>
        <v>Q4</v>
      </c>
      <c r="AI808" s="5">
        <f>INDEX(RatingLookup!$B$2:$B$11,MATCH(A808,RatingLookup!$A$2:$A$11,0))</f>
        <v>7</v>
      </c>
      <c r="AJ808" s="5" t="str">
        <f>INDEX(RatingLookup!$C$2:$C$11,MATCH(A808,RatingLookup!$A$2:$A$11,0))</f>
        <v>Investment Grade</v>
      </c>
    </row>
    <row r="809" spans="1:36" x14ac:dyDescent="0.3">
      <c r="A809" s="3" t="s">
        <v>42</v>
      </c>
      <c r="B809" s="3" t="s">
        <v>966</v>
      </c>
      <c r="C809" s="3" t="s">
        <v>967</v>
      </c>
      <c r="D809" s="3" t="s">
        <v>39</v>
      </c>
      <c r="E809" s="3" t="s">
        <v>175</v>
      </c>
      <c r="F809" s="3" t="s">
        <v>219</v>
      </c>
      <c r="G809" s="3">
        <v>2.1633314650000002</v>
      </c>
      <c r="H809" s="3">
        <v>1.0798493360000001</v>
      </c>
      <c r="I809" s="3">
        <v>0.31624678000000001</v>
      </c>
      <c r="J809" s="3">
        <v>34.07046485</v>
      </c>
      <c r="K809" s="3">
        <v>0.23031158900000001</v>
      </c>
      <c r="L809" s="3">
        <v>0.35743182000000001</v>
      </c>
      <c r="M809" s="3">
        <v>0.43233107999999998</v>
      </c>
      <c r="N809" s="3">
        <v>0.38579095600000002</v>
      </c>
      <c r="O809" s="3">
        <v>0.115389836</v>
      </c>
      <c r="P809" s="3">
        <v>0.198894818</v>
      </c>
      <c r="Q809" s="3">
        <v>0.229646341</v>
      </c>
      <c r="R809" s="3">
        <v>0.50101619600000002</v>
      </c>
      <c r="S809" s="3">
        <v>0.77828931400000001</v>
      </c>
      <c r="T809" s="3">
        <v>0.99017824200000004</v>
      </c>
      <c r="U809" s="3">
        <v>0.49753244299999999</v>
      </c>
      <c r="V809" s="3">
        <v>0.36478310600000002</v>
      </c>
      <c r="W809" s="3">
        <v>-0.128259383</v>
      </c>
      <c r="X809" s="3">
        <v>-0.20998093500000001</v>
      </c>
      <c r="Y809" s="3">
        <v>0.84829732999999996</v>
      </c>
      <c r="Z809" s="3">
        <v>1.990178242</v>
      </c>
      <c r="AA809" s="3">
        <v>0.35743182000000001</v>
      </c>
      <c r="AB809" s="3">
        <v>9.8719923549999997</v>
      </c>
      <c r="AC809" s="3">
        <v>1.6371584610000001</v>
      </c>
      <c r="AD809" s="3">
        <v>0.23427171499999999</v>
      </c>
      <c r="AE809" s="3">
        <v>5.1676797040000002</v>
      </c>
      <c r="AF809" s="4">
        <v>41870</v>
      </c>
      <c r="AG809" s="5">
        <f>YEAR(AF809)</f>
        <v>2014</v>
      </c>
      <c r="AH809" s="5" t="str">
        <f>"Q"&amp;ROUNDUP(MONTH(AF809)/3,0)</f>
        <v>Q3</v>
      </c>
      <c r="AI809" s="5">
        <f>INDEX(RatingLookup!$B$2:$B$11,MATCH(A809,RatingLookup!$A$2:$A$11,0))</f>
        <v>7</v>
      </c>
      <c r="AJ809" s="5" t="str">
        <f>INDEX(RatingLookup!$C$2:$C$11,MATCH(A809,RatingLookup!$A$2:$A$11,0))</f>
        <v>Investment Grade</v>
      </c>
    </row>
    <row r="810" spans="1:36" x14ac:dyDescent="0.3">
      <c r="A810" s="3" t="s">
        <v>42</v>
      </c>
      <c r="B810" s="3" t="s">
        <v>966</v>
      </c>
      <c r="C810" s="3" t="s">
        <v>967</v>
      </c>
      <c r="D810" s="3" t="s">
        <v>39</v>
      </c>
      <c r="E810" s="3" t="s">
        <v>502</v>
      </c>
      <c r="F810" s="3" t="s">
        <v>219</v>
      </c>
      <c r="G810" s="3">
        <v>4.3595198469999996</v>
      </c>
      <c r="H810" s="3">
        <v>3.2710188059999998</v>
      </c>
      <c r="I810" s="3">
        <v>2.134672224</v>
      </c>
      <c r="J810" s="3">
        <v>32.69433119</v>
      </c>
      <c r="K810" s="3">
        <v>0.271885184</v>
      </c>
      <c r="L810" s="3">
        <v>0.27320738700000002</v>
      </c>
      <c r="M810" s="3">
        <v>0.45113820199999999</v>
      </c>
      <c r="N810" s="3">
        <v>0.425354652</v>
      </c>
      <c r="O810" s="3">
        <v>0.14437609900000001</v>
      </c>
      <c r="P810" s="3">
        <v>0.15598094100000001</v>
      </c>
      <c r="Q810" s="3">
        <v>0.29248569899999999</v>
      </c>
      <c r="R810" s="3">
        <v>0.53101863599999999</v>
      </c>
      <c r="S810" s="3">
        <v>0.919207624</v>
      </c>
      <c r="T810" s="3">
        <v>1.0258595479999999</v>
      </c>
      <c r="U810" s="3">
        <v>0.506382365</v>
      </c>
      <c r="V810" s="3">
        <v>0.473024887</v>
      </c>
      <c r="W810" s="3">
        <v>8.2852149E-2</v>
      </c>
      <c r="X810" s="3">
        <v>0.18260453700000001</v>
      </c>
      <c r="Y810" s="3">
        <v>2.408887011</v>
      </c>
      <c r="Z810" s="3">
        <v>2.0258595480000001</v>
      </c>
      <c r="AA810" s="3">
        <v>0.27320738700000002</v>
      </c>
      <c r="AB810" s="3">
        <v>8.9065810180000007</v>
      </c>
      <c r="AC810" s="3">
        <v>2.2039806899999999</v>
      </c>
      <c r="AD810" s="3">
        <v>0.31198417299999998</v>
      </c>
      <c r="AE810" s="3">
        <v>5.7341458689999998</v>
      </c>
      <c r="AF810" s="4">
        <v>41530</v>
      </c>
      <c r="AG810" s="5">
        <f>YEAR(AF810)</f>
        <v>2013</v>
      </c>
      <c r="AH810" s="5" t="str">
        <f>"Q"&amp;ROUNDUP(MONTH(AF810)/3,0)</f>
        <v>Q3</v>
      </c>
      <c r="AI810" s="5">
        <f>INDEX(RatingLookup!$B$2:$B$11,MATCH(A810,RatingLookup!$A$2:$A$11,0))</f>
        <v>7</v>
      </c>
      <c r="AJ810" s="5" t="str">
        <f>INDEX(RatingLookup!$C$2:$C$11,MATCH(A810,RatingLookup!$A$2:$A$11,0))</f>
        <v>Investment Grade</v>
      </c>
    </row>
    <row r="811" spans="1:36" x14ac:dyDescent="0.3">
      <c r="A811" s="3" t="s">
        <v>42</v>
      </c>
      <c r="B811" s="3" t="s">
        <v>966</v>
      </c>
      <c r="C811" s="3" t="s">
        <v>967</v>
      </c>
      <c r="D811" s="3" t="s">
        <v>60</v>
      </c>
      <c r="E811" s="3" t="s">
        <v>46</v>
      </c>
      <c r="F811" s="3" t="s">
        <v>219</v>
      </c>
      <c r="G811" s="3">
        <v>3.123753496</v>
      </c>
      <c r="H811" s="3">
        <v>2.3592559799999999</v>
      </c>
      <c r="I811" s="3">
        <v>0.85420248399999998</v>
      </c>
      <c r="J811" s="3">
        <v>37.208291699999997</v>
      </c>
      <c r="K811" s="3">
        <v>0.34264842299999998</v>
      </c>
      <c r="L811" s="3">
        <v>0.36424382199999999</v>
      </c>
      <c r="M811" s="3">
        <v>0.55250830799999995</v>
      </c>
      <c r="N811" s="3">
        <v>0.53168666099999995</v>
      </c>
      <c r="O811" s="3">
        <v>0.28978179900000001</v>
      </c>
      <c r="P811" s="3">
        <v>0.35130676500000002</v>
      </c>
      <c r="Q811" s="3">
        <v>0.58187972799999998</v>
      </c>
      <c r="R811" s="3">
        <v>0.84571175300000001</v>
      </c>
      <c r="S811" s="3">
        <v>1.542737198</v>
      </c>
      <c r="T811" s="3">
        <v>1.0079926699999999</v>
      </c>
      <c r="U811" s="3">
        <v>0.50199021399999999</v>
      </c>
      <c r="V811" s="3">
        <v>0.44463712500000002</v>
      </c>
      <c r="W811" s="3">
        <v>0.70393522900000005</v>
      </c>
      <c r="X811" s="3">
        <v>1.7227394220000001</v>
      </c>
      <c r="Y811" s="3">
        <v>1.947446569</v>
      </c>
      <c r="Z811" s="3">
        <v>2.0079926700000001</v>
      </c>
      <c r="AA811" s="3">
        <v>0.36424382199999999</v>
      </c>
      <c r="AB811" s="3">
        <v>7.9981205759999998</v>
      </c>
      <c r="AC811" s="3">
        <v>2.4472982060000001</v>
      </c>
      <c r="AD811" s="3">
        <v>0.30360121800000001</v>
      </c>
      <c r="AE811" s="3">
        <v>6.2355054479999996</v>
      </c>
      <c r="AF811" s="4">
        <v>41075</v>
      </c>
      <c r="AG811" s="5">
        <f>YEAR(AF811)</f>
        <v>2012</v>
      </c>
      <c r="AH811" s="5" t="str">
        <f>"Q"&amp;ROUNDUP(MONTH(AF811)/3,0)</f>
        <v>Q2</v>
      </c>
      <c r="AI811" s="5">
        <f>INDEX(RatingLookup!$B$2:$B$11,MATCH(A811,RatingLookup!$A$2:$A$11,0))</f>
        <v>7</v>
      </c>
      <c r="AJ811" s="5" t="str">
        <f>INDEX(RatingLookup!$C$2:$C$11,MATCH(A811,RatingLookup!$A$2:$A$11,0))</f>
        <v>Investment Grade</v>
      </c>
    </row>
    <row r="812" spans="1:36" x14ac:dyDescent="0.3">
      <c r="A812" s="3" t="s">
        <v>42</v>
      </c>
      <c r="B812" s="3" t="s">
        <v>966</v>
      </c>
      <c r="C812" s="3" t="s">
        <v>967</v>
      </c>
      <c r="D812" s="3" t="s">
        <v>47</v>
      </c>
      <c r="E812" s="3" t="s">
        <v>968</v>
      </c>
      <c r="F812" s="3" t="s">
        <v>219</v>
      </c>
      <c r="G812" s="3">
        <v>2.568668669</v>
      </c>
      <c r="H812" s="3">
        <v>1.1903903899999999</v>
      </c>
      <c r="I812" s="3">
        <v>0.54654654700000005</v>
      </c>
      <c r="J812" s="3">
        <v>40.158277259999998</v>
      </c>
      <c r="K812" s="3">
        <v>0.14433622099999999</v>
      </c>
      <c r="L812" s="3">
        <v>0.23346592799999999</v>
      </c>
      <c r="M812" s="3">
        <v>0.31573664400000001</v>
      </c>
      <c r="N812" s="3">
        <v>0.29075430299999999</v>
      </c>
      <c r="O812" s="3">
        <v>5.8673296E-2</v>
      </c>
      <c r="P812" s="3">
        <v>0.102653797</v>
      </c>
      <c r="Q812" s="3">
        <v>0.13313786999999999</v>
      </c>
      <c r="R812" s="3">
        <v>0.40650431100000001</v>
      </c>
      <c r="S812" s="3">
        <v>0.61367706600000005</v>
      </c>
      <c r="T812" s="3">
        <v>1.269139105</v>
      </c>
      <c r="U812" s="3">
        <v>0.55930423200000001</v>
      </c>
      <c r="V812" s="3">
        <v>0.39896496799999998</v>
      </c>
      <c r="W812" s="3">
        <v>-0.21167804100000001</v>
      </c>
      <c r="X812" s="3">
        <v>-0.25258531499999998</v>
      </c>
      <c r="Y812" s="3">
        <v>0.77210444700000003</v>
      </c>
      <c r="Z812" s="3">
        <v>2.2691391049999998</v>
      </c>
      <c r="AA812" s="3">
        <v>0.23346592799999999</v>
      </c>
      <c r="AB812" s="3">
        <v>15.87400895</v>
      </c>
      <c r="AC812" s="3">
        <v>1.1932523269999999</v>
      </c>
      <c r="AD812" s="3">
        <v>0.171586304</v>
      </c>
      <c r="AE812" s="3">
        <v>5.1935980830000004</v>
      </c>
      <c r="AF812" s="4">
        <v>42660</v>
      </c>
      <c r="AG812" s="5">
        <f>YEAR(AF812)</f>
        <v>2016</v>
      </c>
      <c r="AH812" s="5" t="str">
        <f>"Q"&amp;ROUNDUP(MONTH(AF812)/3,0)</f>
        <v>Q4</v>
      </c>
      <c r="AI812" s="5">
        <f>INDEX(RatingLookup!$B$2:$B$11,MATCH(A812,RatingLookup!$A$2:$A$11,0))</f>
        <v>7</v>
      </c>
      <c r="AJ812" s="5" t="str">
        <f>INDEX(RatingLookup!$C$2:$C$11,MATCH(A812,RatingLookup!$A$2:$A$11,0))</f>
        <v>Investment Grade</v>
      </c>
    </row>
    <row r="813" spans="1:36" x14ac:dyDescent="0.3">
      <c r="A813" s="3" t="s">
        <v>42</v>
      </c>
      <c r="B813" s="3" t="s">
        <v>966</v>
      </c>
      <c r="C813" s="3" t="s">
        <v>967</v>
      </c>
      <c r="D813" s="3" t="s">
        <v>60</v>
      </c>
      <c r="E813" s="3" t="s">
        <v>969</v>
      </c>
      <c r="F813" s="3" t="s">
        <v>219</v>
      </c>
      <c r="G813" s="3">
        <v>5.0026646909999997</v>
      </c>
      <c r="H813" s="3">
        <v>3.807007064</v>
      </c>
      <c r="I813" s="3">
        <v>2.86942897</v>
      </c>
      <c r="J813" s="3">
        <v>36.631699050000002</v>
      </c>
      <c r="K813" s="3">
        <v>0.29008169700000003</v>
      </c>
      <c r="L813" s="3">
        <v>0.44585745999999998</v>
      </c>
      <c r="M813" s="3">
        <v>0.53593603899999998</v>
      </c>
      <c r="N813" s="3">
        <v>0.46615069799999997</v>
      </c>
      <c r="O813" s="3">
        <v>0.18631344</v>
      </c>
      <c r="P813" s="3">
        <v>0.31212999699999999</v>
      </c>
      <c r="Q813" s="3">
        <v>0.405996886</v>
      </c>
      <c r="R813" s="3">
        <v>0.64227920000000005</v>
      </c>
      <c r="S813" s="3">
        <v>1.2933127600000001</v>
      </c>
      <c r="T813" s="3">
        <v>1.179106805</v>
      </c>
      <c r="U813" s="3">
        <v>0.54109638100000002</v>
      </c>
      <c r="V813" s="3">
        <v>0.36349646299999999</v>
      </c>
      <c r="W813" s="3">
        <v>0.47508984700000001</v>
      </c>
      <c r="X813" s="3">
        <v>1.1222567210000001</v>
      </c>
      <c r="Y813" s="3">
        <v>3.0574624030000002</v>
      </c>
      <c r="Z813" s="3">
        <v>2.179106805</v>
      </c>
      <c r="AA813" s="3">
        <v>0.44585745999999998</v>
      </c>
      <c r="AB813" s="3">
        <v>10.190645140000001</v>
      </c>
      <c r="AC813" s="3">
        <v>2.3621989139999999</v>
      </c>
      <c r="AD813" s="3">
        <v>0.30047714399999997</v>
      </c>
      <c r="AE813" s="3">
        <v>5.8230256159999998</v>
      </c>
      <c r="AF813" s="4">
        <v>41148</v>
      </c>
      <c r="AG813" s="5">
        <f>YEAR(AF813)</f>
        <v>2012</v>
      </c>
      <c r="AH813" s="5" t="str">
        <f>"Q"&amp;ROUNDUP(MONTH(AF813)/3,0)</f>
        <v>Q3</v>
      </c>
      <c r="AI813" s="5">
        <f>INDEX(RatingLookup!$B$2:$B$11,MATCH(A813,RatingLookup!$A$2:$A$11,0))</f>
        <v>7</v>
      </c>
      <c r="AJ813" s="5" t="str">
        <f>INDEX(RatingLookup!$C$2:$C$11,MATCH(A813,RatingLookup!$A$2:$A$11,0))</f>
        <v>Investment Grade</v>
      </c>
    </row>
    <row r="814" spans="1:36" x14ac:dyDescent="0.3">
      <c r="A814" s="3" t="s">
        <v>42</v>
      </c>
      <c r="B814" s="3" t="s">
        <v>970</v>
      </c>
      <c r="C814" s="3" t="s">
        <v>971</v>
      </c>
      <c r="D814" s="3" t="s">
        <v>39</v>
      </c>
      <c r="E814" s="3" t="s">
        <v>972</v>
      </c>
      <c r="F814" s="3" t="s">
        <v>59</v>
      </c>
      <c r="G814" s="3">
        <v>1.855477855</v>
      </c>
      <c r="H814" s="3">
        <v>0.71328671300000002</v>
      </c>
      <c r="I814" s="3">
        <v>0.40326340300000002</v>
      </c>
      <c r="J814" s="3">
        <v>29.522058820000002</v>
      </c>
      <c r="K814" s="3">
        <v>4.1143423999999998E-2</v>
      </c>
      <c r="L814" s="3">
        <v>3.7508262000000001E-2</v>
      </c>
      <c r="M814" s="3">
        <v>0.163003966</v>
      </c>
      <c r="N814" s="3">
        <v>4.1143423999999998E-2</v>
      </c>
      <c r="O814" s="3">
        <v>3.8473423999999999E-2</v>
      </c>
      <c r="P814" s="3">
        <v>4.566945E-2</v>
      </c>
      <c r="Q814" s="3">
        <v>0.113594891</v>
      </c>
      <c r="R814" s="3">
        <v>0.93510506800000004</v>
      </c>
      <c r="S814" s="3">
        <v>5.4645598189999998</v>
      </c>
      <c r="T814" s="3">
        <v>1.952554745</v>
      </c>
      <c r="U814" s="3">
        <v>0.66131026000000004</v>
      </c>
      <c r="V814" s="3">
        <v>0.38766519799999999</v>
      </c>
      <c r="W814" s="3">
        <v>0.451851852</v>
      </c>
      <c r="X814" s="3">
        <v>1.3104235959999999</v>
      </c>
      <c r="Y814" s="3">
        <v>4.1639962910000001</v>
      </c>
      <c r="Z814" s="3">
        <v>2.952554745</v>
      </c>
      <c r="AA814" s="3">
        <v>3.7508262000000001E-2</v>
      </c>
      <c r="AB814" s="3">
        <v>12.38988076</v>
      </c>
      <c r="AC814" s="3">
        <v>2.9001177949999999</v>
      </c>
      <c r="AD814" s="3">
        <v>6.6920025999999994E-2</v>
      </c>
      <c r="AE814" s="3">
        <v>9.1517615180000007</v>
      </c>
      <c r="AF814" s="4">
        <v>41635</v>
      </c>
      <c r="AG814" s="5">
        <f>YEAR(AF814)</f>
        <v>2013</v>
      </c>
      <c r="AH814" s="5" t="str">
        <f>"Q"&amp;ROUNDUP(MONTH(AF814)/3,0)</f>
        <v>Q4</v>
      </c>
      <c r="AI814" s="5">
        <f>INDEX(RatingLookup!$B$2:$B$11,MATCH(A814,RatingLookup!$A$2:$A$11,0))</f>
        <v>7</v>
      </c>
      <c r="AJ814" s="5" t="str">
        <f>INDEX(RatingLookup!$C$2:$C$11,MATCH(A814,RatingLookup!$A$2:$A$11,0))</f>
        <v>Investment Grade</v>
      </c>
    </row>
    <row r="815" spans="1:36" x14ac:dyDescent="0.3">
      <c r="A815" s="3" t="s">
        <v>42</v>
      </c>
      <c r="B815" s="3" t="s">
        <v>970</v>
      </c>
      <c r="C815" s="3" t="s">
        <v>971</v>
      </c>
      <c r="D815" s="3" t="s">
        <v>47</v>
      </c>
      <c r="E815" s="3" t="s">
        <v>941</v>
      </c>
      <c r="F815" s="3" t="s">
        <v>59</v>
      </c>
      <c r="G815" s="3">
        <v>1.7242990650000001</v>
      </c>
      <c r="H815" s="3">
        <v>0.48543155599999999</v>
      </c>
      <c r="I815" s="3">
        <v>0.22594832300000001</v>
      </c>
      <c r="J815" s="3">
        <v>27.221141370000002</v>
      </c>
      <c r="K815" s="3">
        <v>4.3233895000000001E-2</v>
      </c>
      <c r="L815" s="3">
        <v>6.1464188000000003E-2</v>
      </c>
      <c r="M815" s="3">
        <v>0.177042802</v>
      </c>
      <c r="N815" s="3">
        <v>6.1464188000000003E-2</v>
      </c>
      <c r="O815" s="3">
        <v>4.1081820999999998E-2</v>
      </c>
      <c r="P815" s="3">
        <v>7.7778791E-2</v>
      </c>
      <c r="Q815" s="3">
        <v>0.14044943800000001</v>
      </c>
      <c r="R815" s="3">
        <v>0.95022252699999998</v>
      </c>
      <c r="S815" s="3">
        <v>5.5578694430000004</v>
      </c>
      <c r="T815" s="3">
        <v>2.4187734079999998</v>
      </c>
      <c r="U815" s="3">
        <v>0.70749743200000004</v>
      </c>
      <c r="V815" s="3">
        <v>0.29073856999999997</v>
      </c>
      <c r="W815" s="3">
        <v>0.64486754999999996</v>
      </c>
      <c r="X815" s="3">
        <v>2.7880275870000002</v>
      </c>
      <c r="Y815" s="3">
        <v>2.6162364130000002</v>
      </c>
      <c r="Z815" s="3">
        <v>3.4187734079999998</v>
      </c>
      <c r="AA815" s="3">
        <v>6.1464188000000003E-2</v>
      </c>
      <c r="AB815" s="3">
        <v>10.69263248</v>
      </c>
      <c r="AC815" s="3">
        <v>4.3234111999999998</v>
      </c>
      <c r="AD815" s="3">
        <v>8.7044242999999993E-2</v>
      </c>
      <c r="AE815" s="3">
        <v>11.263313610000001</v>
      </c>
      <c r="AF815" s="4">
        <v>42389</v>
      </c>
      <c r="AG815" s="5">
        <f>YEAR(AF815)</f>
        <v>2016</v>
      </c>
      <c r="AH815" s="5" t="str">
        <f>"Q"&amp;ROUNDUP(MONTH(AF815)/3,0)</f>
        <v>Q1</v>
      </c>
      <c r="AI815" s="5">
        <f>INDEX(RatingLookup!$B$2:$B$11,MATCH(A815,RatingLookup!$A$2:$A$11,0))</f>
        <v>7</v>
      </c>
      <c r="AJ815" s="5" t="str">
        <f>INDEX(RatingLookup!$C$2:$C$11,MATCH(A815,RatingLookup!$A$2:$A$11,0))</f>
        <v>Investment Grade</v>
      </c>
    </row>
    <row r="816" spans="1:36" x14ac:dyDescent="0.3">
      <c r="A816" s="3" t="s">
        <v>42</v>
      </c>
      <c r="B816" s="3" t="s">
        <v>970</v>
      </c>
      <c r="C816" s="3" t="s">
        <v>971</v>
      </c>
      <c r="D816" s="3" t="s">
        <v>47</v>
      </c>
      <c r="E816" s="3" t="s">
        <v>516</v>
      </c>
      <c r="F816" s="3" t="s">
        <v>59</v>
      </c>
      <c r="G816" s="3">
        <v>1.534453303</v>
      </c>
      <c r="H816" s="3">
        <v>0.62841685599999997</v>
      </c>
      <c r="I816" s="3">
        <v>0.40233485200000002</v>
      </c>
      <c r="J816" s="3">
        <v>24.727057290000001</v>
      </c>
      <c r="K816" s="3">
        <v>4.8132712000000001E-2</v>
      </c>
      <c r="L816" s="3">
        <v>5.2627278E-2</v>
      </c>
      <c r="M816" s="3">
        <v>0.181253575</v>
      </c>
      <c r="N816" s="3">
        <v>4.8132712000000001E-2</v>
      </c>
      <c r="O816" s="3">
        <v>4.5192971999999998E-2</v>
      </c>
      <c r="P816" s="3">
        <v>6.7639954000000002E-2</v>
      </c>
      <c r="Q816" s="3">
        <v>0.19692410599999999</v>
      </c>
      <c r="R816" s="3">
        <v>0.93892426900000003</v>
      </c>
      <c r="S816" s="3">
        <v>5.6942764080000003</v>
      </c>
      <c r="T816" s="3">
        <v>3.3574055500000002</v>
      </c>
      <c r="U816" s="3">
        <v>0.77050563999999999</v>
      </c>
      <c r="V816" s="3">
        <v>0.40372670799999999</v>
      </c>
      <c r="W816" s="3">
        <v>0.48220064699999998</v>
      </c>
      <c r="X816" s="3">
        <v>1.5953915670000001</v>
      </c>
      <c r="Y816" s="3">
        <v>4.9182317209999997</v>
      </c>
      <c r="Z816" s="3">
        <v>4.3574055500000002</v>
      </c>
      <c r="AA816" s="3">
        <v>5.2627278E-2</v>
      </c>
      <c r="AB816" s="3">
        <v>9.1806787649999997</v>
      </c>
      <c r="AC816" s="3">
        <v>3.3085637189999999</v>
      </c>
      <c r="AD816" s="3">
        <v>7.5753861000000006E-2</v>
      </c>
      <c r="AE816" s="3">
        <v>9.812928501</v>
      </c>
      <c r="AF816" s="4">
        <v>41393</v>
      </c>
      <c r="AG816" s="5">
        <f>YEAR(AF816)</f>
        <v>2013</v>
      </c>
      <c r="AH816" s="5" t="str">
        <f>"Q"&amp;ROUNDUP(MONTH(AF816)/3,0)</f>
        <v>Q2</v>
      </c>
      <c r="AI816" s="5">
        <f>INDEX(RatingLookup!$B$2:$B$11,MATCH(A816,RatingLookup!$A$2:$A$11,0))</f>
        <v>7</v>
      </c>
      <c r="AJ816" s="5" t="str">
        <f>INDEX(RatingLookup!$C$2:$C$11,MATCH(A816,RatingLookup!$A$2:$A$11,0))</f>
        <v>Investment Grade</v>
      </c>
    </row>
    <row r="817" spans="1:36" x14ac:dyDescent="0.3">
      <c r="A817" s="3" t="s">
        <v>49</v>
      </c>
      <c r="B817" s="3" t="s">
        <v>973</v>
      </c>
      <c r="C817" s="3" t="s">
        <v>974</v>
      </c>
      <c r="D817" s="3" t="s">
        <v>39</v>
      </c>
      <c r="E817" s="3" t="s">
        <v>309</v>
      </c>
      <c r="F817" s="3" t="s">
        <v>113</v>
      </c>
      <c r="G817" s="3">
        <v>1.8113928450000001</v>
      </c>
      <c r="H817" s="3">
        <v>1.1642833699999999</v>
      </c>
      <c r="I817" s="3">
        <v>0.34269987899999999</v>
      </c>
      <c r="J817" s="3">
        <v>43.407321400000001</v>
      </c>
      <c r="K817" s="3">
        <v>0.26865082800000001</v>
      </c>
      <c r="L817" s="3">
        <v>0.27262647800000001</v>
      </c>
      <c r="M817" s="3">
        <v>0.87627317100000002</v>
      </c>
      <c r="N817" s="3">
        <v>0.36287316600000002</v>
      </c>
      <c r="O817" s="3">
        <v>0.156982923</v>
      </c>
      <c r="P817" s="3">
        <v>0.18702528700000001</v>
      </c>
      <c r="Q817" s="3">
        <v>0.21604277499999999</v>
      </c>
      <c r="R817" s="3">
        <v>0.58433813099999998</v>
      </c>
      <c r="S817" s="3">
        <v>3.9596500849999998</v>
      </c>
      <c r="T817" s="3">
        <v>0.37621832399999999</v>
      </c>
      <c r="U817" s="3">
        <v>0.273371105</v>
      </c>
      <c r="V817" s="3">
        <v>0.31801348299999999</v>
      </c>
      <c r="W817" s="3">
        <v>-0.49632549500000001</v>
      </c>
      <c r="X817" s="3">
        <v>-4912.74233</v>
      </c>
      <c r="Y817" s="3">
        <v>5160.9579649999996</v>
      </c>
      <c r="Z817" s="3">
        <v>1.3762183240000001</v>
      </c>
      <c r="AA817" s="3">
        <v>0.27262647800000001</v>
      </c>
      <c r="AB817" s="3">
        <v>2.2568415000000001E-2</v>
      </c>
      <c r="AC817" s="3">
        <v>9898.2268199999999</v>
      </c>
      <c r="AD817" s="3">
        <v>0.33828775</v>
      </c>
      <c r="AE817" s="3">
        <v>3.9002969360000002</v>
      </c>
      <c r="AF817" s="4">
        <v>41583</v>
      </c>
      <c r="AG817" s="5">
        <f>YEAR(AF817)</f>
        <v>2013</v>
      </c>
      <c r="AH817" s="5" t="str">
        <f>"Q"&amp;ROUNDUP(MONTH(AF817)/3,0)</f>
        <v>Q4</v>
      </c>
      <c r="AI817" s="5">
        <f>INDEX(RatingLookup!$B$2:$B$11,MATCH(A817,RatingLookup!$A$2:$A$11,0))</f>
        <v>9</v>
      </c>
      <c r="AJ817" s="5" t="str">
        <f>INDEX(RatingLookup!$C$2:$C$11,MATCH(A817,RatingLookup!$A$2:$A$11,0))</f>
        <v>Investment Grade</v>
      </c>
    </row>
    <row r="818" spans="1:36" x14ac:dyDescent="0.3">
      <c r="A818" s="3" t="s">
        <v>42</v>
      </c>
      <c r="B818" s="3" t="s">
        <v>973</v>
      </c>
      <c r="C818" s="3" t="s">
        <v>974</v>
      </c>
      <c r="D818" s="3" t="s">
        <v>60</v>
      </c>
      <c r="E818" s="3" t="s">
        <v>448</v>
      </c>
      <c r="F818" s="3" t="s">
        <v>113</v>
      </c>
      <c r="G818" s="3">
        <v>2.5993327380000002</v>
      </c>
      <c r="H818" s="3">
        <v>1.8060674240000001</v>
      </c>
      <c r="I818" s="3">
        <v>0.50742910299999999</v>
      </c>
      <c r="J818" s="3">
        <v>41.607517790000003</v>
      </c>
      <c r="K818" s="3">
        <v>0.329530463</v>
      </c>
      <c r="L818" s="3">
        <v>0.44290120599999999</v>
      </c>
      <c r="M818" s="3">
        <v>0.88476188700000002</v>
      </c>
      <c r="N818" s="3">
        <v>0.45439342999999999</v>
      </c>
      <c r="O818" s="3">
        <v>0.18185267199999999</v>
      </c>
      <c r="P818" s="3">
        <v>0.28163713800000001</v>
      </c>
      <c r="Q818" s="3">
        <v>0.37843547300000002</v>
      </c>
      <c r="R818" s="3">
        <v>0.55185390300000003</v>
      </c>
      <c r="S818" s="3">
        <v>4.9203693550000001</v>
      </c>
      <c r="T818" s="3">
        <v>1.081000341</v>
      </c>
      <c r="U818" s="3">
        <v>0.51946187600000004</v>
      </c>
      <c r="V818" s="3">
        <v>0.243659933</v>
      </c>
      <c r="W818" s="3">
        <v>0.82696913400000005</v>
      </c>
      <c r="X818" s="3">
        <v>13.361304349999999</v>
      </c>
      <c r="Y818" s="3">
        <v>14.906521740000001</v>
      </c>
      <c r="Z818" s="3">
        <v>2.0810003410000002</v>
      </c>
      <c r="AA818" s="3">
        <v>0.44290120599999999</v>
      </c>
      <c r="AB818" s="3">
        <v>12.38702335</v>
      </c>
      <c r="AC818" s="3">
        <v>16.156956520000001</v>
      </c>
      <c r="AD818" s="3">
        <v>0.34524052799999999</v>
      </c>
      <c r="AE818" s="3">
        <v>4.6387434550000002</v>
      </c>
      <c r="AF818" s="4">
        <v>42257</v>
      </c>
      <c r="AG818" s="5">
        <f>YEAR(AF818)</f>
        <v>2015</v>
      </c>
      <c r="AH818" s="5" t="str">
        <f>"Q"&amp;ROUNDUP(MONTH(AF818)/3,0)</f>
        <v>Q3</v>
      </c>
      <c r="AI818" s="5">
        <f>INDEX(RatingLookup!$B$2:$B$11,MATCH(A818,RatingLookup!$A$2:$A$11,0))</f>
        <v>7</v>
      </c>
      <c r="AJ818" s="5" t="str">
        <f>INDEX(RatingLookup!$C$2:$C$11,MATCH(A818,RatingLookup!$A$2:$A$11,0))</f>
        <v>Investment Grade</v>
      </c>
    </row>
    <row r="819" spans="1:36" x14ac:dyDescent="0.3">
      <c r="A819" s="3" t="s">
        <v>49</v>
      </c>
      <c r="B819" s="3" t="s">
        <v>973</v>
      </c>
      <c r="C819" s="3" t="s">
        <v>974</v>
      </c>
      <c r="D819" s="3" t="s">
        <v>39</v>
      </c>
      <c r="E819" s="3" t="s">
        <v>975</v>
      </c>
      <c r="F819" s="3" t="s">
        <v>113</v>
      </c>
      <c r="G819" s="3">
        <v>2.1050864389999999</v>
      </c>
      <c r="H819" s="3">
        <v>1.4136236959999999</v>
      </c>
      <c r="I819" s="3">
        <v>0.54283044700000005</v>
      </c>
      <c r="J819" s="3">
        <v>48.616579739999999</v>
      </c>
      <c r="K819" s="3">
        <v>0.30245140700000001</v>
      </c>
      <c r="L819" s="3">
        <v>0.40673000300000001</v>
      </c>
      <c r="M819" s="3">
        <v>0.879317232</v>
      </c>
      <c r="N819" s="3">
        <v>0.40938692799999998</v>
      </c>
      <c r="O819" s="3">
        <v>0.204992275</v>
      </c>
      <c r="P819" s="3">
        <v>0.326252869</v>
      </c>
      <c r="Q819" s="3">
        <v>0.271512747</v>
      </c>
      <c r="R819" s="3">
        <v>0.67776928800000003</v>
      </c>
      <c r="S819" s="3">
        <v>5.4955074039999996</v>
      </c>
      <c r="T819" s="3">
        <v>0.324502336</v>
      </c>
      <c r="U819" s="3">
        <v>0.24499944400000001</v>
      </c>
      <c r="V819" s="3">
        <v>0.25083203799999998</v>
      </c>
      <c r="W819" s="3">
        <v>0.90219586900000004</v>
      </c>
      <c r="X819" s="3">
        <v>11230.221820000001</v>
      </c>
      <c r="Y819" s="3">
        <v>7807.5469940000003</v>
      </c>
      <c r="Z819" s="3">
        <v>1.3245023359999999</v>
      </c>
      <c r="AA819" s="3">
        <v>0.40673000300000001</v>
      </c>
      <c r="AB819" s="3">
        <v>-0.113236409</v>
      </c>
      <c r="AC819" s="3">
        <v>12447.653780000001</v>
      </c>
      <c r="AD819" s="3">
        <v>0.30320692199999999</v>
      </c>
      <c r="AE819" s="3">
        <v>5.1097225740000001</v>
      </c>
      <c r="AF819" s="4">
        <v>41935</v>
      </c>
      <c r="AG819" s="5">
        <f>YEAR(AF819)</f>
        <v>2014</v>
      </c>
      <c r="AH819" s="5" t="str">
        <f>"Q"&amp;ROUNDUP(MONTH(AF819)/3,0)</f>
        <v>Q4</v>
      </c>
      <c r="AI819" s="5">
        <f>INDEX(RatingLookup!$B$2:$B$11,MATCH(A819,RatingLookup!$A$2:$A$11,0))</f>
        <v>9</v>
      </c>
      <c r="AJ819" s="5" t="str">
        <f>INDEX(RatingLookup!$C$2:$C$11,MATCH(A819,RatingLookup!$A$2:$A$11,0))</f>
        <v>Investment Grade</v>
      </c>
    </row>
    <row r="820" spans="1:36" x14ac:dyDescent="0.3">
      <c r="A820" s="3" t="s">
        <v>42</v>
      </c>
      <c r="B820" s="3" t="s">
        <v>973</v>
      </c>
      <c r="C820" s="3" t="s">
        <v>974</v>
      </c>
      <c r="D820" s="3" t="s">
        <v>60</v>
      </c>
      <c r="E820" s="3" t="s">
        <v>46</v>
      </c>
      <c r="F820" s="3" t="s">
        <v>113</v>
      </c>
      <c r="G820" s="3">
        <v>3.2593524509999998</v>
      </c>
      <c r="H820" s="3">
        <v>2.4923731139999998</v>
      </c>
      <c r="I820" s="3">
        <v>0.56364136300000001</v>
      </c>
      <c r="J820" s="3">
        <v>42.26491661</v>
      </c>
      <c r="K820" s="3">
        <v>0.244507326</v>
      </c>
      <c r="L820" s="3">
        <v>0.33894594099999997</v>
      </c>
      <c r="M820" s="3">
        <v>0.90755241900000005</v>
      </c>
      <c r="N820" s="3">
        <v>0.34161537600000003</v>
      </c>
      <c r="O820" s="3">
        <v>0.13640685299999999</v>
      </c>
      <c r="P820" s="3">
        <v>0.210307722</v>
      </c>
      <c r="Q820" s="3">
        <v>0.19211395100000001</v>
      </c>
      <c r="R820" s="3">
        <v>0.55788452200000005</v>
      </c>
      <c r="S820" s="3">
        <v>3.2128520850000002</v>
      </c>
      <c r="T820" s="3">
        <v>0.40838929400000001</v>
      </c>
      <c r="U820" s="3">
        <v>0.28996904200000001</v>
      </c>
      <c r="V820" s="3">
        <v>0.25977347099999998</v>
      </c>
      <c r="W820" s="3">
        <v>0.85404351700000003</v>
      </c>
      <c r="X820" s="3">
        <v>6087.4440480000003</v>
      </c>
      <c r="Y820" s="3">
        <v>6974.8014599999997</v>
      </c>
      <c r="Z820" s="3">
        <v>1.408389294</v>
      </c>
      <c r="AA820" s="3">
        <v>0.33894594099999997</v>
      </c>
      <c r="AB820" s="3">
        <v>0.27731318599999999</v>
      </c>
      <c r="AC820" s="3">
        <v>7127.7914149999997</v>
      </c>
      <c r="AD820" s="3">
        <v>0.34221949899999998</v>
      </c>
      <c r="AE820" s="3">
        <v>2.5035398610000001</v>
      </c>
      <c r="AF820" s="4">
        <v>41075</v>
      </c>
      <c r="AG820" s="5">
        <f>YEAR(AF820)</f>
        <v>2012</v>
      </c>
      <c r="AH820" s="5" t="str">
        <f>"Q"&amp;ROUNDUP(MONTH(AF820)/3,0)</f>
        <v>Q2</v>
      </c>
      <c r="AI820" s="5">
        <f>INDEX(RatingLookup!$B$2:$B$11,MATCH(A820,RatingLookup!$A$2:$A$11,0))</f>
        <v>7</v>
      </c>
      <c r="AJ820" s="5" t="str">
        <f>INDEX(RatingLookup!$C$2:$C$11,MATCH(A820,RatingLookup!$A$2:$A$11,0))</f>
        <v>Investment Grade</v>
      </c>
    </row>
    <row r="821" spans="1:36" x14ac:dyDescent="0.3">
      <c r="A821" s="3" t="s">
        <v>36</v>
      </c>
      <c r="B821" s="3" t="s">
        <v>973</v>
      </c>
      <c r="C821" s="3" t="s">
        <v>974</v>
      </c>
      <c r="D821" s="3" t="s">
        <v>47</v>
      </c>
      <c r="E821" s="3" t="s">
        <v>976</v>
      </c>
      <c r="F821" s="3" t="s">
        <v>113</v>
      </c>
      <c r="G821" s="3">
        <v>1.9574988129999999</v>
      </c>
      <c r="H821" s="3">
        <v>1.44357058</v>
      </c>
      <c r="I821" s="3">
        <v>0.344349456</v>
      </c>
      <c r="J821" s="3">
        <v>45.445716009999998</v>
      </c>
      <c r="K821" s="3">
        <v>0.25016636599999997</v>
      </c>
      <c r="L821" s="3">
        <v>0.33628534700000001</v>
      </c>
      <c r="M821" s="3">
        <v>0.90112120799999995</v>
      </c>
      <c r="N821" s="3">
        <v>0.33642021599999999</v>
      </c>
      <c r="O821" s="3">
        <v>0.13623069300000001</v>
      </c>
      <c r="P821" s="3">
        <v>0.218950116</v>
      </c>
      <c r="Q821" s="3">
        <v>0.19823722499999999</v>
      </c>
      <c r="R821" s="3">
        <v>0.54456038900000003</v>
      </c>
      <c r="S821" s="3">
        <v>3.1663291669999998</v>
      </c>
      <c r="T821" s="3">
        <v>0.45515830400000001</v>
      </c>
      <c r="U821" s="3">
        <v>0.312789545</v>
      </c>
      <c r="V821" s="3">
        <v>0.25365356700000002</v>
      </c>
      <c r="W821" s="3">
        <v>0.861065792</v>
      </c>
      <c r="X821" s="3">
        <v>6803.0957639999997</v>
      </c>
      <c r="Y821" s="3">
        <v>7168.7162200000002</v>
      </c>
      <c r="Z821" s="3">
        <v>1.455158304</v>
      </c>
      <c r="AA821" s="3">
        <v>0.33628534700000001</v>
      </c>
      <c r="AB821" s="3">
        <v>0.27321820600000002</v>
      </c>
      <c r="AC821" s="3">
        <v>7900.7850779999999</v>
      </c>
      <c r="AD821" s="3">
        <v>0.340779532</v>
      </c>
      <c r="AE821" s="3">
        <v>2.6740033040000002</v>
      </c>
      <c r="AF821" s="4">
        <v>41381</v>
      </c>
      <c r="AG821" s="5">
        <f>YEAR(AF821)</f>
        <v>2013</v>
      </c>
      <c r="AH821" s="5" t="str">
        <f>"Q"&amp;ROUNDUP(MONTH(AF821)/3,0)</f>
        <v>Q2</v>
      </c>
      <c r="AI821" s="5">
        <f>INDEX(RatingLookup!$B$2:$B$11,MATCH(A821,RatingLookup!$A$2:$A$11,0))</f>
        <v>8</v>
      </c>
      <c r="AJ821" s="5" t="str">
        <f>INDEX(RatingLookup!$C$2:$C$11,MATCH(A821,RatingLookup!$A$2:$A$11,0))</f>
        <v>Investment Grade</v>
      </c>
    </row>
    <row r="822" spans="1:36" x14ac:dyDescent="0.3">
      <c r="A822" s="3" t="s">
        <v>42</v>
      </c>
      <c r="B822" s="3" t="s">
        <v>973</v>
      </c>
      <c r="C822" s="3" t="s">
        <v>974</v>
      </c>
      <c r="D822" s="3" t="s">
        <v>47</v>
      </c>
      <c r="E822" s="3" t="s">
        <v>977</v>
      </c>
      <c r="F822" s="3" t="s">
        <v>113</v>
      </c>
      <c r="G822" s="3">
        <v>2.419166535</v>
      </c>
      <c r="H822" s="3">
        <v>1.726535583</v>
      </c>
      <c r="I822" s="3">
        <v>0.72334262100000002</v>
      </c>
      <c r="J822" s="3">
        <v>46.845901009999999</v>
      </c>
      <c r="K822" s="3">
        <v>0.19052001900000001</v>
      </c>
      <c r="L822" s="3">
        <v>0.26077092699999999</v>
      </c>
      <c r="M822" s="3">
        <v>0.91513441399999995</v>
      </c>
      <c r="N822" s="3">
        <v>0.26479580000000003</v>
      </c>
      <c r="O822" s="3">
        <v>0.111037847</v>
      </c>
      <c r="P822" s="3">
        <v>0.17464373899999999</v>
      </c>
      <c r="Q822" s="3">
        <v>0.166510146</v>
      </c>
      <c r="R822" s="3">
        <v>0.58281459099999999</v>
      </c>
      <c r="S822" s="3">
        <v>2.8730051890000001</v>
      </c>
      <c r="T822" s="3">
        <v>0.48977060300000003</v>
      </c>
      <c r="U822" s="3">
        <v>0.326605164</v>
      </c>
      <c r="V822" s="3">
        <v>0.26939701100000002</v>
      </c>
      <c r="W822" s="3">
        <v>0.89348318100000002</v>
      </c>
      <c r="X822" s="3">
        <v>5753379.8109999998</v>
      </c>
      <c r="Y822" s="3">
        <v>4786803.3779999996</v>
      </c>
      <c r="Z822" s="3">
        <v>1.4995800990000001</v>
      </c>
      <c r="AA822" s="3">
        <v>0.26077092699999999</v>
      </c>
      <c r="AB822" s="3">
        <v>2.7133306999999999E-2</v>
      </c>
      <c r="AC822" s="3">
        <v>6439270.4129999997</v>
      </c>
      <c r="AD822" s="3">
        <v>0.34447143499999999</v>
      </c>
      <c r="AE822" s="3">
        <v>2.4627112699999998</v>
      </c>
      <c r="AF822" s="4">
        <v>40534</v>
      </c>
      <c r="AG822" s="5">
        <f>YEAR(AF822)</f>
        <v>2010</v>
      </c>
      <c r="AH822" s="5" t="str">
        <f>"Q"&amp;ROUNDUP(MONTH(AF822)/3,0)</f>
        <v>Q4</v>
      </c>
      <c r="AI822" s="5">
        <f>INDEX(RatingLookup!$B$2:$B$11,MATCH(A822,RatingLookup!$A$2:$A$11,0))</f>
        <v>7</v>
      </c>
      <c r="AJ822" s="5" t="str">
        <f>INDEX(RatingLookup!$C$2:$C$11,MATCH(A822,RatingLookup!$A$2:$A$11,0))</f>
        <v>Investment Grade</v>
      </c>
    </row>
    <row r="823" spans="1:36" x14ac:dyDescent="0.3">
      <c r="A823" s="3" t="s">
        <v>42</v>
      </c>
      <c r="B823" s="3" t="s">
        <v>978</v>
      </c>
      <c r="C823" s="3" t="s">
        <v>979</v>
      </c>
      <c r="D823" s="3" t="s">
        <v>60</v>
      </c>
      <c r="E823" s="3" t="s">
        <v>980</v>
      </c>
      <c r="F823" s="3" t="s">
        <v>174</v>
      </c>
      <c r="G823" s="3">
        <v>1.017499489</v>
      </c>
      <c r="H823" s="3">
        <v>0.705763115</v>
      </c>
      <c r="I823" s="3">
        <v>0.47899503500000001</v>
      </c>
      <c r="J823" s="3">
        <v>13.759619130000001</v>
      </c>
      <c r="K823" s="3">
        <v>5.5733900000000001E-4</v>
      </c>
      <c r="L823" s="3">
        <v>-1.5437612E-2</v>
      </c>
      <c r="M823" s="3">
        <v>0.571433368</v>
      </c>
      <c r="N823" s="3">
        <v>-2.1850365E-2</v>
      </c>
      <c r="O823" s="3">
        <v>7.2069300000000001E-4</v>
      </c>
      <c r="P823" s="3">
        <v>-3.7446656000000002E-2</v>
      </c>
      <c r="Q823" s="3">
        <v>1.852596E-3</v>
      </c>
      <c r="R823" s="3">
        <v>1.293096113</v>
      </c>
      <c r="S823" s="3">
        <v>4.6530854550000003</v>
      </c>
      <c r="T823" s="3">
        <v>1.5705772060000001</v>
      </c>
      <c r="U823" s="3">
        <v>0.61098231300000005</v>
      </c>
      <c r="V823" s="3">
        <v>1.0382775120000001</v>
      </c>
      <c r="W823" s="3">
        <v>0.60416738299999995</v>
      </c>
      <c r="X823" s="3">
        <v>2.3449886559999999</v>
      </c>
      <c r="Y823" s="3">
        <v>4.3156279189999998</v>
      </c>
      <c r="Z823" s="3">
        <v>2.5705772059999998</v>
      </c>
      <c r="AA823" s="3">
        <v>-1.5437612E-2</v>
      </c>
      <c r="AB823" s="3">
        <v>86.472843729999994</v>
      </c>
      <c r="AC823" s="3">
        <v>3.881355932</v>
      </c>
      <c r="AD823" s="3">
        <v>0.19529015199999999</v>
      </c>
      <c r="AE823" s="3">
        <v>12.98006915</v>
      </c>
      <c r="AF823" s="4">
        <v>41603</v>
      </c>
      <c r="AG823" s="5">
        <f>YEAR(AF823)</f>
        <v>2013</v>
      </c>
      <c r="AH823" s="5" t="str">
        <f>"Q"&amp;ROUNDUP(MONTH(AF823)/3,0)</f>
        <v>Q4</v>
      </c>
      <c r="AI823" s="5">
        <f>INDEX(RatingLookup!$B$2:$B$11,MATCH(A823,RatingLookup!$A$2:$A$11,0))</f>
        <v>7</v>
      </c>
      <c r="AJ823" s="5" t="str">
        <f>INDEX(RatingLookup!$C$2:$C$11,MATCH(A823,RatingLookup!$A$2:$A$11,0))</f>
        <v>Investment Grade</v>
      </c>
    </row>
    <row r="824" spans="1:36" x14ac:dyDescent="0.3">
      <c r="A824" s="3" t="s">
        <v>36</v>
      </c>
      <c r="B824" s="3" t="s">
        <v>978</v>
      </c>
      <c r="C824" s="3" t="s">
        <v>979</v>
      </c>
      <c r="D824" s="3" t="s">
        <v>39</v>
      </c>
      <c r="E824" s="3" t="s">
        <v>981</v>
      </c>
      <c r="F824" s="3" t="s">
        <v>174</v>
      </c>
      <c r="G824" s="3">
        <v>1.3718695489999999</v>
      </c>
      <c r="H824" s="3">
        <v>0.81429558700000004</v>
      </c>
      <c r="I824" s="3">
        <v>0.56221410500000002</v>
      </c>
      <c r="J824" s="3">
        <v>14.002784569999999</v>
      </c>
      <c r="K824" s="3">
        <v>0.125737181</v>
      </c>
      <c r="L824" s="3">
        <v>0.19210471900000001</v>
      </c>
      <c r="M824" s="3">
        <v>0.58299590199999995</v>
      </c>
      <c r="N824" s="3">
        <v>0.18732596500000001</v>
      </c>
      <c r="O824" s="3">
        <v>0.19232951100000001</v>
      </c>
      <c r="P824" s="3">
        <v>0.409595292</v>
      </c>
      <c r="Q824" s="3">
        <v>0.39227996999999998</v>
      </c>
      <c r="R824" s="3">
        <v>1.5296152670000001</v>
      </c>
      <c r="S824" s="3">
        <v>4.6739982949999996</v>
      </c>
      <c r="T824" s="3">
        <v>1.039624431</v>
      </c>
      <c r="U824" s="3">
        <v>0.50971365899999999</v>
      </c>
      <c r="V824" s="3">
        <v>0.34560243099999999</v>
      </c>
      <c r="W824" s="3">
        <v>-0.91000329099999999</v>
      </c>
      <c r="X824" s="3">
        <v>-0.73443101799999999</v>
      </c>
      <c r="Y824" s="3">
        <v>2.4477493030000002</v>
      </c>
      <c r="Z824" s="3">
        <v>2.039624431</v>
      </c>
      <c r="AA824" s="3">
        <v>0.19210471900000001</v>
      </c>
      <c r="AB824" s="3">
        <v>7.6659728420000004</v>
      </c>
      <c r="AC824" s="3">
        <v>0.80706413499999996</v>
      </c>
      <c r="AD824" s="3">
        <v>3.6953270000000003E-2</v>
      </c>
      <c r="AE824" s="3">
        <v>12.851414650000001</v>
      </c>
      <c r="AF824" s="4">
        <v>41962</v>
      </c>
      <c r="AG824" s="5">
        <f>YEAR(AF824)</f>
        <v>2014</v>
      </c>
      <c r="AH824" s="5" t="str">
        <f>"Q"&amp;ROUNDUP(MONTH(AF824)/3,0)</f>
        <v>Q4</v>
      </c>
      <c r="AI824" s="5">
        <f>INDEX(RatingLookup!$B$2:$B$11,MATCH(A824,RatingLookup!$A$2:$A$11,0))</f>
        <v>8</v>
      </c>
      <c r="AJ824" s="5" t="str">
        <f>INDEX(RatingLookup!$C$2:$C$11,MATCH(A824,RatingLookup!$A$2:$A$11,0))</f>
        <v>Investment Grade</v>
      </c>
    </row>
    <row r="825" spans="1:36" x14ac:dyDescent="0.3">
      <c r="A825" s="3" t="s">
        <v>36</v>
      </c>
      <c r="B825" s="3" t="s">
        <v>978</v>
      </c>
      <c r="C825" s="3" t="s">
        <v>979</v>
      </c>
      <c r="D825" s="3" t="s">
        <v>60</v>
      </c>
      <c r="E825" s="3" t="s">
        <v>982</v>
      </c>
      <c r="F825" s="3" t="s">
        <v>174</v>
      </c>
      <c r="G825" s="3">
        <v>1.191378131</v>
      </c>
      <c r="H825" s="3">
        <v>0.63785411199999997</v>
      </c>
      <c r="I825" s="3">
        <v>0.41880388699999999</v>
      </c>
      <c r="J825" s="3">
        <v>13.695095159999999</v>
      </c>
      <c r="K825" s="3">
        <v>0.14389412800000001</v>
      </c>
      <c r="L825" s="3">
        <v>0.203676935</v>
      </c>
      <c r="M825" s="3">
        <v>0.59361154699999996</v>
      </c>
      <c r="N825" s="3">
        <v>0.187917152</v>
      </c>
      <c r="O825" s="3">
        <v>0.221547312</v>
      </c>
      <c r="P825" s="3">
        <v>0.44389600299999998</v>
      </c>
      <c r="Q825" s="3">
        <v>0.47394293599999998</v>
      </c>
      <c r="R825" s="3">
        <v>1.539654992</v>
      </c>
      <c r="S825" s="3">
        <v>4.687204951</v>
      </c>
      <c r="T825" s="3">
        <v>1.139240289</v>
      </c>
      <c r="U825" s="3">
        <v>0.53254433099999998</v>
      </c>
      <c r="V825" s="3">
        <v>0.29303100199999998</v>
      </c>
      <c r="W825" s="3">
        <v>0.65226320999999998</v>
      </c>
      <c r="X825" s="3">
        <v>1.6347349419999999</v>
      </c>
      <c r="Y825" s="3">
        <v>1.077211044</v>
      </c>
      <c r="Z825" s="3">
        <v>2.139240289</v>
      </c>
      <c r="AA825" s="3">
        <v>0.203676935</v>
      </c>
      <c r="AB825" s="3">
        <v>20.8664746</v>
      </c>
      <c r="AC825" s="3">
        <v>2.506250418</v>
      </c>
      <c r="AD825" s="3">
        <v>0.195645708</v>
      </c>
      <c r="AE825" s="3">
        <v>11.38190588</v>
      </c>
      <c r="AF825" s="4">
        <v>42262</v>
      </c>
      <c r="AG825" s="5">
        <f>YEAR(AF825)</f>
        <v>2015</v>
      </c>
      <c r="AH825" s="5" t="str">
        <f>"Q"&amp;ROUNDUP(MONTH(AF825)/3,0)</f>
        <v>Q3</v>
      </c>
      <c r="AI825" s="5">
        <f>INDEX(RatingLookup!$B$2:$B$11,MATCH(A825,RatingLookup!$A$2:$A$11,0))</f>
        <v>8</v>
      </c>
      <c r="AJ825" s="5" t="str">
        <f>INDEX(RatingLookup!$C$2:$C$11,MATCH(A825,RatingLookup!$A$2:$A$11,0))</f>
        <v>Investment Grade</v>
      </c>
    </row>
    <row r="826" spans="1:36" x14ac:dyDescent="0.3">
      <c r="A826" s="3" t="s">
        <v>42</v>
      </c>
      <c r="B826" s="3" t="s">
        <v>978</v>
      </c>
      <c r="C826" s="3" t="s">
        <v>979</v>
      </c>
      <c r="D826" s="3" t="s">
        <v>60</v>
      </c>
      <c r="E826" s="3" t="s">
        <v>46</v>
      </c>
      <c r="F826" s="3" t="s">
        <v>174</v>
      </c>
      <c r="G826" s="3">
        <v>1.8281626360000001</v>
      </c>
      <c r="H826" s="3">
        <v>1.151170633</v>
      </c>
      <c r="I826" s="3">
        <v>0.55308796599999999</v>
      </c>
      <c r="J826" s="3">
        <v>12.057066430000001</v>
      </c>
      <c r="K826" s="3">
        <v>0.10646644600000001</v>
      </c>
      <c r="L826" s="3">
        <v>0.15478958000000001</v>
      </c>
      <c r="M826" s="3">
        <v>1</v>
      </c>
      <c r="N826" s="3">
        <v>0.147729992</v>
      </c>
      <c r="O826" s="3">
        <v>0.16924351900000001</v>
      </c>
      <c r="P826" s="3">
        <v>0.34271278799999999</v>
      </c>
      <c r="Q826" s="3">
        <v>0.28408857700000001</v>
      </c>
      <c r="R826" s="3">
        <v>1.5896418670000001</v>
      </c>
      <c r="S826" s="3">
        <v>4.9683227179999996</v>
      </c>
      <c r="T826" s="3">
        <v>0.67857875899999998</v>
      </c>
      <c r="U826" s="3">
        <v>0.40425792100000002</v>
      </c>
      <c r="V826" s="3">
        <v>0.31091601800000002</v>
      </c>
      <c r="W826" s="3">
        <v>0.67011907699999995</v>
      </c>
      <c r="X826" s="3">
        <v>1.4439395960000001</v>
      </c>
      <c r="Y826" s="3">
        <v>2.6768675659999999</v>
      </c>
      <c r="Z826" s="3">
        <v>1.6785787590000001</v>
      </c>
      <c r="AA826" s="3">
        <v>0.15478958000000001</v>
      </c>
      <c r="AB826" s="3">
        <v>6.5092587230000003</v>
      </c>
      <c r="AC826" s="3">
        <v>2.154750768</v>
      </c>
      <c r="AD826" s="3">
        <v>0.13780725399999999</v>
      </c>
      <c r="AE826" s="3">
        <v>9.1648148149999997</v>
      </c>
      <c r="AF826" s="4">
        <v>41075</v>
      </c>
      <c r="AG826" s="5">
        <f>YEAR(AF826)</f>
        <v>2012</v>
      </c>
      <c r="AH826" s="5" t="str">
        <f>"Q"&amp;ROUNDUP(MONTH(AF826)/3,0)</f>
        <v>Q2</v>
      </c>
      <c r="AI826" s="5">
        <f>INDEX(RatingLookup!$B$2:$B$11,MATCH(A826,RatingLookup!$A$2:$A$11,0))</f>
        <v>7</v>
      </c>
      <c r="AJ826" s="5" t="str">
        <f>INDEX(RatingLookup!$C$2:$C$11,MATCH(A826,RatingLookup!$A$2:$A$11,0))</f>
        <v>Investment Grade</v>
      </c>
    </row>
    <row r="827" spans="1:36" x14ac:dyDescent="0.3">
      <c r="A827" s="3" t="s">
        <v>42</v>
      </c>
      <c r="B827" s="3" t="s">
        <v>978</v>
      </c>
      <c r="C827" s="3" t="s">
        <v>979</v>
      </c>
      <c r="D827" s="3" t="s">
        <v>60</v>
      </c>
      <c r="E827" s="3" t="s">
        <v>516</v>
      </c>
      <c r="F827" s="3" t="s">
        <v>174</v>
      </c>
      <c r="G827" s="3">
        <v>1.900443479</v>
      </c>
      <c r="H827" s="3">
        <v>1.1415060189999999</v>
      </c>
      <c r="I827" s="3">
        <v>0.537876731</v>
      </c>
      <c r="J827" s="3">
        <v>13.33535095</v>
      </c>
      <c r="K827" s="3">
        <v>0.104049024</v>
      </c>
      <c r="L827" s="3">
        <v>0.15482536899999999</v>
      </c>
      <c r="M827" s="3">
        <v>0.56289334199999996</v>
      </c>
      <c r="N827" s="3">
        <v>0.15018609699999999</v>
      </c>
      <c r="O827" s="3">
        <v>0.16836188399999999</v>
      </c>
      <c r="P827" s="3">
        <v>0.34264652000000001</v>
      </c>
      <c r="Q827" s="3">
        <v>0.27085535300000002</v>
      </c>
      <c r="R827" s="3">
        <v>1.618101518</v>
      </c>
      <c r="S827" s="3">
        <v>5.0018804770000003</v>
      </c>
      <c r="T827" s="3">
        <v>0.60876883900000001</v>
      </c>
      <c r="U827" s="3">
        <v>0.37840665800000001</v>
      </c>
      <c r="V827" s="3">
        <v>0.32752173299999998</v>
      </c>
      <c r="W827" s="3">
        <v>0.51082671499999999</v>
      </c>
      <c r="X827" s="3">
        <v>1.1851802760000001</v>
      </c>
      <c r="Y827" s="3">
        <v>2.6996288439999998</v>
      </c>
      <c r="Z827" s="3">
        <v>1.6087688389999999</v>
      </c>
      <c r="AA827" s="3">
        <v>0.15482536899999999</v>
      </c>
      <c r="AB827" s="3">
        <v>6.462138092</v>
      </c>
      <c r="AC827" s="3">
        <v>2.320121951</v>
      </c>
      <c r="AD827" s="3">
        <v>0.13160645100000001</v>
      </c>
      <c r="AE827" s="3">
        <v>14.602612410000001</v>
      </c>
      <c r="AF827" s="4">
        <v>41393</v>
      </c>
      <c r="AG827" s="5">
        <f>YEAR(AF827)</f>
        <v>2013</v>
      </c>
      <c r="AH827" s="5" t="str">
        <f>"Q"&amp;ROUNDUP(MONTH(AF827)/3,0)</f>
        <v>Q2</v>
      </c>
      <c r="AI827" s="5">
        <f>INDEX(RatingLookup!$B$2:$B$11,MATCH(A827,RatingLookup!$A$2:$A$11,0))</f>
        <v>7</v>
      </c>
      <c r="AJ827" s="5" t="str">
        <f>INDEX(RatingLookup!$C$2:$C$11,MATCH(A827,RatingLookup!$A$2:$A$11,0))</f>
        <v>Investment Grade</v>
      </c>
    </row>
    <row r="828" spans="1:36" x14ac:dyDescent="0.3">
      <c r="A828" s="3" t="s">
        <v>36</v>
      </c>
      <c r="B828" s="3" t="s">
        <v>978</v>
      </c>
      <c r="C828" s="3" t="s">
        <v>979</v>
      </c>
      <c r="D828" s="3" t="s">
        <v>47</v>
      </c>
      <c r="E828" s="3" t="s">
        <v>610</v>
      </c>
      <c r="F828" s="3" t="s">
        <v>174</v>
      </c>
      <c r="G828" s="3">
        <v>1.046977061</v>
      </c>
      <c r="H828" s="3">
        <v>0.66682794899999998</v>
      </c>
      <c r="I828" s="3">
        <v>0.46818711600000001</v>
      </c>
      <c r="J828" s="3">
        <v>13.16444532</v>
      </c>
      <c r="K828" s="3">
        <v>0.13218771000000001</v>
      </c>
      <c r="L828" s="3">
        <v>0.196970337</v>
      </c>
      <c r="M828" s="3">
        <v>0.60071589800000003</v>
      </c>
      <c r="N828" s="3">
        <v>0.195717751</v>
      </c>
      <c r="O828" s="3">
        <v>0.19663631000000001</v>
      </c>
      <c r="P828" s="3">
        <v>0.42919060399999998</v>
      </c>
      <c r="Q828" s="3">
        <v>0.47887491500000001</v>
      </c>
      <c r="R828" s="3">
        <v>1.487553648</v>
      </c>
      <c r="S828" s="3">
        <v>4.7015527810000002</v>
      </c>
      <c r="T828" s="3">
        <v>1.4353331069999999</v>
      </c>
      <c r="U828" s="3">
        <v>0.58937855500000003</v>
      </c>
      <c r="V828" s="3">
        <v>0.32860953700000001</v>
      </c>
      <c r="W828" s="3">
        <v>0.68518720899999996</v>
      </c>
      <c r="X828" s="3">
        <v>2.130198423</v>
      </c>
      <c r="Y828" s="3">
        <v>1.5379179119999999</v>
      </c>
      <c r="Z828" s="3">
        <v>2.4353331069999999</v>
      </c>
      <c r="AA828" s="3">
        <v>0.196970337</v>
      </c>
      <c r="AB828" s="3">
        <v>15.13502499</v>
      </c>
      <c r="AC828" s="3">
        <v>3.1089290570000001</v>
      </c>
      <c r="AD828" s="3">
        <v>0.21463320799999999</v>
      </c>
      <c r="AE828" s="3">
        <v>11.64946619</v>
      </c>
      <c r="AF828" s="4">
        <v>42718</v>
      </c>
      <c r="AG828" s="5">
        <f>YEAR(AF828)</f>
        <v>2016</v>
      </c>
      <c r="AH828" s="5" t="str">
        <f>"Q"&amp;ROUNDUP(MONTH(AF828)/3,0)</f>
        <v>Q4</v>
      </c>
      <c r="AI828" s="5">
        <f>INDEX(RatingLookup!$B$2:$B$11,MATCH(A828,RatingLookup!$A$2:$A$11,0))</f>
        <v>8</v>
      </c>
      <c r="AJ828" s="5" t="str">
        <f>INDEX(RatingLookup!$C$2:$C$11,MATCH(A828,RatingLookup!$A$2:$A$11,0))</f>
        <v>Investment Grade</v>
      </c>
    </row>
    <row r="829" spans="1:36" x14ac:dyDescent="0.3">
      <c r="A829" s="3" t="s">
        <v>92</v>
      </c>
      <c r="B829" s="3" t="s">
        <v>983</v>
      </c>
      <c r="C829" s="3" t="s">
        <v>984</v>
      </c>
      <c r="D829" s="3" t="s">
        <v>60</v>
      </c>
      <c r="E829" s="3" t="s">
        <v>956</v>
      </c>
      <c r="F829" s="3" t="s">
        <v>219</v>
      </c>
      <c r="G829" s="3">
        <v>2.6810390709999998</v>
      </c>
      <c r="H829" s="3">
        <v>0.18645018399999999</v>
      </c>
      <c r="I829" s="3">
        <v>7.1989836000000001E-2</v>
      </c>
      <c r="J829" s="3">
        <v>0</v>
      </c>
      <c r="K829" s="3">
        <v>3.4215901E-2</v>
      </c>
      <c r="L829" s="3">
        <v>5.9537300000000001E-2</v>
      </c>
      <c r="M829" s="3">
        <v>0.142149833</v>
      </c>
      <c r="N829" s="3">
        <v>7.7568526999999998E-2</v>
      </c>
      <c r="O829" s="3">
        <v>3.9260929E-2</v>
      </c>
      <c r="P829" s="3">
        <v>7.6499101999999999E-2</v>
      </c>
      <c r="Q829" s="3">
        <v>0.11856482</v>
      </c>
      <c r="R829" s="3">
        <v>1.147446886</v>
      </c>
      <c r="S829" s="3">
        <v>2.136258416</v>
      </c>
      <c r="T829" s="3">
        <v>2.0199188750000001</v>
      </c>
      <c r="U829" s="3">
        <v>0.66886527699999998</v>
      </c>
      <c r="V829" s="3">
        <v>0.42530311599999998</v>
      </c>
      <c r="W829" s="3">
        <v>-2.558218E-2</v>
      </c>
      <c r="X829" s="3">
        <v>-0.21816702499999999</v>
      </c>
      <c r="Y829" s="3">
        <v>1.398320582</v>
      </c>
      <c r="Z829" s="3">
        <v>3.0199188750000001</v>
      </c>
      <c r="AA829" s="3">
        <v>5.9537300000000001E-2</v>
      </c>
      <c r="AB829" s="3">
        <v>6.9566065970000004</v>
      </c>
      <c r="AC829" s="3">
        <v>8.5280859249999992</v>
      </c>
      <c r="AD829" s="3">
        <v>0.106008951</v>
      </c>
      <c r="AE829" s="3">
        <v>9.7096065120000006</v>
      </c>
      <c r="AF829" s="4">
        <v>41291</v>
      </c>
      <c r="AG829" s="5">
        <f>YEAR(AF829)</f>
        <v>2013</v>
      </c>
      <c r="AH829" s="5" t="str">
        <f>"Q"&amp;ROUNDUP(MONTH(AF829)/3,0)</f>
        <v>Q1</v>
      </c>
      <c r="AI829" s="5">
        <f>INDEX(RatingLookup!$B$2:$B$11,MATCH(A829,RatingLookup!$A$2:$A$11,0))</f>
        <v>6</v>
      </c>
      <c r="AJ829" s="5" t="str">
        <f>INDEX(RatingLookup!$C$2:$C$11,MATCH(A829,RatingLookup!$A$2:$A$11,0))</f>
        <v>Speculative Grade</v>
      </c>
    </row>
    <row r="830" spans="1:36" x14ac:dyDescent="0.3">
      <c r="A830" s="3" t="s">
        <v>92</v>
      </c>
      <c r="B830" s="3" t="s">
        <v>983</v>
      </c>
      <c r="C830" s="3" t="s">
        <v>984</v>
      </c>
      <c r="D830" s="3" t="s">
        <v>60</v>
      </c>
      <c r="E830" s="3" t="s">
        <v>985</v>
      </c>
      <c r="F830" s="3" t="s">
        <v>219</v>
      </c>
      <c r="G830" s="3">
        <v>2.3535114259999999</v>
      </c>
      <c r="H830" s="3">
        <v>0.34562731000000002</v>
      </c>
      <c r="I830" s="3">
        <v>0.122154634</v>
      </c>
      <c r="J830" s="3">
        <v>0</v>
      </c>
      <c r="K830" s="3">
        <v>-1.1768359999999999E-3</v>
      </c>
      <c r="L830" s="3">
        <v>8.2561530000000004E-3</v>
      </c>
      <c r="M830" s="3">
        <v>0.13130693900000001</v>
      </c>
      <c r="N830" s="3">
        <v>4.0572120000000003E-2</v>
      </c>
      <c r="O830" s="3">
        <v>-1.4597130000000001E-3</v>
      </c>
      <c r="P830" s="3">
        <v>1.1922739E-2</v>
      </c>
      <c r="Q830" s="3">
        <v>-4.6529199999999996E-3</v>
      </c>
      <c r="R830" s="3">
        <v>1.240370937</v>
      </c>
      <c r="S830" s="3">
        <v>2.4256110149999999</v>
      </c>
      <c r="T830" s="3">
        <v>2.1875579100000002</v>
      </c>
      <c r="U830" s="3">
        <v>0.68628020899999997</v>
      </c>
      <c r="V830" s="3">
        <v>1.142540484</v>
      </c>
      <c r="W830" s="3">
        <v>0.33121495299999998</v>
      </c>
      <c r="X830" s="3">
        <v>2.2887736670000001</v>
      </c>
      <c r="Y830" s="3">
        <v>3.8416642749999999</v>
      </c>
      <c r="Z830" s="3">
        <v>3.1875579100000002</v>
      </c>
      <c r="AA830" s="3">
        <v>8.2561530000000004E-3</v>
      </c>
      <c r="AB830" s="3">
        <v>11.571229539999999</v>
      </c>
      <c r="AC830" s="3">
        <v>6.9102365240000001</v>
      </c>
      <c r="AD830" s="3">
        <v>7.0711831000000003E-2</v>
      </c>
      <c r="AE830" s="3">
        <v>7.9176744230000002</v>
      </c>
      <c r="AF830" s="4">
        <v>41844</v>
      </c>
      <c r="AG830" s="5">
        <f>YEAR(AF830)</f>
        <v>2014</v>
      </c>
      <c r="AH830" s="5" t="str">
        <f>"Q"&amp;ROUNDUP(MONTH(AF830)/3,0)</f>
        <v>Q3</v>
      </c>
      <c r="AI830" s="5">
        <f>INDEX(RatingLookup!$B$2:$B$11,MATCH(A830,RatingLookup!$A$2:$A$11,0))</f>
        <v>6</v>
      </c>
      <c r="AJ830" s="5" t="str">
        <f>INDEX(RatingLookup!$C$2:$C$11,MATCH(A830,RatingLookup!$A$2:$A$11,0))</f>
        <v>Speculative Grade</v>
      </c>
    </row>
    <row r="831" spans="1:36" x14ac:dyDescent="0.3">
      <c r="A831" s="3" t="s">
        <v>109</v>
      </c>
      <c r="B831" s="3" t="s">
        <v>986</v>
      </c>
      <c r="C831" s="3" t="s">
        <v>987</v>
      </c>
      <c r="D831" s="3" t="s">
        <v>47</v>
      </c>
      <c r="E831" s="3" t="s">
        <v>248</v>
      </c>
      <c r="F831" s="3" t="s">
        <v>53</v>
      </c>
      <c r="G831" s="3">
        <v>0.87441780899999999</v>
      </c>
      <c r="H831" s="3">
        <v>0.40048942300000001</v>
      </c>
      <c r="I831" s="3">
        <v>4.4590672999999997E-2</v>
      </c>
      <c r="J831" s="3">
        <v>40.792352350000002</v>
      </c>
      <c r="K831" s="3">
        <v>8.2315313000000001E-2</v>
      </c>
      <c r="L831" s="3">
        <v>0.13668637</v>
      </c>
      <c r="M831" s="3">
        <v>1</v>
      </c>
      <c r="N831" s="3">
        <v>0.19360976799999999</v>
      </c>
      <c r="O831" s="3">
        <v>3.0644699000000001E-2</v>
      </c>
      <c r="P831" s="3">
        <v>5.7622574000000003E-2</v>
      </c>
      <c r="Q831" s="3">
        <v>0.13301132500000001</v>
      </c>
      <c r="R831" s="3">
        <v>0.37228430800000001</v>
      </c>
      <c r="S831" s="3">
        <v>0.424416452</v>
      </c>
      <c r="T831" s="3">
        <v>3.340435007</v>
      </c>
      <c r="U831" s="3">
        <v>0.76960834600000005</v>
      </c>
      <c r="V831" s="3">
        <v>0.39777965500000001</v>
      </c>
      <c r="W831" s="3">
        <v>1</v>
      </c>
      <c r="X831" s="3">
        <v>5.0827983000000003</v>
      </c>
      <c r="Y831" s="3">
        <v>0.161601885</v>
      </c>
      <c r="Z831" s="3">
        <v>4.340435007</v>
      </c>
      <c r="AA831" s="3">
        <v>0.13668637</v>
      </c>
      <c r="AB831" s="3">
        <v>4.5757693250000004</v>
      </c>
      <c r="AC831" s="3">
        <v>5.0827983000000003</v>
      </c>
      <c r="AD831" s="3">
        <v>0.44041276600000001</v>
      </c>
      <c r="AE831" s="3">
        <v>0</v>
      </c>
      <c r="AF831" s="4">
        <v>41199</v>
      </c>
      <c r="AG831" s="5">
        <f>YEAR(AF831)</f>
        <v>2012</v>
      </c>
      <c r="AH831" s="5" t="str">
        <f>"Q"&amp;ROUNDUP(MONTH(AF831)/3,0)</f>
        <v>Q4</v>
      </c>
      <c r="AI831" s="5">
        <f>INDEX(RatingLookup!$B$2:$B$11,MATCH(A831,RatingLookup!$A$2:$A$11,0))</f>
        <v>5</v>
      </c>
      <c r="AJ831" s="5" t="str">
        <f>INDEX(RatingLookup!$C$2:$C$11,MATCH(A831,RatingLookup!$A$2:$A$11,0))</f>
        <v>Speculative Grade</v>
      </c>
    </row>
    <row r="832" spans="1:36" x14ac:dyDescent="0.3">
      <c r="A832" s="3" t="s">
        <v>109</v>
      </c>
      <c r="B832" s="3" t="s">
        <v>986</v>
      </c>
      <c r="C832" s="3" t="s">
        <v>987</v>
      </c>
      <c r="D832" s="3" t="s">
        <v>47</v>
      </c>
      <c r="E832" s="3" t="s">
        <v>497</v>
      </c>
      <c r="F832" s="3" t="s">
        <v>53</v>
      </c>
      <c r="G832" s="3">
        <v>0.94440203099999998</v>
      </c>
      <c r="H832" s="3">
        <v>0.55809268599999995</v>
      </c>
      <c r="I832" s="3">
        <v>0.34594072799999998</v>
      </c>
      <c r="J832" s="3">
        <v>39.305488189999998</v>
      </c>
      <c r="K832" s="3">
        <v>-0.62257178999999996</v>
      </c>
      <c r="L832" s="3">
        <v>-0.73101558600000005</v>
      </c>
      <c r="M832" s="3">
        <v>1</v>
      </c>
      <c r="N832" s="3">
        <v>-0.82644892599999997</v>
      </c>
      <c r="O832" s="3">
        <v>-0.30012317300000002</v>
      </c>
      <c r="P832" s="3">
        <v>-0.46656677800000002</v>
      </c>
      <c r="Q832" s="3">
        <v>0.377854354</v>
      </c>
      <c r="R832" s="3">
        <v>0.48206998499999998</v>
      </c>
      <c r="S832" s="3">
        <v>0.73116498799999996</v>
      </c>
      <c r="T832" s="3">
        <v>-2.2589975980000001</v>
      </c>
      <c r="U832" s="3">
        <v>1.794282691</v>
      </c>
      <c r="V832" s="3">
        <v>0.14834676299999999</v>
      </c>
      <c r="W832" s="3">
        <v>1</v>
      </c>
      <c r="X832" s="3">
        <v>0.14805236499999999</v>
      </c>
      <c r="Y832" s="3">
        <v>0.73332905000000004</v>
      </c>
      <c r="Z832" s="3">
        <v>-1.2589975980000001</v>
      </c>
      <c r="AA832" s="3">
        <v>-0.73101558600000005</v>
      </c>
      <c r="AB832" s="3">
        <v>-10.550927980000001</v>
      </c>
      <c r="AC832" s="3">
        <v>0.14805236499999999</v>
      </c>
      <c r="AD832" s="3">
        <v>3.5451241000000001E-2</v>
      </c>
      <c r="AE832" s="3">
        <v>0</v>
      </c>
      <c r="AF832" s="4">
        <v>42626</v>
      </c>
      <c r="AG832" s="5">
        <f>YEAR(AF832)</f>
        <v>2016</v>
      </c>
      <c r="AH832" s="5" t="str">
        <f>"Q"&amp;ROUNDUP(MONTH(AF832)/3,0)</f>
        <v>Q3</v>
      </c>
      <c r="AI832" s="5">
        <f>INDEX(RatingLookup!$B$2:$B$11,MATCH(A832,RatingLookup!$A$2:$A$11,0))</f>
        <v>5</v>
      </c>
      <c r="AJ832" s="5" t="str">
        <f>INDEX(RatingLookup!$C$2:$C$11,MATCH(A832,RatingLookup!$A$2:$A$11,0))</f>
        <v>Speculative Grade</v>
      </c>
    </row>
    <row r="833" spans="1:36" x14ac:dyDescent="0.3">
      <c r="A833" s="3" t="s">
        <v>293</v>
      </c>
      <c r="B833" s="3" t="s">
        <v>986</v>
      </c>
      <c r="C833" s="3" t="s">
        <v>987</v>
      </c>
      <c r="D833" s="3" t="s">
        <v>47</v>
      </c>
      <c r="E833" s="3" t="s">
        <v>988</v>
      </c>
      <c r="F833" s="3" t="s">
        <v>53</v>
      </c>
      <c r="G833" s="3">
        <v>0.74424268000000005</v>
      </c>
      <c r="H833" s="3">
        <v>0.57344621600000001</v>
      </c>
      <c r="I833" s="3">
        <v>0.375457706</v>
      </c>
      <c r="J833" s="3">
        <v>25.187673109999999</v>
      </c>
      <c r="K833" s="3">
        <v>-2.0595113010000001</v>
      </c>
      <c r="L833" s="3">
        <v>-2.459665067</v>
      </c>
      <c r="M833" s="3">
        <v>0.98127211599999997</v>
      </c>
      <c r="N833" s="3">
        <v>-2.2585887059999998</v>
      </c>
      <c r="O833" s="3">
        <v>-0.86481703099999996</v>
      </c>
      <c r="P833" s="3">
        <v>-1.272478427</v>
      </c>
      <c r="Q833" s="3">
        <v>1.9843036249999999</v>
      </c>
      <c r="R833" s="3">
        <v>0.41991371</v>
      </c>
      <c r="S833" s="3">
        <v>0.51236352900000004</v>
      </c>
      <c r="T833" s="3">
        <v>-3.2944779679999998</v>
      </c>
      <c r="U833" s="3">
        <v>1.4358289829999999</v>
      </c>
      <c r="V833" s="3">
        <v>0.16268628199999999</v>
      </c>
      <c r="W833" s="3">
        <v>1</v>
      </c>
      <c r="X833" s="3">
        <v>1.7458711790000001</v>
      </c>
      <c r="Y833" s="3">
        <v>1.25717371</v>
      </c>
      <c r="Z833" s="3">
        <v>-2.2944779679999998</v>
      </c>
      <c r="AA833" s="3">
        <v>-2.459665067</v>
      </c>
      <c r="AB833" s="3">
        <v>-1.6855700419999999</v>
      </c>
      <c r="AC833" s="3">
        <v>1.7458711790000001</v>
      </c>
      <c r="AD833" s="3">
        <v>0.26131114900000002</v>
      </c>
      <c r="AE833" s="3">
        <v>8.6523311000000006E-2</v>
      </c>
      <c r="AF833" s="4">
        <v>42481</v>
      </c>
      <c r="AG833" s="5">
        <f>YEAR(AF833)</f>
        <v>2016</v>
      </c>
      <c r="AH833" s="5" t="str">
        <f>"Q"&amp;ROUNDUP(MONTH(AF833)/3,0)</f>
        <v>Q2</v>
      </c>
      <c r="AI833" s="5">
        <f>INDEX(RatingLookup!$B$2:$B$11,MATCH(A833,RatingLookup!$A$2:$A$11,0))</f>
        <v>3</v>
      </c>
      <c r="AJ833" s="5" t="str">
        <f>INDEX(RatingLookup!$C$2:$C$11,MATCH(A833,RatingLookup!$A$2:$A$11,0))</f>
        <v>Speculative Grade</v>
      </c>
    </row>
    <row r="834" spans="1:36" x14ac:dyDescent="0.3">
      <c r="A834" s="3" t="s">
        <v>109</v>
      </c>
      <c r="B834" s="3" t="s">
        <v>986</v>
      </c>
      <c r="C834" s="3" t="s">
        <v>987</v>
      </c>
      <c r="D834" s="3" t="s">
        <v>47</v>
      </c>
      <c r="E834" s="3" t="s">
        <v>503</v>
      </c>
      <c r="F834" s="3" t="s">
        <v>53</v>
      </c>
      <c r="G834" s="3">
        <v>0.64169871099999998</v>
      </c>
      <c r="H834" s="3">
        <v>0.31953827400000001</v>
      </c>
      <c r="I834" s="3">
        <v>8.3185119000000002E-2</v>
      </c>
      <c r="J834" s="3">
        <v>25.870267770000002</v>
      </c>
      <c r="K834" s="3">
        <v>-1.2291453000000001E-2</v>
      </c>
      <c r="L834" s="3">
        <v>-1.6991530000000001E-2</v>
      </c>
      <c r="M834" s="3">
        <v>0.99304316999999998</v>
      </c>
      <c r="N834" s="3">
        <v>6.5423712999999994E-2</v>
      </c>
      <c r="O834" s="3">
        <v>-4.3043700000000001E-3</v>
      </c>
      <c r="P834" s="3">
        <v>-6.6484949999999999E-3</v>
      </c>
      <c r="Q834" s="3">
        <v>-2.2895772000000002E-2</v>
      </c>
      <c r="R834" s="3">
        <v>0.35019214799999998</v>
      </c>
      <c r="S834" s="3">
        <v>0.38041796300000003</v>
      </c>
      <c r="T834" s="3">
        <v>4.319191923</v>
      </c>
      <c r="U834" s="3">
        <v>0.81200151899999995</v>
      </c>
      <c r="V834" s="3">
        <v>0.27661290300000002</v>
      </c>
      <c r="W834" s="3">
        <v>1</v>
      </c>
      <c r="X834" s="3">
        <v>7.017209502</v>
      </c>
      <c r="Y834" s="3">
        <v>0.32472000699999998</v>
      </c>
      <c r="Z834" s="3">
        <v>5.319191923</v>
      </c>
      <c r="AA834" s="3">
        <v>-1.6991530000000001E-2</v>
      </c>
      <c r="AB834" s="3">
        <v>2.9713474369999999</v>
      </c>
      <c r="AC834" s="3">
        <v>7.017209502</v>
      </c>
      <c r="AD834" s="3">
        <v>0.53907313899999998</v>
      </c>
      <c r="AE834" s="3">
        <v>3.4001515000000003E-2</v>
      </c>
      <c r="AF834" s="4">
        <v>42117</v>
      </c>
      <c r="AG834" s="5">
        <f>YEAR(AF834)</f>
        <v>2015</v>
      </c>
      <c r="AH834" s="5" t="str">
        <f>"Q"&amp;ROUNDUP(MONTH(AF834)/3,0)</f>
        <v>Q2</v>
      </c>
      <c r="AI834" s="5">
        <f>INDEX(RatingLookup!$B$2:$B$11,MATCH(A834,RatingLookup!$A$2:$A$11,0))</f>
        <v>5</v>
      </c>
      <c r="AJ834" s="5" t="str">
        <f>INDEX(RatingLookup!$C$2:$C$11,MATCH(A834,RatingLookup!$A$2:$A$11,0))</f>
        <v>Speculative Grade</v>
      </c>
    </row>
    <row r="835" spans="1:36" x14ac:dyDescent="0.3">
      <c r="A835" s="3" t="s">
        <v>109</v>
      </c>
      <c r="B835" s="3" t="s">
        <v>986</v>
      </c>
      <c r="C835" s="3" t="s">
        <v>987</v>
      </c>
      <c r="D835" s="3" t="s">
        <v>47</v>
      </c>
      <c r="E835" s="3" t="s">
        <v>989</v>
      </c>
      <c r="F835" s="3" t="s">
        <v>53</v>
      </c>
      <c r="G835" s="3">
        <v>0.59228806199999995</v>
      </c>
      <c r="H835" s="3">
        <v>0.384000218</v>
      </c>
      <c r="I835" s="3">
        <v>5.3905781E-2</v>
      </c>
      <c r="J835" s="3">
        <v>35.885489919999998</v>
      </c>
      <c r="K835" s="3">
        <v>5.2151839999999998E-2</v>
      </c>
      <c r="L835" s="3">
        <v>8.1391094999999997E-2</v>
      </c>
      <c r="M835" s="3">
        <v>1</v>
      </c>
      <c r="N835" s="3">
        <v>0.14910353500000001</v>
      </c>
      <c r="O835" s="3">
        <v>2.0469014000000001E-2</v>
      </c>
      <c r="P835" s="3">
        <v>3.6173820000000002E-2</v>
      </c>
      <c r="Q835" s="3">
        <v>9.4933501000000003E-2</v>
      </c>
      <c r="R835" s="3">
        <v>0.39248881899999999</v>
      </c>
      <c r="S835" s="3">
        <v>0.43240953599999998</v>
      </c>
      <c r="T835" s="3">
        <v>3.6379127279999999</v>
      </c>
      <c r="U835" s="3">
        <v>0.78438576599999998</v>
      </c>
      <c r="V835" s="3">
        <v>0.35924390699999997</v>
      </c>
      <c r="W835" s="3">
        <v>1</v>
      </c>
      <c r="X835" s="3">
        <v>7.4378130640000002</v>
      </c>
      <c r="Y835" s="3">
        <v>0.20934492099999999</v>
      </c>
      <c r="Z835" s="3">
        <v>4.6379127279999999</v>
      </c>
      <c r="AA835" s="3">
        <v>8.1391094999999997E-2</v>
      </c>
      <c r="AB835" s="3">
        <v>3.8085061900000001</v>
      </c>
      <c r="AC835" s="3">
        <v>7.4378130640000002</v>
      </c>
      <c r="AD835" s="3">
        <v>0.57043475799999999</v>
      </c>
      <c r="AE835" s="3">
        <v>0</v>
      </c>
      <c r="AF835" s="4">
        <v>41759</v>
      </c>
      <c r="AG835" s="5">
        <f>YEAR(AF835)</f>
        <v>2014</v>
      </c>
      <c r="AH835" s="5" t="str">
        <f>"Q"&amp;ROUNDUP(MONTH(AF835)/3,0)</f>
        <v>Q2</v>
      </c>
      <c r="AI835" s="5">
        <f>INDEX(RatingLookup!$B$2:$B$11,MATCH(A835,RatingLookup!$A$2:$A$11,0))</f>
        <v>5</v>
      </c>
      <c r="AJ835" s="5" t="str">
        <f>INDEX(RatingLookup!$C$2:$C$11,MATCH(A835,RatingLookup!$A$2:$A$11,0))</f>
        <v>Speculative Grade</v>
      </c>
    </row>
    <row r="836" spans="1:36" x14ac:dyDescent="0.3">
      <c r="A836" s="3" t="s">
        <v>109</v>
      </c>
      <c r="B836" s="3" t="s">
        <v>986</v>
      </c>
      <c r="C836" s="3" t="s">
        <v>987</v>
      </c>
      <c r="D836" s="3" t="s">
        <v>47</v>
      </c>
      <c r="E836" s="3" t="s">
        <v>306</v>
      </c>
      <c r="F836" s="3" t="s">
        <v>53</v>
      </c>
      <c r="G836" s="3">
        <v>0.67955519900000005</v>
      </c>
      <c r="H836" s="3">
        <v>0.118587462</v>
      </c>
      <c r="I836" s="3">
        <v>0.118587462</v>
      </c>
      <c r="J836" s="3">
        <v>0</v>
      </c>
      <c r="K836" s="3">
        <v>0.16703717700000001</v>
      </c>
      <c r="L836" s="3">
        <v>0.18389929999999999</v>
      </c>
      <c r="M836" s="3">
        <v>1</v>
      </c>
      <c r="N836" s="3">
        <v>0.236317678</v>
      </c>
      <c r="O836" s="3">
        <v>8.2783861E-2</v>
      </c>
      <c r="P836" s="3">
        <v>0.109765421</v>
      </c>
      <c r="Q836" s="3">
        <v>0.27953516699999997</v>
      </c>
      <c r="R836" s="3">
        <v>0.49560141400000002</v>
      </c>
      <c r="S836" s="3">
        <v>0.134654845</v>
      </c>
      <c r="T836" s="3">
        <v>3.3766867500000002</v>
      </c>
      <c r="U836" s="3">
        <v>1</v>
      </c>
      <c r="V836" s="3">
        <v>9.1692155999999997E-2</v>
      </c>
      <c r="W836" s="3">
        <v>0.620855724</v>
      </c>
      <c r="X836" s="3">
        <v>3.882241976</v>
      </c>
      <c r="Y836" s="3">
        <v>0.388885119</v>
      </c>
      <c r="Z836" s="3">
        <v>3.3766867500000002</v>
      </c>
      <c r="AA836" s="3">
        <v>0.18389929999999999</v>
      </c>
      <c r="AB836" s="3">
        <v>4.2419537619999996</v>
      </c>
      <c r="AC836" s="3">
        <v>6.2530501459999996</v>
      </c>
      <c r="AD836" s="3">
        <v>0.65282955200000004</v>
      </c>
      <c r="AE836" s="3">
        <v>0</v>
      </c>
      <c r="AF836" s="4">
        <v>40695</v>
      </c>
      <c r="AG836" s="5">
        <f>YEAR(AF836)</f>
        <v>2011</v>
      </c>
      <c r="AH836" s="5" t="str">
        <f>"Q"&amp;ROUNDUP(MONTH(AF836)/3,0)</f>
        <v>Q2</v>
      </c>
      <c r="AI836" s="5">
        <f>INDEX(RatingLookup!$B$2:$B$11,MATCH(A836,RatingLookup!$A$2:$A$11,0))</f>
        <v>5</v>
      </c>
      <c r="AJ836" s="5" t="str">
        <f>INDEX(RatingLookup!$C$2:$C$11,MATCH(A836,RatingLookup!$A$2:$A$11,0))</f>
        <v>Speculative Grade</v>
      </c>
    </row>
    <row r="837" spans="1:36" x14ac:dyDescent="0.3">
      <c r="A837" s="3" t="s">
        <v>109</v>
      </c>
      <c r="B837" s="3" t="s">
        <v>986</v>
      </c>
      <c r="C837" s="3" t="s">
        <v>987</v>
      </c>
      <c r="D837" s="3" t="s">
        <v>47</v>
      </c>
      <c r="E837" s="3" t="s">
        <v>990</v>
      </c>
      <c r="F837" s="3" t="s">
        <v>53</v>
      </c>
      <c r="G837" s="3">
        <v>0.559904128</v>
      </c>
      <c r="H837" s="3">
        <v>0.35799711699999998</v>
      </c>
      <c r="I837" s="3">
        <v>1.5672925000000001E-2</v>
      </c>
      <c r="J837" s="3">
        <v>37.043263609999997</v>
      </c>
      <c r="K837" s="3">
        <v>0.17796975800000001</v>
      </c>
      <c r="L837" s="3">
        <v>0.27221545400000002</v>
      </c>
      <c r="M837" s="3">
        <v>1</v>
      </c>
      <c r="N837" s="3">
        <v>0.33928326800000003</v>
      </c>
      <c r="O837" s="3">
        <v>9.2468665000000005E-2</v>
      </c>
      <c r="P837" s="3">
        <v>0.167189951</v>
      </c>
      <c r="Q837" s="3">
        <v>0.31734346499999999</v>
      </c>
      <c r="R837" s="3">
        <v>0.51957515700000001</v>
      </c>
      <c r="S837" s="3">
        <v>0.58563626199999996</v>
      </c>
      <c r="T837" s="3">
        <v>2.431902735</v>
      </c>
      <c r="U837" s="3">
        <v>0.70861645100000004</v>
      </c>
      <c r="V837" s="3">
        <v>0.34621728600000001</v>
      </c>
      <c r="W837" s="3">
        <v>1</v>
      </c>
      <c r="X837" s="3">
        <v>7.0438588199999996</v>
      </c>
      <c r="Y837" s="3">
        <v>6.0945793999999998E-2</v>
      </c>
      <c r="Z837" s="3">
        <v>3.431902735</v>
      </c>
      <c r="AA837" s="3">
        <v>0.27221545400000002</v>
      </c>
      <c r="AB837" s="3">
        <v>3.6928480619999999</v>
      </c>
      <c r="AC837" s="3">
        <v>7.0438588199999996</v>
      </c>
      <c r="AD837" s="3">
        <v>0.53702652900000003</v>
      </c>
      <c r="AE837" s="3">
        <v>0</v>
      </c>
      <c r="AF837" s="4">
        <v>41025</v>
      </c>
      <c r="AG837" s="5">
        <f>YEAR(AF837)</f>
        <v>2012</v>
      </c>
      <c r="AH837" s="5" t="str">
        <f>"Q"&amp;ROUNDUP(MONTH(AF837)/3,0)</f>
        <v>Q2</v>
      </c>
      <c r="AI837" s="5">
        <f>INDEX(RatingLookup!$B$2:$B$11,MATCH(A837,RatingLookup!$A$2:$A$11,0))</f>
        <v>5</v>
      </c>
      <c r="AJ837" s="5" t="str">
        <f>INDEX(RatingLookup!$C$2:$C$11,MATCH(A837,RatingLookup!$A$2:$A$11,0))</f>
        <v>Speculative Grade</v>
      </c>
    </row>
    <row r="838" spans="1:36" x14ac:dyDescent="0.3">
      <c r="A838" s="3" t="s">
        <v>109</v>
      </c>
      <c r="B838" s="3" t="s">
        <v>991</v>
      </c>
      <c r="C838" s="3" t="s">
        <v>992</v>
      </c>
      <c r="D838" s="3" t="s">
        <v>47</v>
      </c>
      <c r="E838" s="3" t="s">
        <v>578</v>
      </c>
      <c r="F838" s="3" t="s">
        <v>174</v>
      </c>
      <c r="G838" s="3">
        <v>0.940035226</v>
      </c>
      <c r="H838" s="3">
        <v>0.98644050800000005</v>
      </c>
      <c r="I838" s="3">
        <v>0.20035502899999999</v>
      </c>
      <c r="J838" s="3">
        <v>118.89902979999999</v>
      </c>
      <c r="K838" s="3">
        <v>0.82680349099999995</v>
      </c>
      <c r="L838" s="3">
        <v>1.2797883750000001</v>
      </c>
      <c r="M838" s="3">
        <v>0.63089445200000005</v>
      </c>
      <c r="N838" s="3">
        <v>0.49722760100000002</v>
      </c>
      <c r="O838" s="3">
        <v>0.359414016</v>
      </c>
      <c r="P838" s="3">
        <v>0.85583716200000004</v>
      </c>
      <c r="Q838" s="3">
        <v>2.379588923</v>
      </c>
      <c r="R838" s="3">
        <v>0.43470307000000002</v>
      </c>
      <c r="S838" s="3">
        <v>0.64661431899999999</v>
      </c>
      <c r="T838" s="3">
        <v>5.4278716869999997</v>
      </c>
      <c r="U838" s="3">
        <v>0.81982780399999999</v>
      </c>
      <c r="V838" s="3">
        <v>0.35395295999999998</v>
      </c>
      <c r="W838" s="3">
        <v>0.98237577899999995</v>
      </c>
      <c r="X838" s="3">
        <v>11.57021175</v>
      </c>
      <c r="Y838" s="3">
        <v>4.7291493850000004</v>
      </c>
      <c r="Z838" s="3">
        <v>6.6207460400000002</v>
      </c>
      <c r="AA838" s="3">
        <v>1.4987387969999999</v>
      </c>
      <c r="AB838" s="3">
        <v>1.8199780910000001</v>
      </c>
      <c r="AC838" s="3">
        <v>11.77778606</v>
      </c>
      <c r="AD838" s="3">
        <v>0.53800704200000005</v>
      </c>
      <c r="AE838" s="3">
        <v>0.96957987999999995</v>
      </c>
      <c r="AF838" s="4">
        <v>42549</v>
      </c>
      <c r="AG838" s="5">
        <f>YEAR(AF838)</f>
        <v>2016</v>
      </c>
      <c r="AH838" s="5" t="str">
        <f>"Q"&amp;ROUNDUP(MONTH(AF838)/3,0)</f>
        <v>Q2</v>
      </c>
      <c r="AI838" s="5">
        <f>INDEX(RatingLookup!$B$2:$B$11,MATCH(A838,RatingLookup!$A$2:$A$11,0))</f>
        <v>5</v>
      </c>
      <c r="AJ838" s="5" t="str">
        <f>INDEX(RatingLookup!$C$2:$C$11,MATCH(A838,RatingLookup!$A$2:$A$11,0))</f>
        <v>Speculative Grade</v>
      </c>
    </row>
    <row r="839" spans="1:36" x14ac:dyDescent="0.3">
      <c r="A839" s="3" t="s">
        <v>109</v>
      </c>
      <c r="B839" s="3" t="s">
        <v>991</v>
      </c>
      <c r="C839" s="3" t="s">
        <v>992</v>
      </c>
      <c r="D839" s="3" t="s">
        <v>44</v>
      </c>
      <c r="E839" s="3" t="s">
        <v>46</v>
      </c>
      <c r="F839" s="3" t="s">
        <v>174</v>
      </c>
      <c r="G839" s="3">
        <v>0.97098114000000002</v>
      </c>
      <c r="H839" s="3">
        <v>1.0778923359999999</v>
      </c>
      <c r="I839" s="3">
        <v>0.271222825</v>
      </c>
      <c r="J839" s="3">
        <v>171.96084379999999</v>
      </c>
      <c r="K839" s="3">
        <v>0.31764642700000001</v>
      </c>
      <c r="L839" s="3">
        <v>0.44208890499999998</v>
      </c>
      <c r="M839" s="3">
        <v>0.69904304699999997</v>
      </c>
      <c r="N839" s="3">
        <v>0.55300489900000005</v>
      </c>
      <c r="O839" s="3">
        <v>0.11433939</v>
      </c>
      <c r="P839" s="3">
        <v>0.205477928</v>
      </c>
      <c r="Q839" s="3">
        <v>0.341811594</v>
      </c>
      <c r="R839" s="3">
        <v>0.35995805600000003</v>
      </c>
      <c r="S839" s="3">
        <v>0.54471782099999999</v>
      </c>
      <c r="T839" s="3">
        <v>1.8175251720000001</v>
      </c>
      <c r="U839" s="3">
        <v>0.60798031399999997</v>
      </c>
      <c r="V839" s="3">
        <v>0.28148744799999997</v>
      </c>
      <c r="W839" s="3">
        <v>0.90065994699999996</v>
      </c>
      <c r="X839" s="3">
        <v>5.9907740819999997</v>
      </c>
      <c r="Y839" s="3">
        <v>2.237003021</v>
      </c>
      <c r="Z839" s="3">
        <v>2.9894474049999999</v>
      </c>
      <c r="AA839" s="3">
        <v>0.44208890499999998</v>
      </c>
      <c r="AB839" s="3">
        <v>4.564422972</v>
      </c>
      <c r="AC839" s="3">
        <v>6.6515382409999999</v>
      </c>
      <c r="AD839" s="3">
        <v>0.60737003599999995</v>
      </c>
      <c r="AE839" s="3">
        <v>0.55020609200000004</v>
      </c>
      <c r="AF839" s="4">
        <v>41075</v>
      </c>
      <c r="AG839" s="5">
        <f>YEAR(AF839)</f>
        <v>2012</v>
      </c>
      <c r="AH839" s="5" t="str">
        <f>"Q"&amp;ROUNDUP(MONTH(AF839)/3,0)</f>
        <v>Q2</v>
      </c>
      <c r="AI839" s="5">
        <f>INDEX(RatingLookup!$B$2:$B$11,MATCH(A839,RatingLookup!$A$2:$A$11,0))</f>
        <v>5</v>
      </c>
      <c r="AJ839" s="5" t="str">
        <f>INDEX(RatingLookup!$C$2:$C$11,MATCH(A839,RatingLookup!$A$2:$A$11,0))</f>
        <v>Speculative Grade</v>
      </c>
    </row>
    <row r="840" spans="1:36" x14ac:dyDescent="0.3">
      <c r="A840" s="3" t="s">
        <v>109</v>
      </c>
      <c r="B840" s="3" t="s">
        <v>991</v>
      </c>
      <c r="C840" s="3" t="s">
        <v>992</v>
      </c>
      <c r="D840" s="3" t="s">
        <v>44</v>
      </c>
      <c r="E840" s="3" t="s">
        <v>463</v>
      </c>
      <c r="F840" s="3" t="s">
        <v>174</v>
      </c>
      <c r="G840" s="3">
        <v>1.1473092</v>
      </c>
      <c r="H840" s="3">
        <v>1.2125703919999999</v>
      </c>
      <c r="I840" s="3">
        <v>0.104369616</v>
      </c>
      <c r="J840" s="3">
        <v>176.73241630000001</v>
      </c>
      <c r="K840" s="3">
        <v>0.17841954700000001</v>
      </c>
      <c r="L840" s="3">
        <v>0.28570705200000002</v>
      </c>
      <c r="M840" s="3">
        <v>0.54745306900000001</v>
      </c>
      <c r="N840" s="3">
        <v>0.45011060000000003</v>
      </c>
      <c r="O840" s="3">
        <v>0.107831632</v>
      </c>
      <c r="P840" s="3">
        <v>0.46408524699999998</v>
      </c>
      <c r="Q840" s="3">
        <v>0.463440719</v>
      </c>
      <c r="R840" s="3">
        <v>0.60437117900000004</v>
      </c>
      <c r="S840" s="3">
        <v>1.1890611600000001</v>
      </c>
      <c r="T840" s="3">
        <v>3.0616715449999998</v>
      </c>
      <c r="U840" s="3">
        <v>0.71237814300000002</v>
      </c>
      <c r="V840" s="3">
        <v>0.375515775</v>
      </c>
      <c r="W840" s="3">
        <v>0.99029323400000002</v>
      </c>
      <c r="X840" s="3">
        <v>9.1306643259999998</v>
      </c>
      <c r="Y840" s="3">
        <v>2.6407928109999999</v>
      </c>
      <c r="Z840" s="3">
        <v>4.2978179120000002</v>
      </c>
      <c r="AA840" s="3">
        <v>0.52228901500000002</v>
      </c>
      <c r="AB840" s="3">
        <v>3.5600759150000001</v>
      </c>
      <c r="AC840" s="3">
        <v>9.2201622820000004</v>
      </c>
      <c r="AD840" s="3">
        <v>0.54986384399999999</v>
      </c>
      <c r="AE840" s="3">
        <v>1.394982232</v>
      </c>
      <c r="AF840" s="4">
        <v>41852</v>
      </c>
      <c r="AG840" s="5">
        <f>YEAR(AF840)</f>
        <v>2014</v>
      </c>
      <c r="AH840" s="5" t="str">
        <f>"Q"&amp;ROUNDUP(MONTH(AF840)/3,0)</f>
        <v>Q3</v>
      </c>
      <c r="AI840" s="5">
        <f>INDEX(RatingLookup!$B$2:$B$11,MATCH(A840,RatingLookup!$A$2:$A$11,0))</f>
        <v>5</v>
      </c>
      <c r="AJ840" s="5" t="str">
        <f>INDEX(RatingLookup!$C$2:$C$11,MATCH(A840,RatingLookup!$A$2:$A$11,0))</f>
        <v>Speculative Grade</v>
      </c>
    </row>
    <row r="841" spans="1:36" x14ac:dyDescent="0.3">
      <c r="A841" s="3" t="s">
        <v>109</v>
      </c>
      <c r="B841" s="3" t="s">
        <v>991</v>
      </c>
      <c r="C841" s="3" t="s">
        <v>992</v>
      </c>
      <c r="D841" s="3" t="s">
        <v>44</v>
      </c>
      <c r="E841" s="3" t="s">
        <v>993</v>
      </c>
      <c r="F841" s="3" t="s">
        <v>174</v>
      </c>
      <c r="G841" s="3">
        <v>0.98373725899999998</v>
      </c>
      <c r="H841" s="3">
        <v>1.099287844</v>
      </c>
      <c r="I841" s="3">
        <v>0.18403867900000001</v>
      </c>
      <c r="J841" s="3">
        <v>124.29496570000001</v>
      </c>
      <c r="K841" s="3">
        <v>0.24282434899999999</v>
      </c>
      <c r="L841" s="3">
        <v>0.37403039399999999</v>
      </c>
      <c r="M841" s="3">
        <v>0.54712502299999999</v>
      </c>
      <c r="N841" s="3">
        <v>0.45763278299999999</v>
      </c>
      <c r="O841" s="3">
        <v>0.13261372599999999</v>
      </c>
      <c r="P841" s="3">
        <v>0.34320566600000002</v>
      </c>
      <c r="Q841" s="3">
        <v>0.40303031</v>
      </c>
      <c r="R841" s="3">
        <v>0.54613026399999998</v>
      </c>
      <c r="S841" s="3">
        <v>0.87027001599999998</v>
      </c>
      <c r="T841" s="3">
        <v>1.8587056790000001</v>
      </c>
      <c r="U841" s="3">
        <v>0.61159143500000002</v>
      </c>
      <c r="V841" s="3">
        <v>0.35078979300000002</v>
      </c>
      <c r="W841" s="3">
        <v>0.99246649099999995</v>
      </c>
      <c r="X841" s="3">
        <v>6.0723951500000002</v>
      </c>
      <c r="Y841" s="3">
        <v>1.173142374</v>
      </c>
      <c r="Z841" s="3">
        <v>3.0391296749999999</v>
      </c>
      <c r="AA841" s="3">
        <v>0.48837642999999997</v>
      </c>
      <c r="AB841" s="3">
        <v>3.5610496010000001</v>
      </c>
      <c r="AC841" s="3">
        <v>6.1184888409999996</v>
      </c>
      <c r="AD841" s="3">
        <v>0.563601833</v>
      </c>
      <c r="AE841" s="3">
        <v>1.186156357</v>
      </c>
      <c r="AF841" s="4">
        <v>41243</v>
      </c>
      <c r="AG841" s="5">
        <f>YEAR(AF841)</f>
        <v>2012</v>
      </c>
      <c r="AH841" s="5" t="str">
        <f>"Q"&amp;ROUNDUP(MONTH(AF841)/3,0)</f>
        <v>Q4</v>
      </c>
      <c r="AI841" s="5">
        <f>INDEX(RatingLookup!$B$2:$B$11,MATCH(A841,RatingLookup!$A$2:$A$11,0))</f>
        <v>5</v>
      </c>
      <c r="AJ841" s="5" t="str">
        <f>INDEX(RatingLookup!$C$2:$C$11,MATCH(A841,RatingLookup!$A$2:$A$11,0))</f>
        <v>Speculative Grade</v>
      </c>
    </row>
    <row r="842" spans="1:36" x14ac:dyDescent="0.3">
      <c r="A842" s="3" t="s">
        <v>36</v>
      </c>
      <c r="B842" s="3" t="s">
        <v>994</v>
      </c>
      <c r="C842" s="3" t="s">
        <v>995</v>
      </c>
      <c r="D842" s="3" t="s">
        <v>60</v>
      </c>
      <c r="E842" s="3" t="s">
        <v>996</v>
      </c>
      <c r="F842" s="3" t="s">
        <v>79</v>
      </c>
      <c r="G842" s="3">
        <v>1.4848446740000001</v>
      </c>
      <c r="H842" s="3">
        <v>1.197560322</v>
      </c>
      <c r="I842" s="3">
        <v>0.214640055</v>
      </c>
      <c r="J842" s="3">
        <v>3.8869072249999999</v>
      </c>
      <c r="K842" s="3">
        <v>0.142111917</v>
      </c>
      <c r="L842" s="3">
        <v>0.185721524</v>
      </c>
      <c r="M842" s="3">
        <v>1</v>
      </c>
      <c r="N842" s="3">
        <v>0.28304103000000003</v>
      </c>
      <c r="O842" s="3">
        <v>4.1811915999999998E-2</v>
      </c>
      <c r="P842" s="3">
        <v>5.7433551999999999E-2</v>
      </c>
      <c r="Q842" s="3">
        <v>0.118466107</v>
      </c>
      <c r="R842" s="3">
        <v>0.29421822199999997</v>
      </c>
      <c r="S842" s="3">
        <v>0.35513359999999999</v>
      </c>
      <c r="T842" s="3">
        <v>1.833309716</v>
      </c>
      <c r="U842" s="3">
        <v>0.64705588199999997</v>
      </c>
      <c r="V842" s="3">
        <v>0.50843028099999998</v>
      </c>
      <c r="W842" s="3">
        <v>4.7539035E-2</v>
      </c>
      <c r="X842" s="3">
        <v>0.42039607899999998</v>
      </c>
      <c r="Y842" s="3">
        <v>4.0994933639999998</v>
      </c>
      <c r="Z842" s="3">
        <v>2.833309716</v>
      </c>
      <c r="AA842" s="3">
        <v>0.185721524</v>
      </c>
      <c r="AB842" s="3">
        <v>8.9944145209999995</v>
      </c>
      <c r="AC842" s="3">
        <v>8.8431765769999995</v>
      </c>
      <c r="AD842" s="3">
        <v>0.403690304</v>
      </c>
      <c r="AE842" s="3">
        <v>0</v>
      </c>
      <c r="AF842" s="4">
        <v>41780</v>
      </c>
      <c r="AG842" s="5">
        <f>YEAR(AF842)</f>
        <v>2014</v>
      </c>
      <c r="AH842" s="5" t="str">
        <f>"Q"&amp;ROUNDUP(MONTH(AF842)/3,0)</f>
        <v>Q2</v>
      </c>
      <c r="AI842" s="5">
        <f>INDEX(RatingLookup!$B$2:$B$11,MATCH(A842,RatingLookup!$A$2:$A$11,0))</f>
        <v>8</v>
      </c>
      <c r="AJ842" s="5" t="str">
        <f>INDEX(RatingLookup!$C$2:$C$11,MATCH(A842,RatingLookup!$A$2:$A$11,0))</f>
        <v>Investment Grade</v>
      </c>
    </row>
    <row r="843" spans="1:36" x14ac:dyDescent="0.3">
      <c r="A843" s="3" t="s">
        <v>42</v>
      </c>
      <c r="B843" s="3" t="s">
        <v>994</v>
      </c>
      <c r="C843" s="3" t="s">
        <v>995</v>
      </c>
      <c r="D843" s="3" t="s">
        <v>60</v>
      </c>
      <c r="E843" s="3" t="s">
        <v>504</v>
      </c>
      <c r="F843" s="3" t="s">
        <v>79</v>
      </c>
      <c r="G843" s="3">
        <v>1.149865513</v>
      </c>
      <c r="H843" s="3">
        <v>0.94571659100000005</v>
      </c>
      <c r="I843" s="3">
        <v>0.25461962599999999</v>
      </c>
      <c r="J843" s="3">
        <v>4.3002067679999998</v>
      </c>
      <c r="K843" s="3">
        <v>-0.21547174699999999</v>
      </c>
      <c r="L843" s="3">
        <v>-0.396705005</v>
      </c>
      <c r="M843" s="3">
        <v>1</v>
      </c>
      <c r="N843" s="3">
        <v>-0.34700919400000002</v>
      </c>
      <c r="O843" s="3">
        <v>-5.6612822E-2</v>
      </c>
      <c r="P843" s="3">
        <v>-0.11166290099999999</v>
      </c>
      <c r="Q843" s="3">
        <v>-0.18733065400000001</v>
      </c>
      <c r="R843" s="3">
        <v>0.262738955</v>
      </c>
      <c r="S843" s="3">
        <v>0.330260255</v>
      </c>
      <c r="T843" s="3">
        <v>2.3089792839999999</v>
      </c>
      <c r="U843" s="3">
        <v>0.69779200299999999</v>
      </c>
      <c r="V843" s="3">
        <v>0.45684641199999998</v>
      </c>
      <c r="W843" s="3">
        <v>-0.19283371199999999</v>
      </c>
      <c r="X843" s="3">
        <v>-1.9505081040000001</v>
      </c>
      <c r="Y843" s="3">
        <v>4.7539598610000002</v>
      </c>
      <c r="Z843" s="3">
        <v>3.3089792839999999</v>
      </c>
      <c r="AA843" s="3">
        <v>-0.396705005</v>
      </c>
      <c r="AB843" s="3">
        <v>-23.29362764</v>
      </c>
      <c r="AC843" s="3">
        <v>10.11497462</v>
      </c>
      <c r="AD843" s="3">
        <v>0.48473717900000002</v>
      </c>
      <c r="AE843" s="3">
        <v>0</v>
      </c>
      <c r="AF843" s="4">
        <v>42418</v>
      </c>
      <c r="AG843" s="5">
        <f>YEAR(AF843)</f>
        <v>2016</v>
      </c>
      <c r="AH843" s="5" t="str">
        <f>"Q"&amp;ROUNDUP(MONTH(AF843)/3,0)</f>
        <v>Q1</v>
      </c>
      <c r="AI843" s="5">
        <f>INDEX(RatingLookup!$B$2:$B$11,MATCH(A843,RatingLookup!$A$2:$A$11,0))</f>
        <v>7</v>
      </c>
      <c r="AJ843" s="5" t="str">
        <f>INDEX(RatingLookup!$C$2:$C$11,MATCH(A843,RatingLookup!$A$2:$A$11,0))</f>
        <v>Investment Grade</v>
      </c>
    </row>
    <row r="844" spans="1:36" x14ac:dyDescent="0.3">
      <c r="A844" s="3" t="s">
        <v>42</v>
      </c>
      <c r="B844" s="3" t="s">
        <v>994</v>
      </c>
      <c r="C844" s="3" t="s">
        <v>995</v>
      </c>
      <c r="D844" s="3" t="s">
        <v>60</v>
      </c>
      <c r="E844" s="3" t="s">
        <v>46</v>
      </c>
      <c r="F844" s="3" t="s">
        <v>79</v>
      </c>
      <c r="G844" s="3">
        <v>0.72890442600000005</v>
      </c>
      <c r="H844" s="3">
        <v>0.603547363</v>
      </c>
      <c r="I844" s="3">
        <v>0.15214767600000001</v>
      </c>
      <c r="J844" s="3">
        <v>3.5464982269999998</v>
      </c>
      <c r="K844" s="3">
        <v>0.145264166</v>
      </c>
      <c r="L844" s="3">
        <v>0.14373845499999999</v>
      </c>
      <c r="M844" s="3">
        <v>1</v>
      </c>
      <c r="N844" s="3">
        <v>0.248005163</v>
      </c>
      <c r="O844" s="3">
        <v>4.8895859E-2</v>
      </c>
      <c r="P844" s="3">
        <v>5.3759741999999999E-2</v>
      </c>
      <c r="Q844" s="3">
        <v>0.13658441199999999</v>
      </c>
      <c r="R844" s="3">
        <v>0.336599592</v>
      </c>
      <c r="S844" s="3">
        <v>0.444652251</v>
      </c>
      <c r="T844" s="3">
        <v>1.793373804</v>
      </c>
      <c r="U844" s="3">
        <v>0.64200995999999999</v>
      </c>
      <c r="V844" s="3">
        <v>0.64289681200000004</v>
      </c>
      <c r="W844" s="3">
        <v>-0.23671831400000001</v>
      </c>
      <c r="X844" s="3">
        <v>-1.943015377</v>
      </c>
      <c r="Y844" s="3">
        <v>3.6570999479999999</v>
      </c>
      <c r="Z844" s="3">
        <v>2.7933738039999998</v>
      </c>
      <c r="AA844" s="3">
        <v>0.14373845499999999</v>
      </c>
      <c r="AB844" s="3">
        <v>9.2004299619999994</v>
      </c>
      <c r="AC844" s="3">
        <v>8.2081328849999995</v>
      </c>
      <c r="AD844" s="3">
        <v>0.38074545100000001</v>
      </c>
      <c r="AE844" s="3">
        <v>0</v>
      </c>
      <c r="AF844" s="4">
        <v>41075</v>
      </c>
      <c r="AG844" s="5">
        <f>YEAR(AF844)</f>
        <v>2012</v>
      </c>
      <c r="AH844" s="5" t="str">
        <f>"Q"&amp;ROUNDUP(MONTH(AF844)/3,0)</f>
        <v>Q2</v>
      </c>
      <c r="AI844" s="5">
        <f>INDEX(RatingLookup!$B$2:$B$11,MATCH(A844,RatingLookup!$A$2:$A$11,0))</f>
        <v>7</v>
      </c>
      <c r="AJ844" s="5" t="str">
        <f>INDEX(RatingLookup!$C$2:$C$11,MATCH(A844,RatingLookup!$A$2:$A$11,0))</f>
        <v>Investment Grade</v>
      </c>
    </row>
    <row r="845" spans="1:36" x14ac:dyDescent="0.3">
      <c r="A845" s="3" t="s">
        <v>36</v>
      </c>
      <c r="B845" s="3" t="s">
        <v>994</v>
      </c>
      <c r="C845" s="3" t="s">
        <v>995</v>
      </c>
      <c r="D845" s="3" t="s">
        <v>39</v>
      </c>
      <c r="E845" s="3" t="s">
        <v>997</v>
      </c>
      <c r="F845" s="3" t="s">
        <v>79</v>
      </c>
      <c r="G845" s="3">
        <v>0.76916114899999999</v>
      </c>
      <c r="H845" s="3">
        <v>0.60085083699999997</v>
      </c>
      <c r="I845" s="3">
        <v>7.5189165000000002E-2</v>
      </c>
      <c r="J845" s="3">
        <v>4.4328613050000003</v>
      </c>
      <c r="K845" s="3">
        <v>0.14169499399999999</v>
      </c>
      <c r="L845" s="3">
        <v>0.231428421</v>
      </c>
      <c r="M845" s="3">
        <v>1</v>
      </c>
      <c r="N845" s="3">
        <v>0.26959354600000002</v>
      </c>
      <c r="O845" s="3">
        <v>4.4425949999999999E-2</v>
      </c>
      <c r="P845" s="3">
        <v>7.8256577999999993E-2</v>
      </c>
      <c r="Q845" s="3">
        <v>0.12420256</v>
      </c>
      <c r="R845" s="3">
        <v>0.31353224800000001</v>
      </c>
      <c r="S845" s="3">
        <v>0.367934445</v>
      </c>
      <c r="T845" s="3">
        <v>1.795720964</v>
      </c>
      <c r="U845" s="3">
        <v>0.642310512</v>
      </c>
      <c r="V845" s="3">
        <v>0.38773728200000002</v>
      </c>
      <c r="W845" s="3">
        <v>-5.5278810000000001E-3</v>
      </c>
      <c r="X845" s="3">
        <v>-5.9895159000000003E-2</v>
      </c>
      <c r="Y845" s="3">
        <v>3.2062437180000001</v>
      </c>
      <c r="Z845" s="3">
        <v>2.795720964</v>
      </c>
      <c r="AA845" s="3">
        <v>0.231428421</v>
      </c>
      <c r="AB845" s="3">
        <v>7.7734926399999997</v>
      </c>
      <c r="AC845" s="3">
        <v>10.8351021</v>
      </c>
      <c r="AD845" s="3">
        <v>0.43036211099999999</v>
      </c>
      <c r="AE845" s="3">
        <v>0</v>
      </c>
      <c r="AF845" s="4">
        <v>41988</v>
      </c>
      <c r="AG845" s="5">
        <f>YEAR(AF845)</f>
        <v>2014</v>
      </c>
      <c r="AH845" s="5" t="str">
        <f>"Q"&amp;ROUNDUP(MONTH(AF845)/3,0)</f>
        <v>Q4</v>
      </c>
      <c r="AI845" s="5">
        <f>INDEX(RatingLookup!$B$2:$B$11,MATCH(A845,RatingLookup!$A$2:$A$11,0))</f>
        <v>8</v>
      </c>
      <c r="AJ845" s="5" t="str">
        <f>INDEX(RatingLookup!$C$2:$C$11,MATCH(A845,RatingLookup!$A$2:$A$11,0))</f>
        <v>Investment Grade</v>
      </c>
    </row>
    <row r="846" spans="1:36" x14ac:dyDescent="0.3">
      <c r="A846" s="3" t="s">
        <v>42</v>
      </c>
      <c r="B846" s="3" t="s">
        <v>994</v>
      </c>
      <c r="C846" s="3" t="s">
        <v>995</v>
      </c>
      <c r="D846" s="3" t="s">
        <v>60</v>
      </c>
      <c r="E846" s="3" t="s">
        <v>74</v>
      </c>
      <c r="F846" s="3" t="s">
        <v>79</v>
      </c>
      <c r="G846" s="3">
        <v>0.48412003599999998</v>
      </c>
      <c r="H846" s="3">
        <v>0.36880291999999998</v>
      </c>
      <c r="I846" s="3">
        <v>0.10142427499999999</v>
      </c>
      <c r="J846" s="3">
        <v>4.4091137920000003</v>
      </c>
      <c r="K846" s="3">
        <v>0.13527774200000001</v>
      </c>
      <c r="L846" s="3">
        <v>0.10373156</v>
      </c>
      <c r="M846" s="3">
        <v>1</v>
      </c>
      <c r="N846" s="3">
        <v>0.27540841100000002</v>
      </c>
      <c r="O846" s="3">
        <v>3.7080325999999997E-2</v>
      </c>
      <c r="P846" s="3">
        <v>3.2448940000000003E-2</v>
      </c>
      <c r="Q846" s="3">
        <v>0.112278742</v>
      </c>
      <c r="R846" s="3">
        <v>0.27410515200000002</v>
      </c>
      <c r="S846" s="3">
        <v>0.34323219799999999</v>
      </c>
      <c r="T846" s="3">
        <v>2.027986909</v>
      </c>
      <c r="U846" s="3">
        <v>0.66974758099999998</v>
      </c>
      <c r="V846" s="3">
        <v>0.892140131</v>
      </c>
      <c r="W846" s="3">
        <v>-0.56901391800000001</v>
      </c>
      <c r="X846" s="3">
        <v>-4.523117429</v>
      </c>
      <c r="Y846" s="3">
        <v>3.0221642700000002</v>
      </c>
      <c r="Z846" s="3">
        <v>3.027986909</v>
      </c>
      <c r="AA846" s="3">
        <v>0.10373156</v>
      </c>
      <c r="AB846" s="3">
        <v>8.0130558349999994</v>
      </c>
      <c r="AC846" s="3">
        <v>7.9490453280000004</v>
      </c>
      <c r="AD846" s="3">
        <v>0.40617498899999999</v>
      </c>
      <c r="AE846" s="3">
        <v>0</v>
      </c>
      <c r="AF846" s="4">
        <v>41317</v>
      </c>
      <c r="AG846" s="5">
        <f>YEAR(AF846)</f>
        <v>2013</v>
      </c>
      <c r="AH846" s="5" t="str">
        <f>"Q"&amp;ROUNDUP(MONTH(AF846)/3,0)</f>
        <v>Q1</v>
      </c>
      <c r="AI846" s="5">
        <f>INDEX(RatingLookup!$B$2:$B$11,MATCH(A846,RatingLookup!$A$2:$A$11,0))</f>
        <v>7</v>
      </c>
      <c r="AJ846" s="5" t="str">
        <f>INDEX(RatingLookup!$C$2:$C$11,MATCH(A846,RatingLookup!$A$2:$A$11,0))</f>
        <v>Investment Grade</v>
      </c>
    </row>
    <row r="847" spans="1:36" x14ac:dyDescent="0.3">
      <c r="A847" s="3" t="s">
        <v>36</v>
      </c>
      <c r="B847" s="3" t="s">
        <v>998</v>
      </c>
      <c r="C847" s="3" t="s">
        <v>999</v>
      </c>
      <c r="D847" s="3" t="s">
        <v>39</v>
      </c>
      <c r="E847" s="3" t="s">
        <v>314</v>
      </c>
      <c r="F847" s="3" t="s">
        <v>79</v>
      </c>
      <c r="G847" s="3">
        <v>1.026158347</v>
      </c>
      <c r="H847" s="3">
        <v>0.51948638499999999</v>
      </c>
      <c r="I847" s="3">
        <v>5.7474127999999999E-2</v>
      </c>
      <c r="J847" s="3">
        <v>42.6145894</v>
      </c>
      <c r="K847" s="3">
        <v>0.130412845</v>
      </c>
      <c r="L847" s="3">
        <v>0.130456986</v>
      </c>
      <c r="M847" s="3">
        <v>1</v>
      </c>
      <c r="N847" s="3">
        <v>0.17152961999999999</v>
      </c>
      <c r="O847" s="3">
        <v>4.0752866999999998E-2</v>
      </c>
      <c r="P847" s="3">
        <v>4.4396405999999999E-2</v>
      </c>
      <c r="Q847" s="3">
        <v>0.12947381499999999</v>
      </c>
      <c r="R847" s="3">
        <v>0.31249120699999999</v>
      </c>
      <c r="S847" s="3">
        <v>0.297738697</v>
      </c>
      <c r="T847" s="3">
        <v>2.1770479800000002</v>
      </c>
      <c r="U847" s="3">
        <v>0.68524239899999995</v>
      </c>
      <c r="V847" s="3">
        <v>0.37604239299999997</v>
      </c>
      <c r="W847" s="3">
        <v>-0.21793854900000001</v>
      </c>
      <c r="X847" s="3">
        <v>-0.945093458</v>
      </c>
      <c r="Y847" s="3">
        <v>0.457830348</v>
      </c>
      <c r="Z847" s="3">
        <v>3.1770479800000002</v>
      </c>
      <c r="AA847" s="3">
        <v>0.130456986</v>
      </c>
      <c r="AB847" s="3">
        <v>9.5391236569999993</v>
      </c>
      <c r="AC847" s="3">
        <v>4.3365134989999996</v>
      </c>
      <c r="AD847" s="3">
        <v>0.18149863999999999</v>
      </c>
      <c r="AE847" s="3">
        <v>0</v>
      </c>
      <c r="AF847" s="4">
        <v>42158</v>
      </c>
      <c r="AG847" s="5">
        <f>YEAR(AF847)</f>
        <v>2015</v>
      </c>
      <c r="AH847" s="5" t="str">
        <f>"Q"&amp;ROUNDUP(MONTH(AF847)/3,0)</f>
        <v>Q2</v>
      </c>
      <c r="AI847" s="5">
        <f>INDEX(RatingLookup!$B$2:$B$11,MATCH(A847,RatingLookup!$A$2:$A$11,0))</f>
        <v>8</v>
      </c>
      <c r="AJ847" s="5" t="str">
        <f>INDEX(RatingLookup!$C$2:$C$11,MATCH(A847,RatingLookup!$A$2:$A$11,0))</f>
        <v>Investment Grade</v>
      </c>
    </row>
    <row r="848" spans="1:36" x14ac:dyDescent="0.3">
      <c r="A848" s="3" t="s">
        <v>36</v>
      </c>
      <c r="B848" s="3" t="s">
        <v>998</v>
      </c>
      <c r="C848" s="3" t="s">
        <v>999</v>
      </c>
      <c r="D848" s="3" t="s">
        <v>39</v>
      </c>
      <c r="E848" s="3" t="s">
        <v>1000</v>
      </c>
      <c r="F848" s="3" t="s">
        <v>79</v>
      </c>
      <c r="G848" s="3">
        <v>0.64474172100000005</v>
      </c>
      <c r="H848" s="3">
        <v>0.39112244000000002</v>
      </c>
      <c r="I848" s="3">
        <v>2.2086458E-2</v>
      </c>
      <c r="J848" s="3">
        <v>41.646514359999998</v>
      </c>
      <c r="K848" s="3">
        <v>8.2993663999999995E-2</v>
      </c>
      <c r="L848" s="3">
        <v>0.125014817</v>
      </c>
      <c r="M848" s="3">
        <v>1</v>
      </c>
      <c r="N848" s="3">
        <v>0.170540203</v>
      </c>
      <c r="O848" s="3">
        <v>2.5114289000000001E-2</v>
      </c>
      <c r="P848" s="3">
        <v>4.1881835999999999E-2</v>
      </c>
      <c r="Q848" s="3">
        <v>8.0630798000000004E-2</v>
      </c>
      <c r="R848" s="3">
        <v>0.30260489400000001</v>
      </c>
      <c r="S848" s="3">
        <v>0.27847164499999999</v>
      </c>
      <c r="T848" s="3">
        <v>2.2105546930000002</v>
      </c>
      <c r="U848" s="3">
        <v>0.68852734299999996</v>
      </c>
      <c r="V848" s="3">
        <v>0.36337336199999998</v>
      </c>
      <c r="W848" s="3">
        <v>-4.7345863000000002E-2</v>
      </c>
      <c r="X848" s="3">
        <v>-0.28546893299999998</v>
      </c>
      <c r="Y848" s="3">
        <v>0.260750229</v>
      </c>
      <c r="Z848" s="3">
        <v>3.2105546930000002</v>
      </c>
      <c r="AA848" s="3">
        <v>0.125014817</v>
      </c>
      <c r="AB848" s="3">
        <v>8.7573633090000005</v>
      </c>
      <c r="AC848" s="3">
        <v>6.0294377299999997</v>
      </c>
      <c r="AD848" s="3">
        <v>0.25299439099999999</v>
      </c>
      <c r="AE848" s="3">
        <v>0</v>
      </c>
      <c r="AF848" s="4">
        <v>42345</v>
      </c>
      <c r="AG848" s="5">
        <f>YEAR(AF848)</f>
        <v>2015</v>
      </c>
      <c r="AH848" s="5" t="str">
        <f>"Q"&amp;ROUNDUP(MONTH(AF848)/3,0)</f>
        <v>Q4</v>
      </c>
      <c r="AI848" s="5">
        <f>INDEX(RatingLookup!$B$2:$B$11,MATCH(A848,RatingLookup!$A$2:$A$11,0))</f>
        <v>8</v>
      </c>
      <c r="AJ848" s="5" t="str">
        <f>INDEX(RatingLookup!$C$2:$C$11,MATCH(A848,RatingLookup!$A$2:$A$11,0))</f>
        <v>Investment Grade</v>
      </c>
    </row>
    <row r="849" spans="1:36" x14ac:dyDescent="0.3">
      <c r="A849" s="3" t="s">
        <v>36</v>
      </c>
      <c r="B849" s="3" t="s">
        <v>998</v>
      </c>
      <c r="C849" s="3" t="s">
        <v>999</v>
      </c>
      <c r="D849" s="3" t="s">
        <v>39</v>
      </c>
      <c r="E849" s="3" t="s">
        <v>1001</v>
      </c>
      <c r="F849" s="3" t="s">
        <v>79</v>
      </c>
      <c r="G849" s="3">
        <v>0.87900822000000001</v>
      </c>
      <c r="H849" s="3">
        <v>0.59692007499999999</v>
      </c>
      <c r="I849" s="3">
        <v>0.132046567</v>
      </c>
      <c r="J849" s="3">
        <v>49.916555709999997</v>
      </c>
      <c r="K849" s="3">
        <v>6.8629383000000002E-2</v>
      </c>
      <c r="L849" s="3">
        <v>6.9925640999999997E-2</v>
      </c>
      <c r="M849" s="3">
        <v>1</v>
      </c>
      <c r="N849" s="3">
        <v>0.15099922499999999</v>
      </c>
      <c r="O849" s="3">
        <v>2.5465145000000002E-2</v>
      </c>
      <c r="P849" s="3">
        <v>3.0288368E-2</v>
      </c>
      <c r="Q849" s="3">
        <v>8.4259865000000003E-2</v>
      </c>
      <c r="R849" s="3">
        <v>0.37105308799999998</v>
      </c>
      <c r="S849" s="3">
        <v>0.36364467700000003</v>
      </c>
      <c r="T849" s="3">
        <v>2.3088312160000002</v>
      </c>
      <c r="U849" s="3">
        <v>0.69777847999999998</v>
      </c>
      <c r="V849" s="3">
        <v>0.55869229099999995</v>
      </c>
      <c r="W849" s="3">
        <v>-0.213582787</v>
      </c>
      <c r="X849" s="3">
        <v>-0.86400933999999996</v>
      </c>
      <c r="Y849" s="3">
        <v>2.533939293</v>
      </c>
      <c r="Z849" s="3">
        <v>3.3088312160000002</v>
      </c>
      <c r="AA849" s="3">
        <v>6.9925640999999997E-2</v>
      </c>
      <c r="AB849" s="3">
        <v>7.538305201</v>
      </c>
      <c r="AC849" s="3">
        <v>4.0453135419999997</v>
      </c>
      <c r="AD849" s="3">
        <v>0.149864844</v>
      </c>
      <c r="AE849" s="3">
        <v>0</v>
      </c>
      <c r="AF849" s="4">
        <v>41724</v>
      </c>
      <c r="AG849" s="5">
        <f>YEAR(AF849)</f>
        <v>2014</v>
      </c>
      <c r="AH849" s="5" t="str">
        <f>"Q"&amp;ROUNDUP(MONTH(AF849)/3,0)</f>
        <v>Q1</v>
      </c>
      <c r="AI849" s="5">
        <f>INDEX(RatingLookup!$B$2:$B$11,MATCH(A849,RatingLookup!$A$2:$A$11,0))</f>
        <v>8</v>
      </c>
      <c r="AJ849" s="5" t="str">
        <f>INDEX(RatingLookup!$C$2:$C$11,MATCH(A849,RatingLookup!$A$2:$A$11,0))</f>
        <v>Investment Grade</v>
      </c>
    </row>
    <row r="850" spans="1:36" x14ac:dyDescent="0.3">
      <c r="A850" s="3" t="s">
        <v>36</v>
      </c>
      <c r="B850" s="3" t="s">
        <v>998</v>
      </c>
      <c r="C850" s="3" t="s">
        <v>999</v>
      </c>
      <c r="D850" s="3" t="s">
        <v>60</v>
      </c>
      <c r="E850" s="3" t="s">
        <v>46</v>
      </c>
      <c r="F850" s="3" t="s">
        <v>79</v>
      </c>
      <c r="G850" s="3">
        <v>0.97988118099999999</v>
      </c>
      <c r="H850" s="3">
        <v>0.45181400999999999</v>
      </c>
      <c r="I850" s="3">
        <v>0.11904511299999999</v>
      </c>
      <c r="J850" s="3">
        <v>45.845719789999997</v>
      </c>
      <c r="K850" s="3">
        <v>6.1875068999999998E-2</v>
      </c>
      <c r="L850" s="3">
        <v>9.8884416000000003E-2</v>
      </c>
      <c r="M850" s="3">
        <v>1</v>
      </c>
      <c r="N850" s="3">
        <v>0.145465434</v>
      </c>
      <c r="O850" s="3">
        <v>2.3780582000000001E-2</v>
      </c>
      <c r="P850" s="3">
        <v>4.4648748000000002E-2</v>
      </c>
      <c r="Q850" s="3">
        <v>8.4514809999999996E-2</v>
      </c>
      <c r="R850" s="3">
        <v>0.38433220699999998</v>
      </c>
      <c r="S850" s="3">
        <v>0.40834385000000001</v>
      </c>
      <c r="T850" s="3">
        <v>2.5539420260000001</v>
      </c>
      <c r="U850" s="3">
        <v>0.71862230900000001</v>
      </c>
      <c r="V850" s="3">
        <v>0.35357211999999999</v>
      </c>
      <c r="W850" s="3">
        <v>0.11015530799999999</v>
      </c>
      <c r="X850" s="3">
        <v>0.512907797</v>
      </c>
      <c r="Y850" s="3">
        <v>1.3808750350000001</v>
      </c>
      <c r="Z850" s="3">
        <v>3.5539420260000001</v>
      </c>
      <c r="AA850" s="3">
        <v>9.8884416000000003E-2</v>
      </c>
      <c r="AB850" s="3">
        <v>6.7524217059999998</v>
      </c>
      <c r="AC850" s="3">
        <v>4.6562240810000004</v>
      </c>
      <c r="AD850" s="3">
        <v>0.166359012</v>
      </c>
      <c r="AE850" s="3">
        <v>0</v>
      </c>
      <c r="AF850" s="4">
        <v>41075</v>
      </c>
      <c r="AG850" s="5">
        <f>YEAR(AF850)</f>
        <v>2012</v>
      </c>
      <c r="AH850" s="5" t="str">
        <f>"Q"&amp;ROUNDUP(MONTH(AF850)/3,0)</f>
        <v>Q2</v>
      </c>
      <c r="AI850" s="5">
        <f>INDEX(RatingLookup!$B$2:$B$11,MATCH(A850,RatingLookup!$A$2:$A$11,0))</f>
        <v>8</v>
      </c>
      <c r="AJ850" s="5" t="str">
        <f>INDEX(RatingLookup!$C$2:$C$11,MATCH(A850,RatingLookup!$A$2:$A$11,0))</f>
        <v>Investment Grade</v>
      </c>
    </row>
    <row r="851" spans="1:36" x14ac:dyDescent="0.3">
      <c r="A851" s="3" t="s">
        <v>92</v>
      </c>
      <c r="B851" s="3" t="s">
        <v>1002</v>
      </c>
      <c r="C851" s="3" t="s">
        <v>1003</v>
      </c>
      <c r="D851" s="3" t="s">
        <v>47</v>
      </c>
      <c r="E851" s="3" t="s">
        <v>623</v>
      </c>
      <c r="F851" s="3" t="s">
        <v>219</v>
      </c>
      <c r="G851" s="3">
        <v>2.9562473709999999</v>
      </c>
      <c r="H851" s="3">
        <v>2.0185107279999999</v>
      </c>
      <c r="I851" s="3">
        <v>1.122423223</v>
      </c>
      <c r="J851" s="3">
        <v>60.619883039999998</v>
      </c>
      <c r="K851" s="3">
        <v>0.16990253399999999</v>
      </c>
      <c r="L851" s="3">
        <v>0.14370370399999999</v>
      </c>
      <c r="M851" s="3">
        <v>0.32857699800000001</v>
      </c>
      <c r="N851" s="3">
        <v>0.242495127</v>
      </c>
      <c r="O851" s="3">
        <v>0.133093086</v>
      </c>
      <c r="P851" s="3">
        <v>0.131689889</v>
      </c>
      <c r="Q851" s="3">
        <v>0.33338433299999998</v>
      </c>
      <c r="R851" s="3">
        <v>0.78334962100000005</v>
      </c>
      <c r="S851" s="3">
        <v>1.8297902699999999</v>
      </c>
      <c r="T851" s="3">
        <v>1.5048959609999999</v>
      </c>
      <c r="U851" s="3">
        <v>0.60078182300000005</v>
      </c>
      <c r="V851" s="3">
        <v>0.40097666799999998</v>
      </c>
      <c r="W851" s="3">
        <v>0.48456154800000001</v>
      </c>
      <c r="X851" s="3">
        <v>3.5074649099999999</v>
      </c>
      <c r="Y851" s="3">
        <v>7.9506511309999999</v>
      </c>
      <c r="Z851" s="3">
        <v>2.5048959609999999</v>
      </c>
      <c r="AA851" s="3">
        <v>0.14370370399999999</v>
      </c>
      <c r="AB851" s="3">
        <v>8.4379338799999992</v>
      </c>
      <c r="AC851" s="3">
        <v>7.2384301339999997</v>
      </c>
      <c r="AD851" s="3">
        <v>0.18939571199999999</v>
      </c>
      <c r="AE851" s="3">
        <v>0.183505155</v>
      </c>
      <c r="AF851" s="4">
        <v>42181</v>
      </c>
      <c r="AG851" s="5">
        <f>YEAR(AF851)</f>
        <v>2015</v>
      </c>
      <c r="AH851" s="5" t="str">
        <f>"Q"&amp;ROUNDUP(MONTH(AF851)/3,0)</f>
        <v>Q2</v>
      </c>
      <c r="AI851" s="5">
        <f>INDEX(RatingLookup!$B$2:$B$11,MATCH(A851,RatingLookup!$A$2:$A$11,0))</f>
        <v>6</v>
      </c>
      <c r="AJ851" s="5" t="str">
        <f>INDEX(RatingLookup!$C$2:$C$11,MATCH(A851,RatingLookup!$A$2:$A$11,0))</f>
        <v>Speculative Grade</v>
      </c>
    </row>
    <row r="852" spans="1:36" x14ac:dyDescent="0.3">
      <c r="A852" s="3" t="s">
        <v>92</v>
      </c>
      <c r="B852" s="3" t="s">
        <v>1002</v>
      </c>
      <c r="C852" s="3" t="s">
        <v>1003</v>
      </c>
      <c r="D852" s="3" t="s">
        <v>47</v>
      </c>
      <c r="E852" s="3" t="s">
        <v>99</v>
      </c>
      <c r="F852" s="3" t="s">
        <v>219</v>
      </c>
      <c r="G852" s="3">
        <v>1.922043011</v>
      </c>
      <c r="H852" s="3">
        <v>1.1327956990000001</v>
      </c>
      <c r="I852" s="3">
        <v>0.208064516</v>
      </c>
      <c r="J852" s="3">
        <v>102.6362039</v>
      </c>
      <c r="K852" s="3">
        <v>0.142970123</v>
      </c>
      <c r="L852" s="3">
        <v>0.17337434099999999</v>
      </c>
      <c r="M852" s="3">
        <v>0.26318101900000002</v>
      </c>
      <c r="N852" s="3">
        <v>0.153427065</v>
      </c>
      <c r="O852" s="3">
        <v>6.5963915999999997E-2</v>
      </c>
      <c r="P852" s="3">
        <v>9.4199092999999998E-2</v>
      </c>
      <c r="Q852" s="3">
        <v>0.226886069</v>
      </c>
      <c r="R852" s="3">
        <v>0.46138252600000002</v>
      </c>
      <c r="S852" s="3">
        <v>1.0418383229999999</v>
      </c>
      <c r="T852" s="3">
        <v>2.4395481800000001</v>
      </c>
      <c r="U852" s="3">
        <v>0.70926413899999996</v>
      </c>
      <c r="V852" s="3">
        <v>0.175367461</v>
      </c>
      <c r="W852" s="3">
        <v>-8.9061565999999995E-2</v>
      </c>
      <c r="X852" s="3">
        <v>-0.44114163899999997</v>
      </c>
      <c r="Y852" s="3">
        <v>3.0021316910000002</v>
      </c>
      <c r="Z852" s="3">
        <v>3.4395481800000001</v>
      </c>
      <c r="AA852" s="3">
        <v>0.17337434099999999</v>
      </c>
      <c r="AB852" s="3">
        <v>15.064104909999999</v>
      </c>
      <c r="AC852" s="3">
        <v>4.9532212219999998</v>
      </c>
      <c r="AD852" s="3">
        <v>0.14701230200000001</v>
      </c>
      <c r="AE852" s="3">
        <v>0.152</v>
      </c>
      <c r="AF852" s="4">
        <v>42642</v>
      </c>
      <c r="AG852" s="5">
        <f>YEAR(AF852)</f>
        <v>2016</v>
      </c>
      <c r="AH852" s="5" t="str">
        <f>"Q"&amp;ROUNDUP(MONTH(AF852)/3,0)</f>
        <v>Q3</v>
      </c>
      <c r="AI852" s="5">
        <f>INDEX(RatingLookup!$B$2:$B$11,MATCH(A852,RatingLookup!$A$2:$A$11,0))</f>
        <v>6</v>
      </c>
      <c r="AJ852" s="5" t="str">
        <f>INDEX(RatingLookup!$C$2:$C$11,MATCH(A852,RatingLookup!$A$2:$A$11,0))</f>
        <v>Speculative Grade</v>
      </c>
    </row>
    <row r="853" spans="1:36" x14ac:dyDescent="0.3">
      <c r="A853" s="3" t="s">
        <v>92</v>
      </c>
      <c r="B853" s="3" t="s">
        <v>1002</v>
      </c>
      <c r="C853" s="3" t="s">
        <v>1003</v>
      </c>
      <c r="D853" s="3" t="s">
        <v>47</v>
      </c>
      <c r="E853" s="3" t="s">
        <v>388</v>
      </c>
      <c r="F853" s="3" t="s">
        <v>219</v>
      </c>
      <c r="G853" s="3">
        <v>2.9994145200000002</v>
      </c>
      <c r="H853" s="3">
        <v>1.8817330210000001</v>
      </c>
      <c r="I853" s="3">
        <v>0.341920375</v>
      </c>
      <c r="J853" s="3">
        <v>48.834986800000003</v>
      </c>
      <c r="K853" s="3">
        <v>0.144898516</v>
      </c>
      <c r="L853" s="3">
        <v>0.19523072699999999</v>
      </c>
      <c r="M853" s="3">
        <v>0.300445982</v>
      </c>
      <c r="N853" s="3">
        <v>0.20151087600000001</v>
      </c>
      <c r="O853" s="3">
        <v>9.7734667999999997E-2</v>
      </c>
      <c r="P853" s="3">
        <v>0.147109252</v>
      </c>
      <c r="Q853" s="3">
        <v>0.24886665599999999</v>
      </c>
      <c r="R853" s="3">
        <v>0.67450426699999999</v>
      </c>
      <c r="S853" s="3">
        <v>1.3721743470000001</v>
      </c>
      <c r="T853" s="3">
        <v>1.546349851</v>
      </c>
      <c r="U853" s="3">
        <v>0.60728098699999999</v>
      </c>
      <c r="V853" s="3">
        <v>0.25780885799999997</v>
      </c>
      <c r="W853" s="3">
        <v>-0.57795503999999998</v>
      </c>
      <c r="X853" s="3">
        <v>-2.3666003500000001</v>
      </c>
      <c r="Y853" s="3">
        <v>5.1786085460000004</v>
      </c>
      <c r="Z853" s="3">
        <v>2.546349851</v>
      </c>
      <c r="AA853" s="3">
        <v>0.19523072699999999</v>
      </c>
      <c r="AB853" s="3">
        <v>10.599280329999999</v>
      </c>
      <c r="AC853" s="3">
        <v>4.0947827889999999</v>
      </c>
      <c r="AD853" s="3">
        <v>0.125511969</v>
      </c>
      <c r="AE853" s="3">
        <v>0.17499999999999999</v>
      </c>
      <c r="AF853" s="4">
        <v>42537</v>
      </c>
      <c r="AG853" s="5">
        <f>YEAR(AF853)</f>
        <v>2016</v>
      </c>
      <c r="AH853" s="5" t="str">
        <f>"Q"&amp;ROUNDUP(MONTH(AF853)/3,0)</f>
        <v>Q2</v>
      </c>
      <c r="AI853" s="5">
        <f>INDEX(RatingLookup!$B$2:$B$11,MATCH(A853,RatingLookup!$A$2:$A$11,0))</f>
        <v>6</v>
      </c>
      <c r="AJ853" s="5" t="str">
        <f>INDEX(RatingLookup!$C$2:$C$11,MATCH(A853,RatingLookup!$A$2:$A$11,0))</f>
        <v>Speculative Grade</v>
      </c>
    </row>
    <row r="854" spans="1:36" x14ac:dyDescent="0.3">
      <c r="A854" s="3" t="s">
        <v>92</v>
      </c>
      <c r="B854" s="3" t="s">
        <v>1002</v>
      </c>
      <c r="C854" s="3" t="s">
        <v>1003</v>
      </c>
      <c r="D854" s="3" t="s">
        <v>47</v>
      </c>
      <c r="E854" s="3" t="s">
        <v>699</v>
      </c>
      <c r="F854" s="3" t="s">
        <v>219</v>
      </c>
      <c r="G854" s="3">
        <v>2.2414596269999998</v>
      </c>
      <c r="H854" s="3">
        <v>1.438664596</v>
      </c>
      <c r="I854" s="3">
        <v>0.619565217</v>
      </c>
      <c r="J854" s="3">
        <v>68.179001420000006</v>
      </c>
      <c r="K854" s="3">
        <v>0.115793201</v>
      </c>
      <c r="L854" s="3">
        <v>9.9415721999999998E-2</v>
      </c>
      <c r="M854" s="3">
        <v>0.25318696899999998</v>
      </c>
      <c r="N854" s="3">
        <v>0.16430594900000001</v>
      </c>
      <c r="O854" s="3">
        <v>9.3109338999999999E-2</v>
      </c>
      <c r="P854" s="3">
        <v>9.7890515999999997E-2</v>
      </c>
      <c r="Q854" s="3">
        <v>0.23601587900000001</v>
      </c>
      <c r="R854" s="3">
        <v>0.80410022800000003</v>
      </c>
      <c r="S854" s="3">
        <v>1.6677986119999999</v>
      </c>
      <c r="T854" s="3">
        <v>1.5348249730000001</v>
      </c>
      <c r="U854" s="3">
        <v>0.60549544399999999</v>
      </c>
      <c r="V854" s="3">
        <v>0.38557435400000001</v>
      </c>
      <c r="W854" s="3">
        <v>0.48510281199999999</v>
      </c>
      <c r="X854" s="3">
        <v>3.4607669969999999</v>
      </c>
      <c r="Y854" s="3">
        <v>4.7780139510000001</v>
      </c>
      <c r="Z854" s="3">
        <v>2.5348249730000001</v>
      </c>
      <c r="AA854" s="3">
        <v>9.9415721999999998E-2</v>
      </c>
      <c r="AB854" s="3">
        <v>11.399196809999999</v>
      </c>
      <c r="AC854" s="3">
        <v>7.1340897520000004</v>
      </c>
      <c r="AD854" s="3">
        <v>0.21095963200000001</v>
      </c>
      <c r="AE854" s="3">
        <v>0.134862385</v>
      </c>
      <c r="AF854" s="4">
        <v>41802</v>
      </c>
      <c r="AG854" s="5">
        <f>YEAR(AF854)</f>
        <v>2014</v>
      </c>
      <c r="AH854" s="5" t="str">
        <f>"Q"&amp;ROUNDUP(MONTH(AF854)/3,0)</f>
        <v>Q2</v>
      </c>
      <c r="AI854" s="5">
        <f>INDEX(RatingLookup!$B$2:$B$11,MATCH(A854,RatingLookup!$A$2:$A$11,0))</f>
        <v>6</v>
      </c>
      <c r="AJ854" s="5" t="str">
        <f>INDEX(RatingLookup!$C$2:$C$11,MATCH(A854,RatingLookup!$A$2:$A$11,0))</f>
        <v>Speculative Grade</v>
      </c>
    </row>
    <row r="855" spans="1:36" x14ac:dyDescent="0.3">
      <c r="A855" s="3" t="s">
        <v>42</v>
      </c>
      <c r="B855" s="3" t="s">
        <v>1004</v>
      </c>
      <c r="C855" s="3" t="s">
        <v>1005</v>
      </c>
      <c r="D855" s="3" t="s">
        <v>47</v>
      </c>
      <c r="E855" s="3" t="s">
        <v>404</v>
      </c>
      <c r="F855" s="3" t="s">
        <v>66</v>
      </c>
      <c r="G855" s="3">
        <v>1.253897214</v>
      </c>
      <c r="H855" s="3">
        <v>0.76712259900000002</v>
      </c>
      <c r="I855" s="3">
        <v>0.13818767000000001</v>
      </c>
      <c r="J855" s="3">
        <v>77.168466960000003</v>
      </c>
      <c r="K855" s="3">
        <v>5.9164596E-2</v>
      </c>
      <c r="L855" s="3">
        <v>5.7051575E-2</v>
      </c>
      <c r="M855" s="3">
        <v>0.38957350800000001</v>
      </c>
      <c r="N855" s="3">
        <v>0.10166168</v>
      </c>
      <c r="O855" s="3">
        <v>4.8090134999999999E-2</v>
      </c>
      <c r="P855" s="3">
        <v>6.3806858999999994E-2</v>
      </c>
      <c r="Q855" s="3">
        <v>0.192001755</v>
      </c>
      <c r="R855" s="3">
        <v>0.81281945600000005</v>
      </c>
      <c r="S855" s="3">
        <v>9.8726635510000005</v>
      </c>
      <c r="T855" s="3">
        <v>2.9925393599999999</v>
      </c>
      <c r="U855" s="3">
        <v>0.74953283900000001</v>
      </c>
      <c r="V855" s="3">
        <v>0.23170370400000001</v>
      </c>
      <c r="W855" s="3">
        <v>0.62636974199999995</v>
      </c>
      <c r="X855" s="3">
        <v>1.3160044559999999</v>
      </c>
      <c r="Y855" s="3">
        <v>1.0204233199999999</v>
      </c>
      <c r="Z855" s="3">
        <v>3.9925393599999999</v>
      </c>
      <c r="AA855" s="3">
        <v>5.7051575E-2</v>
      </c>
      <c r="AB855" s="3">
        <v>16.639267790000002</v>
      </c>
      <c r="AC855" s="3">
        <v>2.1010025990000001</v>
      </c>
      <c r="AD855" s="3">
        <v>9.5643795000000004E-2</v>
      </c>
      <c r="AE855" s="3">
        <v>5.62126401</v>
      </c>
      <c r="AF855" s="4">
        <v>42482</v>
      </c>
      <c r="AG855" s="5">
        <f>YEAR(AF855)</f>
        <v>2016</v>
      </c>
      <c r="AH855" s="5" t="str">
        <f>"Q"&amp;ROUNDUP(MONTH(AF855)/3,0)</f>
        <v>Q2</v>
      </c>
      <c r="AI855" s="5">
        <f>INDEX(RatingLookup!$B$2:$B$11,MATCH(A855,RatingLookup!$A$2:$A$11,0))</f>
        <v>7</v>
      </c>
      <c r="AJ855" s="5" t="str">
        <f>INDEX(RatingLookup!$C$2:$C$11,MATCH(A855,RatingLookup!$A$2:$A$11,0))</f>
        <v>Investment Grade</v>
      </c>
    </row>
    <row r="856" spans="1:36" x14ac:dyDescent="0.3">
      <c r="A856" s="3" t="s">
        <v>36</v>
      </c>
      <c r="B856" s="3" t="s">
        <v>1004</v>
      </c>
      <c r="C856" s="3" t="s">
        <v>1005</v>
      </c>
      <c r="D856" s="3" t="s">
        <v>39</v>
      </c>
      <c r="E856" s="3" t="s">
        <v>1006</v>
      </c>
      <c r="F856" s="3" t="s">
        <v>66</v>
      </c>
      <c r="G856" s="3">
        <v>1.424493612</v>
      </c>
      <c r="H856" s="3">
        <v>0.82979121199999994</v>
      </c>
      <c r="I856" s="3">
        <v>0.14104082300000001</v>
      </c>
      <c r="J856" s="3">
        <v>70.858410190000001</v>
      </c>
      <c r="K856" s="3">
        <v>8.3372858999999994E-2</v>
      </c>
      <c r="L856" s="3">
        <v>0.104822134</v>
      </c>
      <c r="M856" s="3">
        <v>0.38264383000000002</v>
      </c>
      <c r="N856" s="3">
        <v>0.109090909</v>
      </c>
      <c r="O856" s="3">
        <v>7.8191673000000003E-2</v>
      </c>
      <c r="P856" s="3">
        <v>0.133633432</v>
      </c>
      <c r="Q856" s="3">
        <v>0.22910934099999999</v>
      </c>
      <c r="R856" s="3">
        <v>0.93785524799999997</v>
      </c>
      <c r="S856" s="3">
        <v>10.5494811</v>
      </c>
      <c r="T856" s="3">
        <v>1.930098962</v>
      </c>
      <c r="U856" s="3">
        <v>0.65871459899999996</v>
      </c>
      <c r="V856" s="3">
        <v>0.20462543999999999</v>
      </c>
      <c r="W856" s="3">
        <v>0.77164573700000005</v>
      </c>
      <c r="X856" s="3">
        <v>1.618156618</v>
      </c>
      <c r="Y856" s="3">
        <v>0.78413028399999996</v>
      </c>
      <c r="Z856" s="3">
        <v>2.9300989620000002</v>
      </c>
      <c r="AA856" s="3">
        <v>0.104822134</v>
      </c>
      <c r="AB856" s="3">
        <v>13.042725989999999</v>
      </c>
      <c r="AC856" s="3">
        <v>2.0970200970000001</v>
      </c>
      <c r="AD856" s="3">
        <v>0.106315327</v>
      </c>
      <c r="AE856" s="3">
        <v>6.2878869210000001</v>
      </c>
      <c r="AF856" s="4">
        <v>41484</v>
      </c>
      <c r="AG856" s="5">
        <f>YEAR(AF856)</f>
        <v>2013</v>
      </c>
      <c r="AH856" s="5" t="str">
        <f>"Q"&amp;ROUNDUP(MONTH(AF856)/3,0)</f>
        <v>Q3</v>
      </c>
      <c r="AI856" s="5">
        <f>INDEX(RatingLookup!$B$2:$B$11,MATCH(A856,RatingLookup!$A$2:$A$11,0))</f>
        <v>8</v>
      </c>
      <c r="AJ856" s="5" t="str">
        <f>INDEX(RatingLookup!$C$2:$C$11,MATCH(A856,RatingLookup!$A$2:$A$11,0))</f>
        <v>Investment Grade</v>
      </c>
    </row>
    <row r="857" spans="1:36" x14ac:dyDescent="0.3">
      <c r="A857" s="3" t="s">
        <v>36</v>
      </c>
      <c r="B857" s="3" t="s">
        <v>1004</v>
      </c>
      <c r="C857" s="3" t="s">
        <v>1005</v>
      </c>
      <c r="D857" s="3" t="s">
        <v>39</v>
      </c>
      <c r="E857" s="3" t="s">
        <v>1007</v>
      </c>
      <c r="F857" s="3" t="s">
        <v>66</v>
      </c>
      <c r="G857" s="3">
        <v>1.283439996</v>
      </c>
      <c r="H857" s="3">
        <v>0.765642355</v>
      </c>
      <c r="I857" s="3">
        <v>0.105463585</v>
      </c>
      <c r="J857" s="3">
        <v>79.551772310000004</v>
      </c>
      <c r="K857" s="3">
        <v>6.5968220999999994E-2</v>
      </c>
      <c r="L857" s="3">
        <v>8.0687968999999998E-2</v>
      </c>
      <c r="M857" s="3">
        <v>0.38473895600000002</v>
      </c>
      <c r="N857" s="3">
        <v>0.10558756800000001</v>
      </c>
      <c r="O857" s="3">
        <v>5.6547575000000003E-2</v>
      </c>
      <c r="P857" s="3">
        <v>9.6463760999999995E-2</v>
      </c>
      <c r="Q857" s="3">
        <v>0.20406179099999999</v>
      </c>
      <c r="R857" s="3">
        <v>0.85719417499999995</v>
      </c>
      <c r="S857" s="3">
        <v>10.243248080000001</v>
      </c>
      <c r="T857" s="3">
        <v>2.6086745169999999</v>
      </c>
      <c r="U857" s="3">
        <v>0.72288994299999998</v>
      </c>
      <c r="V857" s="3">
        <v>0.19281540799999999</v>
      </c>
      <c r="W857" s="3">
        <v>0.74467749599999999</v>
      </c>
      <c r="X857" s="3">
        <v>1.7102499090000001</v>
      </c>
      <c r="Y857" s="3">
        <v>0.72220210100000004</v>
      </c>
      <c r="Z857" s="3">
        <v>3.6086745169999999</v>
      </c>
      <c r="AA857" s="3">
        <v>8.0687968999999998E-2</v>
      </c>
      <c r="AB857" s="3">
        <v>15.86699132</v>
      </c>
      <c r="AC857" s="3">
        <v>2.2966316550000001</v>
      </c>
      <c r="AD857" s="3">
        <v>0.11072114500000001</v>
      </c>
      <c r="AE857" s="3">
        <v>5.2271176380000002</v>
      </c>
      <c r="AF857" s="4">
        <v>41827</v>
      </c>
      <c r="AG857" s="5">
        <f>YEAR(AF857)</f>
        <v>2014</v>
      </c>
      <c r="AH857" s="5" t="str">
        <f>"Q"&amp;ROUNDUP(MONTH(AF857)/3,0)</f>
        <v>Q3</v>
      </c>
      <c r="AI857" s="5">
        <f>INDEX(RatingLookup!$B$2:$B$11,MATCH(A857,RatingLookup!$A$2:$A$11,0))</f>
        <v>8</v>
      </c>
      <c r="AJ857" s="5" t="str">
        <f>INDEX(RatingLookup!$C$2:$C$11,MATCH(A857,RatingLookup!$A$2:$A$11,0))</f>
        <v>Investment Grade</v>
      </c>
    </row>
    <row r="858" spans="1:36" x14ac:dyDescent="0.3">
      <c r="A858" s="3" t="s">
        <v>92</v>
      </c>
      <c r="B858" s="3" t="s">
        <v>1004</v>
      </c>
      <c r="C858" s="3" t="s">
        <v>1005</v>
      </c>
      <c r="D858" s="3" t="s">
        <v>60</v>
      </c>
      <c r="E858" s="3" t="s">
        <v>46</v>
      </c>
      <c r="F858" s="3" t="s">
        <v>66</v>
      </c>
      <c r="G858" s="3">
        <v>1.2932747309999999</v>
      </c>
      <c r="H858" s="3">
        <v>0.70576193600000003</v>
      </c>
      <c r="I858" s="3">
        <v>0.10247456200000001</v>
      </c>
      <c r="J858" s="3">
        <v>62.362309449999998</v>
      </c>
      <c r="K858" s="3">
        <v>2.1348430000000002E-2</v>
      </c>
      <c r="L858" s="3">
        <v>2.6003478E-2</v>
      </c>
      <c r="M858" s="3">
        <v>0.376018825</v>
      </c>
      <c r="N858" s="3">
        <v>4.3856357999999998E-2</v>
      </c>
      <c r="O858" s="3">
        <v>2.0321705999999998E-2</v>
      </c>
      <c r="P858" s="3">
        <v>3.3888888999999998E-2</v>
      </c>
      <c r="Q858" s="3">
        <v>6.7708615E-2</v>
      </c>
      <c r="R858" s="3">
        <v>0.95190637700000003</v>
      </c>
      <c r="S858" s="3">
        <v>10.63583605</v>
      </c>
      <c r="T858" s="3">
        <v>2.3318371099999999</v>
      </c>
      <c r="U858" s="3">
        <v>0.69986527899999995</v>
      </c>
      <c r="V858" s="3">
        <v>0.117377049</v>
      </c>
      <c r="W858" s="3">
        <v>0.60288615700000003</v>
      </c>
      <c r="X858" s="3">
        <v>1.152588556</v>
      </c>
      <c r="Y858" s="3">
        <v>0.57970027199999996</v>
      </c>
      <c r="Z858" s="3">
        <v>3.3318371099999999</v>
      </c>
      <c r="AA858" s="3">
        <v>2.6003478E-2</v>
      </c>
      <c r="AB858" s="3">
        <v>17.583476600000001</v>
      </c>
      <c r="AC858" s="3">
        <v>1.911784741</v>
      </c>
      <c r="AD858" s="3">
        <v>9.5709851999999998E-2</v>
      </c>
      <c r="AE858" s="3">
        <v>7.8108858059999999</v>
      </c>
      <c r="AF858" s="4">
        <v>41075</v>
      </c>
      <c r="AG858" s="5">
        <f>YEAR(AF858)</f>
        <v>2012</v>
      </c>
      <c r="AH858" s="5" t="str">
        <f>"Q"&amp;ROUNDUP(MONTH(AF858)/3,0)</f>
        <v>Q2</v>
      </c>
      <c r="AI858" s="5">
        <f>INDEX(RatingLookup!$B$2:$B$11,MATCH(A858,RatingLookup!$A$2:$A$11,0))</f>
        <v>6</v>
      </c>
      <c r="AJ858" s="5" t="str">
        <f>INDEX(RatingLookup!$C$2:$C$11,MATCH(A858,RatingLookup!$A$2:$A$11,0))</f>
        <v>Speculative Grade</v>
      </c>
    </row>
    <row r="859" spans="1:36" x14ac:dyDescent="0.3">
      <c r="A859" s="3" t="s">
        <v>42</v>
      </c>
      <c r="B859" s="3" t="s">
        <v>1004</v>
      </c>
      <c r="C859" s="3" t="s">
        <v>1005</v>
      </c>
      <c r="D859" s="3" t="s">
        <v>44</v>
      </c>
      <c r="E859" s="3" t="s">
        <v>1008</v>
      </c>
      <c r="F859" s="3" t="s">
        <v>66</v>
      </c>
      <c r="G859" s="3">
        <v>1.743825722</v>
      </c>
      <c r="H859" s="3">
        <v>0.77688723199999998</v>
      </c>
      <c r="I859" s="3">
        <v>0.13688257200000001</v>
      </c>
      <c r="J859" s="3">
        <v>75.589452649999998</v>
      </c>
      <c r="K859" s="3">
        <v>3.9791918000000003E-2</v>
      </c>
      <c r="L859" s="3">
        <v>6.1406814999999997E-2</v>
      </c>
      <c r="M859" s="3">
        <v>0.33163449900000003</v>
      </c>
      <c r="N859" s="3">
        <v>8.2938782000000003E-2</v>
      </c>
      <c r="O859" s="3">
        <v>1.5598079000000001E-2</v>
      </c>
      <c r="P859" s="3">
        <v>2.7567649999999999E-2</v>
      </c>
      <c r="Q859" s="3">
        <v>4.6507119999999999E-2</v>
      </c>
      <c r="R859" s="3">
        <v>0.39199113400000002</v>
      </c>
      <c r="S859" s="3">
        <v>8.5940132180000006</v>
      </c>
      <c r="T859" s="3">
        <v>1.9815927680000001</v>
      </c>
      <c r="U859" s="3">
        <v>0.664608792</v>
      </c>
      <c r="V859" s="3">
        <v>0.35113566600000001</v>
      </c>
      <c r="W859" s="3">
        <v>0.75859994500000005</v>
      </c>
      <c r="X859" s="3">
        <v>3.2924281980000001</v>
      </c>
      <c r="Y859" s="3">
        <v>1.3944932350000001</v>
      </c>
      <c r="Z859" s="3">
        <v>2.9815927680000001</v>
      </c>
      <c r="AA859" s="3">
        <v>6.1406814999999997E-2</v>
      </c>
      <c r="AB859" s="3">
        <v>20.037119629999999</v>
      </c>
      <c r="AC859" s="3">
        <v>4.3401376689999998</v>
      </c>
      <c r="AD859" s="3">
        <v>0.13785434299999999</v>
      </c>
      <c r="AE859" s="3">
        <v>5.8365922709999998</v>
      </c>
      <c r="AF859" s="4">
        <v>42670</v>
      </c>
      <c r="AG859" s="5">
        <f>YEAR(AF859)</f>
        <v>2016</v>
      </c>
      <c r="AH859" s="5" t="str">
        <f>"Q"&amp;ROUNDUP(MONTH(AF859)/3,0)</f>
        <v>Q4</v>
      </c>
      <c r="AI859" s="5">
        <f>INDEX(RatingLookup!$B$2:$B$11,MATCH(A859,RatingLookup!$A$2:$A$11,0))</f>
        <v>7</v>
      </c>
      <c r="AJ859" s="5" t="str">
        <f>INDEX(RatingLookup!$C$2:$C$11,MATCH(A859,RatingLookup!$A$2:$A$11,0))</f>
        <v>Investment Grade</v>
      </c>
    </row>
    <row r="860" spans="1:36" x14ac:dyDescent="0.3">
      <c r="A860" s="3" t="s">
        <v>36</v>
      </c>
      <c r="B860" s="3" t="s">
        <v>1009</v>
      </c>
      <c r="C860" s="3" t="s">
        <v>1010</v>
      </c>
      <c r="D860" s="3" t="s">
        <v>60</v>
      </c>
      <c r="E860" s="3" t="s">
        <v>46</v>
      </c>
      <c r="F860" s="3" t="s">
        <v>66</v>
      </c>
      <c r="G860" s="3">
        <v>1.8970663919999999</v>
      </c>
      <c r="H860" s="3">
        <v>1.1312403499999999</v>
      </c>
      <c r="I860" s="3">
        <v>0.64487905300000004</v>
      </c>
      <c r="J860" s="3">
        <v>39.151532349999997</v>
      </c>
      <c r="K860" s="3">
        <v>7.9909194000000003E-2</v>
      </c>
      <c r="L860" s="3">
        <v>0.116345062</v>
      </c>
      <c r="M860" s="3">
        <v>0.78013620900000002</v>
      </c>
      <c r="N860" s="3">
        <v>0.12360953500000001</v>
      </c>
      <c r="O860" s="3">
        <v>0.112227005</v>
      </c>
      <c r="P860" s="3">
        <v>0.236720554</v>
      </c>
      <c r="Q860" s="3">
        <v>0.26778242699999999</v>
      </c>
      <c r="R860" s="3">
        <v>1.4044316910000001</v>
      </c>
      <c r="S860" s="3">
        <v>7.7077865269999997</v>
      </c>
      <c r="T860" s="3">
        <v>2.3860783570000001</v>
      </c>
      <c r="U860" s="3">
        <v>1</v>
      </c>
      <c r="V860" s="3">
        <v>0.31317073200000001</v>
      </c>
      <c r="W860" s="3">
        <v>1</v>
      </c>
      <c r="X860" s="3">
        <v>5.2131979700000004</v>
      </c>
      <c r="Y860" s="3">
        <v>6.3604060909999998</v>
      </c>
      <c r="Z860" s="3">
        <v>2.3860783570000001</v>
      </c>
      <c r="AA860" s="3">
        <v>0.116345062</v>
      </c>
      <c r="AB860" s="3">
        <v>7.3475198839999996</v>
      </c>
      <c r="AC860" s="3">
        <v>5.2131979700000004</v>
      </c>
      <c r="AD860" s="3">
        <v>0.116572077</v>
      </c>
      <c r="AE860" s="3">
        <v>4.3408071750000001</v>
      </c>
      <c r="AF860" s="4">
        <v>41075</v>
      </c>
      <c r="AG860" s="5">
        <f>YEAR(AF860)</f>
        <v>2012</v>
      </c>
      <c r="AH860" s="5" t="str">
        <f>"Q"&amp;ROUNDUP(MONTH(AF860)/3,0)</f>
        <v>Q2</v>
      </c>
      <c r="AI860" s="5">
        <f>INDEX(RatingLookup!$B$2:$B$11,MATCH(A860,RatingLookup!$A$2:$A$11,0))</f>
        <v>8</v>
      </c>
      <c r="AJ860" s="5" t="str">
        <f>INDEX(RatingLookup!$C$2:$C$11,MATCH(A860,RatingLookup!$A$2:$A$11,0))</f>
        <v>Investment Grade</v>
      </c>
    </row>
    <row r="861" spans="1:36" x14ac:dyDescent="0.3">
      <c r="A861" s="3" t="s">
        <v>36</v>
      </c>
      <c r="B861" s="3" t="s">
        <v>1009</v>
      </c>
      <c r="C861" s="3" t="s">
        <v>1010</v>
      </c>
      <c r="D861" s="3" t="s">
        <v>60</v>
      </c>
      <c r="E861" s="3" t="s">
        <v>1011</v>
      </c>
      <c r="F861" s="3" t="s">
        <v>66</v>
      </c>
      <c r="G861" s="3">
        <v>1.814117647</v>
      </c>
      <c r="H861" s="3">
        <v>1.132705882</v>
      </c>
      <c r="I861" s="3">
        <v>0.63388235299999995</v>
      </c>
      <c r="J861" s="3">
        <v>39.833213219999998</v>
      </c>
      <c r="K861" s="3">
        <v>8.8644084999999997E-2</v>
      </c>
      <c r="L861" s="3">
        <v>0.12982600599999999</v>
      </c>
      <c r="M861" s="3">
        <v>0.79450221399999998</v>
      </c>
      <c r="N861" s="3">
        <v>0.13497374700000001</v>
      </c>
      <c r="O861" s="3">
        <v>0.13059305299999999</v>
      </c>
      <c r="P861" s="3">
        <v>0.28222918499999999</v>
      </c>
      <c r="Q861" s="3">
        <v>0.31503841900000001</v>
      </c>
      <c r="R861" s="3">
        <v>1.4732291820000001</v>
      </c>
      <c r="S861" s="3">
        <v>7.8903330629999999</v>
      </c>
      <c r="T861" s="3">
        <v>2.4123673619999999</v>
      </c>
      <c r="U861" s="3">
        <v>1</v>
      </c>
      <c r="V861" s="3">
        <v>0.317208565</v>
      </c>
      <c r="W861" s="3">
        <v>1</v>
      </c>
      <c r="X861" s="3">
        <v>2.902061856</v>
      </c>
      <c r="Y861" s="3">
        <v>3.4716494849999999</v>
      </c>
      <c r="Z861" s="3">
        <v>2.4123673619999999</v>
      </c>
      <c r="AA861" s="3">
        <v>0.12982600599999999</v>
      </c>
      <c r="AB861" s="3">
        <v>12.83190535</v>
      </c>
      <c r="AC861" s="3">
        <v>2.902061856</v>
      </c>
      <c r="AD861" s="3">
        <v>0.115927108</v>
      </c>
      <c r="AE861" s="3">
        <v>4.0466531440000004</v>
      </c>
      <c r="AF861" s="4">
        <v>41122</v>
      </c>
      <c r="AG861" s="5">
        <f>YEAR(AF861)</f>
        <v>2012</v>
      </c>
      <c r="AH861" s="5" t="str">
        <f>"Q"&amp;ROUNDUP(MONTH(AF861)/3,0)</f>
        <v>Q3</v>
      </c>
      <c r="AI861" s="5">
        <f>INDEX(RatingLookup!$B$2:$B$11,MATCH(A861,RatingLookup!$A$2:$A$11,0))</f>
        <v>8</v>
      </c>
      <c r="AJ861" s="5" t="str">
        <f>INDEX(RatingLookup!$C$2:$C$11,MATCH(A861,RatingLookup!$A$2:$A$11,0))</f>
        <v>Investment Grade</v>
      </c>
    </row>
    <row r="862" spans="1:36" x14ac:dyDescent="0.3">
      <c r="A862" s="3" t="s">
        <v>36</v>
      </c>
      <c r="B862" s="3" t="s">
        <v>1009</v>
      </c>
      <c r="C862" s="3" t="s">
        <v>1010</v>
      </c>
      <c r="D862" s="3" t="s">
        <v>60</v>
      </c>
      <c r="E862" s="3" t="s">
        <v>1012</v>
      </c>
      <c r="F862" s="3" t="s">
        <v>66</v>
      </c>
      <c r="G862" s="3">
        <v>2.0923862149999999</v>
      </c>
      <c r="H862" s="3">
        <v>1.2640944000000001</v>
      </c>
      <c r="I862" s="3">
        <v>0.47827308499999999</v>
      </c>
      <c r="J862" s="3">
        <v>39.765917780000002</v>
      </c>
      <c r="K862" s="3">
        <v>0.10100738400000001</v>
      </c>
      <c r="L862" s="3">
        <v>0.14476271800000001</v>
      </c>
      <c r="M862" s="3">
        <v>0.80514637700000002</v>
      </c>
      <c r="N862" s="3">
        <v>0.149001892</v>
      </c>
      <c r="O862" s="3">
        <v>0.132160889</v>
      </c>
      <c r="P862" s="3">
        <v>0.25568516899999999</v>
      </c>
      <c r="Q862" s="3">
        <v>0.298885595</v>
      </c>
      <c r="R862" s="3">
        <v>1.308428003</v>
      </c>
      <c r="S862" s="3">
        <v>7.2341967519999999</v>
      </c>
      <c r="T862" s="3">
        <v>1.2615283269999999</v>
      </c>
      <c r="U862" s="3">
        <v>0.55782114800000004</v>
      </c>
      <c r="V862" s="3">
        <v>0.29937203600000001</v>
      </c>
      <c r="W862" s="3">
        <v>0.75659959899999996</v>
      </c>
      <c r="X862" s="3">
        <v>3.8763511730000002</v>
      </c>
      <c r="Y862" s="3">
        <v>4.020827841</v>
      </c>
      <c r="Z862" s="3">
        <v>2.2615283270000002</v>
      </c>
      <c r="AA862" s="3">
        <v>0.14476271800000001</v>
      </c>
      <c r="AB862" s="3">
        <v>17.153517069999999</v>
      </c>
      <c r="AC862" s="3">
        <v>5.1233851829999999</v>
      </c>
      <c r="AD862" s="3">
        <v>0.180262328</v>
      </c>
      <c r="AE862" s="3">
        <v>3.3059490079999998</v>
      </c>
      <c r="AF862" s="4">
        <v>42495</v>
      </c>
      <c r="AG862" s="5">
        <f>YEAR(AF862)</f>
        <v>2016</v>
      </c>
      <c r="AH862" s="5" t="str">
        <f>"Q"&amp;ROUNDUP(MONTH(AF862)/3,0)</f>
        <v>Q2</v>
      </c>
      <c r="AI862" s="5">
        <f>INDEX(RatingLookup!$B$2:$B$11,MATCH(A862,RatingLookup!$A$2:$A$11,0))</f>
        <v>8</v>
      </c>
      <c r="AJ862" s="5" t="str">
        <f>INDEX(RatingLookup!$C$2:$C$11,MATCH(A862,RatingLookup!$A$2:$A$11,0))</f>
        <v>Investment Grade</v>
      </c>
    </row>
    <row r="863" spans="1:36" x14ac:dyDescent="0.3">
      <c r="A863" s="3" t="s">
        <v>36</v>
      </c>
      <c r="B863" s="3" t="s">
        <v>1009</v>
      </c>
      <c r="C863" s="3" t="s">
        <v>1010</v>
      </c>
      <c r="D863" s="3" t="s">
        <v>60</v>
      </c>
      <c r="E863" s="3" t="s">
        <v>65</v>
      </c>
      <c r="F863" s="3" t="s">
        <v>66</v>
      </c>
      <c r="G863" s="3">
        <v>2.346789883</v>
      </c>
      <c r="H863" s="3">
        <v>1.4630350190000001</v>
      </c>
      <c r="I863" s="3">
        <v>0.79231517500000004</v>
      </c>
      <c r="J863" s="3">
        <v>45.891229029999998</v>
      </c>
      <c r="K863" s="3">
        <v>0.110229759</v>
      </c>
      <c r="L863" s="3">
        <v>0.161925602</v>
      </c>
      <c r="M863" s="3">
        <v>0.80324580599999995</v>
      </c>
      <c r="N863" s="3">
        <v>0.16657549199999999</v>
      </c>
      <c r="O863" s="3">
        <v>0.153660397</v>
      </c>
      <c r="P863" s="3">
        <v>0.30557467300000002</v>
      </c>
      <c r="Q863" s="3">
        <v>0.31370005200000001</v>
      </c>
      <c r="R863" s="3">
        <v>1.3940010169999999</v>
      </c>
      <c r="S863" s="3">
        <v>7.3022636480000003</v>
      </c>
      <c r="T863" s="3">
        <v>2.0415153089999998</v>
      </c>
      <c r="U863" s="3">
        <v>1</v>
      </c>
      <c r="V863" s="3">
        <v>0.319256757</v>
      </c>
      <c r="W863" s="3">
        <v>1</v>
      </c>
      <c r="X863" s="3">
        <v>3.9766839379999999</v>
      </c>
      <c r="Y863" s="3">
        <v>4.220207254</v>
      </c>
      <c r="Z863" s="3">
        <v>2.0415153089999998</v>
      </c>
      <c r="AA863" s="3">
        <v>0.161925602</v>
      </c>
      <c r="AB863" s="3">
        <v>12.82823157</v>
      </c>
      <c r="AC863" s="3">
        <v>3.9766839379999999</v>
      </c>
      <c r="AD863" s="3">
        <v>0.13995258899999999</v>
      </c>
      <c r="AE863" s="3">
        <v>4.1183206109999997</v>
      </c>
      <c r="AF863" s="4">
        <v>42156</v>
      </c>
      <c r="AG863" s="5">
        <f>YEAR(AF863)</f>
        <v>2015</v>
      </c>
      <c r="AH863" s="5" t="str">
        <f>"Q"&amp;ROUNDUP(MONTH(AF863)/3,0)</f>
        <v>Q2</v>
      </c>
      <c r="AI863" s="5">
        <f>INDEX(RatingLookup!$B$2:$B$11,MATCH(A863,RatingLookup!$A$2:$A$11,0))</f>
        <v>8</v>
      </c>
      <c r="AJ863" s="5" t="str">
        <f>INDEX(RatingLookup!$C$2:$C$11,MATCH(A863,RatingLookup!$A$2:$A$11,0))</f>
        <v>Investment Grade</v>
      </c>
    </row>
    <row r="864" spans="1:36" x14ac:dyDescent="0.3">
      <c r="A864" s="3" t="s">
        <v>36</v>
      </c>
      <c r="B864" s="3" t="s">
        <v>1013</v>
      </c>
      <c r="C864" s="3" t="s">
        <v>1014</v>
      </c>
      <c r="D864" s="3" t="s">
        <v>60</v>
      </c>
      <c r="E864" s="3" t="s">
        <v>818</v>
      </c>
      <c r="F864" s="3" t="s">
        <v>246</v>
      </c>
      <c r="G864" s="3">
        <v>0.791433147</v>
      </c>
      <c r="H864" s="3">
        <v>0.59127301799999998</v>
      </c>
      <c r="I864" s="3">
        <v>0.26501201000000002</v>
      </c>
      <c r="J864" s="3">
        <v>28.130023640000001</v>
      </c>
      <c r="K864" s="3">
        <v>0.24699763599999999</v>
      </c>
      <c r="L864" s="3">
        <v>0.33938534300000001</v>
      </c>
      <c r="M864" s="3">
        <v>0.486808511</v>
      </c>
      <c r="N864" s="3">
        <v>0.366241135</v>
      </c>
      <c r="O864" s="3">
        <v>8.6596161000000005E-2</v>
      </c>
      <c r="P864" s="3">
        <v>0.14263509799999999</v>
      </c>
      <c r="Q864" s="3">
        <v>0.20165212699999999</v>
      </c>
      <c r="R864" s="3">
        <v>0.35059509999999999</v>
      </c>
      <c r="S864" s="3">
        <v>0.40321043200000001</v>
      </c>
      <c r="T864" s="3">
        <v>1.3286497340000001</v>
      </c>
      <c r="U864" s="3">
        <v>0.57056658800000004</v>
      </c>
      <c r="V864" s="3">
        <v>0.272220674</v>
      </c>
      <c r="W864" s="3">
        <v>0.45856820700000001</v>
      </c>
      <c r="X864" s="3">
        <v>1.899054641</v>
      </c>
      <c r="Y864" s="3">
        <v>0.77269463599999999</v>
      </c>
      <c r="Z864" s="3">
        <v>2.3286497339999999</v>
      </c>
      <c r="AA864" s="3">
        <v>0.37314420799999998</v>
      </c>
      <c r="AB864" s="3">
        <v>11.50466692</v>
      </c>
      <c r="AC864" s="3">
        <v>4.1412697390000002</v>
      </c>
      <c r="AD864" s="3">
        <v>0.335508274</v>
      </c>
      <c r="AE864" s="3">
        <v>3.6743398780000001</v>
      </c>
      <c r="AF864" s="4">
        <v>41578</v>
      </c>
      <c r="AG864" s="5">
        <f>YEAR(AF864)</f>
        <v>2013</v>
      </c>
      <c r="AH864" s="5" t="str">
        <f>"Q"&amp;ROUNDUP(MONTH(AF864)/3,0)</f>
        <v>Q4</v>
      </c>
      <c r="AI864" s="5">
        <f>INDEX(RatingLookup!$B$2:$B$11,MATCH(A864,RatingLookup!$A$2:$A$11,0))</f>
        <v>8</v>
      </c>
      <c r="AJ864" s="5" t="str">
        <f>INDEX(RatingLookup!$C$2:$C$11,MATCH(A864,RatingLookup!$A$2:$A$11,0))</f>
        <v>Investment Grade</v>
      </c>
    </row>
    <row r="865" spans="1:36" x14ac:dyDescent="0.3">
      <c r="A865" s="3" t="s">
        <v>36</v>
      </c>
      <c r="B865" s="3" t="s">
        <v>1013</v>
      </c>
      <c r="C865" s="3" t="s">
        <v>1014</v>
      </c>
      <c r="D865" s="3" t="s">
        <v>60</v>
      </c>
      <c r="E865" s="3" t="s">
        <v>805</v>
      </c>
      <c r="F865" s="3" t="s">
        <v>246</v>
      </c>
      <c r="G865" s="3">
        <v>0.70046542599999995</v>
      </c>
      <c r="H865" s="3">
        <v>0.51429521300000003</v>
      </c>
      <c r="I865" s="3">
        <v>0.223404255</v>
      </c>
      <c r="J865" s="3">
        <v>26.532773949999999</v>
      </c>
      <c r="K865" s="3">
        <v>0.30240093000000001</v>
      </c>
      <c r="L865" s="3">
        <v>0.40932125899999999</v>
      </c>
      <c r="M865" s="3">
        <v>0.54997092299999994</v>
      </c>
      <c r="N865" s="3">
        <v>0.41804436299999997</v>
      </c>
      <c r="O865" s="3">
        <v>9.8227055999999993E-2</v>
      </c>
      <c r="P865" s="3">
        <v>0.15880055200000001</v>
      </c>
      <c r="Q865" s="3">
        <v>0.245266491</v>
      </c>
      <c r="R865" s="3">
        <v>0.32482391999999999</v>
      </c>
      <c r="S865" s="3">
        <v>0.35659902199999999</v>
      </c>
      <c r="T865" s="3">
        <v>1.496934169</v>
      </c>
      <c r="U865" s="3">
        <v>0.599508865</v>
      </c>
      <c r="V865" s="3">
        <v>0.26121371999999998</v>
      </c>
      <c r="W865" s="3">
        <v>0.49826989599999999</v>
      </c>
      <c r="X865" s="3">
        <v>3.286553305</v>
      </c>
      <c r="Y865" s="3">
        <v>0.85206937500000002</v>
      </c>
      <c r="Z865" s="3">
        <v>2.4969341690000002</v>
      </c>
      <c r="AA865" s="3">
        <v>0.44919830500000002</v>
      </c>
      <c r="AB865" s="3">
        <v>9.6045339149999993</v>
      </c>
      <c r="AC865" s="3">
        <v>6.5959298960000003</v>
      </c>
      <c r="AD865" s="3">
        <v>0.43216748399999999</v>
      </c>
      <c r="AE865" s="3">
        <v>3.5661619490000001</v>
      </c>
      <c r="AF865" s="4">
        <v>42579</v>
      </c>
      <c r="AG865" s="5">
        <f>YEAR(AF865)</f>
        <v>2016</v>
      </c>
      <c r="AH865" s="5" t="str">
        <f>"Q"&amp;ROUNDUP(MONTH(AF865)/3,0)</f>
        <v>Q3</v>
      </c>
      <c r="AI865" s="5">
        <f>INDEX(RatingLookup!$B$2:$B$11,MATCH(A865,RatingLookup!$A$2:$A$11,0))</f>
        <v>8</v>
      </c>
      <c r="AJ865" s="5" t="str">
        <f>INDEX(RatingLookup!$C$2:$C$11,MATCH(A865,RatingLookup!$A$2:$A$11,0))</f>
        <v>Investment Grade</v>
      </c>
    </row>
    <row r="866" spans="1:36" x14ac:dyDescent="0.3">
      <c r="A866" s="3" t="s">
        <v>36</v>
      </c>
      <c r="B866" s="3" t="s">
        <v>1013</v>
      </c>
      <c r="C866" s="3" t="s">
        <v>1014</v>
      </c>
      <c r="D866" s="3" t="s">
        <v>60</v>
      </c>
      <c r="E866" s="3" t="s">
        <v>770</v>
      </c>
      <c r="F866" s="3" t="s">
        <v>246</v>
      </c>
      <c r="G866" s="3">
        <v>0.90549750100000004</v>
      </c>
      <c r="H866" s="3">
        <v>0.65561108599999995</v>
      </c>
      <c r="I866" s="3">
        <v>0.23398455200000001</v>
      </c>
      <c r="J866" s="3">
        <v>27.91494973</v>
      </c>
      <c r="K866" s="3">
        <v>0.26100214300000002</v>
      </c>
      <c r="L866" s="3">
        <v>0.35932091599999999</v>
      </c>
      <c r="M866" s="3">
        <v>0.497939674</v>
      </c>
      <c r="N866" s="3">
        <v>0.38107796300000002</v>
      </c>
      <c r="O866" s="3">
        <v>9.9946350000000003E-2</v>
      </c>
      <c r="P866" s="3">
        <v>0.16044902699999999</v>
      </c>
      <c r="Q866" s="3">
        <v>0.23511507100000001</v>
      </c>
      <c r="R866" s="3">
        <v>0.38293306399999999</v>
      </c>
      <c r="S866" s="3">
        <v>0.42554534599999999</v>
      </c>
      <c r="T866" s="3">
        <v>1.3524127690000001</v>
      </c>
      <c r="U866" s="3">
        <v>0.57490453500000005</v>
      </c>
      <c r="V866" s="3">
        <v>0.27362385299999997</v>
      </c>
      <c r="W866" s="3">
        <v>0.51517918299999998</v>
      </c>
      <c r="X866" s="3">
        <v>2.7173714649999998</v>
      </c>
      <c r="Y866" s="3">
        <v>0.62004709999999996</v>
      </c>
      <c r="Z866" s="3">
        <v>2.3524127689999998</v>
      </c>
      <c r="AA866" s="3">
        <v>0.38989615999999999</v>
      </c>
      <c r="AB866" s="3">
        <v>11.136154550000001</v>
      </c>
      <c r="AC866" s="3">
        <v>5.274614261</v>
      </c>
      <c r="AD866" s="3">
        <v>0.36105159100000001</v>
      </c>
      <c r="AE866" s="3">
        <v>3.676523838</v>
      </c>
      <c r="AF866" s="4">
        <v>41879</v>
      </c>
      <c r="AG866" s="5">
        <f>YEAR(AF866)</f>
        <v>2014</v>
      </c>
      <c r="AH866" s="5" t="str">
        <f>"Q"&amp;ROUNDUP(MONTH(AF866)/3,0)</f>
        <v>Q3</v>
      </c>
      <c r="AI866" s="5">
        <f>INDEX(RatingLookup!$B$2:$B$11,MATCH(A866,RatingLookup!$A$2:$A$11,0))</f>
        <v>8</v>
      </c>
      <c r="AJ866" s="5" t="str">
        <f>INDEX(RatingLookup!$C$2:$C$11,MATCH(A866,RatingLookup!$A$2:$A$11,0))</f>
        <v>Investment Grade</v>
      </c>
    </row>
    <row r="867" spans="1:36" x14ac:dyDescent="0.3">
      <c r="A867" s="3" t="s">
        <v>36</v>
      </c>
      <c r="B867" s="3" t="s">
        <v>1013</v>
      </c>
      <c r="C867" s="3" t="s">
        <v>1014</v>
      </c>
      <c r="D867" s="3" t="s">
        <v>60</v>
      </c>
      <c r="E867" s="3" t="s">
        <v>982</v>
      </c>
      <c r="F867" s="3" t="s">
        <v>246</v>
      </c>
      <c r="G867" s="3">
        <v>0.71814542999999997</v>
      </c>
      <c r="H867" s="3">
        <v>0.51834556399999998</v>
      </c>
      <c r="I867" s="3">
        <v>0.225483656</v>
      </c>
      <c r="J867" s="3">
        <v>25.41194196</v>
      </c>
      <c r="K867" s="3">
        <v>0.280548727</v>
      </c>
      <c r="L867" s="3">
        <v>0.38648798699999998</v>
      </c>
      <c r="M867" s="3">
        <v>0.540639125</v>
      </c>
      <c r="N867" s="3">
        <v>0.41757196099999999</v>
      </c>
      <c r="O867" s="3">
        <v>9.7192461999999993E-2</v>
      </c>
      <c r="P867" s="3">
        <v>0.15905280799999999</v>
      </c>
      <c r="Q867" s="3">
        <v>0.23665551800000001</v>
      </c>
      <c r="R867" s="3">
        <v>0.34643700900000002</v>
      </c>
      <c r="S867" s="3">
        <v>0.38655591</v>
      </c>
      <c r="T867" s="3">
        <v>1.434916388</v>
      </c>
      <c r="U867" s="3">
        <v>0.58930828000000002</v>
      </c>
      <c r="V867" s="3">
        <v>0.27410750900000003</v>
      </c>
      <c r="W867" s="3">
        <v>0.47354085600000001</v>
      </c>
      <c r="X867" s="3">
        <v>3.00744196</v>
      </c>
      <c r="Y867" s="3">
        <v>0.83526325599999995</v>
      </c>
      <c r="Z867" s="3">
        <v>2.434916388</v>
      </c>
      <c r="AA867" s="3">
        <v>0.42129886599999999</v>
      </c>
      <c r="AB867" s="3">
        <v>9.0073034849999996</v>
      </c>
      <c r="AC867" s="3">
        <v>6.350966176</v>
      </c>
      <c r="AD867" s="3">
        <v>0.40758068400000003</v>
      </c>
      <c r="AE867" s="3">
        <v>3.7230077119999998</v>
      </c>
      <c r="AF867" s="4">
        <v>42262</v>
      </c>
      <c r="AG867" s="5">
        <f>YEAR(AF867)</f>
        <v>2015</v>
      </c>
      <c r="AH867" s="5" t="str">
        <f>"Q"&amp;ROUNDUP(MONTH(AF867)/3,0)</f>
        <v>Q3</v>
      </c>
      <c r="AI867" s="5">
        <f>INDEX(RatingLookup!$B$2:$B$11,MATCH(A867,RatingLookup!$A$2:$A$11,0))</f>
        <v>8</v>
      </c>
      <c r="AJ867" s="5" t="str">
        <f>INDEX(RatingLookup!$C$2:$C$11,MATCH(A867,RatingLookup!$A$2:$A$11,0))</f>
        <v>Investment Grade</v>
      </c>
    </row>
    <row r="868" spans="1:36" x14ac:dyDescent="0.3">
      <c r="A868" s="3" t="s">
        <v>36</v>
      </c>
      <c r="B868" s="3" t="s">
        <v>1013</v>
      </c>
      <c r="C868" s="3" t="s">
        <v>1014</v>
      </c>
      <c r="D868" s="3" t="s">
        <v>60</v>
      </c>
      <c r="E868" s="3" t="s">
        <v>46</v>
      </c>
      <c r="F868" s="3" t="s">
        <v>246</v>
      </c>
      <c r="G868" s="3">
        <v>1.07755102</v>
      </c>
      <c r="H868" s="3">
        <v>0.82798833800000005</v>
      </c>
      <c r="I868" s="3">
        <v>0.34985422700000002</v>
      </c>
      <c r="J868" s="3">
        <v>33.152414710000002</v>
      </c>
      <c r="K868" s="3">
        <v>0.27215330100000001</v>
      </c>
      <c r="L868" s="3">
        <v>0.37173238800000002</v>
      </c>
      <c r="M868" s="3">
        <v>0.49357554300000001</v>
      </c>
      <c r="N868" s="3">
        <v>0.36508639799999998</v>
      </c>
      <c r="O868" s="3">
        <v>9.4405593999999995E-2</v>
      </c>
      <c r="P868" s="3">
        <v>0.152071079</v>
      </c>
      <c r="Q868" s="3">
        <v>0.23005618</v>
      </c>
      <c r="R868" s="3">
        <v>0.346883885</v>
      </c>
      <c r="S868" s="3">
        <v>0.37747209100000001</v>
      </c>
      <c r="T868" s="3">
        <v>1.4368913860000001</v>
      </c>
      <c r="U868" s="3">
        <v>0.58964112800000001</v>
      </c>
      <c r="V868" s="3">
        <v>0.26787842699999997</v>
      </c>
      <c r="W868" s="3">
        <v>0.57795698900000003</v>
      </c>
      <c r="X868" s="3">
        <v>1.8721831680000001</v>
      </c>
      <c r="Y868" s="3">
        <v>0.653087152</v>
      </c>
      <c r="Z868" s="3">
        <v>2.4368913860000001</v>
      </c>
      <c r="AA868" s="3">
        <v>0.40950376599999999</v>
      </c>
      <c r="AB868" s="3">
        <v>9.0517143660000006</v>
      </c>
      <c r="AC868" s="3">
        <v>3.2393122729999999</v>
      </c>
      <c r="AD868" s="3">
        <v>0.32964111699999998</v>
      </c>
      <c r="AE868" s="3">
        <v>2.8936708860000002</v>
      </c>
      <c r="AF868" s="4">
        <v>41075</v>
      </c>
      <c r="AG868" s="5">
        <f>YEAR(AF868)</f>
        <v>2012</v>
      </c>
      <c r="AH868" s="5" t="str">
        <f>"Q"&amp;ROUNDUP(MONTH(AF868)/3,0)</f>
        <v>Q2</v>
      </c>
      <c r="AI868" s="5">
        <f>INDEX(RatingLookup!$B$2:$B$11,MATCH(A868,RatingLookup!$A$2:$A$11,0))</f>
        <v>8</v>
      </c>
      <c r="AJ868" s="5" t="str">
        <f>INDEX(RatingLookup!$C$2:$C$11,MATCH(A868,RatingLookup!$A$2:$A$11,0))</f>
        <v>Investment Grade</v>
      </c>
    </row>
    <row r="869" spans="1:36" x14ac:dyDescent="0.3">
      <c r="A869" s="3" t="s">
        <v>36</v>
      </c>
      <c r="B869" s="3" t="s">
        <v>1013</v>
      </c>
      <c r="C869" s="3" t="s">
        <v>1014</v>
      </c>
      <c r="D869" s="3" t="s">
        <v>60</v>
      </c>
      <c r="E869" s="3" t="s">
        <v>1015</v>
      </c>
      <c r="F869" s="3" t="s">
        <v>246</v>
      </c>
      <c r="G869" s="3">
        <v>0.84838856100000004</v>
      </c>
      <c r="H869" s="3">
        <v>0.68406718099999997</v>
      </c>
      <c r="I869" s="3">
        <v>0.30685428999999997</v>
      </c>
      <c r="J869" s="3">
        <v>30.576108869999999</v>
      </c>
      <c r="K869" s="3">
        <v>0.27016129</v>
      </c>
      <c r="L869" s="3">
        <v>0.36875000000000002</v>
      </c>
      <c r="M869" s="3">
        <v>0.498689516</v>
      </c>
      <c r="N869" s="3">
        <v>0.37147177399999998</v>
      </c>
      <c r="O869" s="3">
        <v>0.100528902</v>
      </c>
      <c r="P869" s="3">
        <v>0.16355904499999999</v>
      </c>
      <c r="Q869" s="3">
        <v>0.243238337</v>
      </c>
      <c r="R869" s="3">
        <v>0.372106981</v>
      </c>
      <c r="S869" s="3">
        <v>0.40422150699999998</v>
      </c>
      <c r="T869" s="3">
        <v>1.4195861320000001</v>
      </c>
      <c r="U869" s="3">
        <v>0.58670617800000002</v>
      </c>
      <c r="V869" s="3">
        <v>0.26735921299999998</v>
      </c>
      <c r="W869" s="3">
        <v>0.53594771200000002</v>
      </c>
      <c r="X869" s="3">
        <v>1.854905442</v>
      </c>
      <c r="Y869" s="3">
        <v>0.76458297500000005</v>
      </c>
      <c r="Z869" s="3">
        <v>2.4195861320000001</v>
      </c>
      <c r="AA869" s="3">
        <v>0.40322580600000002</v>
      </c>
      <c r="AB869" s="3">
        <v>9.2704907429999999</v>
      </c>
      <c r="AC869" s="3">
        <v>3.4609821049999998</v>
      </c>
      <c r="AD869" s="3">
        <v>0.30846774199999999</v>
      </c>
      <c r="AE869" s="3">
        <v>3.0584255840000001</v>
      </c>
      <c r="AF869" s="4">
        <v>41221</v>
      </c>
      <c r="AG869" s="5">
        <f>YEAR(AF869)</f>
        <v>2012</v>
      </c>
      <c r="AH869" s="5" t="str">
        <f>"Q"&amp;ROUNDUP(MONTH(AF869)/3,0)</f>
        <v>Q4</v>
      </c>
      <c r="AI869" s="5">
        <f>INDEX(RatingLookup!$B$2:$B$11,MATCH(A869,RatingLookup!$A$2:$A$11,0))</f>
        <v>8</v>
      </c>
      <c r="AJ869" s="5" t="str">
        <f>INDEX(RatingLookup!$C$2:$C$11,MATCH(A869,RatingLookup!$A$2:$A$11,0))</f>
        <v>Investment Grade</v>
      </c>
    </row>
    <row r="870" spans="1:36" x14ac:dyDescent="0.3">
      <c r="A870" s="3" t="s">
        <v>42</v>
      </c>
      <c r="B870" s="3" t="s">
        <v>1016</v>
      </c>
      <c r="C870" s="3" t="s">
        <v>1017</v>
      </c>
      <c r="D870" s="3" t="s">
        <v>60</v>
      </c>
      <c r="E870" s="3" t="s">
        <v>46</v>
      </c>
      <c r="F870" s="3" t="s">
        <v>219</v>
      </c>
      <c r="G870" s="3">
        <v>2.2481977340000001</v>
      </c>
      <c r="H870" s="3">
        <v>1.089941641</v>
      </c>
      <c r="I870" s="3">
        <v>0.94370065199999997</v>
      </c>
      <c r="J870" s="3">
        <v>10.92230964</v>
      </c>
      <c r="K870" s="3">
        <v>0.314976117</v>
      </c>
      <c r="L870" s="3">
        <v>0.47562517599999998</v>
      </c>
      <c r="M870" s="3">
        <v>0.56167462800000001</v>
      </c>
      <c r="N870" s="3">
        <v>0.46874121899999999</v>
      </c>
      <c r="O870" s="3">
        <v>9.1723602000000001E-2</v>
      </c>
      <c r="P870" s="3">
        <v>0.151610728</v>
      </c>
      <c r="Q870" s="3">
        <v>0.19192740699999999</v>
      </c>
      <c r="R870" s="3">
        <v>0.29120811699999999</v>
      </c>
      <c r="S870" s="3">
        <v>0.48961342699999999</v>
      </c>
      <c r="T870" s="3">
        <v>0.99867311599999997</v>
      </c>
      <c r="U870" s="3">
        <v>0.47727365700000002</v>
      </c>
      <c r="V870" s="3">
        <v>0.33776399400000001</v>
      </c>
      <c r="W870" s="3">
        <v>6.4346189999999998E-2</v>
      </c>
      <c r="X870" s="3">
        <v>0.34251388300000002</v>
      </c>
      <c r="Y870" s="3">
        <v>2.7531305960000001</v>
      </c>
      <c r="Z870" s="3">
        <v>2.0924538799999999</v>
      </c>
      <c r="AA870" s="3">
        <v>0.48960382099999999</v>
      </c>
      <c r="AB870" s="3">
        <v>7.5516471249999997</v>
      </c>
      <c r="AC870" s="3">
        <v>5.3229862199999998</v>
      </c>
      <c r="AD870" s="3">
        <v>0.37334925499999999</v>
      </c>
      <c r="AE870" s="3">
        <v>2.992805755</v>
      </c>
      <c r="AF870" s="4">
        <v>41075</v>
      </c>
      <c r="AG870" s="5">
        <f>YEAR(AF870)</f>
        <v>2012</v>
      </c>
      <c r="AH870" s="5" t="str">
        <f>"Q"&amp;ROUNDUP(MONTH(AF870)/3,0)</f>
        <v>Q2</v>
      </c>
      <c r="AI870" s="5">
        <f>INDEX(RatingLookup!$B$2:$B$11,MATCH(A870,RatingLookup!$A$2:$A$11,0))</f>
        <v>7</v>
      </c>
      <c r="AJ870" s="5" t="str">
        <f>INDEX(RatingLookup!$C$2:$C$11,MATCH(A870,RatingLookup!$A$2:$A$11,0))</f>
        <v>Investment Grade</v>
      </c>
    </row>
    <row r="871" spans="1:36" x14ac:dyDescent="0.3">
      <c r="A871" s="3" t="s">
        <v>42</v>
      </c>
      <c r="B871" s="3" t="s">
        <v>1016</v>
      </c>
      <c r="C871" s="3" t="s">
        <v>1017</v>
      </c>
      <c r="D871" s="3" t="s">
        <v>47</v>
      </c>
      <c r="E871" s="3" t="s">
        <v>1018</v>
      </c>
      <c r="F871" s="3" t="s">
        <v>219</v>
      </c>
      <c r="G871" s="3">
        <v>2.1539528429999999</v>
      </c>
      <c r="H871" s="3">
        <v>0.96705963900000003</v>
      </c>
      <c r="I871" s="3">
        <v>0.83356449399999999</v>
      </c>
      <c r="J871" s="3">
        <v>11.21776962</v>
      </c>
      <c r="K871" s="3">
        <v>-0.82749261600000001</v>
      </c>
      <c r="L871" s="3">
        <v>-0.77720124499999999</v>
      </c>
      <c r="M871" s="3">
        <v>0.41494372200000001</v>
      </c>
      <c r="N871" s="3">
        <v>-0.69569729400000002</v>
      </c>
      <c r="O871" s="3">
        <v>-0.27681051099999998</v>
      </c>
      <c r="P871" s="3">
        <v>-0.262672144</v>
      </c>
      <c r="Q871" s="3">
        <v>-0.765979458</v>
      </c>
      <c r="R871" s="3">
        <v>0.33451719699999999</v>
      </c>
      <c r="S871" s="3">
        <v>0.57760051599999995</v>
      </c>
      <c r="T871" s="3">
        <v>1.5847927289999999</v>
      </c>
      <c r="U871" s="3">
        <v>0.57271416399999997</v>
      </c>
      <c r="V871" s="3">
        <v>-6.4708298999999997E-2</v>
      </c>
      <c r="W871" s="3">
        <v>-0.29771172400000001</v>
      </c>
      <c r="X871" s="3">
        <v>-1.2606032760000001</v>
      </c>
      <c r="Y871" s="3">
        <v>2.4013393619999999</v>
      </c>
      <c r="Z871" s="3">
        <v>2.7671617529999999</v>
      </c>
      <c r="AA871" s="3">
        <v>-0.72475453000000001</v>
      </c>
      <c r="AB871" s="3">
        <v>-3.5706026980000001</v>
      </c>
      <c r="AC871" s="3">
        <v>4.234308467</v>
      </c>
      <c r="AD871" s="3">
        <v>0.33838908000000001</v>
      </c>
      <c r="AE871" s="3">
        <v>3.3852194</v>
      </c>
      <c r="AF871" s="4">
        <v>41785</v>
      </c>
      <c r="AG871" s="5">
        <f>YEAR(AF871)</f>
        <v>2014</v>
      </c>
      <c r="AH871" s="5" t="str">
        <f>"Q"&amp;ROUNDUP(MONTH(AF871)/3,0)</f>
        <v>Q2</v>
      </c>
      <c r="AI871" s="5">
        <f>INDEX(RatingLookup!$B$2:$B$11,MATCH(A871,RatingLookup!$A$2:$A$11,0))</f>
        <v>7</v>
      </c>
      <c r="AJ871" s="5" t="str">
        <f>INDEX(RatingLookup!$C$2:$C$11,MATCH(A871,RatingLookup!$A$2:$A$11,0))</f>
        <v>Investment Grade</v>
      </c>
    </row>
    <row r="872" spans="1:36" x14ac:dyDescent="0.3">
      <c r="A872" s="3" t="s">
        <v>42</v>
      </c>
      <c r="B872" s="3" t="s">
        <v>1016</v>
      </c>
      <c r="C872" s="3" t="s">
        <v>1017</v>
      </c>
      <c r="D872" s="3" t="s">
        <v>47</v>
      </c>
      <c r="E872" s="3" t="s">
        <v>1019</v>
      </c>
      <c r="F872" s="3" t="s">
        <v>219</v>
      </c>
      <c r="G872" s="3">
        <v>1.3033733300000001</v>
      </c>
      <c r="H872" s="3">
        <v>0.576409328</v>
      </c>
      <c r="I872" s="3">
        <v>0.47475662200000002</v>
      </c>
      <c r="J872" s="3">
        <v>11.3856468</v>
      </c>
      <c r="K872" s="3">
        <v>-3.7376685E-2</v>
      </c>
      <c r="L872" s="3">
        <v>-4.4462970999999997E-2</v>
      </c>
      <c r="M872" s="3">
        <v>0.49583159599999999</v>
      </c>
      <c r="N872" s="3">
        <v>-2.2370431999999999E-2</v>
      </c>
      <c r="O872" s="3">
        <v>-1.1331564000000001E-2</v>
      </c>
      <c r="P872" s="3">
        <v>-1.0821857000000001E-2</v>
      </c>
      <c r="Q872" s="3">
        <v>-2.4485709000000001E-2</v>
      </c>
      <c r="R872" s="3">
        <v>0.30317199500000003</v>
      </c>
      <c r="S872" s="3">
        <v>0.491648735</v>
      </c>
      <c r="T872" s="3">
        <v>1.0395958489999999</v>
      </c>
      <c r="U872" s="3">
        <v>0.48110703900000001</v>
      </c>
      <c r="V872" s="3">
        <v>0.15937499999999999</v>
      </c>
      <c r="W872" s="3">
        <v>-0.132040782</v>
      </c>
      <c r="X872" s="3">
        <v>-0.78966655500000005</v>
      </c>
      <c r="Y872" s="3">
        <v>2.0961148949999999</v>
      </c>
      <c r="Z872" s="3">
        <v>2.16084107</v>
      </c>
      <c r="AA872" s="3">
        <v>-3.2374601000000003E-2</v>
      </c>
      <c r="AB872" s="3">
        <v>38.455894000000001</v>
      </c>
      <c r="AC872" s="3">
        <v>5.9804746849999999</v>
      </c>
      <c r="AD872" s="3">
        <v>0.41565930200000001</v>
      </c>
      <c r="AE872" s="3">
        <v>3.20114689</v>
      </c>
      <c r="AF872" s="4">
        <v>41120</v>
      </c>
      <c r="AG872" s="5">
        <f>YEAR(AF872)</f>
        <v>2012</v>
      </c>
      <c r="AH872" s="5" t="str">
        <f>"Q"&amp;ROUNDUP(MONTH(AF872)/3,0)</f>
        <v>Q3</v>
      </c>
      <c r="AI872" s="5">
        <f>INDEX(RatingLookup!$B$2:$B$11,MATCH(A872,RatingLookup!$A$2:$A$11,0))</f>
        <v>7</v>
      </c>
      <c r="AJ872" s="5" t="str">
        <f>INDEX(RatingLookup!$C$2:$C$11,MATCH(A872,RatingLookup!$A$2:$A$11,0))</f>
        <v>Investment Grade</v>
      </c>
    </row>
    <row r="873" spans="1:36" x14ac:dyDescent="0.3">
      <c r="A873" s="3" t="s">
        <v>42</v>
      </c>
      <c r="B873" s="3" t="s">
        <v>1016</v>
      </c>
      <c r="C873" s="3" t="s">
        <v>1017</v>
      </c>
      <c r="D873" s="3" t="s">
        <v>47</v>
      </c>
      <c r="E873" s="3" t="s">
        <v>1020</v>
      </c>
      <c r="F873" s="3" t="s">
        <v>219</v>
      </c>
      <c r="G873" s="3">
        <v>2.4728588660000002</v>
      </c>
      <c r="H873" s="3">
        <v>1.25331725</v>
      </c>
      <c r="I873" s="3">
        <v>1.0852432649999999</v>
      </c>
      <c r="J873" s="3">
        <v>14.90086923</v>
      </c>
      <c r="K873" s="3">
        <v>-0.28391444500000002</v>
      </c>
      <c r="L873" s="3">
        <v>-0.25402871399999999</v>
      </c>
      <c r="M873" s="3">
        <v>0.33294267</v>
      </c>
      <c r="N873" s="3">
        <v>-0.15069831</v>
      </c>
      <c r="O873" s="3">
        <v>-8.5805365999999994E-2</v>
      </c>
      <c r="P873" s="3">
        <v>-5.7498726E-2</v>
      </c>
      <c r="Q873" s="3">
        <v>-0.28369278799999997</v>
      </c>
      <c r="R873" s="3">
        <v>0.302222616</v>
      </c>
      <c r="S873" s="3">
        <v>0.53347574600000003</v>
      </c>
      <c r="T873" s="3">
        <v>2.051039329</v>
      </c>
      <c r="U873" s="3">
        <v>0.62035479199999999</v>
      </c>
      <c r="V873" s="3">
        <v>-0.117647059</v>
      </c>
      <c r="W873" s="3">
        <v>-5.9233449000000001E-2</v>
      </c>
      <c r="X873" s="3">
        <v>-0.116773036</v>
      </c>
      <c r="Y873" s="3">
        <v>2.3174295950000001</v>
      </c>
      <c r="Z873" s="3">
        <v>3.3062359720000001</v>
      </c>
      <c r="AA873" s="3">
        <v>-0.17628674699999999</v>
      </c>
      <c r="AB873" s="3">
        <v>-158.18685740000001</v>
      </c>
      <c r="AC873" s="3">
        <v>1.9714036130000001</v>
      </c>
      <c r="AD873" s="3">
        <v>0.22424064899999999</v>
      </c>
      <c r="AE873" s="3">
        <v>4.1318814279999998</v>
      </c>
      <c r="AF873" s="4">
        <v>42065</v>
      </c>
      <c r="AG873" s="5">
        <f>YEAR(AF873)</f>
        <v>2015</v>
      </c>
      <c r="AH873" s="5" t="str">
        <f>"Q"&amp;ROUNDUP(MONTH(AF873)/3,0)</f>
        <v>Q1</v>
      </c>
      <c r="AI873" s="5">
        <f>INDEX(RatingLookup!$B$2:$B$11,MATCH(A873,RatingLookup!$A$2:$A$11,0))</f>
        <v>7</v>
      </c>
      <c r="AJ873" s="5" t="str">
        <f>INDEX(RatingLookup!$C$2:$C$11,MATCH(A873,RatingLookup!$A$2:$A$11,0))</f>
        <v>Investment Grade</v>
      </c>
    </row>
    <row r="874" spans="1:36" x14ac:dyDescent="0.3">
      <c r="A874" s="3" t="s">
        <v>42</v>
      </c>
      <c r="B874" s="3" t="s">
        <v>1021</v>
      </c>
      <c r="C874" s="3" t="s">
        <v>1022</v>
      </c>
      <c r="D874" s="3" t="s">
        <v>44</v>
      </c>
      <c r="E874" s="3" t="s">
        <v>1023</v>
      </c>
      <c r="F874" s="3" t="s">
        <v>219</v>
      </c>
      <c r="G874" s="3">
        <v>1.1251279139999999</v>
      </c>
      <c r="H874" s="3">
        <v>0.59864113200000002</v>
      </c>
      <c r="I874" s="3">
        <v>0.34531694400000001</v>
      </c>
      <c r="J874" s="3">
        <v>15.866473429999999</v>
      </c>
      <c r="K874" s="3">
        <v>-0.24217255100000001</v>
      </c>
      <c r="L874" s="3">
        <v>-0.19582054900000001</v>
      </c>
      <c r="M874" s="3">
        <v>0.29347331799999998</v>
      </c>
      <c r="N874" s="3">
        <v>-0.11401099100000001</v>
      </c>
      <c r="O874" s="3">
        <v>-3.9107708999999997E-2</v>
      </c>
      <c r="P874" s="3">
        <v>-3.0914454000000001E-2</v>
      </c>
      <c r="Q874" s="3">
        <v>-6.2504753999999996E-2</v>
      </c>
      <c r="R874" s="3">
        <v>0.16148696000000001</v>
      </c>
      <c r="S874" s="3">
        <v>0.179584615</v>
      </c>
      <c r="T874" s="3">
        <v>0.59565322600000004</v>
      </c>
      <c r="U874" s="3">
        <v>0.37268578299999999</v>
      </c>
      <c r="V874" s="3">
        <v>-0.236706528</v>
      </c>
      <c r="W874" s="3">
        <v>-0.45595321</v>
      </c>
      <c r="X874" s="3">
        <v>-0.39589219399999998</v>
      </c>
      <c r="Y874" s="3">
        <v>0.40057564899999998</v>
      </c>
      <c r="Z874" s="3">
        <v>1.5982719299999999</v>
      </c>
      <c r="AA874" s="3">
        <v>-0.180746868</v>
      </c>
      <c r="AB874" s="3">
        <v>112.670205</v>
      </c>
      <c r="AC874" s="3">
        <v>0.86827372999999997</v>
      </c>
      <c r="AD874" s="3">
        <v>0.354448027</v>
      </c>
      <c r="AE874" s="3">
        <v>3.1392361110000002</v>
      </c>
      <c r="AF874" s="4">
        <v>41815</v>
      </c>
      <c r="AG874" s="5">
        <f>YEAR(AF874)</f>
        <v>2014</v>
      </c>
      <c r="AH874" s="5" t="str">
        <f>"Q"&amp;ROUNDUP(MONTH(AF874)/3,0)</f>
        <v>Q2</v>
      </c>
      <c r="AI874" s="5">
        <f>INDEX(RatingLookup!$B$2:$B$11,MATCH(A874,RatingLookup!$A$2:$A$11,0))</f>
        <v>7</v>
      </c>
      <c r="AJ874" s="5" t="str">
        <f>INDEX(RatingLookup!$C$2:$C$11,MATCH(A874,RatingLookup!$A$2:$A$11,0))</f>
        <v>Investment Grade</v>
      </c>
    </row>
    <row r="875" spans="1:36" x14ac:dyDescent="0.3">
      <c r="A875" s="3" t="s">
        <v>92</v>
      </c>
      <c r="B875" s="3" t="s">
        <v>1021</v>
      </c>
      <c r="C875" s="3" t="s">
        <v>1022</v>
      </c>
      <c r="D875" s="3" t="s">
        <v>47</v>
      </c>
      <c r="E875" s="3" t="s">
        <v>1024</v>
      </c>
      <c r="F875" s="3" t="s">
        <v>219</v>
      </c>
      <c r="G875" s="3">
        <v>1.162702589</v>
      </c>
      <c r="H875" s="3">
        <v>0.31235529400000001</v>
      </c>
      <c r="I875" s="3">
        <v>0.205009472</v>
      </c>
      <c r="J875" s="3">
        <v>7.4727303239999996</v>
      </c>
      <c r="K875" s="3">
        <v>-0.17223247699999999</v>
      </c>
      <c r="L875" s="3">
        <v>-0.35397437999999998</v>
      </c>
      <c r="M875" s="3">
        <v>-0.23208592</v>
      </c>
      <c r="N875" s="3">
        <v>-0.26486546999999999</v>
      </c>
      <c r="O875" s="3">
        <v>-3.4981879E-2</v>
      </c>
      <c r="P875" s="3">
        <v>-5.8727451999999999E-2</v>
      </c>
      <c r="Q875" s="3">
        <v>-6.8237223999999999E-2</v>
      </c>
      <c r="R875" s="3">
        <v>0.20310849</v>
      </c>
      <c r="S875" s="3">
        <v>0.23627136100000001</v>
      </c>
      <c r="T875" s="3">
        <v>0.93561898899999996</v>
      </c>
      <c r="U875" s="3">
        <v>0.479645977</v>
      </c>
      <c r="V875" s="3">
        <v>0.51343236400000003</v>
      </c>
      <c r="W875" s="3">
        <v>0.25481347799999998</v>
      </c>
      <c r="X875" s="3">
        <v>0.18086580699999999</v>
      </c>
      <c r="Y875" s="3">
        <v>0.119367162</v>
      </c>
      <c r="Z875" s="3">
        <v>1.9506449180000001</v>
      </c>
      <c r="AA875" s="3">
        <v>-0.27353582799999998</v>
      </c>
      <c r="AB875" s="3">
        <v>-163.04582250000001</v>
      </c>
      <c r="AC875" s="3">
        <v>0.70979686200000003</v>
      </c>
      <c r="AD875" s="3">
        <v>0.37187447600000001</v>
      </c>
      <c r="AE875" s="3">
        <v>6.4782352940000001</v>
      </c>
      <c r="AF875" s="4">
        <v>42613</v>
      </c>
      <c r="AG875" s="5">
        <f>YEAR(AF875)</f>
        <v>2016</v>
      </c>
      <c r="AH875" s="5" t="str">
        <f>"Q"&amp;ROUNDUP(MONTH(AF875)/3,0)</f>
        <v>Q3</v>
      </c>
      <c r="AI875" s="5">
        <f>INDEX(RatingLookup!$B$2:$B$11,MATCH(A875,RatingLookup!$A$2:$A$11,0))</f>
        <v>6</v>
      </c>
      <c r="AJ875" s="5" t="str">
        <f>INDEX(RatingLookup!$C$2:$C$11,MATCH(A875,RatingLookup!$A$2:$A$11,0))</f>
        <v>Speculative Grade</v>
      </c>
    </row>
    <row r="876" spans="1:36" x14ac:dyDescent="0.3">
      <c r="A876" s="3" t="s">
        <v>42</v>
      </c>
      <c r="B876" s="3" t="s">
        <v>1025</v>
      </c>
      <c r="C876" s="3" t="s">
        <v>1026</v>
      </c>
      <c r="D876" s="3" t="s">
        <v>39</v>
      </c>
      <c r="E876" s="3" t="s">
        <v>1027</v>
      </c>
      <c r="F876" s="3" t="s">
        <v>219</v>
      </c>
      <c r="G876" s="3">
        <v>4.7089619789999997</v>
      </c>
      <c r="H876" s="3">
        <v>9.2664453830000006</v>
      </c>
      <c r="I876" s="3">
        <v>0.16022933</v>
      </c>
      <c r="J876" s="3">
        <v>39.972731449999998</v>
      </c>
      <c r="K876" s="3">
        <v>3.5544797000000003E-2</v>
      </c>
      <c r="L876" s="3">
        <v>5.2269508999999999E-2</v>
      </c>
      <c r="M876" s="3">
        <v>0.250775001</v>
      </c>
      <c r="N876" s="3">
        <v>5.9072294999999997E-2</v>
      </c>
      <c r="O876" s="3">
        <v>4.7405762999999997E-2</v>
      </c>
      <c r="P876" s="3">
        <v>7.6152108999999996E-2</v>
      </c>
      <c r="Q876" s="3">
        <v>9.0631860999999994E-2</v>
      </c>
      <c r="R876" s="3">
        <v>1.3336906310000001</v>
      </c>
      <c r="S876" s="3">
        <v>6.3098285440000002</v>
      </c>
      <c r="T876" s="3">
        <v>0.91183215399999995</v>
      </c>
      <c r="U876" s="3">
        <v>0.47694153099999997</v>
      </c>
      <c r="V876" s="3">
        <v>0.31118433099999998</v>
      </c>
      <c r="W876" s="3">
        <v>0.46516853899999999</v>
      </c>
      <c r="X876" s="3">
        <v>2.1317420989999998</v>
      </c>
      <c r="Y876" s="3">
        <v>64.328149870000004</v>
      </c>
      <c r="Z876" s="3">
        <v>1.9118321540000001</v>
      </c>
      <c r="AA876" s="3">
        <v>5.2269508999999999E-2</v>
      </c>
      <c r="AB876" s="3">
        <v>7.5532431720000002</v>
      </c>
      <c r="AC876" s="3">
        <v>4.5827305999999997</v>
      </c>
      <c r="AD876" s="3">
        <v>3.4061769999999998E-2</v>
      </c>
      <c r="AE876" s="3">
        <v>27.33193717</v>
      </c>
      <c r="AF876" s="4">
        <v>42124</v>
      </c>
      <c r="AG876" s="5">
        <f>YEAR(AF876)</f>
        <v>2015</v>
      </c>
      <c r="AH876" s="5" t="str">
        <f>"Q"&amp;ROUNDUP(MONTH(AF876)/3,0)</f>
        <v>Q2</v>
      </c>
      <c r="AI876" s="5">
        <f>INDEX(RatingLookup!$B$2:$B$11,MATCH(A876,RatingLookup!$A$2:$A$11,0))</f>
        <v>7</v>
      </c>
      <c r="AJ876" s="5" t="str">
        <f>INDEX(RatingLookup!$C$2:$C$11,MATCH(A876,RatingLookup!$A$2:$A$11,0))</f>
        <v>Investment Grade</v>
      </c>
    </row>
    <row r="877" spans="1:36" x14ac:dyDescent="0.3">
      <c r="A877" s="3" t="s">
        <v>42</v>
      </c>
      <c r="B877" s="3" t="s">
        <v>1025</v>
      </c>
      <c r="C877" s="3" t="s">
        <v>1026</v>
      </c>
      <c r="D877" s="3" t="s">
        <v>39</v>
      </c>
      <c r="E877" s="3" t="s">
        <v>91</v>
      </c>
      <c r="F877" s="3" t="s">
        <v>219</v>
      </c>
      <c r="G877" s="3">
        <v>2.5807820549999998</v>
      </c>
      <c r="H877" s="3">
        <v>6.1300394059999999</v>
      </c>
      <c r="I877" s="3">
        <v>0.10538546999999999</v>
      </c>
      <c r="J877" s="3">
        <v>35.779797870000003</v>
      </c>
      <c r="K877" s="3">
        <v>3.3313727000000001E-2</v>
      </c>
      <c r="L877" s="3">
        <v>4.9056200000000001E-2</v>
      </c>
      <c r="M877" s="3">
        <v>0.27238115600000001</v>
      </c>
      <c r="N877" s="3">
        <v>5.8456767E-2</v>
      </c>
      <c r="O877" s="3">
        <v>4.3740171000000001E-2</v>
      </c>
      <c r="P877" s="3">
        <v>7.4805524999999998E-2</v>
      </c>
      <c r="Q877" s="3">
        <v>7.9584067999999994E-2</v>
      </c>
      <c r="R877" s="3">
        <v>1.312977421</v>
      </c>
      <c r="S877" s="3">
        <v>5.7172118620000001</v>
      </c>
      <c r="T877" s="3">
        <v>0.81947318700000005</v>
      </c>
      <c r="U877" s="3">
        <v>0.45039036199999999</v>
      </c>
      <c r="V877" s="3">
        <v>0.31066056199999997</v>
      </c>
      <c r="W877" s="3">
        <v>0.83199999999999996</v>
      </c>
      <c r="X877" s="3">
        <v>11.50933901</v>
      </c>
      <c r="Y877" s="3">
        <v>69.5081481</v>
      </c>
      <c r="Z877" s="3">
        <v>1.819473187</v>
      </c>
      <c r="AA877" s="3">
        <v>4.9056200000000001E-2</v>
      </c>
      <c r="AB877" s="3">
        <v>7.898897023</v>
      </c>
      <c r="AC877" s="3">
        <v>13.833340160000001</v>
      </c>
      <c r="AD877" s="3">
        <v>0.109619806</v>
      </c>
      <c r="AE877" s="3">
        <v>27.54493927</v>
      </c>
      <c r="AF877" s="4">
        <v>42304</v>
      </c>
      <c r="AG877" s="5">
        <f>YEAR(AF877)</f>
        <v>2015</v>
      </c>
      <c r="AH877" s="5" t="str">
        <f>"Q"&amp;ROUNDUP(MONTH(AF877)/3,0)</f>
        <v>Q4</v>
      </c>
      <c r="AI877" s="5">
        <f>INDEX(RatingLookup!$B$2:$B$11,MATCH(A877,RatingLookup!$A$2:$A$11,0))</f>
        <v>7</v>
      </c>
      <c r="AJ877" s="5" t="str">
        <f>INDEX(RatingLookup!$C$2:$C$11,MATCH(A877,RatingLookup!$A$2:$A$11,0))</f>
        <v>Investment Grade</v>
      </c>
    </row>
    <row r="878" spans="1:36" x14ac:dyDescent="0.3">
      <c r="A878" s="3" t="s">
        <v>42</v>
      </c>
      <c r="B878" s="3" t="s">
        <v>1025</v>
      </c>
      <c r="C878" s="3" t="s">
        <v>1026</v>
      </c>
      <c r="D878" s="3" t="s">
        <v>47</v>
      </c>
      <c r="E878" s="3" t="s">
        <v>1028</v>
      </c>
      <c r="F878" s="3" t="s">
        <v>219</v>
      </c>
      <c r="G878" s="3">
        <v>3.946391395</v>
      </c>
      <c r="H878" s="3">
        <v>7.2827897290000001</v>
      </c>
      <c r="I878" s="3">
        <v>0.146773074</v>
      </c>
      <c r="J878" s="3">
        <v>40.212054530000003</v>
      </c>
      <c r="K878" s="3">
        <v>4.2927212999999999E-2</v>
      </c>
      <c r="L878" s="3">
        <v>6.2891072000000006E-2</v>
      </c>
      <c r="M878" s="3">
        <v>0.244139304</v>
      </c>
      <c r="N878" s="3">
        <v>7.0414398000000003E-2</v>
      </c>
      <c r="O878" s="3">
        <v>6.2291513999999999E-2</v>
      </c>
      <c r="P878" s="3">
        <v>0.101719853</v>
      </c>
      <c r="Q878" s="3">
        <v>0.107757823</v>
      </c>
      <c r="R878" s="3">
        <v>1.451096167</v>
      </c>
      <c r="S878" s="3">
        <v>7.3583898689999998</v>
      </c>
      <c r="T878" s="3">
        <v>0.72989569799999998</v>
      </c>
      <c r="U878" s="3">
        <v>0.421930466</v>
      </c>
      <c r="V878" s="3">
        <v>0.31743549599999998</v>
      </c>
      <c r="W878" s="3">
        <v>0.33390119299999999</v>
      </c>
      <c r="X878" s="3">
        <v>1.0485770999999999</v>
      </c>
      <c r="Y878" s="3">
        <v>44.157935610000003</v>
      </c>
      <c r="Z878" s="3">
        <v>1.729895698</v>
      </c>
      <c r="AA878" s="3">
        <v>6.2891072000000006E-2</v>
      </c>
      <c r="AB878" s="3">
        <v>7.4993500360000001</v>
      </c>
      <c r="AC878" s="3">
        <v>3.1403814159999999</v>
      </c>
      <c r="AD878" s="3">
        <v>2.8864002E-2</v>
      </c>
      <c r="AE878" s="3">
        <v>18.343377090000001</v>
      </c>
      <c r="AF878" s="4">
        <v>41016</v>
      </c>
      <c r="AG878" s="5">
        <f>YEAR(AF878)</f>
        <v>2012</v>
      </c>
      <c r="AH878" s="5" t="str">
        <f>"Q"&amp;ROUNDUP(MONTH(AF878)/3,0)</f>
        <v>Q2</v>
      </c>
      <c r="AI878" s="5">
        <f>INDEX(RatingLookup!$B$2:$B$11,MATCH(A878,RatingLookup!$A$2:$A$11,0))</f>
        <v>7</v>
      </c>
      <c r="AJ878" s="5" t="str">
        <f>INDEX(RatingLookup!$C$2:$C$11,MATCH(A878,RatingLookup!$A$2:$A$11,0))</f>
        <v>Investment Grade</v>
      </c>
    </row>
    <row r="879" spans="1:36" x14ac:dyDescent="0.3">
      <c r="A879" s="3" t="s">
        <v>42</v>
      </c>
      <c r="B879" s="3" t="s">
        <v>1025</v>
      </c>
      <c r="C879" s="3" t="s">
        <v>1026</v>
      </c>
      <c r="D879" s="3" t="s">
        <v>47</v>
      </c>
      <c r="E879" s="3" t="s">
        <v>420</v>
      </c>
      <c r="F879" s="3" t="s">
        <v>219</v>
      </c>
      <c r="G879" s="3">
        <v>3.9387755100000001</v>
      </c>
      <c r="H879" s="3">
        <v>8.0029401589999996</v>
      </c>
      <c r="I879" s="3">
        <v>0.16879972300000001</v>
      </c>
      <c r="J879" s="3">
        <v>34.920637739999997</v>
      </c>
      <c r="K879" s="3">
        <v>4.7795032000000001E-2</v>
      </c>
      <c r="L879" s="3">
        <v>7.2184120000000004E-2</v>
      </c>
      <c r="M879" s="3">
        <v>0.261409805</v>
      </c>
      <c r="N879" s="3">
        <v>7.8082987000000006E-2</v>
      </c>
      <c r="O879" s="3">
        <v>6.8883691999999996E-2</v>
      </c>
      <c r="P879" s="3">
        <v>0.11542759700000001</v>
      </c>
      <c r="Q879" s="3">
        <v>0.11339365999999999</v>
      </c>
      <c r="R879" s="3">
        <v>1.4412312</v>
      </c>
      <c r="S879" s="3">
        <v>6.8044652210000001</v>
      </c>
      <c r="T879" s="3">
        <v>0.64616119599999999</v>
      </c>
      <c r="U879" s="3">
        <v>0.39252607699999997</v>
      </c>
      <c r="V879" s="3">
        <v>0.32999671800000002</v>
      </c>
      <c r="W879" s="3">
        <v>0.644459212</v>
      </c>
      <c r="X879" s="3">
        <v>5.1570819370000001</v>
      </c>
      <c r="Y879" s="3">
        <v>50.781103809999998</v>
      </c>
      <c r="Z879" s="3">
        <v>1.646161196</v>
      </c>
      <c r="AA879" s="3">
        <v>7.2184120000000004E-2</v>
      </c>
      <c r="AB879" s="3">
        <v>7.3198661569999999</v>
      </c>
      <c r="AC879" s="3">
        <v>8.0021851460000004</v>
      </c>
      <c r="AD879" s="3">
        <v>7.1295736999999998E-2</v>
      </c>
      <c r="AE879" s="3">
        <v>24.395148670000001</v>
      </c>
      <c r="AF879" s="4">
        <v>41367</v>
      </c>
      <c r="AG879" s="5">
        <f>YEAR(AF879)</f>
        <v>2013</v>
      </c>
      <c r="AH879" s="5" t="str">
        <f>"Q"&amp;ROUNDUP(MONTH(AF879)/3,0)</f>
        <v>Q2</v>
      </c>
      <c r="AI879" s="5">
        <f>INDEX(RatingLookup!$B$2:$B$11,MATCH(A879,RatingLookup!$A$2:$A$11,0))</f>
        <v>7</v>
      </c>
      <c r="AJ879" s="5" t="str">
        <f>INDEX(RatingLookup!$C$2:$C$11,MATCH(A879,RatingLookup!$A$2:$A$11,0))</f>
        <v>Investment Grade</v>
      </c>
    </row>
    <row r="880" spans="1:36" x14ac:dyDescent="0.3">
      <c r="A880" s="3" t="s">
        <v>42</v>
      </c>
      <c r="B880" s="3" t="s">
        <v>1025</v>
      </c>
      <c r="C880" s="3" t="s">
        <v>1026</v>
      </c>
      <c r="D880" s="3" t="s">
        <v>39</v>
      </c>
      <c r="E880" s="3" t="s">
        <v>458</v>
      </c>
      <c r="F880" s="3" t="s">
        <v>219</v>
      </c>
      <c r="G880" s="3">
        <v>4.7765957449999998</v>
      </c>
      <c r="H880" s="3">
        <v>9.9652947330000003</v>
      </c>
      <c r="I880" s="3">
        <v>0.14579700000000001</v>
      </c>
      <c r="J880" s="3">
        <v>38.918612719999999</v>
      </c>
      <c r="K880" s="3">
        <v>3.4866323999999997E-2</v>
      </c>
      <c r="L880" s="3">
        <v>5.1854984E-2</v>
      </c>
      <c r="M880" s="3">
        <v>0.25993625199999998</v>
      </c>
      <c r="N880" s="3">
        <v>5.9834341999999999E-2</v>
      </c>
      <c r="O880" s="3">
        <v>4.3808745000000003E-2</v>
      </c>
      <c r="P880" s="3">
        <v>7.0674980999999998E-2</v>
      </c>
      <c r="Q880" s="3">
        <v>8.3002116000000001E-2</v>
      </c>
      <c r="R880" s="3">
        <v>1.256477319</v>
      </c>
      <c r="S880" s="3">
        <v>5.7508572850000004</v>
      </c>
      <c r="T880" s="3">
        <v>0.89464718899999995</v>
      </c>
      <c r="U880" s="3">
        <v>0.47219724800000001</v>
      </c>
      <c r="V880" s="3">
        <v>0.32113736100000001</v>
      </c>
      <c r="W880" s="3">
        <v>0.73472287999999997</v>
      </c>
      <c r="X880" s="3">
        <v>6.055052806</v>
      </c>
      <c r="Y880" s="3">
        <v>61.560354179999997</v>
      </c>
      <c r="Z880" s="3">
        <v>1.8946471890000001</v>
      </c>
      <c r="AA880" s="3">
        <v>5.1854984E-2</v>
      </c>
      <c r="AB880" s="3">
        <v>10.005116940000001</v>
      </c>
      <c r="AC880" s="3">
        <v>8.2412743210000006</v>
      </c>
      <c r="AD880" s="3">
        <v>6.8659338E-2</v>
      </c>
      <c r="AE880" s="3">
        <v>24.353193009999998</v>
      </c>
      <c r="AF880" s="4">
        <v>41726</v>
      </c>
      <c r="AG880" s="5">
        <f>YEAR(AF880)</f>
        <v>2014</v>
      </c>
      <c r="AH880" s="5" t="str">
        <f>"Q"&amp;ROUNDUP(MONTH(AF880)/3,0)</f>
        <v>Q1</v>
      </c>
      <c r="AI880" s="5">
        <f>INDEX(RatingLookup!$B$2:$B$11,MATCH(A880,RatingLookup!$A$2:$A$11,0))</f>
        <v>7</v>
      </c>
      <c r="AJ880" s="5" t="str">
        <f>INDEX(RatingLookup!$C$2:$C$11,MATCH(A880,RatingLookup!$A$2:$A$11,0))</f>
        <v>Investment Grade</v>
      </c>
    </row>
    <row r="881" spans="1:36" x14ac:dyDescent="0.3">
      <c r="A881" s="3" t="s">
        <v>42</v>
      </c>
      <c r="B881" s="3" t="s">
        <v>1029</v>
      </c>
      <c r="C881" s="3" t="s">
        <v>1030</v>
      </c>
      <c r="D881" s="3" t="s">
        <v>39</v>
      </c>
      <c r="E881" s="3" t="s">
        <v>1031</v>
      </c>
      <c r="F881" s="3" t="s">
        <v>219</v>
      </c>
      <c r="G881" s="3">
        <v>3.2700712570000001</v>
      </c>
      <c r="H881" s="3">
        <v>1.6949305589999999</v>
      </c>
      <c r="I881" s="3">
        <v>0.75667783600000005</v>
      </c>
      <c r="J881" s="3">
        <v>34.69497475</v>
      </c>
      <c r="K881" s="3">
        <v>2.5615359000000001E-2</v>
      </c>
      <c r="L881" s="3">
        <v>4.1524307000000003E-2</v>
      </c>
      <c r="M881" s="3">
        <v>7.4040603999999996E-2</v>
      </c>
      <c r="N881" s="3">
        <v>4.1524307000000003E-2</v>
      </c>
      <c r="O881" s="3">
        <v>3.2099975000000003E-2</v>
      </c>
      <c r="P881" s="3">
        <v>5.9738654000000002E-2</v>
      </c>
      <c r="Q881" s="3">
        <v>6.3829419999999998E-2</v>
      </c>
      <c r="R881" s="3">
        <v>1.253153414</v>
      </c>
      <c r="S881" s="3">
        <v>3.874710801</v>
      </c>
      <c r="T881" s="3">
        <v>0.98845701500000005</v>
      </c>
      <c r="U881" s="3">
        <v>0.49709750200000002</v>
      </c>
      <c r="V881" s="3">
        <v>0.259876151</v>
      </c>
      <c r="W881" s="3">
        <v>-0.110397616</v>
      </c>
      <c r="X881" s="3">
        <v>-0.372960132</v>
      </c>
      <c r="Y881" s="3">
        <v>4.7369224360000004</v>
      </c>
      <c r="Z881" s="3">
        <v>1.988457015</v>
      </c>
      <c r="AA881" s="3">
        <v>4.1524307000000003E-2</v>
      </c>
      <c r="AB881" s="3">
        <v>13.13101575</v>
      </c>
      <c r="AC881" s="3">
        <v>3.3783350099999998</v>
      </c>
      <c r="AD881" s="3">
        <v>5.6579173000000003E-2</v>
      </c>
      <c r="AE881" s="3">
        <v>15.79247018</v>
      </c>
      <c r="AF881" s="4">
        <v>41673</v>
      </c>
      <c r="AG881" s="5">
        <f>YEAR(AF881)</f>
        <v>2014</v>
      </c>
      <c r="AH881" s="5" t="str">
        <f>"Q"&amp;ROUNDUP(MONTH(AF881)/3,0)</f>
        <v>Q1</v>
      </c>
      <c r="AI881" s="5">
        <f>INDEX(RatingLookup!$B$2:$B$11,MATCH(A881,RatingLookup!$A$2:$A$11,0))</f>
        <v>7</v>
      </c>
      <c r="AJ881" s="5" t="str">
        <f>INDEX(RatingLookup!$C$2:$C$11,MATCH(A881,RatingLookup!$A$2:$A$11,0))</f>
        <v>Investment Grade</v>
      </c>
    </row>
    <row r="882" spans="1:36" x14ac:dyDescent="0.3">
      <c r="A882" s="3" t="s">
        <v>42</v>
      </c>
      <c r="B882" s="3" t="s">
        <v>1029</v>
      </c>
      <c r="C882" s="3" t="s">
        <v>1030</v>
      </c>
      <c r="D882" s="3" t="s">
        <v>39</v>
      </c>
      <c r="E882" s="3" t="s">
        <v>1032</v>
      </c>
      <c r="F882" s="3" t="s">
        <v>219</v>
      </c>
      <c r="G882" s="3">
        <v>3.0708178570000002</v>
      </c>
      <c r="H882" s="3">
        <v>1.521822158</v>
      </c>
      <c r="I882" s="3">
        <v>0.48820465099999999</v>
      </c>
      <c r="J882" s="3">
        <v>35.769899379999998</v>
      </c>
      <c r="K882" s="3">
        <v>3.3828061E-2</v>
      </c>
      <c r="L882" s="3">
        <v>5.7075051000000002E-2</v>
      </c>
      <c r="M882" s="3">
        <v>9.0334672000000005E-2</v>
      </c>
      <c r="N882" s="3">
        <v>5.7075051000000002E-2</v>
      </c>
      <c r="O882" s="3">
        <v>4.5719092000000003E-2</v>
      </c>
      <c r="P882" s="3">
        <v>8.9108118E-2</v>
      </c>
      <c r="Q882" s="3">
        <v>9.1855742000000004E-2</v>
      </c>
      <c r="R882" s="3">
        <v>1.3515138099999999</v>
      </c>
      <c r="S882" s="3">
        <v>3.9914111000000001</v>
      </c>
      <c r="T882" s="3">
        <v>1.009133133</v>
      </c>
      <c r="U882" s="3">
        <v>0.50227290400000002</v>
      </c>
      <c r="V882" s="3">
        <v>0.32275811300000001</v>
      </c>
      <c r="W882" s="3">
        <v>0.50258172999999995</v>
      </c>
      <c r="X882" s="3">
        <v>2.1101807789999998</v>
      </c>
      <c r="Y882" s="3">
        <v>3.5147293319999999</v>
      </c>
      <c r="Z882" s="3">
        <v>2.0091331330000002</v>
      </c>
      <c r="AA882" s="3">
        <v>5.7075051000000002E-2</v>
      </c>
      <c r="AB882" s="3">
        <v>8.9754897360000001</v>
      </c>
      <c r="AC882" s="3">
        <v>4.1986818330000002</v>
      </c>
      <c r="AD882" s="3">
        <v>6.3628952000000003E-2</v>
      </c>
      <c r="AE882" s="3">
        <v>19.316989509999999</v>
      </c>
      <c r="AF882" s="4">
        <v>41849</v>
      </c>
      <c r="AG882" s="5">
        <f>YEAR(AF882)</f>
        <v>2014</v>
      </c>
      <c r="AH882" s="5" t="str">
        <f>"Q"&amp;ROUNDUP(MONTH(AF882)/3,0)</f>
        <v>Q3</v>
      </c>
      <c r="AI882" s="5">
        <f>INDEX(RatingLookup!$B$2:$B$11,MATCH(A882,RatingLookup!$A$2:$A$11,0))</f>
        <v>7</v>
      </c>
      <c r="AJ882" s="5" t="str">
        <f>INDEX(RatingLookup!$C$2:$C$11,MATCH(A882,RatingLookup!$A$2:$A$11,0))</f>
        <v>Investment Grade</v>
      </c>
    </row>
    <row r="883" spans="1:36" x14ac:dyDescent="0.3">
      <c r="A883" s="3" t="s">
        <v>42</v>
      </c>
      <c r="B883" s="3" t="s">
        <v>1029</v>
      </c>
      <c r="C883" s="3" t="s">
        <v>1030</v>
      </c>
      <c r="D883" s="3" t="s">
        <v>39</v>
      </c>
      <c r="E883" s="3" t="s">
        <v>91</v>
      </c>
      <c r="F883" s="3" t="s">
        <v>219</v>
      </c>
      <c r="G883" s="3">
        <v>4.1542680949999999</v>
      </c>
      <c r="H883" s="3">
        <v>2.4713822749999999</v>
      </c>
      <c r="I883" s="3">
        <v>1.4001637339999999</v>
      </c>
      <c r="J883" s="3">
        <v>30.724917269999999</v>
      </c>
      <c r="K883" s="3">
        <v>2.1756372E-2</v>
      </c>
      <c r="L883" s="3">
        <v>4.3142897999999999E-2</v>
      </c>
      <c r="M883" s="3">
        <v>9.6188055999999994E-2</v>
      </c>
      <c r="N883" s="3">
        <v>4.3142897999999999E-2</v>
      </c>
      <c r="O883" s="3">
        <v>2.5098174000000001E-2</v>
      </c>
      <c r="P883" s="3">
        <v>5.5128297E-2</v>
      </c>
      <c r="Q883" s="3">
        <v>4.8222310999999997E-2</v>
      </c>
      <c r="R883" s="3">
        <v>1.153601103</v>
      </c>
      <c r="S883" s="3">
        <v>3.3610226459999999</v>
      </c>
      <c r="T883" s="3">
        <v>0.92134736500000003</v>
      </c>
      <c r="U883" s="3">
        <v>0.47953190600000001</v>
      </c>
      <c r="V883" s="3">
        <v>0.30053945199999998</v>
      </c>
      <c r="W883" s="3">
        <v>0.82655746799999996</v>
      </c>
      <c r="X883" s="3">
        <v>5.5618049379999999</v>
      </c>
      <c r="Y883" s="3">
        <v>6.3621075290000002</v>
      </c>
      <c r="Z883" s="3">
        <v>1.9213473649999999</v>
      </c>
      <c r="AA883" s="3">
        <v>4.3142897999999999E-2</v>
      </c>
      <c r="AB883" s="3">
        <v>10.64173663</v>
      </c>
      <c r="AC883" s="3">
        <v>6.728878699</v>
      </c>
      <c r="AD883" s="3">
        <v>0.131212774</v>
      </c>
      <c r="AE883" s="3">
        <v>26.226488759999999</v>
      </c>
      <c r="AF883" s="4">
        <v>42304</v>
      </c>
      <c r="AG883" s="5">
        <f>YEAR(AF883)</f>
        <v>2015</v>
      </c>
      <c r="AH883" s="5" t="str">
        <f>"Q"&amp;ROUNDUP(MONTH(AF883)/3,0)</f>
        <v>Q4</v>
      </c>
      <c r="AI883" s="5">
        <f>INDEX(RatingLookup!$B$2:$B$11,MATCH(A883,RatingLookup!$A$2:$A$11,0))</f>
        <v>7</v>
      </c>
      <c r="AJ883" s="5" t="str">
        <f>INDEX(RatingLookup!$C$2:$C$11,MATCH(A883,RatingLookup!$A$2:$A$11,0))</f>
        <v>Investment Grade</v>
      </c>
    </row>
    <row r="884" spans="1:36" x14ac:dyDescent="0.3">
      <c r="A884" s="3" t="s">
        <v>36</v>
      </c>
      <c r="B884" s="3" t="s">
        <v>1029</v>
      </c>
      <c r="C884" s="3" t="s">
        <v>1030</v>
      </c>
      <c r="D884" s="3" t="s">
        <v>60</v>
      </c>
      <c r="E884" s="3" t="s">
        <v>1033</v>
      </c>
      <c r="F884" s="3" t="s">
        <v>219</v>
      </c>
      <c r="G884" s="3">
        <v>2.7894428769999999</v>
      </c>
      <c r="H884" s="3">
        <v>1.4113082189999999</v>
      </c>
      <c r="I884" s="3">
        <v>0.51876162800000003</v>
      </c>
      <c r="J884" s="3">
        <v>32.073804559999999</v>
      </c>
      <c r="K884" s="3">
        <v>2.5972098999999998E-2</v>
      </c>
      <c r="L884" s="3">
        <v>4.3899738000000001E-2</v>
      </c>
      <c r="M884" s="3">
        <v>7.7899878000000006E-2</v>
      </c>
      <c r="N884" s="3">
        <v>4.3899738000000001E-2</v>
      </c>
      <c r="O884" s="3">
        <v>3.5656932000000002E-2</v>
      </c>
      <c r="P884" s="3">
        <v>7.0360125999999995E-2</v>
      </c>
      <c r="Q884" s="3">
        <v>6.6036027999999997E-2</v>
      </c>
      <c r="R884" s="3">
        <v>1.372893725</v>
      </c>
      <c r="S884" s="3">
        <v>4.5363107559999998</v>
      </c>
      <c r="T884" s="3">
        <v>0.851982923</v>
      </c>
      <c r="U884" s="3">
        <v>0.460038218</v>
      </c>
      <c r="V884" s="3">
        <v>0.304609937</v>
      </c>
      <c r="W884" s="3">
        <v>0.21057993899999999</v>
      </c>
      <c r="X884" s="3">
        <v>0.79446651499999998</v>
      </c>
      <c r="Y884" s="3">
        <v>3.636489069</v>
      </c>
      <c r="Z884" s="3">
        <v>1.851982923</v>
      </c>
      <c r="AA884" s="3">
        <v>4.3899738000000001E-2</v>
      </c>
      <c r="AB884" s="3">
        <v>11.855591759999999</v>
      </c>
      <c r="AC884" s="3">
        <v>3.772754988</v>
      </c>
      <c r="AD884" s="3">
        <v>6.1782291000000003E-2</v>
      </c>
      <c r="AE884" s="3">
        <v>17.116186580000001</v>
      </c>
      <c r="AF884" s="4">
        <v>41204</v>
      </c>
      <c r="AG884" s="5">
        <f>YEAR(AF884)</f>
        <v>2012</v>
      </c>
      <c r="AH884" s="5" t="str">
        <f>"Q"&amp;ROUNDUP(MONTH(AF884)/3,0)</f>
        <v>Q4</v>
      </c>
      <c r="AI884" s="5">
        <f>INDEX(RatingLookup!$B$2:$B$11,MATCH(A884,RatingLookup!$A$2:$A$11,0))</f>
        <v>8</v>
      </c>
      <c r="AJ884" s="5" t="str">
        <f>INDEX(RatingLookup!$C$2:$C$11,MATCH(A884,RatingLookup!$A$2:$A$11,0))</f>
        <v>Investment Grade</v>
      </c>
    </row>
    <row r="885" spans="1:36" x14ac:dyDescent="0.3">
      <c r="A885" s="3" t="s">
        <v>36</v>
      </c>
      <c r="B885" s="3" t="s">
        <v>1029</v>
      </c>
      <c r="C885" s="3" t="s">
        <v>1030</v>
      </c>
      <c r="D885" s="3" t="s">
        <v>60</v>
      </c>
      <c r="E885" s="3" t="s">
        <v>46</v>
      </c>
      <c r="F885" s="3" t="s">
        <v>219</v>
      </c>
      <c r="G885" s="3">
        <v>2.7996309770000001</v>
      </c>
      <c r="H885" s="3">
        <v>1.7837870440000001</v>
      </c>
      <c r="I885" s="3">
        <v>0.50109158399999998</v>
      </c>
      <c r="J885" s="3">
        <v>31.184865240000001</v>
      </c>
      <c r="K885" s="3">
        <v>3.8863610999999999E-2</v>
      </c>
      <c r="L885" s="3">
        <v>6.2516943000000005E-2</v>
      </c>
      <c r="M885" s="3">
        <v>9.7315192999999994E-2</v>
      </c>
      <c r="N885" s="3">
        <v>6.2516943000000005E-2</v>
      </c>
      <c r="O885" s="3">
        <v>5.3409011999999999E-2</v>
      </c>
      <c r="P885" s="3">
        <v>0.10282422200000001</v>
      </c>
      <c r="Q885" s="3">
        <v>0.10410701999999999</v>
      </c>
      <c r="R885" s="3">
        <v>1.3742678800000001</v>
      </c>
      <c r="S885" s="3">
        <v>5.3316494499999996</v>
      </c>
      <c r="T885" s="3">
        <v>0.94924069099999997</v>
      </c>
      <c r="U885" s="3">
        <v>0.48697972299999998</v>
      </c>
      <c r="V885" s="3">
        <v>0.312209821</v>
      </c>
      <c r="W885" s="3">
        <v>0.57340995500000003</v>
      </c>
      <c r="X885" s="3">
        <v>1.867872567</v>
      </c>
      <c r="Y885" s="3">
        <v>8.0861522350000001</v>
      </c>
      <c r="Z885" s="3">
        <v>1.949240691</v>
      </c>
      <c r="AA885" s="3">
        <v>6.2516943000000005E-2</v>
      </c>
      <c r="AB885" s="3">
        <v>9.3461671079999995</v>
      </c>
      <c r="AC885" s="3">
        <v>3.2574819320000001</v>
      </c>
      <c r="AD885" s="3">
        <v>5.1569839999999999E-2</v>
      </c>
      <c r="AE885" s="3">
        <v>18.85470325</v>
      </c>
      <c r="AF885" s="4">
        <v>41075</v>
      </c>
      <c r="AG885" s="5">
        <f>YEAR(AF885)</f>
        <v>2012</v>
      </c>
      <c r="AH885" s="5" t="str">
        <f>"Q"&amp;ROUNDUP(MONTH(AF885)/3,0)</f>
        <v>Q2</v>
      </c>
      <c r="AI885" s="5">
        <f>INDEX(RatingLookup!$B$2:$B$11,MATCH(A885,RatingLookup!$A$2:$A$11,0))</f>
        <v>8</v>
      </c>
      <c r="AJ885" s="5" t="str">
        <f>INDEX(RatingLookup!$C$2:$C$11,MATCH(A885,RatingLookup!$A$2:$A$11,0))</f>
        <v>Investment Grade</v>
      </c>
    </row>
    <row r="886" spans="1:36" x14ac:dyDescent="0.3">
      <c r="A886" s="3" t="s">
        <v>42</v>
      </c>
      <c r="B886" s="3" t="s">
        <v>1034</v>
      </c>
      <c r="C886" s="3" t="s">
        <v>1035</v>
      </c>
      <c r="D886" s="3" t="s">
        <v>39</v>
      </c>
      <c r="E886" s="3" t="s">
        <v>340</v>
      </c>
      <c r="F886" s="3" t="s">
        <v>96</v>
      </c>
      <c r="G886" s="3">
        <v>0.408697745</v>
      </c>
      <c r="H886" s="3">
        <v>0.31233450299999999</v>
      </c>
      <c r="I886" s="3">
        <v>9.3525331000000003E-2</v>
      </c>
      <c r="J886" s="3">
        <v>56.496890729999997</v>
      </c>
      <c r="K886" s="3">
        <v>0.24544223700000001</v>
      </c>
      <c r="L886" s="3">
        <v>0.34692095299999998</v>
      </c>
      <c r="M886" s="3">
        <v>0.61157151099999996</v>
      </c>
      <c r="N886" s="3">
        <v>0.35616945799999999</v>
      </c>
      <c r="O886" s="3">
        <v>9.0381694999999998E-2</v>
      </c>
      <c r="P886" s="3">
        <v>0.17343322</v>
      </c>
      <c r="Q886" s="3">
        <v>0.36995111600000002</v>
      </c>
      <c r="R886" s="3">
        <v>0.368240185</v>
      </c>
      <c r="S886" s="3">
        <v>4.9454047179999998</v>
      </c>
      <c r="T886" s="3">
        <v>3.0932084359999998</v>
      </c>
      <c r="U886" s="3">
        <v>0.75569287100000004</v>
      </c>
      <c r="V886" s="3">
        <v>0.29251250299999998</v>
      </c>
      <c r="W886" s="3">
        <v>0.73361958800000004</v>
      </c>
      <c r="X886" s="3">
        <v>2.771506129</v>
      </c>
      <c r="Y886" s="3">
        <v>0.85967456099999995</v>
      </c>
      <c r="Z886" s="3">
        <v>4.0932084360000003</v>
      </c>
      <c r="AA886" s="3">
        <v>0.34692095299999998</v>
      </c>
      <c r="AB886" s="3">
        <v>16.058444250000001</v>
      </c>
      <c r="AC886" s="3">
        <v>3.7778518650000001</v>
      </c>
      <c r="AD886" s="3">
        <v>0.30158800000000002</v>
      </c>
      <c r="AE886" s="3">
        <v>3.2698075420000001</v>
      </c>
      <c r="AF886" s="4">
        <v>42306</v>
      </c>
      <c r="AG886" s="5">
        <f>YEAR(AF886)</f>
        <v>2015</v>
      </c>
      <c r="AH886" s="5" t="str">
        <f>"Q"&amp;ROUNDUP(MONTH(AF886)/3,0)</f>
        <v>Q4</v>
      </c>
      <c r="AI886" s="5">
        <f>INDEX(RatingLookup!$B$2:$B$11,MATCH(A886,RatingLookup!$A$2:$A$11,0))</f>
        <v>7</v>
      </c>
      <c r="AJ886" s="5" t="str">
        <f>INDEX(RatingLookup!$C$2:$C$11,MATCH(A886,RatingLookup!$A$2:$A$11,0))</f>
        <v>Investment Grade</v>
      </c>
    </row>
    <row r="887" spans="1:36" x14ac:dyDescent="0.3">
      <c r="A887" s="3" t="s">
        <v>42</v>
      </c>
      <c r="B887" s="3" t="s">
        <v>1034</v>
      </c>
      <c r="C887" s="3" t="s">
        <v>1035</v>
      </c>
      <c r="D887" s="3" t="s">
        <v>39</v>
      </c>
      <c r="E887" s="3" t="s">
        <v>1036</v>
      </c>
      <c r="F887" s="3" t="s">
        <v>96</v>
      </c>
      <c r="G887" s="3">
        <v>0.49850635999999998</v>
      </c>
      <c r="H887" s="3">
        <v>0.34206957399999999</v>
      </c>
      <c r="I887" s="3">
        <v>5.1031416000000003E-2</v>
      </c>
      <c r="J887" s="3">
        <v>46.111307670000002</v>
      </c>
      <c r="K887" s="3">
        <v>0.2290239</v>
      </c>
      <c r="L887" s="3">
        <v>0.33812973499999999</v>
      </c>
      <c r="M887" s="3">
        <v>0.58974790600000004</v>
      </c>
      <c r="N887" s="3">
        <v>0.378105095</v>
      </c>
      <c r="O887" s="3">
        <v>0.17056959999999999</v>
      </c>
      <c r="P887" s="3">
        <v>0.37522076700000001</v>
      </c>
      <c r="Q887" s="3">
        <v>1.895547353</v>
      </c>
      <c r="R887" s="3">
        <v>0.74476768699999996</v>
      </c>
      <c r="S887" s="3">
        <v>5.7786371919999997</v>
      </c>
      <c r="T887" s="3">
        <v>10.11304331</v>
      </c>
      <c r="U887" s="3">
        <v>0.91001564800000001</v>
      </c>
      <c r="V887" s="3">
        <v>0.37207510799999999</v>
      </c>
      <c r="W887" s="3">
        <v>0.70003595900000004</v>
      </c>
      <c r="X887" s="3">
        <v>2.0662534199999998</v>
      </c>
      <c r="Y887" s="3">
        <v>0.26027626399999998</v>
      </c>
      <c r="Z887" s="3">
        <v>11.11304331</v>
      </c>
      <c r="AA887" s="3">
        <v>0.33812973499999999</v>
      </c>
      <c r="AB887" s="3">
        <v>15.06111353</v>
      </c>
      <c r="AC887" s="3">
        <v>2.9516389749999998</v>
      </c>
      <c r="AD887" s="3">
        <v>0.28021109199999999</v>
      </c>
      <c r="AE887" s="3">
        <v>3.9651073999999999</v>
      </c>
      <c r="AF887" s="4">
        <v>42073</v>
      </c>
      <c r="AG887" s="5">
        <f>YEAR(AF887)</f>
        <v>2015</v>
      </c>
      <c r="AH887" s="5" t="str">
        <f>"Q"&amp;ROUNDUP(MONTH(AF887)/3,0)</f>
        <v>Q1</v>
      </c>
      <c r="AI887" s="5">
        <f>INDEX(RatingLookup!$B$2:$B$11,MATCH(A887,RatingLookup!$A$2:$A$11,0))</f>
        <v>7</v>
      </c>
      <c r="AJ887" s="5" t="str">
        <f>INDEX(RatingLookup!$C$2:$C$11,MATCH(A887,RatingLookup!$A$2:$A$11,0))</f>
        <v>Investment Grade</v>
      </c>
    </row>
    <row r="888" spans="1:36" x14ac:dyDescent="0.3">
      <c r="A888" s="3" t="s">
        <v>42</v>
      </c>
      <c r="B888" s="3" t="s">
        <v>1034</v>
      </c>
      <c r="C888" s="3" t="s">
        <v>1035</v>
      </c>
      <c r="D888" s="3" t="s">
        <v>39</v>
      </c>
      <c r="E888" s="3" t="s">
        <v>636</v>
      </c>
      <c r="F888" s="3" t="s">
        <v>96</v>
      </c>
      <c r="G888" s="3">
        <v>1.1012711660000001</v>
      </c>
      <c r="H888" s="3">
        <v>0.76130562899999998</v>
      </c>
      <c r="I888" s="3">
        <v>0.384529395</v>
      </c>
      <c r="J888" s="3">
        <v>36.265931070000001</v>
      </c>
      <c r="K888" s="3">
        <v>0.21832383599999999</v>
      </c>
      <c r="L888" s="3">
        <v>0.33761921900000003</v>
      </c>
      <c r="M888" s="3">
        <v>0.60987539700000004</v>
      </c>
      <c r="N888" s="3">
        <v>0.38495070799999997</v>
      </c>
      <c r="O888" s="3">
        <v>0.13910433899999999</v>
      </c>
      <c r="P888" s="3">
        <v>0.25985013099999998</v>
      </c>
      <c r="Q888" s="3">
        <v>0.63620708199999998</v>
      </c>
      <c r="R888" s="3">
        <v>0.637146824</v>
      </c>
      <c r="S888" s="3">
        <v>6.837564757</v>
      </c>
      <c r="T888" s="3">
        <v>3.5735962560000001</v>
      </c>
      <c r="U888" s="3">
        <v>0.781353678</v>
      </c>
      <c r="V888" s="3">
        <v>0.36460259099999998</v>
      </c>
      <c r="W888" s="3">
        <v>0.71203345699999998</v>
      </c>
      <c r="X888" s="3">
        <v>2.1480745520000002</v>
      </c>
      <c r="Y888" s="3">
        <v>1.0100016300000001</v>
      </c>
      <c r="Z888" s="3">
        <v>4.5735962560000001</v>
      </c>
      <c r="AA888" s="3">
        <v>0.33761921900000003</v>
      </c>
      <c r="AB888" s="3">
        <v>16.024662719999998</v>
      </c>
      <c r="AC888" s="3">
        <v>3.0168168789999998</v>
      </c>
      <c r="AD888" s="3">
        <v>0.31767816399999999</v>
      </c>
      <c r="AE888" s="3">
        <v>3.3066491739999999</v>
      </c>
      <c r="AF888" s="4">
        <v>41523</v>
      </c>
      <c r="AG888" s="5">
        <f>YEAR(AF888)</f>
        <v>2013</v>
      </c>
      <c r="AH888" s="5" t="str">
        <f>"Q"&amp;ROUNDUP(MONTH(AF888)/3,0)</f>
        <v>Q3</v>
      </c>
      <c r="AI888" s="5">
        <f>INDEX(RatingLookup!$B$2:$B$11,MATCH(A888,RatingLookup!$A$2:$A$11,0))</f>
        <v>7</v>
      </c>
      <c r="AJ888" s="5" t="str">
        <f>INDEX(RatingLookup!$C$2:$C$11,MATCH(A888,RatingLookup!$A$2:$A$11,0))</f>
        <v>Investment Grade</v>
      </c>
    </row>
    <row r="889" spans="1:36" x14ac:dyDescent="0.3">
      <c r="A889" s="3" t="s">
        <v>36</v>
      </c>
      <c r="B889" s="3" t="s">
        <v>1037</v>
      </c>
      <c r="C889" s="3" t="s">
        <v>1038</v>
      </c>
      <c r="D889" s="3" t="s">
        <v>47</v>
      </c>
      <c r="E889" s="3" t="s">
        <v>843</v>
      </c>
      <c r="F889" s="3" t="s">
        <v>96</v>
      </c>
      <c r="G889" s="3">
        <v>3.7746062990000002</v>
      </c>
      <c r="H889" s="3">
        <v>2.3484251970000001</v>
      </c>
      <c r="I889" s="3">
        <v>1.5787401569999999</v>
      </c>
      <c r="J889" s="3">
        <v>66.861091590000001</v>
      </c>
      <c r="K889" s="3">
        <v>6.1606934000000002E-2</v>
      </c>
      <c r="L889" s="3">
        <v>6.9337080999999995E-2</v>
      </c>
      <c r="M889" s="3">
        <v>0.43968142399999999</v>
      </c>
      <c r="N889" s="3">
        <v>0.10260014100000001</v>
      </c>
      <c r="O889" s="3">
        <v>2.5069107E-2</v>
      </c>
      <c r="P889" s="3">
        <v>4.2849603999999999E-2</v>
      </c>
      <c r="Q889" s="3">
        <v>8.1097748999999997E-2</v>
      </c>
      <c r="R889" s="3">
        <v>0.40692021699999997</v>
      </c>
      <c r="S889" s="3">
        <v>3.6865284969999998</v>
      </c>
      <c r="T889" s="3">
        <v>2.2349676230000002</v>
      </c>
      <c r="U889" s="3">
        <v>0.69087789499999996</v>
      </c>
      <c r="V889" s="3">
        <v>0.111486486</v>
      </c>
      <c r="W889" s="3">
        <v>0.65191489400000002</v>
      </c>
      <c r="X889" s="3">
        <v>3.0288747570000001</v>
      </c>
      <c r="Y889" s="3">
        <v>6.3424479250000001</v>
      </c>
      <c r="Z889" s="3">
        <v>3.2349676230000002</v>
      </c>
      <c r="AA889" s="3">
        <v>9.5104240000000007E-2</v>
      </c>
      <c r="AB889" s="3">
        <v>24.262362889999999</v>
      </c>
      <c r="AC889" s="3">
        <v>4.646119895</v>
      </c>
      <c r="AD889" s="3">
        <v>0.27524010300000001</v>
      </c>
      <c r="AE889" s="3">
        <v>4.6446601940000001</v>
      </c>
      <c r="AF889" s="4">
        <v>42152</v>
      </c>
      <c r="AG889" s="5">
        <f>YEAR(AF889)</f>
        <v>2015</v>
      </c>
      <c r="AH889" s="5" t="str">
        <f>"Q"&amp;ROUNDUP(MONTH(AF889)/3,0)</f>
        <v>Q2</v>
      </c>
      <c r="AI889" s="5">
        <f>INDEX(RatingLookup!$B$2:$B$11,MATCH(A889,RatingLookup!$A$2:$A$11,0))</f>
        <v>8</v>
      </c>
      <c r="AJ889" s="5" t="str">
        <f>INDEX(RatingLookup!$C$2:$C$11,MATCH(A889,RatingLookup!$A$2:$A$11,0))</f>
        <v>Investment Grade</v>
      </c>
    </row>
    <row r="890" spans="1:36" x14ac:dyDescent="0.3">
      <c r="A890" s="3" t="s">
        <v>36</v>
      </c>
      <c r="B890" s="3" t="s">
        <v>1037</v>
      </c>
      <c r="C890" s="3" t="s">
        <v>1038</v>
      </c>
      <c r="D890" s="3" t="s">
        <v>60</v>
      </c>
      <c r="E890" s="3" t="s">
        <v>46</v>
      </c>
      <c r="F890" s="3" t="s">
        <v>96</v>
      </c>
      <c r="G890" s="3">
        <v>3.98</v>
      </c>
      <c r="H890" s="3">
        <v>3.3057142860000002</v>
      </c>
      <c r="I890" s="3">
        <v>2.3685714290000002</v>
      </c>
      <c r="J890" s="3">
        <v>51.25</v>
      </c>
      <c r="K890" s="3">
        <v>0.23630137000000001</v>
      </c>
      <c r="L890" s="3">
        <v>0.24015411</v>
      </c>
      <c r="M890" s="3">
        <v>0.49101027400000002</v>
      </c>
      <c r="N890" s="3">
        <v>0.25</v>
      </c>
      <c r="O890" s="3">
        <v>0.22567457099999999</v>
      </c>
      <c r="P890" s="3">
        <v>0.26956106899999999</v>
      </c>
      <c r="Q890" s="3">
        <v>0.27517447699999997</v>
      </c>
      <c r="R890" s="3">
        <v>0.95502861800000005</v>
      </c>
      <c r="S890" s="3">
        <v>7.392405063</v>
      </c>
      <c r="T890" s="3">
        <v>0.219341974</v>
      </c>
      <c r="U890" s="3">
        <v>0.17988552699999999</v>
      </c>
      <c r="V890" s="3">
        <v>1.6042780999999999E-2</v>
      </c>
      <c r="W890" s="3">
        <v>0.84573002799999997</v>
      </c>
      <c r="X890" s="3">
        <v>2.5011648649999998</v>
      </c>
      <c r="Y890" s="3">
        <v>3.3769799229999999</v>
      </c>
      <c r="Z890" s="3">
        <v>1.219341974</v>
      </c>
      <c r="AA890" s="3">
        <v>0.24186643799999999</v>
      </c>
      <c r="AB890" s="3">
        <v>10.00216575</v>
      </c>
      <c r="AC890" s="3">
        <v>2.9574034070000002</v>
      </c>
      <c r="AD890" s="3">
        <v>0.31078767099999999</v>
      </c>
      <c r="AE890" s="3">
        <v>5.3800904980000004</v>
      </c>
      <c r="AF890" s="4">
        <v>41075</v>
      </c>
      <c r="AG890" s="5">
        <f>YEAR(AF890)</f>
        <v>2012</v>
      </c>
      <c r="AH890" s="5" t="str">
        <f>"Q"&amp;ROUNDUP(MONTH(AF890)/3,0)</f>
        <v>Q2</v>
      </c>
      <c r="AI890" s="5">
        <f>INDEX(RatingLookup!$B$2:$B$11,MATCH(A890,RatingLookup!$A$2:$A$11,0))</f>
        <v>8</v>
      </c>
      <c r="AJ890" s="5" t="str">
        <f>INDEX(RatingLookup!$C$2:$C$11,MATCH(A890,RatingLookup!$A$2:$A$11,0))</f>
        <v>Investment Grade</v>
      </c>
    </row>
    <row r="891" spans="1:36" x14ac:dyDescent="0.3">
      <c r="A891" s="3" t="s">
        <v>36</v>
      </c>
      <c r="B891" s="3" t="s">
        <v>1037</v>
      </c>
      <c r="C891" s="3" t="s">
        <v>1038</v>
      </c>
      <c r="D891" s="3" t="s">
        <v>39</v>
      </c>
      <c r="E891" s="3" t="s">
        <v>414</v>
      </c>
      <c r="F891" s="3" t="s">
        <v>96</v>
      </c>
      <c r="G891" s="3">
        <v>3.3592493299999999</v>
      </c>
      <c r="H891" s="3">
        <v>2.5388739949999999</v>
      </c>
      <c r="I891" s="3">
        <v>1.6282395000000001</v>
      </c>
      <c r="J891" s="3">
        <v>54.503956619999997</v>
      </c>
      <c r="K891" s="3">
        <v>0.19988276699999999</v>
      </c>
      <c r="L891" s="3">
        <v>0.21101992999999999</v>
      </c>
      <c r="M891" s="3">
        <v>0.52066236799999999</v>
      </c>
      <c r="N891" s="3">
        <v>0.23915591999999999</v>
      </c>
      <c r="O891" s="3">
        <v>0.12971944799999999</v>
      </c>
      <c r="P891" s="3">
        <v>0.173584504</v>
      </c>
      <c r="Q891" s="3">
        <v>0.28935086999999998</v>
      </c>
      <c r="R891" s="3">
        <v>0.64897765100000004</v>
      </c>
      <c r="S891" s="3">
        <v>4.6739726030000002</v>
      </c>
      <c r="T891" s="3">
        <v>1.230589733</v>
      </c>
      <c r="U891" s="3">
        <v>0.55168806500000001</v>
      </c>
      <c r="V891" s="3">
        <v>5.2777777999999997E-2</v>
      </c>
      <c r="W891" s="3">
        <v>0.79163071600000001</v>
      </c>
      <c r="X891" s="3">
        <v>6.6639733559999996</v>
      </c>
      <c r="Y891" s="3">
        <v>6.6167626459999997</v>
      </c>
      <c r="Z891" s="3">
        <v>2.230589733</v>
      </c>
      <c r="AA891" s="3">
        <v>0.23900937899999999</v>
      </c>
      <c r="AB891" s="3">
        <v>13.887505730000001</v>
      </c>
      <c r="AC891" s="3">
        <v>8.4180328279999994</v>
      </c>
      <c r="AD891" s="3">
        <v>0.33968346999999999</v>
      </c>
      <c r="AE891" s="3">
        <v>5.3014586709999998</v>
      </c>
      <c r="AF891" s="4">
        <v>42227</v>
      </c>
      <c r="AG891" s="5">
        <f>YEAR(AF891)</f>
        <v>2015</v>
      </c>
      <c r="AH891" s="5" t="str">
        <f>"Q"&amp;ROUNDUP(MONTH(AF891)/3,0)</f>
        <v>Q3</v>
      </c>
      <c r="AI891" s="5">
        <f>INDEX(RatingLookup!$B$2:$B$11,MATCH(A891,RatingLookup!$A$2:$A$11,0))</f>
        <v>8</v>
      </c>
      <c r="AJ891" s="5" t="str">
        <f>INDEX(RatingLookup!$C$2:$C$11,MATCH(A891,RatingLookup!$A$2:$A$11,0))</f>
        <v>Investment Grade</v>
      </c>
    </row>
    <row r="892" spans="1:36" x14ac:dyDescent="0.3">
      <c r="A892" s="3" t="s">
        <v>36</v>
      </c>
      <c r="B892" s="3" t="s">
        <v>1037</v>
      </c>
      <c r="C892" s="3" t="s">
        <v>1038</v>
      </c>
      <c r="D892" s="3" t="s">
        <v>60</v>
      </c>
      <c r="E892" s="3" t="s">
        <v>1039</v>
      </c>
      <c r="F892" s="3" t="s">
        <v>96</v>
      </c>
      <c r="G892" s="3">
        <v>4.8872832370000001</v>
      </c>
      <c r="H892" s="3">
        <v>4.1184971099999999</v>
      </c>
      <c r="I892" s="3">
        <v>3.1329479770000002</v>
      </c>
      <c r="J892" s="3">
        <v>52.650169200000001</v>
      </c>
      <c r="K892" s="3">
        <v>0.23815566799999999</v>
      </c>
      <c r="L892" s="3">
        <v>0.247461929</v>
      </c>
      <c r="M892" s="3">
        <v>0.48307952599999998</v>
      </c>
      <c r="N892" s="3">
        <v>0.246192893</v>
      </c>
      <c r="O892" s="3">
        <v>0.196715584</v>
      </c>
      <c r="P892" s="3">
        <v>0.23290938</v>
      </c>
      <c r="Q892" s="3">
        <v>0.232740802</v>
      </c>
      <c r="R892" s="3">
        <v>0.82599580699999997</v>
      </c>
      <c r="S892" s="3">
        <v>4.6998011929999999</v>
      </c>
      <c r="T892" s="3">
        <v>0.18313352599999999</v>
      </c>
      <c r="U892" s="3">
        <v>0.154786862</v>
      </c>
      <c r="V892" s="3">
        <v>3.7606837999999997E-2</v>
      </c>
      <c r="W892" s="3">
        <v>0.65223665200000003</v>
      </c>
      <c r="X892" s="3">
        <v>1.84591248</v>
      </c>
      <c r="Y892" s="3">
        <v>4.4269228509999996</v>
      </c>
      <c r="Z892" s="3">
        <v>1.183133526</v>
      </c>
      <c r="AA892" s="3">
        <v>0.247884941</v>
      </c>
      <c r="AB892" s="3">
        <v>10.064041359999999</v>
      </c>
      <c r="AC892" s="3">
        <v>2.8301268780000002</v>
      </c>
      <c r="AD892" s="3">
        <v>0.29314720799999999</v>
      </c>
      <c r="AE892" s="3">
        <v>4.9274193549999996</v>
      </c>
      <c r="AF892" s="4">
        <v>41134</v>
      </c>
      <c r="AG892" s="5">
        <f>YEAR(AF892)</f>
        <v>2012</v>
      </c>
      <c r="AH892" s="5" t="str">
        <f>"Q"&amp;ROUNDUP(MONTH(AF892)/3,0)</f>
        <v>Q3</v>
      </c>
      <c r="AI892" s="5">
        <f>INDEX(RatingLookup!$B$2:$B$11,MATCH(A892,RatingLookup!$A$2:$A$11,0))</f>
        <v>8</v>
      </c>
      <c r="AJ892" s="5" t="str">
        <f>INDEX(RatingLookup!$C$2:$C$11,MATCH(A892,RatingLookup!$A$2:$A$11,0))</f>
        <v>Investment Grade</v>
      </c>
    </row>
    <row r="893" spans="1:36" x14ac:dyDescent="0.3">
      <c r="A893" s="3" t="s">
        <v>109</v>
      </c>
      <c r="B893" s="3" t="s">
        <v>1040</v>
      </c>
      <c r="C893" s="3" t="s">
        <v>1041</v>
      </c>
      <c r="D893" s="3" t="s">
        <v>39</v>
      </c>
      <c r="E893" s="3" t="s">
        <v>1042</v>
      </c>
      <c r="F893" s="3" t="s">
        <v>246</v>
      </c>
      <c r="G893" s="3">
        <v>1.2454394689999999</v>
      </c>
      <c r="H893" s="3">
        <v>1.0630182420000001</v>
      </c>
      <c r="I893" s="3">
        <v>0.28358209000000001</v>
      </c>
      <c r="J893" s="3">
        <v>3.3800000000000002E-5</v>
      </c>
      <c r="K893" s="3">
        <v>-1.3220205E-2</v>
      </c>
      <c r="L893" s="3">
        <v>-1.6377269E-2</v>
      </c>
      <c r="M893" s="3">
        <v>1</v>
      </c>
      <c r="N893" s="3">
        <v>8.8792420000000007E-3</v>
      </c>
      <c r="O893" s="3">
        <v>-33753.148609999997</v>
      </c>
      <c r="P893" s="3">
        <v>-60057.887119999999</v>
      </c>
      <c r="Q893" s="3">
        <v>141350.21100000001</v>
      </c>
      <c r="R893" s="3">
        <v>2553148.6150000002</v>
      </c>
      <c r="S893" s="3">
        <v>5098591.5489999996</v>
      </c>
      <c r="T893" s="3">
        <v>-4.1877637129999998</v>
      </c>
      <c r="U893" s="3">
        <v>1</v>
      </c>
      <c r="V893" s="3">
        <v>0</v>
      </c>
      <c r="W893" s="3">
        <v>-1.4642857140000001</v>
      </c>
      <c r="X893" s="3">
        <v>17498.932990000001</v>
      </c>
      <c r="Y893" s="3">
        <v>-7.2983355E-2</v>
      </c>
      <c r="Z893" s="3">
        <v>-4.1877637129999998</v>
      </c>
      <c r="AA893" s="3">
        <v>-1.6377269E-2</v>
      </c>
      <c r="AB893" s="3">
        <v>-1.7932700000000001E-4</v>
      </c>
      <c r="AC893" s="3">
        <v>-11950.490820000001</v>
      </c>
      <c r="AD893" s="3">
        <v>5.5248620000000002E-3</v>
      </c>
      <c r="AE893" s="3">
        <v>0</v>
      </c>
      <c r="AF893" s="4">
        <v>41992</v>
      </c>
      <c r="AG893" s="5">
        <f>YEAR(AF893)</f>
        <v>2014</v>
      </c>
      <c r="AH893" s="5" t="str">
        <f>"Q"&amp;ROUNDUP(MONTH(AF893)/3,0)</f>
        <v>Q4</v>
      </c>
      <c r="AI893" s="5">
        <f>INDEX(RatingLookup!$B$2:$B$11,MATCH(A893,RatingLookup!$A$2:$A$11,0))</f>
        <v>5</v>
      </c>
      <c r="AJ893" s="5" t="str">
        <f>INDEX(RatingLookup!$C$2:$C$11,MATCH(A893,RatingLookup!$A$2:$A$11,0))</f>
        <v>Speculative Grade</v>
      </c>
    </row>
    <row r="894" spans="1:36" x14ac:dyDescent="0.3">
      <c r="A894" s="3" t="s">
        <v>293</v>
      </c>
      <c r="B894" s="3" t="s">
        <v>1040</v>
      </c>
      <c r="C894" s="3" t="s">
        <v>1041</v>
      </c>
      <c r="D894" s="3" t="s">
        <v>39</v>
      </c>
      <c r="E894" s="3" t="s">
        <v>254</v>
      </c>
      <c r="F894" s="3" t="s">
        <v>246</v>
      </c>
      <c r="G894" s="3">
        <v>1.3647260269999999</v>
      </c>
      <c r="H894" s="3">
        <v>1.0890410960000001</v>
      </c>
      <c r="I894" s="3">
        <v>0.30136986300000002</v>
      </c>
      <c r="J894" s="3">
        <v>3.4499999999999998E-5</v>
      </c>
      <c r="K894" s="3">
        <v>-1.7060637E-2</v>
      </c>
      <c r="L894" s="3">
        <v>-2.651593E-2</v>
      </c>
      <c r="M894" s="3">
        <v>1</v>
      </c>
      <c r="N894" s="3">
        <v>5.7553960000000003E-3</v>
      </c>
      <c r="O894" s="3">
        <v>-40213.178290000003</v>
      </c>
      <c r="P894" s="3">
        <v>-87162.162160000007</v>
      </c>
      <c r="Q894" s="3">
        <v>139028.47570000001</v>
      </c>
      <c r="R894" s="3">
        <v>2357073.6430000002</v>
      </c>
      <c r="S894" s="3">
        <v>4467401.2860000003</v>
      </c>
      <c r="T894" s="3">
        <v>-3.4572864320000001</v>
      </c>
      <c r="U894" s="3">
        <v>1</v>
      </c>
      <c r="V894" s="3">
        <v>0</v>
      </c>
      <c r="W894" s="3">
        <v>-4.5</v>
      </c>
      <c r="X894" s="3">
        <v>6071.5088820000001</v>
      </c>
      <c r="Y894" s="3">
        <v>-1.9788621999999999E-2</v>
      </c>
      <c r="Z894" s="3">
        <v>-3.4572864320000001</v>
      </c>
      <c r="AA894" s="3">
        <v>-2.651593E-2</v>
      </c>
      <c r="AB894" s="3">
        <v>-1.024095E-3</v>
      </c>
      <c r="AC894" s="3">
        <v>-1349.2241959999999</v>
      </c>
      <c r="AD894" s="3">
        <v>2.466598E-3</v>
      </c>
      <c r="AE894" s="3">
        <v>0</v>
      </c>
      <c r="AF894" s="4">
        <v>41512</v>
      </c>
      <c r="AG894" s="5">
        <f>YEAR(AF894)</f>
        <v>2013</v>
      </c>
      <c r="AH894" s="5" t="str">
        <f>"Q"&amp;ROUNDUP(MONTH(AF894)/3,0)</f>
        <v>Q3</v>
      </c>
      <c r="AI894" s="5">
        <f>INDEX(RatingLookup!$B$2:$B$11,MATCH(A894,RatingLookup!$A$2:$A$11,0))</f>
        <v>3</v>
      </c>
      <c r="AJ894" s="5" t="str">
        <f>INDEX(RatingLookup!$C$2:$C$11,MATCH(A894,RatingLookup!$A$2:$A$11,0))</f>
        <v>Speculative Grade</v>
      </c>
    </row>
    <row r="895" spans="1:36" x14ac:dyDescent="0.3">
      <c r="A895" s="3" t="s">
        <v>109</v>
      </c>
      <c r="B895" s="3" t="s">
        <v>1040</v>
      </c>
      <c r="C895" s="3" t="s">
        <v>1041</v>
      </c>
      <c r="D895" s="3" t="s">
        <v>39</v>
      </c>
      <c r="E895" s="3" t="s">
        <v>222</v>
      </c>
      <c r="F895" s="3" t="s">
        <v>246</v>
      </c>
      <c r="G895" s="3">
        <v>1.2809773120000001</v>
      </c>
      <c r="H895" s="3">
        <v>1.0471204190000001</v>
      </c>
      <c r="I895" s="3">
        <v>0.30191972099999997</v>
      </c>
      <c r="J895" s="3">
        <v>3.2299999999999999E-5</v>
      </c>
      <c r="K895" s="3">
        <v>-8.2781499999999997E-4</v>
      </c>
      <c r="L895" s="3">
        <v>-8.2781499999999997E-4</v>
      </c>
      <c r="M895" s="3">
        <v>1</v>
      </c>
      <c r="N895" s="3">
        <v>1.9246689000000001E-2</v>
      </c>
      <c r="O895" s="3">
        <v>-2111.9324179999999</v>
      </c>
      <c r="P895" s="3">
        <v>-3028.0090839999998</v>
      </c>
      <c r="Q895" s="3">
        <v>10554.08971</v>
      </c>
      <c r="R895" s="3">
        <v>2551214.361</v>
      </c>
      <c r="S895" s="3">
        <v>5156883.6710000001</v>
      </c>
      <c r="T895" s="3">
        <v>-4.9973614780000002</v>
      </c>
      <c r="U895" s="3">
        <v>1</v>
      </c>
      <c r="V895" s="3">
        <v>0</v>
      </c>
      <c r="W895" s="3">
        <v>0.22857142899999999</v>
      </c>
      <c r="X895" s="3">
        <v>-0.25388800099999997</v>
      </c>
      <c r="Y895" s="3">
        <v>-1.37E-6</v>
      </c>
      <c r="Z895" s="3">
        <v>-4.9973614780000002</v>
      </c>
      <c r="AA895" s="3">
        <v>-8.2781499999999997E-4</v>
      </c>
      <c r="AB895" s="3">
        <v>-5.0908280450000003</v>
      </c>
      <c r="AC895" s="3">
        <v>-1.1107600049999999</v>
      </c>
      <c r="AD895" s="3">
        <v>2.8973510000000001E-2</v>
      </c>
      <c r="AE895" s="3">
        <v>0</v>
      </c>
      <c r="AF895" s="4">
        <v>42340</v>
      </c>
      <c r="AG895" s="5">
        <f>YEAR(AF895)</f>
        <v>2015</v>
      </c>
      <c r="AH895" s="5" t="str">
        <f>"Q"&amp;ROUNDUP(MONTH(AF895)/3,0)</f>
        <v>Q4</v>
      </c>
      <c r="AI895" s="5">
        <f>INDEX(RatingLookup!$B$2:$B$11,MATCH(A895,RatingLookup!$A$2:$A$11,0))</f>
        <v>5</v>
      </c>
      <c r="AJ895" s="5" t="str">
        <f>INDEX(RatingLookup!$C$2:$C$11,MATCH(A895,RatingLookup!$A$2:$A$11,0))</f>
        <v>Speculative Grade</v>
      </c>
    </row>
    <row r="896" spans="1:36" x14ac:dyDescent="0.3">
      <c r="A896" s="3" t="s">
        <v>36</v>
      </c>
      <c r="B896" s="3" t="s">
        <v>1043</v>
      </c>
      <c r="C896" s="3" t="s">
        <v>1044</v>
      </c>
      <c r="D896" s="3" t="s">
        <v>60</v>
      </c>
      <c r="E896" s="3" t="s">
        <v>846</v>
      </c>
      <c r="F896" s="3" t="s">
        <v>66</v>
      </c>
      <c r="G896" s="3">
        <v>0.93868394799999999</v>
      </c>
      <c r="H896" s="3">
        <v>0.71684945200000005</v>
      </c>
      <c r="I896" s="3">
        <v>7.7766699999999994E-2</v>
      </c>
      <c r="J896" s="3">
        <v>72.780850060000006</v>
      </c>
      <c r="K896" s="3">
        <v>8.1055458999999996E-2</v>
      </c>
      <c r="L896" s="3">
        <v>0.101753832</v>
      </c>
      <c r="M896" s="3">
        <v>0.36530257500000002</v>
      </c>
      <c r="N896" s="3">
        <v>0.119924159</v>
      </c>
      <c r="O896" s="3">
        <v>7.3327615999999998E-2</v>
      </c>
      <c r="P896" s="3">
        <v>0.155911824</v>
      </c>
      <c r="Q896" s="3">
        <v>0.58897818599999996</v>
      </c>
      <c r="R896" s="3">
        <v>0.90465980599999996</v>
      </c>
      <c r="S896" s="3">
        <v>3.7405437350000001</v>
      </c>
      <c r="T896" s="3">
        <v>7.0321469580000002</v>
      </c>
      <c r="U896" s="3">
        <v>0.87550028599999996</v>
      </c>
      <c r="V896" s="3">
        <v>0.20341614899999999</v>
      </c>
      <c r="W896" s="3">
        <v>0.67353579200000002</v>
      </c>
      <c r="X896" s="3">
        <v>2.9703396519999998</v>
      </c>
      <c r="Y896" s="3">
        <v>0.84183539200000002</v>
      </c>
      <c r="Z896" s="3">
        <v>8.0321469580000002</v>
      </c>
      <c r="AA896" s="3">
        <v>0.12292621300000001</v>
      </c>
      <c r="AB896" s="3">
        <v>13.94537553</v>
      </c>
      <c r="AC896" s="3">
        <v>4.4100694989999996</v>
      </c>
      <c r="AD896" s="3">
        <v>0.14567862200000001</v>
      </c>
      <c r="AE896" s="3">
        <v>2.719702099</v>
      </c>
      <c r="AF896" s="4">
        <v>42508</v>
      </c>
      <c r="AG896" s="5">
        <f>YEAR(AF896)</f>
        <v>2016</v>
      </c>
      <c r="AH896" s="5" t="str">
        <f>"Q"&amp;ROUNDUP(MONTH(AF896)/3,0)</f>
        <v>Q2</v>
      </c>
      <c r="AI896" s="5">
        <f>INDEX(RatingLookup!$B$2:$B$11,MATCH(A896,RatingLookup!$A$2:$A$11,0))</f>
        <v>8</v>
      </c>
      <c r="AJ896" s="5" t="str">
        <f>INDEX(RatingLookup!$C$2:$C$11,MATCH(A896,RatingLookup!$A$2:$A$11,0))</f>
        <v>Investment Grade</v>
      </c>
    </row>
    <row r="897" spans="1:36" x14ac:dyDescent="0.3">
      <c r="A897" s="3" t="s">
        <v>36</v>
      </c>
      <c r="B897" s="3" t="s">
        <v>1045</v>
      </c>
      <c r="C897" s="3" t="s">
        <v>1046</v>
      </c>
      <c r="D897" s="3" t="s">
        <v>39</v>
      </c>
      <c r="E897" s="3" t="s">
        <v>1047</v>
      </c>
      <c r="F897" s="3" t="s">
        <v>53</v>
      </c>
      <c r="G897" s="3">
        <v>0.91739050099999997</v>
      </c>
      <c r="H897" s="3">
        <v>0.76954352199999998</v>
      </c>
      <c r="I897" s="3">
        <v>7.5771579999999996E-3</v>
      </c>
      <c r="J897" s="3">
        <v>31.429619639999999</v>
      </c>
      <c r="K897" s="3">
        <v>3.2213779999999997E-2</v>
      </c>
      <c r="L897" s="3">
        <v>3.5267106999999999E-2</v>
      </c>
      <c r="M897" s="3">
        <v>5.1291154999999998E-2</v>
      </c>
      <c r="N897" s="3">
        <v>4.0900376000000002E-2</v>
      </c>
      <c r="O897" s="3">
        <v>6.6846758000000006E-2</v>
      </c>
      <c r="P897" s="3">
        <v>9.9672219000000006E-2</v>
      </c>
      <c r="Q897" s="3">
        <v>0.17804814199999999</v>
      </c>
      <c r="R897" s="3">
        <v>2.0750982320000002</v>
      </c>
      <c r="S897" s="3">
        <v>3.9050744060000002</v>
      </c>
      <c r="T897" s="3">
        <v>1.663526949</v>
      </c>
      <c r="U897" s="3">
        <v>0.62455795700000005</v>
      </c>
      <c r="V897" s="3">
        <v>6.7114093999999999E-2</v>
      </c>
      <c r="W897" s="3">
        <v>0.17451381799999999</v>
      </c>
      <c r="X897" s="3">
        <v>1</v>
      </c>
      <c r="Y897" s="3">
        <v>1.5425219939999999</v>
      </c>
      <c r="Z897" s="3">
        <v>2.663526949</v>
      </c>
      <c r="AA897" s="3">
        <v>3.5267106999999999E-2</v>
      </c>
      <c r="AB897" s="3">
        <v>11.76087019</v>
      </c>
      <c r="AC897" s="3">
        <v>5.7302052789999998</v>
      </c>
      <c r="AD897" s="3">
        <v>4.6249615000000001E-2</v>
      </c>
      <c r="AE897" s="3">
        <v>0.33191061999999999</v>
      </c>
      <c r="AF897" s="4">
        <v>41696</v>
      </c>
      <c r="AG897" s="5">
        <f>YEAR(AF897)</f>
        <v>2014</v>
      </c>
      <c r="AH897" s="5" t="str">
        <f>"Q"&amp;ROUNDUP(MONTH(AF897)/3,0)</f>
        <v>Q1</v>
      </c>
      <c r="AI897" s="5">
        <f>INDEX(RatingLookup!$B$2:$B$11,MATCH(A897,RatingLookup!$A$2:$A$11,0))</f>
        <v>8</v>
      </c>
      <c r="AJ897" s="5" t="str">
        <f>INDEX(RatingLookup!$C$2:$C$11,MATCH(A897,RatingLookup!$A$2:$A$11,0))</f>
        <v>Investment Grade</v>
      </c>
    </row>
    <row r="898" spans="1:36" x14ac:dyDescent="0.3">
      <c r="A898" s="3" t="s">
        <v>42</v>
      </c>
      <c r="B898" s="3" t="s">
        <v>1045</v>
      </c>
      <c r="C898" s="3" t="s">
        <v>1046</v>
      </c>
      <c r="D898" s="3" t="s">
        <v>60</v>
      </c>
      <c r="E898" s="3" t="s">
        <v>570</v>
      </c>
      <c r="F898" s="3" t="s">
        <v>53</v>
      </c>
      <c r="G898" s="3">
        <v>0.91595197299999997</v>
      </c>
      <c r="H898" s="3">
        <v>1.001072041</v>
      </c>
      <c r="I898" s="3">
        <v>1.0077187E-2</v>
      </c>
      <c r="J898" s="3">
        <v>41.216678229999999</v>
      </c>
      <c r="K898" s="3">
        <v>3.5972649000000002E-2</v>
      </c>
      <c r="L898" s="3">
        <v>3.7409573000000002E-2</v>
      </c>
      <c r="M898" s="3">
        <v>0.14612030500000001</v>
      </c>
      <c r="N898" s="3">
        <v>4.9251809000000001E-2</v>
      </c>
      <c r="O898" s="3">
        <v>2.9987607999999999E-2</v>
      </c>
      <c r="P898" s="3">
        <v>3.8626829000000001E-2</v>
      </c>
      <c r="Q898" s="3">
        <v>8.2886174000000007E-2</v>
      </c>
      <c r="R898" s="3">
        <v>0.83362247</v>
      </c>
      <c r="S898" s="3">
        <v>1.4548731260000001</v>
      </c>
      <c r="T898" s="3">
        <v>1.7640141570000001</v>
      </c>
      <c r="U898" s="3">
        <v>0.63820735200000001</v>
      </c>
      <c r="V898" s="3">
        <v>0.11258278100000001</v>
      </c>
      <c r="W898" s="3">
        <v>-0.83746556500000002</v>
      </c>
      <c r="X898" s="3">
        <v>-1.3103448280000001</v>
      </c>
      <c r="Y898" s="3">
        <v>5.1508620690000004</v>
      </c>
      <c r="Z898" s="3">
        <v>2.7640141570000001</v>
      </c>
      <c r="AA898" s="3">
        <v>3.7409573000000002E-2</v>
      </c>
      <c r="AB898" s="3">
        <v>10.977473120000001</v>
      </c>
      <c r="AC898" s="3">
        <v>1.5646551719999999</v>
      </c>
      <c r="AD898" s="3">
        <v>3.5972649000000002E-2</v>
      </c>
      <c r="AE898" s="3">
        <v>6.6588098919999998</v>
      </c>
      <c r="AF898" s="4">
        <v>42689</v>
      </c>
      <c r="AG898" s="5">
        <f>YEAR(AF898)</f>
        <v>2016</v>
      </c>
      <c r="AH898" s="5" t="str">
        <f>"Q"&amp;ROUNDUP(MONTH(AF898)/3,0)</f>
        <v>Q4</v>
      </c>
      <c r="AI898" s="5">
        <f>INDEX(RatingLookup!$B$2:$B$11,MATCH(A898,RatingLookup!$A$2:$A$11,0))</f>
        <v>7</v>
      </c>
      <c r="AJ898" s="5" t="str">
        <f>INDEX(RatingLookup!$C$2:$C$11,MATCH(A898,RatingLookup!$A$2:$A$11,0))</f>
        <v>Investment Grade</v>
      </c>
    </row>
    <row r="899" spans="1:36" x14ac:dyDescent="0.3">
      <c r="A899" s="3" t="s">
        <v>42</v>
      </c>
      <c r="B899" s="3" t="s">
        <v>1045</v>
      </c>
      <c r="C899" s="3" t="s">
        <v>1046</v>
      </c>
      <c r="D899" s="3" t="s">
        <v>60</v>
      </c>
      <c r="E899" s="3" t="s">
        <v>46</v>
      </c>
      <c r="F899" s="3" t="s">
        <v>53</v>
      </c>
      <c r="G899" s="3">
        <v>0.96453114600000001</v>
      </c>
      <c r="H899" s="3">
        <v>0.75526490800000001</v>
      </c>
      <c r="I899" s="3">
        <v>5.7636889999999998E-3</v>
      </c>
      <c r="J899" s="3">
        <v>33.970824219999997</v>
      </c>
      <c r="K899" s="3">
        <v>2.8183807000000002E-2</v>
      </c>
      <c r="L899" s="3">
        <v>3.0313639999999999E-2</v>
      </c>
      <c r="M899" s="3">
        <v>4.5514222999999999E-2</v>
      </c>
      <c r="N899" s="3">
        <v>3.7870168000000003E-2</v>
      </c>
      <c r="O899" s="3">
        <v>6.2804759000000002E-2</v>
      </c>
      <c r="P899" s="3">
        <v>9.5584177000000006E-2</v>
      </c>
      <c r="Q899" s="3">
        <v>0.177247706</v>
      </c>
      <c r="R899" s="3">
        <v>2.2283986740000001</v>
      </c>
      <c r="S899" s="3">
        <v>4.4282945739999997</v>
      </c>
      <c r="T899" s="3">
        <v>1.822201835</v>
      </c>
      <c r="U899" s="3">
        <v>0.64566673200000002</v>
      </c>
      <c r="V899" s="3">
        <v>3.6573627999999997E-2</v>
      </c>
      <c r="W899" s="3">
        <v>0.73150105700000001</v>
      </c>
      <c r="X899" s="3">
        <v>11.61073826</v>
      </c>
      <c r="Y899" s="3">
        <v>1.4563758389999999</v>
      </c>
      <c r="Z899" s="3">
        <v>2.822201835</v>
      </c>
      <c r="AA899" s="3">
        <v>3.0313639999999999E-2</v>
      </c>
      <c r="AB899" s="3">
        <v>6.8852617970000001</v>
      </c>
      <c r="AC899" s="3">
        <v>15.872483219999999</v>
      </c>
      <c r="AD899" s="3">
        <v>6.9000728999999997E-2</v>
      </c>
      <c r="AE899" s="3">
        <v>9.0900250069999995</v>
      </c>
      <c r="AF899" s="4">
        <v>41075</v>
      </c>
      <c r="AG899" s="5">
        <f>YEAR(AF899)</f>
        <v>2012</v>
      </c>
      <c r="AH899" s="5" t="str">
        <f>"Q"&amp;ROUNDUP(MONTH(AF899)/3,0)</f>
        <v>Q2</v>
      </c>
      <c r="AI899" s="5">
        <f>INDEX(RatingLookup!$B$2:$B$11,MATCH(A899,RatingLookup!$A$2:$A$11,0))</f>
        <v>7</v>
      </c>
      <c r="AJ899" s="5" t="str">
        <f>INDEX(RatingLookup!$C$2:$C$11,MATCH(A899,RatingLookup!$A$2:$A$11,0))</f>
        <v>Investment Grade</v>
      </c>
    </row>
    <row r="900" spans="1:36" x14ac:dyDescent="0.3">
      <c r="A900" s="3" t="s">
        <v>42</v>
      </c>
      <c r="B900" s="3" t="s">
        <v>1045</v>
      </c>
      <c r="C900" s="3" t="s">
        <v>1046</v>
      </c>
      <c r="D900" s="3" t="s">
        <v>47</v>
      </c>
      <c r="E900" s="3" t="s">
        <v>414</v>
      </c>
      <c r="F900" s="3" t="s">
        <v>53</v>
      </c>
      <c r="G900" s="3">
        <v>0.87144115099999997</v>
      </c>
      <c r="H900" s="3">
        <v>1.1267977689999999</v>
      </c>
      <c r="I900" s="3">
        <v>7.9248610000000001E-3</v>
      </c>
      <c r="J900" s="3">
        <v>28.141197300000002</v>
      </c>
      <c r="K900" s="3">
        <v>3.9003110000000001E-2</v>
      </c>
      <c r="L900" s="3">
        <v>4.3451969999999999E-2</v>
      </c>
      <c r="M900" s="3">
        <v>0.147978576</v>
      </c>
      <c r="N900" s="3">
        <v>5.4509330000000002E-2</v>
      </c>
      <c r="O900" s="3">
        <v>4.0515074999999998E-2</v>
      </c>
      <c r="P900" s="3">
        <v>5.3281075999999997E-2</v>
      </c>
      <c r="Q900" s="3">
        <v>0.114579368</v>
      </c>
      <c r="R900" s="3">
        <v>1.0387652549999999</v>
      </c>
      <c r="S900" s="3">
        <v>1.718272228</v>
      </c>
      <c r="T900" s="3">
        <v>1.8280675040000001</v>
      </c>
      <c r="U900" s="3">
        <v>0.64640165100000002</v>
      </c>
      <c r="V900" s="3">
        <v>8.3499006000000001E-2</v>
      </c>
      <c r="W900" s="3">
        <v>-0.546875</v>
      </c>
      <c r="X900" s="3">
        <v>-1.8654822339999999</v>
      </c>
      <c r="Y900" s="3">
        <v>5.2131979700000004</v>
      </c>
      <c r="Z900" s="3">
        <v>2.8280675039999998</v>
      </c>
      <c r="AA900" s="3">
        <v>4.3451969999999999E-2</v>
      </c>
      <c r="AB900" s="3">
        <v>5.883317591</v>
      </c>
      <c r="AC900" s="3">
        <v>3.4111675130000001</v>
      </c>
      <c r="AD900" s="3">
        <v>5.8051140000000001E-2</v>
      </c>
      <c r="AE900" s="3">
        <v>9.6790971540000008</v>
      </c>
      <c r="AF900" s="4">
        <v>42227</v>
      </c>
      <c r="AG900" s="5">
        <f>YEAR(AF900)</f>
        <v>2015</v>
      </c>
      <c r="AH900" s="5" t="str">
        <f>"Q"&amp;ROUNDUP(MONTH(AF900)/3,0)</f>
        <v>Q3</v>
      </c>
      <c r="AI900" s="5">
        <f>INDEX(RatingLookup!$B$2:$B$11,MATCH(A900,RatingLookup!$A$2:$A$11,0))</f>
        <v>7</v>
      </c>
      <c r="AJ900" s="5" t="str">
        <f>INDEX(RatingLookup!$C$2:$C$11,MATCH(A900,RatingLookup!$A$2:$A$11,0))</f>
        <v>Investment Grade</v>
      </c>
    </row>
    <row r="901" spans="1:36" x14ac:dyDescent="0.3">
      <c r="A901" s="3" t="s">
        <v>36</v>
      </c>
      <c r="B901" s="3" t="s">
        <v>1045</v>
      </c>
      <c r="C901" s="3" t="s">
        <v>1046</v>
      </c>
      <c r="D901" s="3" t="s">
        <v>39</v>
      </c>
      <c r="E901" s="3" t="s">
        <v>325</v>
      </c>
      <c r="F901" s="3" t="s">
        <v>53</v>
      </c>
      <c r="G901" s="3">
        <v>0.87886435299999999</v>
      </c>
      <c r="H901" s="3">
        <v>0.99957938999999996</v>
      </c>
      <c r="I901" s="3">
        <v>8.4752891999999996E-2</v>
      </c>
      <c r="J901" s="3">
        <v>21.960127920000001</v>
      </c>
      <c r="K901" s="3">
        <v>3.1842443999999998E-2</v>
      </c>
      <c r="L901" s="3">
        <v>3.582275E-2</v>
      </c>
      <c r="M901" s="3">
        <v>5.2710289E-2</v>
      </c>
      <c r="N901" s="3">
        <v>4.1206515999999999E-2</v>
      </c>
      <c r="O901" s="3">
        <v>6.2185478000000002E-2</v>
      </c>
      <c r="P901" s="3">
        <v>8.8966345000000002E-2</v>
      </c>
      <c r="Q901" s="3">
        <v>0.17017090900000001</v>
      </c>
      <c r="R901" s="3">
        <v>1.952911574</v>
      </c>
      <c r="S901" s="3">
        <v>3.541720991</v>
      </c>
      <c r="T901" s="3">
        <v>1.736505594</v>
      </c>
      <c r="U901" s="3">
        <v>0.63457045300000003</v>
      </c>
      <c r="V901" s="3">
        <v>4.5600514000000002E-2</v>
      </c>
      <c r="W901" s="3">
        <v>3.5928144000000002E-2</v>
      </c>
      <c r="X901" s="3">
        <v>0.19618528599999999</v>
      </c>
      <c r="Y901" s="3">
        <v>5.825613079</v>
      </c>
      <c r="Z901" s="3">
        <v>2.736505594</v>
      </c>
      <c r="AA901" s="3">
        <v>3.582275E-2</v>
      </c>
      <c r="AB901" s="3">
        <v>8.7441731560000004</v>
      </c>
      <c r="AC901" s="3">
        <v>5.4604904630000002</v>
      </c>
      <c r="AD901" s="3">
        <v>4.6107123E-2</v>
      </c>
      <c r="AE901" s="3">
        <v>0.48760884100000002</v>
      </c>
      <c r="AF901" s="4">
        <v>41878</v>
      </c>
      <c r="AG901" s="5">
        <f>YEAR(AF901)</f>
        <v>2014</v>
      </c>
      <c r="AH901" s="5" t="str">
        <f>"Q"&amp;ROUNDUP(MONTH(AF901)/3,0)</f>
        <v>Q3</v>
      </c>
      <c r="AI901" s="5">
        <f>INDEX(RatingLookup!$B$2:$B$11,MATCH(A901,RatingLookup!$A$2:$A$11,0))</f>
        <v>8</v>
      </c>
      <c r="AJ901" s="5" t="str">
        <f>INDEX(RatingLookup!$C$2:$C$11,MATCH(A901,RatingLookup!$A$2:$A$11,0))</f>
        <v>Investment Grade</v>
      </c>
    </row>
    <row r="902" spans="1:36" x14ac:dyDescent="0.3">
      <c r="A902" s="3" t="s">
        <v>42</v>
      </c>
      <c r="B902" s="3" t="s">
        <v>1045</v>
      </c>
      <c r="C902" s="3" t="s">
        <v>1046</v>
      </c>
      <c r="D902" s="3" t="s">
        <v>47</v>
      </c>
      <c r="E902" s="3" t="s">
        <v>763</v>
      </c>
      <c r="F902" s="3" t="s">
        <v>53</v>
      </c>
      <c r="G902" s="3">
        <v>0.99305421599999999</v>
      </c>
      <c r="H902" s="3">
        <v>0.758248119</v>
      </c>
      <c r="I902" s="3">
        <v>4.6305230000000001E-3</v>
      </c>
      <c r="J902" s="3">
        <v>34.407360369999999</v>
      </c>
      <c r="K902" s="3">
        <v>2.8944095999999999E-2</v>
      </c>
      <c r="L902" s="3">
        <v>3.1245866000000001E-2</v>
      </c>
      <c r="M902" s="3">
        <v>5.1459111000000002E-2</v>
      </c>
      <c r="N902" s="3">
        <v>3.7701405E-2</v>
      </c>
      <c r="O902" s="3">
        <v>5.6875487000000002E-2</v>
      </c>
      <c r="P902" s="3">
        <v>8.4044975999999993E-2</v>
      </c>
      <c r="Q902" s="3">
        <v>0.16483350899999999</v>
      </c>
      <c r="R902" s="3">
        <v>1.965011697</v>
      </c>
      <c r="S902" s="3">
        <v>3.9196308200000001</v>
      </c>
      <c r="T902" s="3">
        <v>1.898146753</v>
      </c>
      <c r="U902" s="3">
        <v>0.65495191100000005</v>
      </c>
      <c r="V902" s="3">
        <v>4.4877223000000001E-2</v>
      </c>
      <c r="W902" s="3">
        <v>2.9032257999999998E-2</v>
      </c>
      <c r="X902" s="3">
        <v>0.110769231</v>
      </c>
      <c r="Y902" s="3">
        <v>1.1292307690000001</v>
      </c>
      <c r="Z902" s="3">
        <v>2.8981467529999998</v>
      </c>
      <c r="AA902" s="3">
        <v>3.1245866000000001E-2</v>
      </c>
      <c r="AB902" s="3">
        <v>12.60461458</v>
      </c>
      <c r="AC902" s="3">
        <v>3.8153846150000001</v>
      </c>
      <c r="AD902" s="3">
        <v>3.2806836999999998E-2</v>
      </c>
      <c r="AE902" s="3">
        <v>9.3804290950000002</v>
      </c>
      <c r="AF902" s="4">
        <v>41453</v>
      </c>
      <c r="AG902" s="5">
        <f>YEAR(AF902)</f>
        <v>2013</v>
      </c>
      <c r="AH902" s="5" t="str">
        <f>"Q"&amp;ROUNDUP(MONTH(AF902)/3,0)</f>
        <v>Q2</v>
      </c>
      <c r="AI902" s="5">
        <f>INDEX(RatingLookup!$B$2:$B$11,MATCH(A902,RatingLookup!$A$2:$A$11,0))</f>
        <v>7</v>
      </c>
      <c r="AJ902" s="5" t="str">
        <f>INDEX(RatingLookup!$C$2:$C$11,MATCH(A902,RatingLookup!$A$2:$A$11,0))</f>
        <v>Investment Grade</v>
      </c>
    </row>
    <row r="903" spans="1:36" x14ac:dyDescent="0.3">
      <c r="A903" s="3" t="s">
        <v>42</v>
      </c>
      <c r="B903" s="3" t="s">
        <v>1045</v>
      </c>
      <c r="C903" s="3" t="s">
        <v>1046</v>
      </c>
      <c r="D903" s="3" t="s">
        <v>47</v>
      </c>
      <c r="E903" s="3" t="s">
        <v>1048</v>
      </c>
      <c r="F903" s="3" t="s">
        <v>53</v>
      </c>
      <c r="G903" s="3">
        <v>1.0393831549999999</v>
      </c>
      <c r="H903" s="3">
        <v>0.70747331000000002</v>
      </c>
      <c r="I903" s="3">
        <v>8.5409249999999996E-3</v>
      </c>
      <c r="J903" s="3">
        <v>38.708917470000003</v>
      </c>
      <c r="K903" s="3">
        <v>1.9503341E-2</v>
      </c>
      <c r="L903" s="3">
        <v>1.9657823000000001E-2</v>
      </c>
      <c r="M903" s="3">
        <v>3.9663229000000001E-2</v>
      </c>
      <c r="N903" s="3">
        <v>2.9621906E-2</v>
      </c>
      <c r="O903" s="3">
        <v>3.6853244E-2</v>
      </c>
      <c r="P903" s="3">
        <v>5.3646711999999999E-2</v>
      </c>
      <c r="Q903" s="3">
        <v>0.11630585</v>
      </c>
      <c r="R903" s="3">
        <v>1.8895862219999999</v>
      </c>
      <c r="S903" s="3">
        <v>3.8698251379999999</v>
      </c>
      <c r="T903" s="3">
        <v>2.155918931</v>
      </c>
      <c r="U903" s="3">
        <v>0.68313508000000001</v>
      </c>
      <c r="V903" s="3">
        <v>-1.964637E-3</v>
      </c>
      <c r="W903" s="3">
        <v>-0.741312741</v>
      </c>
      <c r="X903" s="3">
        <v>-1.4014598540000001</v>
      </c>
      <c r="Y903" s="3">
        <v>1.722627737</v>
      </c>
      <c r="Z903" s="3">
        <v>3.155918931</v>
      </c>
      <c r="AA903" s="3">
        <v>1.9657823000000001E-2</v>
      </c>
      <c r="AB903" s="3">
        <v>9.8555327469999998</v>
      </c>
      <c r="AC903" s="3">
        <v>1.8905109490000001</v>
      </c>
      <c r="AD903" s="3">
        <v>1.0002703E-2</v>
      </c>
      <c r="AE903" s="3">
        <v>9.0818115410000004</v>
      </c>
      <c r="AF903" s="4">
        <v>40679</v>
      </c>
      <c r="AG903" s="5">
        <f>YEAR(AF903)</f>
        <v>2011</v>
      </c>
      <c r="AH903" s="5" t="str">
        <f>"Q"&amp;ROUNDUP(MONTH(AF903)/3,0)</f>
        <v>Q2</v>
      </c>
      <c r="AI903" s="5">
        <f>INDEX(RatingLookup!$B$2:$B$11,MATCH(A903,RatingLookup!$A$2:$A$11,0))</f>
        <v>7</v>
      </c>
      <c r="AJ903" s="5" t="str">
        <f>INDEX(RatingLookup!$C$2:$C$11,MATCH(A903,RatingLookup!$A$2:$A$11,0))</f>
        <v>Investment Grade</v>
      </c>
    </row>
    <row r="904" spans="1:36" x14ac:dyDescent="0.3">
      <c r="A904" s="3" t="s">
        <v>92</v>
      </c>
      <c r="B904" s="3" t="s">
        <v>1049</v>
      </c>
      <c r="C904" s="3" t="s">
        <v>1050</v>
      </c>
      <c r="D904" s="3" t="s">
        <v>60</v>
      </c>
      <c r="E904" s="3" t="s">
        <v>83</v>
      </c>
      <c r="F904" s="3" t="s">
        <v>66</v>
      </c>
      <c r="G904" s="3">
        <v>6.3771294770000004</v>
      </c>
      <c r="H904" s="3">
        <v>5.7456618629999996</v>
      </c>
      <c r="I904" s="3">
        <v>4.9255503269999998</v>
      </c>
      <c r="J904" s="3">
        <v>23.897223749999998</v>
      </c>
      <c r="K904" s="3">
        <v>6.3222419000000002E-2</v>
      </c>
      <c r="L904" s="3">
        <v>0.101227118</v>
      </c>
      <c r="M904" s="3">
        <v>0.26831191399999998</v>
      </c>
      <c r="N904" s="3">
        <v>9.8381828000000004E-2</v>
      </c>
      <c r="O904" s="3">
        <v>3.3588943000000003E-2</v>
      </c>
      <c r="P904" s="3">
        <v>5.6880106E-2</v>
      </c>
      <c r="Q904" s="3">
        <v>5.3918648E-2</v>
      </c>
      <c r="R904" s="3">
        <v>0.53128216399999995</v>
      </c>
      <c r="S904" s="3">
        <v>2.5856882890000001</v>
      </c>
      <c r="T904" s="3">
        <v>0.60524990199999995</v>
      </c>
      <c r="U904" s="3">
        <v>0.37704403600000003</v>
      </c>
      <c r="V904" s="3">
        <v>0.313583997</v>
      </c>
      <c r="W904" s="3">
        <v>0.42706232399999999</v>
      </c>
      <c r="X904" s="3">
        <v>0.75289895100000004</v>
      </c>
      <c r="Y904" s="3">
        <v>7.5549420209999996</v>
      </c>
      <c r="Z904" s="3">
        <v>1.605249902</v>
      </c>
      <c r="AA904" s="3">
        <v>0.101227118</v>
      </c>
      <c r="AB904" s="3">
        <v>8.6691037659999992</v>
      </c>
      <c r="AC904" s="3">
        <v>1.762972073</v>
      </c>
      <c r="AD904" s="3">
        <v>0.12225987100000001</v>
      </c>
      <c r="AE904" s="3">
        <v>28.830437570000001</v>
      </c>
      <c r="AF904" s="4">
        <v>41544</v>
      </c>
      <c r="AG904" s="5">
        <f>YEAR(AF904)</f>
        <v>2013</v>
      </c>
      <c r="AH904" s="5" t="str">
        <f>"Q"&amp;ROUNDUP(MONTH(AF904)/3,0)</f>
        <v>Q3</v>
      </c>
      <c r="AI904" s="5">
        <f>INDEX(RatingLookup!$B$2:$B$11,MATCH(A904,RatingLookup!$A$2:$A$11,0))</f>
        <v>6</v>
      </c>
      <c r="AJ904" s="5" t="str">
        <f>INDEX(RatingLookup!$C$2:$C$11,MATCH(A904,RatingLookup!$A$2:$A$11,0))</f>
        <v>Speculative Grade</v>
      </c>
    </row>
    <row r="905" spans="1:36" x14ac:dyDescent="0.3">
      <c r="A905" s="3" t="s">
        <v>92</v>
      </c>
      <c r="B905" s="3" t="s">
        <v>1049</v>
      </c>
      <c r="C905" s="3" t="s">
        <v>1050</v>
      </c>
      <c r="D905" s="3" t="s">
        <v>60</v>
      </c>
      <c r="E905" s="3" t="s">
        <v>46</v>
      </c>
      <c r="F905" s="3" t="s">
        <v>66</v>
      </c>
      <c r="G905" s="3">
        <v>1.7262704609999999</v>
      </c>
      <c r="H905" s="3">
        <v>1.2542728489999999</v>
      </c>
      <c r="I905" s="3">
        <v>0.30596352300000002</v>
      </c>
      <c r="J905" s="3">
        <v>19.45726775</v>
      </c>
      <c r="K905" s="3">
        <v>9.4265180000000004E-2</v>
      </c>
      <c r="L905" s="3">
        <v>0.151505996</v>
      </c>
      <c r="M905" s="3">
        <v>0.29470039999999997</v>
      </c>
      <c r="N905" s="3">
        <v>0.175048644</v>
      </c>
      <c r="O905" s="3">
        <v>0.11955851300000001</v>
      </c>
      <c r="P905" s="3">
        <v>0.21111777000000001</v>
      </c>
      <c r="Q905" s="3">
        <v>0.184074969</v>
      </c>
      <c r="R905" s="3">
        <v>1.2683210659999999</v>
      </c>
      <c r="S905" s="3">
        <v>4.4906302</v>
      </c>
      <c r="T905" s="3">
        <v>0.53962243700000001</v>
      </c>
      <c r="U905" s="3">
        <v>0.35049011000000002</v>
      </c>
      <c r="V905" s="3">
        <v>0.37781221799999998</v>
      </c>
      <c r="W905" s="3">
        <v>0.75026155800000005</v>
      </c>
      <c r="X905" s="3">
        <v>1.5724391769999999</v>
      </c>
      <c r="Y905" s="3">
        <v>0.55521910100000005</v>
      </c>
      <c r="Z905" s="3">
        <v>1.539622437</v>
      </c>
      <c r="AA905" s="3">
        <v>0.151505996</v>
      </c>
      <c r="AB905" s="3">
        <v>4.9833701829999999</v>
      </c>
      <c r="AC905" s="3">
        <v>2.0958546519999999</v>
      </c>
      <c r="AD905" s="3">
        <v>0.134018158</v>
      </c>
      <c r="AE905" s="3">
        <v>20.986043509999998</v>
      </c>
      <c r="AF905" s="4">
        <v>41075</v>
      </c>
      <c r="AG905" s="5">
        <f>YEAR(AF905)</f>
        <v>2012</v>
      </c>
      <c r="AH905" s="5" t="str">
        <f>"Q"&amp;ROUNDUP(MONTH(AF905)/3,0)</f>
        <v>Q2</v>
      </c>
      <c r="AI905" s="5">
        <f>INDEX(RatingLookup!$B$2:$B$11,MATCH(A905,RatingLookup!$A$2:$A$11,0))</f>
        <v>6</v>
      </c>
      <c r="AJ905" s="5" t="str">
        <f>INDEX(RatingLookup!$C$2:$C$11,MATCH(A905,RatingLookup!$A$2:$A$11,0))</f>
        <v>Speculative Grade</v>
      </c>
    </row>
    <row r="906" spans="1:36" x14ac:dyDescent="0.3">
      <c r="A906" s="3" t="s">
        <v>42</v>
      </c>
      <c r="B906" s="3" t="s">
        <v>1049</v>
      </c>
      <c r="C906" s="3" t="s">
        <v>1050</v>
      </c>
      <c r="D906" s="3" t="s">
        <v>60</v>
      </c>
      <c r="E906" s="3" t="s">
        <v>385</v>
      </c>
      <c r="F906" s="3" t="s">
        <v>66</v>
      </c>
      <c r="G906" s="3">
        <v>2.2042313419999999</v>
      </c>
      <c r="H906" s="3">
        <v>1.627760396</v>
      </c>
      <c r="I906" s="3">
        <v>0.78406640100000002</v>
      </c>
      <c r="J906" s="3">
        <v>21.05160721</v>
      </c>
      <c r="K906" s="3">
        <v>7.6858922999999996E-2</v>
      </c>
      <c r="L906" s="3">
        <v>0.12153607399999999</v>
      </c>
      <c r="M906" s="3">
        <v>0.27554779000000001</v>
      </c>
      <c r="N906" s="3">
        <v>0.13620374399999999</v>
      </c>
      <c r="O906" s="3">
        <v>8.4236441999999995E-2</v>
      </c>
      <c r="P906" s="3">
        <v>0.14554821000000001</v>
      </c>
      <c r="Q906" s="3">
        <v>0.123085061</v>
      </c>
      <c r="R906" s="3">
        <v>1.095987802</v>
      </c>
      <c r="S906" s="3">
        <v>3.74824366</v>
      </c>
      <c r="T906" s="3">
        <v>0.46118542699999998</v>
      </c>
      <c r="U906" s="3">
        <v>0.31562416300000001</v>
      </c>
      <c r="V906" s="3">
        <v>0.367604033</v>
      </c>
      <c r="W906" s="3">
        <v>0.53694241700000001</v>
      </c>
      <c r="X906" s="3">
        <v>1.13942275</v>
      </c>
      <c r="Y906" s="3">
        <v>0.98832403599999996</v>
      </c>
      <c r="Z906" s="3">
        <v>1.461185427</v>
      </c>
      <c r="AA906" s="3">
        <v>0.12153607399999999</v>
      </c>
      <c r="AB906" s="3">
        <v>6.684781074</v>
      </c>
      <c r="AC906" s="3">
        <v>2.1220576229999999</v>
      </c>
      <c r="AD906" s="3">
        <v>0.146663187</v>
      </c>
      <c r="AE906" s="3">
        <v>22.82008368</v>
      </c>
      <c r="AF906" s="4">
        <v>41170</v>
      </c>
      <c r="AG906" s="5">
        <f>YEAR(AF906)</f>
        <v>2012</v>
      </c>
      <c r="AH906" s="5" t="str">
        <f>"Q"&amp;ROUNDUP(MONTH(AF906)/3,0)</f>
        <v>Q3</v>
      </c>
      <c r="AI906" s="5">
        <f>INDEX(RatingLookup!$B$2:$B$11,MATCH(A906,RatingLookup!$A$2:$A$11,0))</f>
        <v>7</v>
      </c>
      <c r="AJ906" s="5" t="str">
        <f>INDEX(RatingLookup!$C$2:$C$11,MATCH(A906,RatingLookup!$A$2:$A$11,0))</f>
        <v>Investment Grade</v>
      </c>
    </row>
    <row r="907" spans="1:36" x14ac:dyDescent="0.3">
      <c r="A907" s="3" t="s">
        <v>92</v>
      </c>
      <c r="B907" s="3" t="s">
        <v>1049</v>
      </c>
      <c r="C907" s="3" t="s">
        <v>1050</v>
      </c>
      <c r="D907" s="3" t="s">
        <v>47</v>
      </c>
      <c r="E907" s="3" t="s">
        <v>48</v>
      </c>
      <c r="F907" s="3" t="s">
        <v>66</v>
      </c>
      <c r="G907" s="3">
        <v>1.9769835630000001</v>
      </c>
      <c r="H907" s="3">
        <v>1.1966710270000001</v>
      </c>
      <c r="I907" s="3">
        <v>0.25354375699999998</v>
      </c>
      <c r="J907" s="3">
        <v>41.71868963</v>
      </c>
      <c r="K907" s="3">
        <v>3.0108751E-2</v>
      </c>
      <c r="L907" s="3">
        <v>3.6060874999999999E-2</v>
      </c>
      <c r="M907" s="3">
        <v>1</v>
      </c>
      <c r="N907" s="3">
        <v>4.4750397999999997E-2</v>
      </c>
      <c r="O907" s="3">
        <v>2.1777912E-2</v>
      </c>
      <c r="P907" s="3">
        <v>2.8858740000000001E-2</v>
      </c>
      <c r="Q907" s="3">
        <v>5.1856721000000001E-2</v>
      </c>
      <c r="R907" s="3">
        <v>0.72330836600000004</v>
      </c>
      <c r="S907" s="3">
        <v>2.2421292249999998</v>
      </c>
      <c r="T907" s="3">
        <v>1.381161321</v>
      </c>
      <c r="U907" s="3">
        <v>0.58003685400000005</v>
      </c>
      <c r="V907" s="3">
        <v>0.124980618</v>
      </c>
      <c r="W907" s="3">
        <v>0.377177549</v>
      </c>
      <c r="X907" s="3">
        <v>0.896051033</v>
      </c>
      <c r="Y907" s="3">
        <v>0.92539489699999999</v>
      </c>
      <c r="Z907" s="3">
        <v>2.381161321</v>
      </c>
      <c r="AA907" s="3">
        <v>3.6060874999999999E-2</v>
      </c>
      <c r="AB907" s="3">
        <v>7.8428784540000001</v>
      </c>
      <c r="AC907" s="3">
        <v>2.3756743619999998</v>
      </c>
      <c r="AD907" s="3">
        <v>0.115074387</v>
      </c>
      <c r="AE907" s="3">
        <v>14.603687219999999</v>
      </c>
      <c r="AF907" s="4">
        <v>42667</v>
      </c>
      <c r="AG907" s="5">
        <f>YEAR(AF907)</f>
        <v>2016</v>
      </c>
      <c r="AH907" s="5" t="str">
        <f>"Q"&amp;ROUNDUP(MONTH(AF907)/3,0)</f>
        <v>Q4</v>
      </c>
      <c r="AI907" s="5">
        <f>INDEX(RatingLookup!$B$2:$B$11,MATCH(A907,RatingLookup!$A$2:$A$11,0))</f>
        <v>6</v>
      </c>
      <c r="AJ907" s="5" t="str">
        <f>INDEX(RatingLookup!$C$2:$C$11,MATCH(A907,RatingLookup!$A$2:$A$11,0))</f>
        <v>Speculative Grade</v>
      </c>
    </row>
    <row r="908" spans="1:36" x14ac:dyDescent="0.3">
      <c r="A908" s="3" t="s">
        <v>92</v>
      </c>
      <c r="B908" s="3" t="s">
        <v>1049</v>
      </c>
      <c r="C908" s="3" t="s">
        <v>1050</v>
      </c>
      <c r="D908" s="3" t="s">
        <v>47</v>
      </c>
      <c r="E908" s="3" t="s">
        <v>521</v>
      </c>
      <c r="F908" s="3" t="s">
        <v>66</v>
      </c>
      <c r="G908" s="3">
        <v>2.1766929799999999</v>
      </c>
      <c r="H908" s="3">
        <v>1.30293383</v>
      </c>
      <c r="I908" s="3">
        <v>0.224740364</v>
      </c>
      <c r="J908" s="3">
        <v>37.803990859999999</v>
      </c>
      <c r="K908" s="3">
        <v>1.6230488000000001E-2</v>
      </c>
      <c r="L908" s="3">
        <v>2.0587179000000001E-2</v>
      </c>
      <c r="M908" s="3">
        <v>1</v>
      </c>
      <c r="N908" s="3">
        <v>4.1579773E-2</v>
      </c>
      <c r="O908" s="3">
        <v>1.2418983999999999E-2</v>
      </c>
      <c r="P908" s="3">
        <v>1.7379504E-2</v>
      </c>
      <c r="Q908" s="3">
        <v>3.2880353000000001E-2</v>
      </c>
      <c r="R908" s="3">
        <v>0.76516391500000003</v>
      </c>
      <c r="S908" s="3">
        <v>2.5134380190000001</v>
      </c>
      <c r="T908" s="3">
        <v>1.6475880570000001</v>
      </c>
      <c r="U908" s="3">
        <v>0.62229773700000002</v>
      </c>
      <c r="V908" s="3">
        <v>0.161334283</v>
      </c>
      <c r="W908" s="3">
        <v>0.127069615</v>
      </c>
      <c r="X908" s="3">
        <v>0.21239529400000001</v>
      </c>
      <c r="Y908" s="3">
        <v>1.3418029849999999</v>
      </c>
      <c r="Z908" s="3">
        <v>2.6475880570000001</v>
      </c>
      <c r="AA908" s="3">
        <v>2.0587179000000001E-2</v>
      </c>
      <c r="AB908" s="3">
        <v>10.99945436</v>
      </c>
      <c r="AC908" s="3">
        <v>1.671487666</v>
      </c>
      <c r="AD908" s="3">
        <v>6.9550350999999996E-2</v>
      </c>
      <c r="AE908" s="3">
        <v>18.533159659999999</v>
      </c>
      <c r="AF908" s="4">
        <v>42276</v>
      </c>
      <c r="AG908" s="5">
        <f>YEAR(AF908)</f>
        <v>2015</v>
      </c>
      <c r="AH908" s="5" t="str">
        <f>"Q"&amp;ROUNDUP(MONTH(AF908)/3,0)</f>
        <v>Q3</v>
      </c>
      <c r="AI908" s="5">
        <f>INDEX(RatingLookup!$B$2:$B$11,MATCH(A908,RatingLookup!$A$2:$A$11,0))</f>
        <v>6</v>
      </c>
      <c r="AJ908" s="5" t="str">
        <f>INDEX(RatingLookup!$C$2:$C$11,MATCH(A908,RatingLookup!$A$2:$A$11,0))</f>
        <v>Speculative Grade</v>
      </c>
    </row>
    <row r="909" spans="1:36" x14ac:dyDescent="0.3">
      <c r="A909" s="3" t="s">
        <v>92</v>
      </c>
      <c r="B909" s="3" t="s">
        <v>1051</v>
      </c>
      <c r="C909" s="3" t="s">
        <v>1052</v>
      </c>
      <c r="D909" s="3" t="s">
        <v>60</v>
      </c>
      <c r="E909" s="3" t="s">
        <v>46</v>
      </c>
      <c r="F909" s="3" t="s">
        <v>174</v>
      </c>
      <c r="G909" s="3">
        <v>1.19248351</v>
      </c>
      <c r="H909" s="3">
        <v>1.313914386</v>
      </c>
      <c r="I909" s="3">
        <v>0.18507501100000001</v>
      </c>
      <c r="J909" s="3">
        <v>48.285561289999997</v>
      </c>
      <c r="K909" s="3">
        <v>8.7547511999999994E-2</v>
      </c>
      <c r="L909" s="3">
        <v>0.124604651</v>
      </c>
      <c r="M909" s="3">
        <v>0.43490396599999998</v>
      </c>
      <c r="N909" s="3">
        <v>0.15854823400000001</v>
      </c>
      <c r="O909" s="3">
        <v>6.9334461999999999E-2</v>
      </c>
      <c r="P909" s="3">
        <v>0.11425768</v>
      </c>
      <c r="Q909" s="3">
        <v>0.197065928</v>
      </c>
      <c r="R909" s="3">
        <v>0.79196381699999996</v>
      </c>
      <c r="S909" s="3">
        <v>3.1946730539999999</v>
      </c>
      <c r="T909" s="3">
        <v>1.8422507749999999</v>
      </c>
      <c r="U909" s="3">
        <v>0.64816616199999999</v>
      </c>
      <c r="V909" s="3">
        <v>0.23402309900000001</v>
      </c>
      <c r="W909" s="3">
        <v>0.91100872600000005</v>
      </c>
      <c r="X909" s="3">
        <v>3.1003268849999999</v>
      </c>
      <c r="Y909" s="3">
        <v>2.056088752</v>
      </c>
      <c r="Z909" s="3">
        <v>2.8422507750000001</v>
      </c>
      <c r="AA909" s="3">
        <v>0.124604651</v>
      </c>
      <c r="AB909" s="3">
        <v>3.653711548</v>
      </c>
      <c r="AC909" s="3">
        <v>3.4031802299999998</v>
      </c>
      <c r="AD909" s="3">
        <v>0.15536979200000001</v>
      </c>
      <c r="AE909" s="3">
        <v>15.672984700000001</v>
      </c>
      <c r="AF909" s="4">
        <v>41075</v>
      </c>
      <c r="AG909" s="5">
        <f>YEAR(AF909)</f>
        <v>2012</v>
      </c>
      <c r="AH909" s="5" t="str">
        <f>"Q"&amp;ROUNDUP(MONTH(AF909)/3,0)</f>
        <v>Q2</v>
      </c>
      <c r="AI909" s="5">
        <f>INDEX(RatingLookup!$B$2:$B$11,MATCH(A909,RatingLookup!$A$2:$A$11,0))</f>
        <v>6</v>
      </c>
      <c r="AJ909" s="5" t="str">
        <f>INDEX(RatingLookup!$C$2:$C$11,MATCH(A909,RatingLookup!$A$2:$A$11,0))</f>
        <v>Speculative Grade</v>
      </c>
    </row>
    <row r="910" spans="1:36" x14ac:dyDescent="0.3">
      <c r="A910" s="3" t="s">
        <v>92</v>
      </c>
      <c r="B910" s="3" t="s">
        <v>1051</v>
      </c>
      <c r="C910" s="3" t="s">
        <v>1052</v>
      </c>
      <c r="D910" s="3" t="s">
        <v>47</v>
      </c>
      <c r="E910" s="3" t="s">
        <v>1053</v>
      </c>
      <c r="F910" s="3" t="s">
        <v>174</v>
      </c>
      <c r="G910" s="3">
        <v>1.3125434419999999</v>
      </c>
      <c r="H910" s="3">
        <v>1.190755504</v>
      </c>
      <c r="I910" s="3">
        <v>0.105044967</v>
      </c>
      <c r="J910" s="3">
        <v>55.404763580000001</v>
      </c>
      <c r="K910" s="3">
        <v>0.17678765599999999</v>
      </c>
      <c r="L910" s="3">
        <v>0.22570251799999999</v>
      </c>
      <c r="M910" s="3">
        <v>0.492594755</v>
      </c>
      <c r="N910" s="3">
        <v>0.176098595</v>
      </c>
      <c r="O910" s="3">
        <v>9.4790527999999999E-2</v>
      </c>
      <c r="P910" s="3">
        <v>0.13456288199999999</v>
      </c>
      <c r="Q910" s="3">
        <v>0.326328438</v>
      </c>
      <c r="R910" s="3">
        <v>0.53618295699999996</v>
      </c>
      <c r="S910" s="3">
        <v>3.7336055159999999</v>
      </c>
      <c r="T910" s="3">
        <v>2.4426270560000001</v>
      </c>
      <c r="U910" s="3">
        <v>0.70952415599999996</v>
      </c>
      <c r="V910" s="3">
        <v>0.16636432000000001</v>
      </c>
      <c r="W910" s="3">
        <v>0.81690917799999996</v>
      </c>
      <c r="X910" s="3">
        <v>2.9645104560000002</v>
      </c>
      <c r="Y910" s="3">
        <v>1.905025365</v>
      </c>
      <c r="Z910" s="3">
        <v>3.4426270560000001</v>
      </c>
      <c r="AA910" s="3">
        <v>0.22570251799999999</v>
      </c>
      <c r="AB910" s="3">
        <v>6.1958087409999996</v>
      </c>
      <c r="AC910" s="3">
        <v>3.6289351810000001</v>
      </c>
      <c r="AD910" s="3">
        <v>0.13668029600000001</v>
      </c>
      <c r="AE910" s="3">
        <v>12.34942478</v>
      </c>
      <c r="AF910" s="4">
        <v>41885</v>
      </c>
      <c r="AG910" s="5">
        <f>YEAR(AF910)</f>
        <v>2014</v>
      </c>
      <c r="AH910" s="5" t="str">
        <f>"Q"&amp;ROUNDUP(MONTH(AF910)/3,0)</f>
        <v>Q3</v>
      </c>
      <c r="AI910" s="5">
        <f>INDEX(RatingLookup!$B$2:$B$11,MATCH(A910,RatingLookup!$A$2:$A$11,0))</f>
        <v>6</v>
      </c>
      <c r="AJ910" s="5" t="str">
        <f>INDEX(RatingLookup!$C$2:$C$11,MATCH(A910,RatingLookup!$A$2:$A$11,0))</f>
        <v>Speculative Grade</v>
      </c>
    </row>
    <row r="911" spans="1:36" x14ac:dyDescent="0.3">
      <c r="A911" s="3" t="s">
        <v>92</v>
      </c>
      <c r="B911" s="3" t="s">
        <v>1051</v>
      </c>
      <c r="C911" s="3" t="s">
        <v>1052</v>
      </c>
      <c r="D911" s="3" t="s">
        <v>47</v>
      </c>
      <c r="E911" s="3" t="s">
        <v>1054</v>
      </c>
      <c r="F911" s="3" t="s">
        <v>174</v>
      </c>
      <c r="G911" s="3">
        <v>1.909750077</v>
      </c>
      <c r="H911" s="3">
        <v>1.6711222889999999</v>
      </c>
      <c r="I911" s="3">
        <v>0.46585258800000001</v>
      </c>
      <c r="J911" s="3">
        <v>58.98229576</v>
      </c>
      <c r="K911" s="3">
        <v>7.5305704000000001E-2</v>
      </c>
      <c r="L911" s="3">
        <v>0.108326639</v>
      </c>
      <c r="M911" s="3">
        <v>0.44153326199999998</v>
      </c>
      <c r="N911" s="3">
        <v>0.14322634200000001</v>
      </c>
      <c r="O911" s="3">
        <v>4.2061721000000003E-2</v>
      </c>
      <c r="P911" s="3">
        <v>6.7906970999999997E-2</v>
      </c>
      <c r="Q911" s="3">
        <v>0.144324492</v>
      </c>
      <c r="R911" s="3">
        <v>0.55854628399999995</v>
      </c>
      <c r="S911" s="3">
        <v>3.0913171290000001</v>
      </c>
      <c r="T911" s="3">
        <v>2.4312550079999999</v>
      </c>
      <c r="U911" s="3">
        <v>0.70856144499999996</v>
      </c>
      <c r="V911" s="3">
        <v>0.20246354499999999</v>
      </c>
      <c r="W911" s="3">
        <v>0.78414547400000001</v>
      </c>
      <c r="X911" s="3">
        <v>1.7549630039999999</v>
      </c>
      <c r="Y911" s="3">
        <v>3.7152589690000002</v>
      </c>
      <c r="Z911" s="3">
        <v>3.4312550079999999</v>
      </c>
      <c r="AA911" s="3">
        <v>0.108326639</v>
      </c>
      <c r="AB911" s="3">
        <v>7.0650369770000001</v>
      </c>
      <c r="AC911" s="3">
        <v>2.2380579410000001</v>
      </c>
      <c r="AD911" s="3">
        <v>9.9099424000000005E-2</v>
      </c>
      <c r="AE911" s="3">
        <v>16.37243475</v>
      </c>
      <c r="AF911" s="4">
        <v>41768</v>
      </c>
      <c r="AG911" s="5">
        <f>YEAR(AF911)</f>
        <v>2014</v>
      </c>
      <c r="AH911" s="5" t="str">
        <f>"Q"&amp;ROUNDUP(MONTH(AF911)/3,0)</f>
        <v>Q2</v>
      </c>
      <c r="AI911" s="5">
        <f>INDEX(RatingLookup!$B$2:$B$11,MATCH(A911,RatingLookup!$A$2:$A$11,0))</f>
        <v>6</v>
      </c>
      <c r="AJ911" s="5" t="str">
        <f>INDEX(RatingLookup!$C$2:$C$11,MATCH(A911,RatingLookup!$A$2:$A$11,0))</f>
        <v>Speculative Grade</v>
      </c>
    </row>
    <row r="912" spans="1:36" x14ac:dyDescent="0.3">
      <c r="A912" s="3" t="s">
        <v>92</v>
      </c>
      <c r="B912" s="3" t="s">
        <v>1051</v>
      </c>
      <c r="C912" s="3" t="s">
        <v>1052</v>
      </c>
      <c r="D912" s="3" t="s">
        <v>47</v>
      </c>
      <c r="E912" s="3" t="s">
        <v>1055</v>
      </c>
      <c r="F912" s="3" t="s">
        <v>174</v>
      </c>
      <c r="G912" s="3">
        <v>1.326930715</v>
      </c>
      <c r="H912" s="3">
        <v>1.1761057909999999</v>
      </c>
      <c r="I912" s="3">
        <v>0.21292620300000001</v>
      </c>
      <c r="J912" s="3">
        <v>66.559087430000005</v>
      </c>
      <c r="K912" s="3">
        <v>0.15061628399999999</v>
      </c>
      <c r="L912" s="3">
        <v>0.20417805</v>
      </c>
      <c r="M912" s="3">
        <v>0.69736065400000002</v>
      </c>
      <c r="N912" s="3">
        <v>0.29930333100000001</v>
      </c>
      <c r="O912" s="3">
        <v>5.3822327000000003E-2</v>
      </c>
      <c r="P912" s="3">
        <v>7.8544692999999999E-2</v>
      </c>
      <c r="Q912" s="3">
        <v>0.209638722</v>
      </c>
      <c r="R912" s="3">
        <v>0.35734732699999999</v>
      </c>
      <c r="S912" s="3">
        <v>6.6568154499999999</v>
      </c>
      <c r="T912" s="3">
        <v>2.8950141220000001</v>
      </c>
      <c r="U912" s="3">
        <v>0.74326152099999998</v>
      </c>
      <c r="V912" s="3">
        <v>0.32477493699999999</v>
      </c>
      <c r="W912" s="3">
        <v>0.80628635199999998</v>
      </c>
      <c r="X912" s="3">
        <v>2.2001130459999998</v>
      </c>
      <c r="Y912" s="3">
        <v>0.70003738500000001</v>
      </c>
      <c r="Z912" s="3">
        <v>3.8950141220000001</v>
      </c>
      <c r="AA912" s="3">
        <v>0.20417805</v>
      </c>
      <c r="AB912" s="3">
        <v>6.4026746250000004</v>
      </c>
      <c r="AC912" s="3">
        <v>2.728699352</v>
      </c>
      <c r="AD912" s="3">
        <v>0.200956097</v>
      </c>
      <c r="AE912" s="3">
        <v>10.52762639</v>
      </c>
      <c r="AF912" s="4">
        <v>42485</v>
      </c>
      <c r="AG912" s="5">
        <f>YEAR(AF912)</f>
        <v>2016</v>
      </c>
      <c r="AH912" s="5" t="str">
        <f>"Q"&amp;ROUNDUP(MONTH(AF912)/3,0)</f>
        <v>Q2</v>
      </c>
      <c r="AI912" s="5">
        <f>INDEX(RatingLookup!$B$2:$B$11,MATCH(A912,RatingLookup!$A$2:$A$11,0))</f>
        <v>6</v>
      </c>
      <c r="AJ912" s="5" t="str">
        <f>INDEX(RatingLookup!$C$2:$C$11,MATCH(A912,RatingLookup!$A$2:$A$11,0))</f>
        <v>Speculative Grade</v>
      </c>
    </row>
    <row r="913" spans="1:36" x14ac:dyDescent="0.3">
      <c r="A913" s="3" t="s">
        <v>92</v>
      </c>
      <c r="B913" s="3" t="s">
        <v>1051</v>
      </c>
      <c r="C913" s="3" t="s">
        <v>1052</v>
      </c>
      <c r="D913" s="3" t="s">
        <v>47</v>
      </c>
      <c r="E913" s="3" t="s">
        <v>1056</v>
      </c>
      <c r="F913" s="3" t="s">
        <v>174</v>
      </c>
      <c r="G913" s="3">
        <v>1.147888319</v>
      </c>
      <c r="H913" s="3">
        <v>1.2170000299999999</v>
      </c>
      <c r="I913" s="3">
        <v>0.187294814</v>
      </c>
      <c r="J913" s="3">
        <v>46.286065129999997</v>
      </c>
      <c r="K913" s="3">
        <v>7.9257310999999997E-2</v>
      </c>
      <c r="L913" s="3">
        <v>0.12523488299999999</v>
      </c>
      <c r="M913" s="3">
        <v>0.45007684199999998</v>
      </c>
      <c r="N913" s="3">
        <v>0.14752959800000001</v>
      </c>
      <c r="O913" s="3">
        <v>6.6502755999999996E-2</v>
      </c>
      <c r="P913" s="3">
        <v>0.12311505</v>
      </c>
      <c r="Q913" s="3">
        <v>0.18049752099999999</v>
      </c>
      <c r="R913" s="3">
        <v>0.83907408400000005</v>
      </c>
      <c r="S913" s="3">
        <v>3.5249058720000002</v>
      </c>
      <c r="T913" s="3">
        <v>1.714135966</v>
      </c>
      <c r="U913" s="3">
        <v>0.63155861999999996</v>
      </c>
      <c r="V913" s="3">
        <v>0.29146473699999997</v>
      </c>
      <c r="W913" s="3">
        <v>0.87859238299999998</v>
      </c>
      <c r="X913" s="3">
        <v>2.8617681109999999</v>
      </c>
      <c r="Y913" s="3">
        <v>1.973343606</v>
      </c>
      <c r="Z913" s="3">
        <v>2.7141359660000002</v>
      </c>
      <c r="AA913" s="3">
        <v>0.12523488299999999</v>
      </c>
      <c r="AB913" s="3">
        <v>3.935072779</v>
      </c>
      <c r="AC913" s="3">
        <v>3.2572193500000002</v>
      </c>
      <c r="AD913" s="3">
        <v>0.14136225499999999</v>
      </c>
      <c r="AE913" s="3">
        <v>15.683370180000001</v>
      </c>
      <c r="AF913" s="4">
        <v>41438</v>
      </c>
      <c r="AG913" s="5">
        <f>YEAR(AF913)</f>
        <v>2013</v>
      </c>
      <c r="AH913" s="5" t="str">
        <f>"Q"&amp;ROUNDUP(MONTH(AF913)/3,0)</f>
        <v>Q2</v>
      </c>
      <c r="AI913" s="5">
        <f>INDEX(RatingLookup!$B$2:$B$11,MATCH(A913,RatingLookup!$A$2:$A$11,0))</f>
        <v>6</v>
      </c>
      <c r="AJ913" s="5" t="str">
        <f>INDEX(RatingLookup!$C$2:$C$11,MATCH(A913,RatingLookup!$A$2:$A$11,0))</f>
        <v>Speculative Grade</v>
      </c>
    </row>
    <row r="914" spans="1:36" x14ac:dyDescent="0.3">
      <c r="A914" s="3" t="s">
        <v>36</v>
      </c>
      <c r="B914" s="3" t="s">
        <v>1057</v>
      </c>
      <c r="C914" s="3" t="s">
        <v>1058</v>
      </c>
      <c r="D914" s="3" t="s">
        <v>47</v>
      </c>
      <c r="E914" s="3" t="s">
        <v>1059</v>
      </c>
      <c r="F914" s="3" t="s">
        <v>174</v>
      </c>
      <c r="G914" s="3">
        <v>1.1412127599999999</v>
      </c>
      <c r="H914" s="3">
        <v>0.845847126</v>
      </c>
      <c r="I914" s="3">
        <v>0.25737285599999998</v>
      </c>
      <c r="J914" s="3">
        <v>58.489131989999997</v>
      </c>
      <c r="K914" s="3">
        <v>0.15366808000000001</v>
      </c>
      <c r="L914" s="3">
        <v>0.24057115900000001</v>
      </c>
      <c r="M914" s="3">
        <v>0.45875074300000002</v>
      </c>
      <c r="N914" s="3">
        <v>0.23354434299999999</v>
      </c>
      <c r="O914" s="3">
        <v>8.9147978000000003E-2</v>
      </c>
      <c r="P914" s="3">
        <v>0.165422236</v>
      </c>
      <c r="Q914" s="3">
        <v>0.166844611</v>
      </c>
      <c r="R914" s="3">
        <v>0.58013334800000005</v>
      </c>
      <c r="S914" s="3">
        <v>2.0921052630000001</v>
      </c>
      <c r="T914" s="3">
        <v>0.79992437400000005</v>
      </c>
      <c r="U914" s="3">
        <v>0.427413508</v>
      </c>
      <c r="V914" s="3">
        <v>0.361236481</v>
      </c>
      <c r="W914" s="3">
        <v>0.66145194299999999</v>
      </c>
      <c r="X914" s="3">
        <v>3.7686176069999999</v>
      </c>
      <c r="Y914" s="3">
        <v>1.9929573089999999</v>
      </c>
      <c r="Z914" s="3">
        <v>1.8715467770000001</v>
      </c>
      <c r="AA914" s="3">
        <v>0.24009997299999999</v>
      </c>
      <c r="AB914" s="3">
        <v>11.868776009999999</v>
      </c>
      <c r="AC914" s="3">
        <v>5.6974926879999996</v>
      </c>
      <c r="AD914" s="3">
        <v>0.20035646200000001</v>
      </c>
      <c r="AE914" s="3">
        <v>3.4786043449999999</v>
      </c>
      <c r="AF914" s="4">
        <v>42013</v>
      </c>
      <c r="AG914" s="5">
        <f>YEAR(AF914)</f>
        <v>2015</v>
      </c>
      <c r="AH914" s="5" t="str">
        <f>"Q"&amp;ROUNDUP(MONTH(AF914)/3,0)</f>
        <v>Q1</v>
      </c>
      <c r="AI914" s="5">
        <f>INDEX(RatingLookup!$B$2:$B$11,MATCH(A914,RatingLookup!$A$2:$A$11,0))</f>
        <v>8</v>
      </c>
      <c r="AJ914" s="5" t="str">
        <f>INDEX(RatingLookup!$C$2:$C$11,MATCH(A914,RatingLookup!$A$2:$A$11,0))</f>
        <v>Investment Grade</v>
      </c>
    </row>
    <row r="915" spans="1:36" x14ac:dyDescent="0.3">
      <c r="A915" s="3" t="s">
        <v>36</v>
      </c>
      <c r="B915" s="3" t="s">
        <v>1057</v>
      </c>
      <c r="C915" s="3" t="s">
        <v>1058</v>
      </c>
      <c r="D915" s="3" t="s">
        <v>47</v>
      </c>
      <c r="E915" s="3" t="s">
        <v>1060</v>
      </c>
      <c r="F915" s="3" t="s">
        <v>174</v>
      </c>
      <c r="G915" s="3">
        <v>1.0699289780000001</v>
      </c>
      <c r="H915" s="3">
        <v>0.77476000899999997</v>
      </c>
      <c r="I915" s="3">
        <v>0.26434090399999999</v>
      </c>
      <c r="J915" s="3">
        <v>56.461989690000003</v>
      </c>
      <c r="K915" s="3">
        <v>0.13439614</v>
      </c>
      <c r="L915" s="3">
        <v>0.20741283899999999</v>
      </c>
      <c r="M915" s="3">
        <v>0.44491224800000001</v>
      </c>
      <c r="N915" s="3">
        <v>0.207270921</v>
      </c>
      <c r="O915" s="3">
        <v>7.5863174000000005E-2</v>
      </c>
      <c r="P915" s="3">
        <v>0.14718531000000001</v>
      </c>
      <c r="Q915" s="3">
        <v>0.14291103899999999</v>
      </c>
      <c r="R915" s="3">
        <v>0.56447435199999996</v>
      </c>
      <c r="S915" s="3">
        <v>1.965321681</v>
      </c>
      <c r="T915" s="3">
        <v>0.82849166200000002</v>
      </c>
      <c r="U915" s="3">
        <v>0.43979812499999998</v>
      </c>
      <c r="V915" s="3">
        <v>0.35203558000000001</v>
      </c>
      <c r="W915" s="3">
        <v>0.52498117</v>
      </c>
      <c r="X915" s="3">
        <v>2.3307467499999999</v>
      </c>
      <c r="Y915" s="3">
        <v>1.88767079</v>
      </c>
      <c r="Z915" s="3">
        <v>1.883799894</v>
      </c>
      <c r="AA915" s="3">
        <v>0.216140782</v>
      </c>
      <c r="AB915" s="3">
        <v>8.9525444719999996</v>
      </c>
      <c r="AC915" s="3">
        <v>4.4396768550000001</v>
      </c>
      <c r="AD915" s="3">
        <v>0.18841950900000001</v>
      </c>
      <c r="AE915" s="3">
        <v>3.6708900359999999</v>
      </c>
      <c r="AF915" s="4">
        <v>41255</v>
      </c>
      <c r="AG915" s="5">
        <f>YEAR(AF915)</f>
        <v>2012</v>
      </c>
      <c r="AH915" s="5" t="str">
        <f>"Q"&amp;ROUNDUP(MONTH(AF915)/3,0)</f>
        <v>Q4</v>
      </c>
      <c r="AI915" s="5">
        <f>INDEX(RatingLookup!$B$2:$B$11,MATCH(A915,RatingLookup!$A$2:$A$11,0))</f>
        <v>8</v>
      </c>
      <c r="AJ915" s="5" t="str">
        <f>INDEX(RatingLookup!$C$2:$C$11,MATCH(A915,RatingLookup!$A$2:$A$11,0))</f>
        <v>Investment Grade</v>
      </c>
    </row>
    <row r="916" spans="1:36" x14ac:dyDescent="0.3">
      <c r="A916" s="3" t="s">
        <v>36</v>
      </c>
      <c r="B916" s="3" t="s">
        <v>1057</v>
      </c>
      <c r="C916" s="3" t="s">
        <v>1058</v>
      </c>
      <c r="D916" s="3" t="s">
        <v>47</v>
      </c>
      <c r="E916" s="3" t="s">
        <v>1061</v>
      </c>
      <c r="F916" s="3" t="s">
        <v>174</v>
      </c>
      <c r="G916" s="3">
        <v>1.138070814</v>
      </c>
      <c r="H916" s="3">
        <v>0.77490072799999998</v>
      </c>
      <c r="I916" s="3">
        <v>0.26348444700000001</v>
      </c>
      <c r="J916" s="3">
        <v>55.17888147</v>
      </c>
      <c r="K916" s="3">
        <v>0.117550681</v>
      </c>
      <c r="L916" s="3">
        <v>0.185655247</v>
      </c>
      <c r="M916" s="3">
        <v>1</v>
      </c>
      <c r="N916" s="3">
        <v>0.188932091</v>
      </c>
      <c r="O916" s="3">
        <v>6.6649104000000001E-2</v>
      </c>
      <c r="P916" s="3">
        <v>0.132170698</v>
      </c>
      <c r="Q916" s="3">
        <v>0.12858098200000001</v>
      </c>
      <c r="R916" s="3">
        <v>0.56698186500000003</v>
      </c>
      <c r="S916" s="3">
        <v>2.076313785</v>
      </c>
      <c r="T916" s="3">
        <v>0.87390664699999998</v>
      </c>
      <c r="U916" s="3">
        <v>0.45298375000000002</v>
      </c>
      <c r="V916" s="3">
        <v>0.366833509</v>
      </c>
      <c r="W916" s="3">
        <v>0.49113525899999999</v>
      </c>
      <c r="X916" s="3">
        <v>1.8507499249999999</v>
      </c>
      <c r="Y916" s="3">
        <v>1.7160519679999999</v>
      </c>
      <c r="Z916" s="3">
        <v>1.92922295</v>
      </c>
      <c r="AA916" s="3">
        <v>0.19404299</v>
      </c>
      <c r="AB916" s="3">
        <v>7.441226146</v>
      </c>
      <c r="AC916" s="3">
        <v>3.7683100359999999</v>
      </c>
      <c r="AD916" s="3">
        <v>0.171031717</v>
      </c>
      <c r="AE916" s="3">
        <v>0</v>
      </c>
      <c r="AF916" s="4">
        <v>40899</v>
      </c>
      <c r="AG916" s="5">
        <f>YEAR(AF916)</f>
        <v>2011</v>
      </c>
      <c r="AH916" s="5" t="str">
        <f>"Q"&amp;ROUNDUP(MONTH(AF916)/3,0)</f>
        <v>Q4</v>
      </c>
      <c r="AI916" s="5">
        <f>INDEX(RatingLookup!$B$2:$B$11,MATCH(A916,RatingLookup!$A$2:$A$11,0))</f>
        <v>8</v>
      </c>
      <c r="AJ916" s="5" t="str">
        <f>INDEX(RatingLookup!$C$2:$C$11,MATCH(A916,RatingLookup!$A$2:$A$11,0))</f>
        <v>Investment Grade</v>
      </c>
    </row>
    <row r="917" spans="1:36" x14ac:dyDescent="0.3">
      <c r="A917" s="3" t="s">
        <v>36</v>
      </c>
      <c r="B917" s="3" t="s">
        <v>1057</v>
      </c>
      <c r="C917" s="3" t="s">
        <v>1058</v>
      </c>
      <c r="D917" s="3" t="s">
        <v>47</v>
      </c>
      <c r="E917" s="3" t="s">
        <v>1062</v>
      </c>
      <c r="F917" s="3" t="s">
        <v>174</v>
      </c>
      <c r="G917" s="3">
        <v>1.025958124</v>
      </c>
      <c r="H917" s="3">
        <v>0.75229582500000003</v>
      </c>
      <c r="I917" s="3">
        <v>0.26135667899999998</v>
      </c>
      <c r="J917" s="3">
        <v>55.788335080000003</v>
      </c>
      <c r="K917" s="3">
        <v>0.15976365200000001</v>
      </c>
      <c r="L917" s="3">
        <v>0.25537024699999999</v>
      </c>
      <c r="M917" s="3">
        <v>0.45937291499999999</v>
      </c>
      <c r="N917" s="3">
        <v>0.25104355299999997</v>
      </c>
      <c r="O917" s="3">
        <v>9.5053412000000004E-2</v>
      </c>
      <c r="P917" s="3">
        <v>0.18810544500000001</v>
      </c>
      <c r="Q917" s="3">
        <v>0.18825379</v>
      </c>
      <c r="R917" s="3">
        <v>0.59496269099999999</v>
      </c>
      <c r="S917" s="3">
        <v>2.0836808449999999</v>
      </c>
      <c r="T917" s="3">
        <v>0.88774845599999996</v>
      </c>
      <c r="U917" s="3">
        <v>0.44824340600000001</v>
      </c>
      <c r="V917" s="3">
        <v>0.37438423599999998</v>
      </c>
      <c r="W917" s="3">
        <v>0.62538427799999996</v>
      </c>
      <c r="X917" s="3">
        <v>4.2183645089999997</v>
      </c>
      <c r="Y917" s="3">
        <v>2.5292413040000001</v>
      </c>
      <c r="Z917" s="3">
        <v>1.9805053340000001</v>
      </c>
      <c r="AA917" s="3">
        <v>0.25760030499999997</v>
      </c>
      <c r="AB917" s="3">
        <v>11.671285559999999</v>
      </c>
      <c r="AC917" s="3">
        <v>6.7452359450000001</v>
      </c>
      <c r="AD917" s="3">
        <v>0.21700181099999999</v>
      </c>
      <c r="AE917" s="3">
        <v>3.6160122389999998</v>
      </c>
      <c r="AF917" s="4">
        <v>42377</v>
      </c>
      <c r="AG917" s="5">
        <f>YEAR(AF917)</f>
        <v>2016</v>
      </c>
      <c r="AH917" s="5" t="str">
        <f>"Q"&amp;ROUNDUP(MONTH(AF917)/3,0)</f>
        <v>Q1</v>
      </c>
      <c r="AI917" s="5">
        <f>INDEX(RatingLookup!$B$2:$B$11,MATCH(A917,RatingLookup!$A$2:$A$11,0))</f>
        <v>8</v>
      </c>
      <c r="AJ917" s="5" t="str">
        <f>INDEX(RatingLookup!$C$2:$C$11,MATCH(A917,RatingLookup!$A$2:$A$11,0))</f>
        <v>Investment Grade</v>
      </c>
    </row>
    <row r="918" spans="1:36" x14ac:dyDescent="0.3">
      <c r="A918" s="3" t="s">
        <v>36</v>
      </c>
      <c r="B918" s="3" t="s">
        <v>1057</v>
      </c>
      <c r="C918" s="3" t="s">
        <v>1058</v>
      </c>
      <c r="D918" s="3" t="s">
        <v>47</v>
      </c>
      <c r="E918" s="3" t="s">
        <v>1063</v>
      </c>
      <c r="F918" s="3" t="s">
        <v>174</v>
      </c>
      <c r="G918" s="3">
        <v>1.1113636360000001</v>
      </c>
      <c r="H918" s="3">
        <v>0.77327272700000005</v>
      </c>
      <c r="I918" s="3">
        <v>0.247454545</v>
      </c>
      <c r="J918" s="3">
        <v>55.464887160000004</v>
      </c>
      <c r="K918" s="3">
        <v>0.10411685900000001</v>
      </c>
      <c r="L918" s="3">
        <v>0.16491080599999999</v>
      </c>
      <c r="M918" s="3">
        <v>1</v>
      </c>
      <c r="N918" s="3">
        <v>0.16961353500000001</v>
      </c>
      <c r="O918" s="3">
        <v>5.7263820999999999E-2</v>
      </c>
      <c r="P918" s="3">
        <v>0.114867883</v>
      </c>
      <c r="Q918" s="3">
        <v>0.10562648299999999</v>
      </c>
      <c r="R918" s="3">
        <v>0.54999566499999997</v>
      </c>
      <c r="S918" s="3">
        <v>2.1376502300000002</v>
      </c>
      <c r="T918" s="3">
        <v>0.79597004199999999</v>
      </c>
      <c r="U918" s="3">
        <v>0.43152327800000001</v>
      </c>
      <c r="V918" s="3">
        <v>0.36864744300000002</v>
      </c>
      <c r="W918" s="3">
        <v>0.67923381000000005</v>
      </c>
      <c r="X918" s="3">
        <v>2.336078509</v>
      </c>
      <c r="Y918" s="3">
        <v>1.423188385</v>
      </c>
      <c r="Z918" s="3">
        <v>1.8445587569999999</v>
      </c>
      <c r="AA918" s="3">
        <v>0.17565614900000001</v>
      </c>
      <c r="AB918" s="3">
        <v>8.8837363709999995</v>
      </c>
      <c r="AC918" s="3">
        <v>3.4392847889999998</v>
      </c>
      <c r="AD918" s="3">
        <v>0.17281874799999999</v>
      </c>
      <c r="AE918" s="3">
        <v>0</v>
      </c>
      <c r="AF918" s="4">
        <v>40535</v>
      </c>
      <c r="AG918" s="5">
        <f>YEAR(AF918)</f>
        <v>2010</v>
      </c>
      <c r="AH918" s="5" t="str">
        <f>"Q"&amp;ROUNDUP(MONTH(AF918)/3,0)</f>
        <v>Q4</v>
      </c>
      <c r="AI918" s="5">
        <f>INDEX(RatingLookup!$B$2:$B$11,MATCH(A918,RatingLookup!$A$2:$A$11,0))</f>
        <v>8</v>
      </c>
      <c r="AJ918" s="5" t="str">
        <f>INDEX(RatingLookup!$C$2:$C$11,MATCH(A918,RatingLookup!$A$2:$A$11,0))</f>
        <v>Investment Grade</v>
      </c>
    </row>
    <row r="919" spans="1:36" x14ac:dyDescent="0.3">
      <c r="A919" s="3" t="s">
        <v>36</v>
      </c>
      <c r="B919" s="3" t="s">
        <v>1057</v>
      </c>
      <c r="C919" s="3" t="s">
        <v>1058</v>
      </c>
      <c r="D919" s="3" t="s">
        <v>47</v>
      </c>
      <c r="E919" s="3" t="s">
        <v>1064</v>
      </c>
      <c r="F919" s="3" t="s">
        <v>174</v>
      </c>
      <c r="G919" s="3">
        <v>1.205485304</v>
      </c>
      <c r="H919" s="3">
        <v>0.93113465500000003</v>
      </c>
      <c r="I919" s="3">
        <v>0.33586807899999999</v>
      </c>
      <c r="J919" s="3">
        <v>56.458670990000002</v>
      </c>
      <c r="K919" s="3">
        <v>0.13623143400000001</v>
      </c>
      <c r="L919" s="3">
        <v>0.20248218300000001</v>
      </c>
      <c r="M919" s="3">
        <v>0.44419528899999999</v>
      </c>
      <c r="N919" s="3">
        <v>0.205057614</v>
      </c>
      <c r="O919" s="3">
        <v>7.5528366E-2</v>
      </c>
      <c r="P919" s="3">
        <v>0.13453269500000001</v>
      </c>
      <c r="Q919" s="3">
        <v>0.13506790799999999</v>
      </c>
      <c r="R919" s="3">
        <v>0.554412181</v>
      </c>
      <c r="S919" s="3">
        <v>2.0125558529999998</v>
      </c>
      <c r="T919" s="3">
        <v>0.72841136699999998</v>
      </c>
      <c r="U919" s="3">
        <v>0.40731896499999998</v>
      </c>
      <c r="V919" s="3">
        <v>0.32719298200000002</v>
      </c>
      <c r="W919" s="3">
        <v>0.70418959000000003</v>
      </c>
      <c r="X919" s="3">
        <v>3.725840652</v>
      </c>
      <c r="Y919" s="3">
        <v>2.2004626809999999</v>
      </c>
      <c r="Z919" s="3">
        <v>1.788307029</v>
      </c>
      <c r="AA919" s="3">
        <v>0.20769965100000001</v>
      </c>
      <c r="AB919" s="3">
        <v>10.346662029999999</v>
      </c>
      <c r="AC919" s="3">
        <v>5.2909624170000003</v>
      </c>
      <c r="AD919" s="3">
        <v>0.20985324499999999</v>
      </c>
      <c r="AE919" s="3">
        <v>3.6798471259999999</v>
      </c>
      <c r="AF919" s="4">
        <v>41625</v>
      </c>
      <c r="AG919" s="5">
        <f>YEAR(AF919)</f>
        <v>2013</v>
      </c>
      <c r="AH919" s="5" t="str">
        <f>"Q"&amp;ROUNDUP(MONTH(AF919)/3,0)</f>
        <v>Q4</v>
      </c>
      <c r="AI919" s="5">
        <f>INDEX(RatingLookup!$B$2:$B$11,MATCH(A919,RatingLookup!$A$2:$A$11,0))</f>
        <v>8</v>
      </c>
      <c r="AJ919" s="5" t="str">
        <f>INDEX(RatingLookup!$C$2:$C$11,MATCH(A919,RatingLookup!$A$2:$A$11,0))</f>
        <v>Investment Grade</v>
      </c>
    </row>
    <row r="920" spans="1:36" x14ac:dyDescent="0.3">
      <c r="A920" s="3" t="s">
        <v>36</v>
      </c>
      <c r="B920" s="3" t="s">
        <v>1057</v>
      </c>
      <c r="C920" s="3" t="s">
        <v>1058</v>
      </c>
      <c r="D920" s="3" t="s">
        <v>47</v>
      </c>
      <c r="E920" s="3" t="s">
        <v>1024</v>
      </c>
      <c r="F920" s="3" t="s">
        <v>174</v>
      </c>
      <c r="G920" s="3">
        <v>1.007362546</v>
      </c>
      <c r="H920" s="3">
        <v>0.81195819999999996</v>
      </c>
      <c r="I920" s="3">
        <v>0.27372046100000003</v>
      </c>
      <c r="J920" s="3">
        <v>59.475212110000001</v>
      </c>
      <c r="K920" s="3">
        <v>0.16880572299999999</v>
      </c>
      <c r="L920" s="3">
        <v>0.26008412400000003</v>
      </c>
      <c r="M920" s="3">
        <v>0.46086784600000003</v>
      </c>
      <c r="N920" s="3">
        <v>0.25528472800000002</v>
      </c>
      <c r="O920" s="3">
        <v>0.102039486</v>
      </c>
      <c r="P920" s="3">
        <v>0.195887806</v>
      </c>
      <c r="Q920" s="3">
        <v>0.21705766800000001</v>
      </c>
      <c r="R920" s="3">
        <v>0.60447882799999997</v>
      </c>
      <c r="S920" s="3">
        <v>2.0341511570000002</v>
      </c>
      <c r="T920" s="3">
        <v>1.033398821</v>
      </c>
      <c r="U920" s="3">
        <v>0.48580400499999998</v>
      </c>
      <c r="V920" s="3">
        <v>0.35095721899999999</v>
      </c>
      <c r="W920" s="3">
        <v>0.63664738099999996</v>
      </c>
      <c r="X920" s="3">
        <v>5.2037793810000004</v>
      </c>
      <c r="Y920" s="3">
        <v>2.8685188269999999</v>
      </c>
      <c r="Z920" s="3">
        <v>2.127192881</v>
      </c>
      <c r="AA920" s="3">
        <v>0.26475769300000002</v>
      </c>
      <c r="AB920" s="3">
        <v>9.6804217379999997</v>
      </c>
      <c r="AC920" s="3">
        <v>8.1737230600000004</v>
      </c>
      <c r="AD920" s="3">
        <v>0.23612309500000001</v>
      </c>
      <c r="AE920" s="3">
        <v>3.285104053</v>
      </c>
      <c r="AF920" s="4">
        <v>42613</v>
      </c>
      <c r="AG920" s="5">
        <f>YEAR(AF920)</f>
        <v>2016</v>
      </c>
      <c r="AH920" s="5" t="str">
        <f>"Q"&amp;ROUNDUP(MONTH(AF920)/3,0)</f>
        <v>Q3</v>
      </c>
      <c r="AI920" s="5">
        <f>INDEX(RatingLookup!$B$2:$B$11,MATCH(A920,RatingLookup!$A$2:$A$11,0))</f>
        <v>8</v>
      </c>
      <c r="AJ920" s="5" t="str">
        <f>INDEX(RatingLookup!$C$2:$C$11,MATCH(A920,RatingLookup!$A$2:$A$11,0))</f>
        <v>Investment Grade</v>
      </c>
    </row>
    <row r="921" spans="1:36" x14ac:dyDescent="0.3">
      <c r="A921" s="3" t="s">
        <v>42</v>
      </c>
      <c r="B921" s="3" t="s">
        <v>1065</v>
      </c>
      <c r="C921" s="3" t="s">
        <v>1066</v>
      </c>
      <c r="D921" s="3" t="s">
        <v>47</v>
      </c>
      <c r="E921" s="3" t="s">
        <v>209</v>
      </c>
      <c r="F921" s="3" t="s">
        <v>79</v>
      </c>
      <c r="G921" s="3">
        <v>0.82808223199999997</v>
      </c>
      <c r="H921" s="3">
        <v>0.74136625700000003</v>
      </c>
      <c r="I921" s="3">
        <v>0.12422107</v>
      </c>
      <c r="J921" s="3">
        <v>38.623948579999997</v>
      </c>
      <c r="K921" s="3">
        <v>6.9963883000000004E-2</v>
      </c>
      <c r="L921" s="3">
        <v>7.1033123000000004E-2</v>
      </c>
      <c r="M921" s="3">
        <v>0.37809485300000001</v>
      </c>
      <c r="N921" s="3">
        <v>0.14378890799999999</v>
      </c>
      <c r="O921" s="3">
        <v>2.9519981000000001E-2</v>
      </c>
      <c r="P921" s="3">
        <v>3.2793809E-2</v>
      </c>
      <c r="Q921" s="3">
        <v>7.4511292000000007E-2</v>
      </c>
      <c r="R921" s="3">
        <v>0.42193170699999999</v>
      </c>
      <c r="S921" s="3">
        <v>1.1961687130000001</v>
      </c>
      <c r="T921" s="3">
        <v>1.524096919</v>
      </c>
      <c r="U921" s="3">
        <v>0.60381869899999996</v>
      </c>
      <c r="V921" s="3">
        <v>0.43836762000000001</v>
      </c>
      <c r="W921" s="3">
        <v>0.43108125600000002</v>
      </c>
      <c r="X921" s="3">
        <v>1.843371431</v>
      </c>
      <c r="Y921" s="3">
        <v>1.0559198350000001</v>
      </c>
      <c r="Z921" s="3">
        <v>2.5240969190000002</v>
      </c>
      <c r="AA921" s="3">
        <v>7.1033123000000004E-2</v>
      </c>
      <c r="AB921" s="3">
        <v>8.5323473360000008</v>
      </c>
      <c r="AC921" s="3">
        <v>4.2761576999999997</v>
      </c>
      <c r="AD921" s="3">
        <v>0.18393289900000001</v>
      </c>
      <c r="AE921" s="3">
        <v>10.236018769999999</v>
      </c>
      <c r="AF921" s="4">
        <v>41604</v>
      </c>
      <c r="AG921" s="5">
        <f>YEAR(AF921)</f>
        <v>2013</v>
      </c>
      <c r="AH921" s="5" t="str">
        <f>"Q"&amp;ROUNDUP(MONTH(AF921)/3,0)</f>
        <v>Q4</v>
      </c>
      <c r="AI921" s="5">
        <f>INDEX(RatingLookup!$B$2:$B$11,MATCH(A921,RatingLookup!$A$2:$A$11,0))</f>
        <v>7</v>
      </c>
      <c r="AJ921" s="5" t="str">
        <f>INDEX(RatingLookup!$C$2:$C$11,MATCH(A921,RatingLookup!$A$2:$A$11,0))</f>
        <v>Investment Grade</v>
      </c>
    </row>
    <row r="922" spans="1:36" x14ac:dyDescent="0.3">
      <c r="A922" s="3" t="s">
        <v>42</v>
      </c>
      <c r="B922" s="3" t="s">
        <v>1067</v>
      </c>
      <c r="C922" s="3" t="s">
        <v>1068</v>
      </c>
      <c r="D922" s="3" t="s">
        <v>47</v>
      </c>
      <c r="E922" s="3" t="s">
        <v>1069</v>
      </c>
      <c r="F922" s="3" t="s">
        <v>174</v>
      </c>
      <c r="G922" s="3">
        <v>2.0102762080000001</v>
      </c>
      <c r="H922" s="3">
        <v>1.7511842280000001</v>
      </c>
      <c r="I922" s="3">
        <v>0.75848977299999998</v>
      </c>
      <c r="J922" s="3">
        <v>87.523833379999999</v>
      </c>
      <c r="K922" s="3">
        <v>9.7445230999999993E-2</v>
      </c>
      <c r="L922" s="3">
        <v>0.12261219199999999</v>
      </c>
      <c r="M922" s="3">
        <v>0.39312462500000001</v>
      </c>
      <c r="N922" s="3">
        <v>0.135792777</v>
      </c>
      <c r="O922" s="3">
        <v>8.5848557000000006E-2</v>
      </c>
      <c r="P922" s="3">
        <v>0.151441399</v>
      </c>
      <c r="Q922" s="3">
        <v>0.18385854800000001</v>
      </c>
      <c r="R922" s="3">
        <v>0.88099290900000005</v>
      </c>
      <c r="S922" s="3">
        <v>14.031357610000001</v>
      </c>
      <c r="T922" s="3">
        <v>1.1416614789999999</v>
      </c>
      <c r="U922" s="3">
        <v>0.53307279900000004</v>
      </c>
      <c r="V922" s="3">
        <v>0.20525660000000001</v>
      </c>
      <c r="W922" s="3">
        <v>0.81466279399999997</v>
      </c>
      <c r="X922" s="3">
        <v>1.254190479</v>
      </c>
      <c r="Y922" s="3">
        <v>2.1200179430000001</v>
      </c>
      <c r="Z922" s="3">
        <v>2.1416614790000001</v>
      </c>
      <c r="AA922" s="3">
        <v>0.13531696300000001</v>
      </c>
      <c r="AB922" s="3">
        <v>13.841975619999999</v>
      </c>
      <c r="AC922" s="3">
        <v>1.5395209990000001</v>
      </c>
      <c r="AD922" s="3">
        <v>0.133049633</v>
      </c>
      <c r="AE922" s="3">
        <v>148.08120170000001</v>
      </c>
      <c r="AF922" s="4">
        <v>42186</v>
      </c>
      <c r="AG922" s="5">
        <f>YEAR(AF922)</f>
        <v>2015</v>
      </c>
      <c r="AH922" s="5" t="str">
        <f>"Q"&amp;ROUNDUP(MONTH(AF922)/3,0)</f>
        <v>Q3</v>
      </c>
      <c r="AI922" s="5">
        <f>INDEX(RatingLookup!$B$2:$B$11,MATCH(A922,RatingLookup!$A$2:$A$11,0))</f>
        <v>7</v>
      </c>
      <c r="AJ922" s="5" t="str">
        <f>INDEX(RatingLookup!$C$2:$C$11,MATCH(A922,RatingLookup!$A$2:$A$11,0))</f>
        <v>Investment Grade</v>
      </c>
    </row>
    <row r="923" spans="1:36" x14ac:dyDescent="0.3">
      <c r="A923" s="3" t="s">
        <v>92</v>
      </c>
      <c r="B923" s="3" t="s">
        <v>1067</v>
      </c>
      <c r="C923" s="3" t="s">
        <v>1068</v>
      </c>
      <c r="D923" s="3" t="s">
        <v>60</v>
      </c>
      <c r="E923" s="3" t="s">
        <v>1070</v>
      </c>
      <c r="F923" s="3" t="s">
        <v>174</v>
      </c>
      <c r="G923" s="3">
        <v>2.7640531699999999</v>
      </c>
      <c r="H923" s="3">
        <v>2.3314042009999998</v>
      </c>
      <c r="I923" s="3">
        <v>1.2373503610000001</v>
      </c>
      <c r="J923" s="3">
        <v>86.476531159999993</v>
      </c>
      <c r="K923" s="3">
        <v>0.107747337</v>
      </c>
      <c r="L923" s="3">
        <v>0.14109635200000001</v>
      </c>
      <c r="M923" s="3">
        <v>0.381063388</v>
      </c>
      <c r="N923" s="3">
        <v>0.14518172400000001</v>
      </c>
      <c r="O923" s="3">
        <v>8.5416753999999998E-2</v>
      </c>
      <c r="P923" s="3">
        <v>0.13503636499999999</v>
      </c>
      <c r="Q923" s="3">
        <v>0.17366767</v>
      </c>
      <c r="R923" s="3">
        <v>0.79275048699999995</v>
      </c>
      <c r="S923" s="3">
        <v>12.309167220000001</v>
      </c>
      <c r="T923" s="3">
        <v>1.0321756600000001</v>
      </c>
      <c r="U923" s="3">
        <v>0.50766555800000002</v>
      </c>
      <c r="V923" s="3">
        <v>0.23635632300000001</v>
      </c>
      <c r="W923" s="3">
        <v>0.854183515</v>
      </c>
      <c r="X923" s="3">
        <v>1.156324149</v>
      </c>
      <c r="Y923" s="3">
        <v>2.4818262020000001</v>
      </c>
      <c r="Z923" s="3">
        <v>2.0331803929999999</v>
      </c>
      <c r="AA923" s="3">
        <v>0.14109635200000001</v>
      </c>
      <c r="AB923" s="3">
        <v>11.21630848</v>
      </c>
      <c r="AC923" s="3">
        <v>1.353718644</v>
      </c>
      <c r="AD923" s="3">
        <v>0.14615592799999999</v>
      </c>
      <c r="AE923" s="3">
        <v>71.669074519999995</v>
      </c>
      <c r="AF923" s="4">
        <v>41649</v>
      </c>
      <c r="AG923" s="5">
        <f>YEAR(AF923)</f>
        <v>2014</v>
      </c>
      <c r="AH923" s="5" t="str">
        <f>"Q"&amp;ROUNDUP(MONTH(AF923)/3,0)</f>
        <v>Q1</v>
      </c>
      <c r="AI923" s="5">
        <f>INDEX(RatingLookup!$B$2:$B$11,MATCH(A923,RatingLookup!$A$2:$A$11,0))</f>
        <v>6</v>
      </c>
      <c r="AJ923" s="5" t="str">
        <f>INDEX(RatingLookup!$C$2:$C$11,MATCH(A923,RatingLookup!$A$2:$A$11,0))</f>
        <v>Speculative Grade</v>
      </c>
    </row>
    <row r="924" spans="1:36" x14ac:dyDescent="0.3">
      <c r="A924" s="3" t="s">
        <v>92</v>
      </c>
      <c r="B924" s="3" t="s">
        <v>1067</v>
      </c>
      <c r="C924" s="3" t="s">
        <v>1068</v>
      </c>
      <c r="D924" s="3" t="s">
        <v>60</v>
      </c>
      <c r="E924" s="3" t="s">
        <v>296</v>
      </c>
      <c r="F924" s="3" t="s">
        <v>174</v>
      </c>
      <c r="G924" s="3">
        <v>2.1798527669999999</v>
      </c>
      <c r="H924" s="3">
        <v>1.7950496119999999</v>
      </c>
      <c r="I924" s="3">
        <v>0.88685213699999998</v>
      </c>
      <c r="J924" s="3">
        <v>86.739484989999994</v>
      </c>
      <c r="K924" s="3">
        <v>9.3700693000000002E-2</v>
      </c>
      <c r="L924" s="3">
        <v>0.13493107900000001</v>
      </c>
      <c r="M924" s="3">
        <v>0.39128094000000002</v>
      </c>
      <c r="N924" s="3">
        <v>0.13898476900000001</v>
      </c>
      <c r="O924" s="3">
        <v>6.8388715000000003E-2</v>
      </c>
      <c r="P924" s="3">
        <v>0.122903067</v>
      </c>
      <c r="Q924" s="3">
        <v>0.15252852</v>
      </c>
      <c r="R924" s="3">
        <v>0.7298635</v>
      </c>
      <c r="S924" s="3">
        <v>9.4926732610000002</v>
      </c>
      <c r="T924" s="3">
        <v>1.2274328130000001</v>
      </c>
      <c r="U924" s="3">
        <v>0.55034005200000002</v>
      </c>
      <c r="V924" s="3">
        <v>0.305566271</v>
      </c>
      <c r="W924" s="3">
        <v>0.73335157399999995</v>
      </c>
      <c r="X924" s="3">
        <v>1.016295741</v>
      </c>
      <c r="Y924" s="3">
        <v>2.13016922</v>
      </c>
      <c r="Z924" s="3">
        <v>2.2303170720000001</v>
      </c>
      <c r="AA924" s="3">
        <v>0.13493107900000001</v>
      </c>
      <c r="AB924" s="3">
        <v>11.332883320000001</v>
      </c>
      <c r="AC924" s="3">
        <v>1.3858233579999999</v>
      </c>
      <c r="AD924" s="3">
        <v>0.16333582399999999</v>
      </c>
      <c r="AE924" s="3">
        <v>62.07194939</v>
      </c>
      <c r="AF924" s="4">
        <v>41127</v>
      </c>
      <c r="AG924" s="5">
        <f>YEAR(AF924)</f>
        <v>2012</v>
      </c>
      <c r="AH924" s="5" t="str">
        <f>"Q"&amp;ROUNDUP(MONTH(AF924)/3,0)</f>
        <v>Q3</v>
      </c>
      <c r="AI924" s="5">
        <f>INDEX(RatingLookup!$B$2:$B$11,MATCH(A924,RatingLookup!$A$2:$A$11,0))</f>
        <v>6</v>
      </c>
      <c r="AJ924" s="5" t="str">
        <f>INDEX(RatingLookup!$C$2:$C$11,MATCH(A924,RatingLookup!$A$2:$A$11,0))</f>
        <v>Speculative Grade</v>
      </c>
    </row>
    <row r="925" spans="1:36" x14ac:dyDescent="0.3">
      <c r="A925" s="3" t="s">
        <v>42</v>
      </c>
      <c r="B925" s="3" t="s">
        <v>1071</v>
      </c>
      <c r="C925" s="3" t="s">
        <v>1072</v>
      </c>
      <c r="D925" s="3" t="s">
        <v>39</v>
      </c>
      <c r="E925" s="3" t="s">
        <v>1073</v>
      </c>
      <c r="F925" s="3" t="s">
        <v>59</v>
      </c>
      <c r="G925" s="3">
        <v>1.606365576</v>
      </c>
      <c r="H925" s="3">
        <v>0.79267425300000005</v>
      </c>
      <c r="I925" s="3">
        <v>0.37240398299999999</v>
      </c>
      <c r="J925" s="3">
        <v>31.827401760000001</v>
      </c>
      <c r="K925" s="3">
        <v>5.5363450000000002E-2</v>
      </c>
      <c r="L925" s="3">
        <v>5.1979716000000002E-2</v>
      </c>
      <c r="M925" s="3">
        <v>0.22162066999999999</v>
      </c>
      <c r="N925" s="3">
        <v>8.3499429999999999E-2</v>
      </c>
      <c r="O925" s="3">
        <v>7.0768356000000004E-2</v>
      </c>
      <c r="P925" s="3">
        <v>9.9648112999999996E-2</v>
      </c>
      <c r="Q925" s="3">
        <v>0.148920253</v>
      </c>
      <c r="R925" s="3">
        <v>1.2782504619999999</v>
      </c>
      <c r="S925" s="3">
        <v>6.7321350559999997</v>
      </c>
      <c r="T925" s="3">
        <v>1.1043339480000001</v>
      </c>
      <c r="U925" s="3">
        <v>0.52479025499999998</v>
      </c>
      <c r="V925" s="3">
        <v>0.46103085399999999</v>
      </c>
      <c r="W925" s="3">
        <v>0.50840652399999997</v>
      </c>
      <c r="X925" s="3">
        <v>4.1644398770000004</v>
      </c>
      <c r="Y925" s="3">
        <v>13.241521069999999</v>
      </c>
      <c r="Z925" s="3">
        <v>2.1043339479999998</v>
      </c>
      <c r="AA925" s="3">
        <v>5.1979716000000002E-2</v>
      </c>
      <c r="AB925" s="3">
        <v>4.5172569920000001</v>
      </c>
      <c r="AC925" s="3">
        <v>8.1911613570000004</v>
      </c>
      <c r="AD925" s="3">
        <v>7.3885916999999995E-2</v>
      </c>
      <c r="AE925" s="3">
        <v>8.7434135170000005</v>
      </c>
      <c r="AF925" s="4">
        <v>41488</v>
      </c>
      <c r="AG925" s="5">
        <f>YEAR(AF925)</f>
        <v>2013</v>
      </c>
      <c r="AH925" s="5" t="str">
        <f>"Q"&amp;ROUNDUP(MONTH(AF925)/3,0)</f>
        <v>Q3</v>
      </c>
      <c r="AI925" s="5">
        <f>INDEX(RatingLookup!$B$2:$B$11,MATCH(A925,RatingLookup!$A$2:$A$11,0))</f>
        <v>7</v>
      </c>
      <c r="AJ925" s="5" t="str">
        <f>INDEX(RatingLookup!$C$2:$C$11,MATCH(A925,RatingLookup!$A$2:$A$11,0))</f>
        <v>Investment Grade</v>
      </c>
    </row>
    <row r="926" spans="1:36" x14ac:dyDescent="0.3">
      <c r="A926" s="3" t="s">
        <v>92</v>
      </c>
      <c r="B926" s="3" t="s">
        <v>1071</v>
      </c>
      <c r="C926" s="3" t="s">
        <v>1072</v>
      </c>
      <c r="D926" s="3" t="s">
        <v>60</v>
      </c>
      <c r="E926" s="3" t="s">
        <v>46</v>
      </c>
      <c r="F926" s="3" t="s">
        <v>59</v>
      </c>
      <c r="G926" s="3">
        <v>1.660757198</v>
      </c>
      <c r="H926" s="3">
        <v>0.843935616</v>
      </c>
      <c r="I926" s="3">
        <v>0.32845159800000001</v>
      </c>
      <c r="J926" s="3">
        <v>41.362672680000003</v>
      </c>
      <c r="K926" s="3">
        <v>6.6486572999999993E-2</v>
      </c>
      <c r="L926" s="3">
        <v>6.3944740999999999E-2</v>
      </c>
      <c r="M926" s="3">
        <v>0.202446086</v>
      </c>
      <c r="N926" s="3">
        <v>6.9564127000000003E-2</v>
      </c>
      <c r="O926" s="3">
        <v>8.0375350999999998E-2</v>
      </c>
      <c r="P926" s="3">
        <v>0.111051725</v>
      </c>
      <c r="Q926" s="3">
        <v>0.19474492500000001</v>
      </c>
      <c r="R926" s="3">
        <v>1.2088959930000001</v>
      </c>
      <c r="S926" s="3">
        <v>7.1758547359999998</v>
      </c>
      <c r="T926" s="3">
        <v>1.4229433760000001</v>
      </c>
      <c r="U926" s="3">
        <v>0.58727883999999997</v>
      </c>
      <c r="V926" s="3">
        <v>4.3850266999999998E-2</v>
      </c>
      <c r="W926" s="3">
        <v>0.58616889400000005</v>
      </c>
      <c r="X926" s="3">
        <v>4.4508368200000001</v>
      </c>
      <c r="Y926" s="3">
        <v>9.0700836819999999</v>
      </c>
      <c r="Z926" s="3">
        <v>2.4229433760000001</v>
      </c>
      <c r="AA926" s="3">
        <v>6.3944740999999999E-2</v>
      </c>
      <c r="AB926" s="3">
        <v>7.1507057490000001</v>
      </c>
      <c r="AC926" s="3">
        <v>7.5930962339999999</v>
      </c>
      <c r="AD926" s="3">
        <v>8.2740619000000001E-2</v>
      </c>
      <c r="AE926" s="3">
        <v>7.4675560299999999</v>
      </c>
      <c r="AF926" s="4">
        <v>41075</v>
      </c>
      <c r="AG926" s="5">
        <f>YEAR(AF926)</f>
        <v>2012</v>
      </c>
      <c r="AH926" s="5" t="str">
        <f>"Q"&amp;ROUNDUP(MONTH(AF926)/3,0)</f>
        <v>Q2</v>
      </c>
      <c r="AI926" s="5">
        <f>INDEX(RatingLookup!$B$2:$B$11,MATCH(A926,RatingLookup!$A$2:$A$11,0))</f>
        <v>6</v>
      </c>
      <c r="AJ926" s="5" t="str">
        <f>INDEX(RatingLookup!$C$2:$C$11,MATCH(A926,RatingLookup!$A$2:$A$11,0))</f>
        <v>Speculative Grade</v>
      </c>
    </row>
    <row r="927" spans="1:36" x14ac:dyDescent="0.3">
      <c r="A927" s="3" t="s">
        <v>42</v>
      </c>
      <c r="B927" s="3" t="s">
        <v>1071</v>
      </c>
      <c r="C927" s="3" t="s">
        <v>1072</v>
      </c>
      <c r="D927" s="3" t="s">
        <v>47</v>
      </c>
      <c r="E927" s="3" t="s">
        <v>551</v>
      </c>
      <c r="F927" s="3" t="s">
        <v>59</v>
      </c>
      <c r="G927" s="3">
        <v>1.326210305</v>
      </c>
      <c r="H927" s="3">
        <v>0.757527226</v>
      </c>
      <c r="I927" s="3">
        <v>0.19525029699999999</v>
      </c>
      <c r="J927" s="3">
        <v>40.902602010000003</v>
      </c>
      <c r="K927" s="3">
        <v>3.5675545000000003E-2</v>
      </c>
      <c r="L927" s="3">
        <v>3.7416469000000001E-2</v>
      </c>
      <c r="M927" s="3">
        <v>0.20899120199999999</v>
      </c>
      <c r="N927" s="3">
        <v>4.8357505000000002E-2</v>
      </c>
      <c r="O927" s="3">
        <v>4.097642E-2</v>
      </c>
      <c r="P927" s="3">
        <v>6.4737366000000005E-2</v>
      </c>
      <c r="Q927" s="3">
        <v>9.3858999999999998E-2</v>
      </c>
      <c r="R927" s="3">
        <v>1.1485856670000001</v>
      </c>
      <c r="S927" s="3">
        <v>5.5432410360000004</v>
      </c>
      <c r="T927" s="3">
        <v>1.290561251</v>
      </c>
      <c r="U927" s="3">
        <v>0.56342577599999999</v>
      </c>
      <c r="V927" s="3">
        <v>0.25948461</v>
      </c>
      <c r="W927" s="3">
        <v>0.59671881000000004</v>
      </c>
      <c r="X927" s="3">
        <v>3.5954022989999999</v>
      </c>
      <c r="Y927" s="3">
        <v>9.4103448279999995</v>
      </c>
      <c r="Z927" s="3">
        <v>2.2905612510000002</v>
      </c>
      <c r="AA927" s="3">
        <v>3.7416469000000001E-2</v>
      </c>
      <c r="AB927" s="3">
        <v>7.7568838250000001</v>
      </c>
      <c r="AC927" s="3">
        <v>6.0252873559999998</v>
      </c>
      <c r="AD927" s="3">
        <v>7.0199402999999994E-2</v>
      </c>
      <c r="AE927" s="3">
        <v>9.4416560100000009</v>
      </c>
      <c r="AF927" s="4">
        <v>42228</v>
      </c>
      <c r="AG927" s="5">
        <f>YEAR(AF927)</f>
        <v>2015</v>
      </c>
      <c r="AH927" s="5" t="str">
        <f>"Q"&amp;ROUNDUP(MONTH(AF927)/3,0)</f>
        <v>Q3</v>
      </c>
      <c r="AI927" s="5">
        <f>INDEX(RatingLookup!$B$2:$B$11,MATCH(A927,RatingLookup!$A$2:$A$11,0))</f>
        <v>7</v>
      </c>
      <c r="AJ927" s="5" t="str">
        <f>INDEX(RatingLookup!$C$2:$C$11,MATCH(A927,RatingLookup!$A$2:$A$11,0))</f>
        <v>Investment Grade</v>
      </c>
    </row>
    <row r="928" spans="1:36" x14ac:dyDescent="0.3">
      <c r="A928" s="3" t="s">
        <v>42</v>
      </c>
      <c r="B928" s="3" t="s">
        <v>1071</v>
      </c>
      <c r="C928" s="3" t="s">
        <v>1072</v>
      </c>
      <c r="D928" s="3" t="s">
        <v>47</v>
      </c>
      <c r="E928" s="3" t="s">
        <v>1074</v>
      </c>
      <c r="F928" s="3" t="s">
        <v>59</v>
      </c>
      <c r="G928" s="3">
        <v>1.475919623</v>
      </c>
      <c r="H928" s="3">
        <v>0.80847592000000001</v>
      </c>
      <c r="I928" s="3">
        <v>0.20033567999999999</v>
      </c>
      <c r="J928" s="3">
        <v>43.856150059999997</v>
      </c>
      <c r="K928" s="3">
        <v>2.1604479999999999E-2</v>
      </c>
      <c r="L928" s="3">
        <v>2.7649956E-2</v>
      </c>
      <c r="M928" s="3">
        <v>0.20450711799999999</v>
      </c>
      <c r="N928" s="3">
        <v>3.8917752E-2</v>
      </c>
      <c r="O928" s="3">
        <v>2.2334132999999999E-2</v>
      </c>
      <c r="P928" s="3">
        <v>4.0788295000000002E-2</v>
      </c>
      <c r="Q928" s="3">
        <v>5.7670832999999998E-2</v>
      </c>
      <c r="R928" s="3">
        <v>1.033773227</v>
      </c>
      <c r="S928" s="3">
        <v>5.4436935279999998</v>
      </c>
      <c r="T928" s="3">
        <v>1.5821836389999999</v>
      </c>
      <c r="U928" s="3">
        <v>0.61273087400000004</v>
      </c>
      <c r="V928" s="3">
        <v>0.44997559799999998</v>
      </c>
      <c r="W928" s="3">
        <v>0.45602165099999997</v>
      </c>
      <c r="X928" s="3">
        <v>2.0700245700000002</v>
      </c>
      <c r="Y928" s="3">
        <v>10.364864860000001</v>
      </c>
      <c r="Z928" s="3">
        <v>2.5821836390000001</v>
      </c>
      <c r="AA928" s="3">
        <v>2.7649956E-2</v>
      </c>
      <c r="AB928" s="3">
        <v>11.35113475</v>
      </c>
      <c r="AC928" s="3">
        <v>4.5393120390000004</v>
      </c>
      <c r="AD928" s="3">
        <v>4.9861682999999997E-2</v>
      </c>
      <c r="AE928" s="3">
        <v>8.1580404099999999</v>
      </c>
      <c r="AF928" s="4">
        <v>42600</v>
      </c>
      <c r="AG928" s="5">
        <f>YEAR(AF928)</f>
        <v>2016</v>
      </c>
      <c r="AH928" s="5" t="str">
        <f>"Q"&amp;ROUNDUP(MONTH(AF928)/3,0)</f>
        <v>Q3</v>
      </c>
      <c r="AI928" s="5">
        <f>INDEX(RatingLookup!$B$2:$B$11,MATCH(A928,RatingLookup!$A$2:$A$11,0))</f>
        <v>7</v>
      </c>
      <c r="AJ928" s="5" t="str">
        <f>INDEX(RatingLookup!$C$2:$C$11,MATCH(A928,RatingLookup!$A$2:$A$11,0))</f>
        <v>Investment Grade</v>
      </c>
    </row>
    <row r="929" spans="1:36" x14ac:dyDescent="0.3">
      <c r="A929" s="3" t="s">
        <v>42</v>
      </c>
      <c r="B929" s="3" t="s">
        <v>1071</v>
      </c>
      <c r="C929" s="3" t="s">
        <v>1072</v>
      </c>
      <c r="D929" s="3" t="s">
        <v>39</v>
      </c>
      <c r="E929" s="3" t="s">
        <v>531</v>
      </c>
      <c r="F929" s="3" t="s">
        <v>59</v>
      </c>
      <c r="G929" s="3">
        <v>1.5913663220000001</v>
      </c>
      <c r="H929" s="3">
        <v>0.69678379700000004</v>
      </c>
      <c r="I929" s="3">
        <v>0.164057919</v>
      </c>
      <c r="J929" s="3">
        <v>36.17830661</v>
      </c>
      <c r="K929" s="3">
        <v>4.2206156000000002E-2</v>
      </c>
      <c r="L929" s="3">
        <v>5.5431573999999997E-2</v>
      </c>
      <c r="M929" s="3">
        <v>0.212501414</v>
      </c>
      <c r="N929" s="3">
        <v>6.6487036999999999E-2</v>
      </c>
      <c r="O929" s="3">
        <v>5.5490204000000001E-2</v>
      </c>
      <c r="P929" s="3">
        <v>0.10407414600000001</v>
      </c>
      <c r="Q929" s="3">
        <v>0.119008264</v>
      </c>
      <c r="R929" s="3">
        <v>1.3147419520000001</v>
      </c>
      <c r="S929" s="3">
        <v>6.35369838</v>
      </c>
      <c r="T929" s="3">
        <v>1.144671596</v>
      </c>
      <c r="U929" s="3">
        <v>0.53372814700000004</v>
      </c>
      <c r="V929" s="3">
        <v>0.34823747700000002</v>
      </c>
      <c r="W929" s="3">
        <v>0.31227189799999999</v>
      </c>
      <c r="X929" s="3">
        <v>1.4657387580000001</v>
      </c>
      <c r="Y929" s="3">
        <v>6.2194860810000003</v>
      </c>
      <c r="Z929" s="3">
        <v>2.1446715959999998</v>
      </c>
      <c r="AA929" s="3">
        <v>5.5431573999999997E-2</v>
      </c>
      <c r="AB929" s="3">
        <v>5.1378614459999996</v>
      </c>
      <c r="AC929" s="3">
        <v>4.6937901499999999</v>
      </c>
      <c r="AD929" s="3">
        <v>4.5085717999999997E-2</v>
      </c>
      <c r="AE929" s="3">
        <v>11.425544609999999</v>
      </c>
      <c r="AF929" s="4">
        <v>42046</v>
      </c>
      <c r="AG929" s="5">
        <f>YEAR(AF929)</f>
        <v>2015</v>
      </c>
      <c r="AH929" s="5" t="str">
        <f>"Q"&amp;ROUNDUP(MONTH(AF929)/3,0)</f>
        <v>Q1</v>
      </c>
      <c r="AI929" s="5">
        <f>INDEX(RatingLookup!$B$2:$B$11,MATCH(A929,RatingLookup!$A$2:$A$11,0))</f>
        <v>7</v>
      </c>
      <c r="AJ929" s="5" t="str">
        <f>INDEX(RatingLookup!$C$2:$C$11,MATCH(A929,RatingLookup!$A$2:$A$11,0))</f>
        <v>Investment Grade</v>
      </c>
    </row>
    <row r="930" spans="1:36" x14ac:dyDescent="0.3">
      <c r="A930" s="3" t="s">
        <v>42</v>
      </c>
      <c r="B930" s="3" t="s">
        <v>1071</v>
      </c>
      <c r="C930" s="3" t="s">
        <v>1072</v>
      </c>
      <c r="D930" s="3" t="s">
        <v>47</v>
      </c>
      <c r="E930" s="3" t="s">
        <v>1075</v>
      </c>
      <c r="F930" s="3" t="s">
        <v>59</v>
      </c>
      <c r="G930" s="3">
        <v>1.6044709509999999</v>
      </c>
      <c r="H930" s="3">
        <v>0.790895813</v>
      </c>
      <c r="I930" s="3">
        <v>0.31698312200000001</v>
      </c>
      <c r="J930" s="3">
        <v>33.875951100000002</v>
      </c>
      <c r="K930" s="3">
        <v>5.2408102999999998E-2</v>
      </c>
      <c r="L930" s="3">
        <v>6.0307963999999999E-2</v>
      </c>
      <c r="M930" s="3">
        <v>0.21312561499999999</v>
      </c>
      <c r="N930" s="3">
        <v>6.9583023999999993E-2</v>
      </c>
      <c r="O930" s="3">
        <v>6.7613769000000004E-2</v>
      </c>
      <c r="P930" s="3">
        <v>0.114285714</v>
      </c>
      <c r="Q930" s="3">
        <v>0.15141233100000001</v>
      </c>
      <c r="R930" s="3">
        <v>1.290139605</v>
      </c>
      <c r="S930" s="3">
        <v>7.0849868430000003</v>
      </c>
      <c r="T930" s="3">
        <v>1.239371266</v>
      </c>
      <c r="U930" s="3">
        <v>0.55344608799999995</v>
      </c>
      <c r="V930" s="3">
        <v>0.22952729699999999</v>
      </c>
      <c r="W930" s="3">
        <v>0.48904561800000002</v>
      </c>
      <c r="X930" s="3">
        <v>3.3563336769999998</v>
      </c>
      <c r="Y930" s="3">
        <v>10.55406797</v>
      </c>
      <c r="Z930" s="3">
        <v>2.239371266</v>
      </c>
      <c r="AA930" s="3">
        <v>6.0307963999999999E-2</v>
      </c>
      <c r="AB930" s="3">
        <v>5.899668556</v>
      </c>
      <c r="AC930" s="3">
        <v>6.8630278059999998</v>
      </c>
      <c r="AD930" s="3">
        <v>6.6892855000000001E-2</v>
      </c>
      <c r="AE930" s="3">
        <v>8.8247213779999996</v>
      </c>
      <c r="AF930" s="4">
        <v>41169</v>
      </c>
      <c r="AG930" s="5">
        <f>YEAR(AF930)</f>
        <v>2012</v>
      </c>
      <c r="AH930" s="5" t="str">
        <f>"Q"&amp;ROUNDUP(MONTH(AF930)/3,0)</f>
        <v>Q3</v>
      </c>
      <c r="AI930" s="5">
        <f>INDEX(RatingLookup!$B$2:$B$11,MATCH(A930,RatingLookup!$A$2:$A$11,0))</f>
        <v>7</v>
      </c>
      <c r="AJ930" s="5" t="str">
        <f>INDEX(RatingLookup!$C$2:$C$11,MATCH(A930,RatingLookup!$A$2:$A$11,0))</f>
        <v>Investment Grade</v>
      </c>
    </row>
    <row r="931" spans="1:36" x14ac:dyDescent="0.3">
      <c r="A931" s="3" t="s">
        <v>92</v>
      </c>
      <c r="B931" s="3" t="s">
        <v>1076</v>
      </c>
      <c r="C931" s="3" t="s">
        <v>1077</v>
      </c>
      <c r="D931" s="3" t="s">
        <v>39</v>
      </c>
      <c r="E931" s="3" t="s">
        <v>315</v>
      </c>
      <c r="F931" s="3" t="s">
        <v>113</v>
      </c>
      <c r="G931" s="3">
        <v>1.6736765769999999</v>
      </c>
      <c r="H931" s="3">
        <v>1.21102248</v>
      </c>
      <c r="I931" s="3">
        <v>0.13433647600000001</v>
      </c>
      <c r="J931" s="3">
        <v>49.31029341</v>
      </c>
      <c r="K931" s="3">
        <v>4.8840357000000001E-2</v>
      </c>
      <c r="L931" s="3">
        <v>9.0775619000000002E-2</v>
      </c>
      <c r="M931" s="3">
        <v>1</v>
      </c>
      <c r="N931" s="3">
        <v>9.0775619000000002E-2</v>
      </c>
      <c r="O931" s="3">
        <v>6.5019545999999998E-2</v>
      </c>
      <c r="P931" s="3">
        <v>0.145328338</v>
      </c>
      <c r="Q931" s="3">
        <v>-0.28016844299999999</v>
      </c>
      <c r="R931" s="3">
        <v>1.3312667970000001</v>
      </c>
      <c r="S931" s="3">
        <v>2.9033568669999998</v>
      </c>
      <c r="T931" s="3">
        <v>-5.3089880249999997</v>
      </c>
      <c r="U931" s="3">
        <v>1.2320730520000001</v>
      </c>
      <c r="V931" s="3">
        <v>0.31867576399999997</v>
      </c>
      <c r="W931" s="3">
        <v>0.49831009700000001</v>
      </c>
      <c r="X931" s="3">
        <v>5.6954125250000001</v>
      </c>
      <c r="Y931" s="3">
        <v>1.9097377310000001</v>
      </c>
      <c r="Z931" s="3">
        <v>-4.3089880249999997</v>
      </c>
      <c r="AA931" s="3">
        <v>9.0775619000000002E-2</v>
      </c>
      <c r="AB931" s="3">
        <v>9.9332681380000007</v>
      </c>
      <c r="AC931" s="3">
        <v>11.429454379999999</v>
      </c>
      <c r="AD931" s="3">
        <v>0.108600399</v>
      </c>
      <c r="AE931" s="3">
        <v>0</v>
      </c>
      <c r="AF931" s="4">
        <v>42338</v>
      </c>
      <c r="AG931" s="5">
        <f>YEAR(AF931)</f>
        <v>2015</v>
      </c>
      <c r="AH931" s="5" t="str">
        <f>"Q"&amp;ROUNDUP(MONTH(AF931)/3,0)</f>
        <v>Q4</v>
      </c>
      <c r="AI931" s="5">
        <f>INDEX(RatingLookup!$B$2:$B$11,MATCH(A931,RatingLookup!$A$2:$A$11,0))</f>
        <v>6</v>
      </c>
      <c r="AJ931" s="5" t="str">
        <f>INDEX(RatingLookup!$C$2:$C$11,MATCH(A931,RatingLookup!$A$2:$A$11,0))</f>
        <v>Speculative Grade</v>
      </c>
    </row>
    <row r="932" spans="1:36" x14ac:dyDescent="0.3">
      <c r="A932" s="3" t="s">
        <v>109</v>
      </c>
      <c r="B932" s="3" t="s">
        <v>1076</v>
      </c>
      <c r="C932" s="3" t="s">
        <v>1077</v>
      </c>
      <c r="D932" s="3" t="s">
        <v>39</v>
      </c>
      <c r="E932" s="3" t="s">
        <v>1078</v>
      </c>
      <c r="F932" s="3" t="s">
        <v>113</v>
      </c>
      <c r="G932" s="3">
        <v>1.411237928</v>
      </c>
      <c r="H932" s="3">
        <v>0.99806848100000001</v>
      </c>
      <c r="I932" s="3">
        <v>7.2695346999999993E-2</v>
      </c>
      <c r="J932" s="3">
        <v>49.971608830000001</v>
      </c>
      <c r="K932" s="3">
        <v>4.0904310999999999E-2</v>
      </c>
      <c r="L932" s="3">
        <v>5.7728706999999997E-2</v>
      </c>
      <c r="M932" s="3">
        <v>1</v>
      </c>
      <c r="N932" s="3">
        <v>4.0904310999999999E-2</v>
      </c>
      <c r="O932" s="3">
        <v>5.3969685000000003E-2</v>
      </c>
      <c r="P932" s="3">
        <v>9.4917011999999995E-2</v>
      </c>
      <c r="Q932" s="3">
        <v>-0.18814993999999999</v>
      </c>
      <c r="R932" s="3">
        <v>1.319413132</v>
      </c>
      <c r="S932" s="3">
        <v>2.7931566189999999</v>
      </c>
      <c r="T932" s="3">
        <v>-4.4862152359999996</v>
      </c>
      <c r="U932" s="3">
        <v>1.2868440219999999</v>
      </c>
      <c r="V932" s="3">
        <v>0.43260473599999999</v>
      </c>
      <c r="W932" s="3">
        <v>0.47201087000000003</v>
      </c>
      <c r="X932" s="3">
        <v>3.9027919450000002</v>
      </c>
      <c r="Y932" s="3">
        <v>1.069504298</v>
      </c>
      <c r="Z932" s="3">
        <v>-3.4862152360000001</v>
      </c>
      <c r="AA932" s="3">
        <v>5.7728706999999997E-2</v>
      </c>
      <c r="AB932" s="3">
        <v>14.859784879999999</v>
      </c>
      <c r="AC932" s="3">
        <v>8.2684365910000004</v>
      </c>
      <c r="AD932" s="3">
        <v>9.6740273000000002E-2</v>
      </c>
      <c r="AE932" s="3">
        <v>0</v>
      </c>
      <c r="AF932" s="4">
        <v>41621</v>
      </c>
      <c r="AG932" s="5">
        <f>YEAR(AF932)</f>
        <v>2013</v>
      </c>
      <c r="AH932" s="5" t="str">
        <f>"Q"&amp;ROUNDUP(MONTH(AF932)/3,0)</f>
        <v>Q4</v>
      </c>
      <c r="AI932" s="5">
        <f>INDEX(RatingLookup!$B$2:$B$11,MATCH(A932,RatingLookup!$A$2:$A$11,0))</f>
        <v>5</v>
      </c>
      <c r="AJ932" s="5" t="str">
        <f>INDEX(RatingLookup!$C$2:$C$11,MATCH(A932,RatingLookup!$A$2:$A$11,0))</f>
        <v>Speculative Grade</v>
      </c>
    </row>
    <row r="933" spans="1:36" x14ac:dyDescent="0.3">
      <c r="A933" s="3" t="s">
        <v>109</v>
      </c>
      <c r="B933" s="3" t="s">
        <v>1076</v>
      </c>
      <c r="C933" s="3" t="s">
        <v>1077</v>
      </c>
      <c r="D933" s="3" t="s">
        <v>39</v>
      </c>
      <c r="E933" s="3" t="s">
        <v>1079</v>
      </c>
      <c r="F933" s="3" t="s">
        <v>113</v>
      </c>
      <c r="G933" s="3">
        <v>1.629562044</v>
      </c>
      <c r="H933" s="3">
        <v>1.1540145989999999</v>
      </c>
      <c r="I933" s="3">
        <v>0.10328467199999999</v>
      </c>
      <c r="J933" s="3">
        <v>51.844987150000001</v>
      </c>
      <c r="K933" s="3">
        <v>4.6773268E-2</v>
      </c>
      <c r="L933" s="3">
        <v>5.7549828999999997E-2</v>
      </c>
      <c r="M933" s="3">
        <v>1</v>
      </c>
      <c r="N933" s="3">
        <v>4.6773268E-2</v>
      </c>
      <c r="O933" s="3">
        <v>6.0098079999999998E-2</v>
      </c>
      <c r="P933" s="3">
        <v>8.9700221999999996E-2</v>
      </c>
      <c r="Q933" s="3">
        <v>-0.23752216900000001</v>
      </c>
      <c r="R933" s="3">
        <v>1.284880926</v>
      </c>
      <c r="S933" s="3">
        <v>2.7925461509999998</v>
      </c>
      <c r="T933" s="3">
        <v>-4.9522422089999996</v>
      </c>
      <c r="U933" s="3">
        <v>1.2530209299999999</v>
      </c>
      <c r="V933" s="3">
        <v>0.48027741699999998</v>
      </c>
      <c r="W933" s="3">
        <v>0.51079136700000005</v>
      </c>
      <c r="X933" s="3">
        <v>5.2149802139999997</v>
      </c>
      <c r="Y933" s="3">
        <v>1.4460552529999999</v>
      </c>
      <c r="Z933" s="3">
        <v>-3.952242209</v>
      </c>
      <c r="AA933" s="3">
        <v>5.7549828999999997E-2</v>
      </c>
      <c r="AB933" s="3">
        <v>16.035401230000002</v>
      </c>
      <c r="AC933" s="3">
        <v>10.20960915</v>
      </c>
      <c r="AD933" s="3">
        <v>0.110958665</v>
      </c>
      <c r="AE933" s="3">
        <v>0</v>
      </c>
      <c r="AF933" s="4">
        <v>42153</v>
      </c>
      <c r="AG933" s="5">
        <f>YEAR(AF933)</f>
        <v>2015</v>
      </c>
      <c r="AH933" s="5" t="str">
        <f>"Q"&amp;ROUNDUP(MONTH(AF933)/3,0)</f>
        <v>Q2</v>
      </c>
      <c r="AI933" s="5">
        <f>INDEX(RatingLookup!$B$2:$B$11,MATCH(A933,RatingLookup!$A$2:$A$11,0))</f>
        <v>5</v>
      </c>
      <c r="AJ933" s="5" t="str">
        <f>INDEX(RatingLookup!$C$2:$C$11,MATCH(A933,RatingLookup!$A$2:$A$11,0))</f>
        <v>Speculative Grade</v>
      </c>
    </row>
    <row r="934" spans="1:36" x14ac:dyDescent="0.3">
      <c r="A934" s="3" t="s">
        <v>109</v>
      </c>
      <c r="B934" s="3" t="s">
        <v>1076</v>
      </c>
      <c r="C934" s="3" t="s">
        <v>1077</v>
      </c>
      <c r="D934" s="3" t="s">
        <v>39</v>
      </c>
      <c r="E934" s="3" t="s">
        <v>1080</v>
      </c>
      <c r="F934" s="3" t="s">
        <v>113</v>
      </c>
      <c r="G934" s="3">
        <v>1.2577770580000001</v>
      </c>
      <c r="H934" s="3">
        <v>0.88010369399999999</v>
      </c>
      <c r="I934" s="3">
        <v>0.114225535</v>
      </c>
      <c r="J934" s="3">
        <v>46.360546990000003</v>
      </c>
      <c r="K934" s="3">
        <v>4.3634288E-2</v>
      </c>
      <c r="L934" s="3">
        <v>5.4073892999999998E-2</v>
      </c>
      <c r="M934" s="3">
        <v>1</v>
      </c>
      <c r="N934" s="3">
        <v>4.3634288E-2</v>
      </c>
      <c r="O934" s="3">
        <v>5.7168298999999999E-2</v>
      </c>
      <c r="P934" s="3">
        <v>9.0809477999999999E-2</v>
      </c>
      <c r="Q934" s="3">
        <v>-0.16614906800000001</v>
      </c>
      <c r="R934" s="3">
        <v>1.3101691900000001</v>
      </c>
      <c r="S934" s="3">
        <v>2.789761092</v>
      </c>
      <c r="T934" s="3">
        <v>-3.9063146999999998</v>
      </c>
      <c r="U934" s="3">
        <v>1.3440783620000001</v>
      </c>
      <c r="V934" s="3">
        <v>0.44645550499999997</v>
      </c>
      <c r="W934" s="3">
        <v>0.55401197599999996</v>
      </c>
      <c r="X934" s="3">
        <v>5.2546924199999996</v>
      </c>
      <c r="Y934" s="3">
        <v>1.7265742500000001</v>
      </c>
      <c r="Z934" s="3">
        <v>-2.9063146999999998</v>
      </c>
      <c r="AA934" s="3">
        <v>5.4073892999999998E-2</v>
      </c>
      <c r="AB934" s="3">
        <v>13.44368693</v>
      </c>
      <c r="AC934" s="3">
        <v>9.4847993309999996</v>
      </c>
      <c r="AD934" s="3">
        <v>0.113503521</v>
      </c>
      <c r="AE934" s="3">
        <v>0</v>
      </c>
      <c r="AF934" s="4">
        <v>41432</v>
      </c>
      <c r="AG934" s="5">
        <f>YEAR(AF934)</f>
        <v>2013</v>
      </c>
      <c r="AH934" s="5" t="str">
        <f>"Q"&amp;ROUNDUP(MONTH(AF934)/3,0)</f>
        <v>Q2</v>
      </c>
      <c r="AI934" s="5">
        <f>INDEX(RatingLookup!$B$2:$B$11,MATCH(A934,RatingLookup!$A$2:$A$11,0))</f>
        <v>5</v>
      </c>
      <c r="AJ934" s="5" t="str">
        <f>INDEX(RatingLookup!$C$2:$C$11,MATCH(A934,RatingLookup!$A$2:$A$11,0))</f>
        <v>Speculative Grade</v>
      </c>
    </row>
    <row r="935" spans="1:36" x14ac:dyDescent="0.3">
      <c r="A935" s="3" t="s">
        <v>109</v>
      </c>
      <c r="B935" s="3" t="s">
        <v>1081</v>
      </c>
      <c r="C935" s="3" t="s">
        <v>1082</v>
      </c>
      <c r="D935" s="3" t="s">
        <v>60</v>
      </c>
      <c r="E935" s="3" t="s">
        <v>835</v>
      </c>
      <c r="F935" s="3" t="s">
        <v>219</v>
      </c>
      <c r="G935" s="3">
        <v>1.732528442</v>
      </c>
      <c r="H935" s="3">
        <v>0.21755282100000001</v>
      </c>
      <c r="I935" s="3">
        <v>5.2008357999999998E-2</v>
      </c>
      <c r="J935" s="3">
        <v>15.83957927</v>
      </c>
      <c r="K935" s="3">
        <v>-0.77067456099999998</v>
      </c>
      <c r="L935" s="3">
        <v>-0.88310134200000001</v>
      </c>
      <c r="M935" s="3">
        <v>-0.79656106299999996</v>
      </c>
      <c r="N935" s="3">
        <v>-0.84285444399999998</v>
      </c>
      <c r="O935" s="3">
        <v>-0.26270476799999998</v>
      </c>
      <c r="P935" s="3">
        <v>-0.33170096999999998</v>
      </c>
      <c r="Q935" s="3">
        <v>-1.563106796</v>
      </c>
      <c r="R935" s="3">
        <v>0.34087639800000002</v>
      </c>
      <c r="S935" s="3">
        <v>0.57715656699999995</v>
      </c>
      <c r="T935" s="3">
        <v>4.9500510990000004</v>
      </c>
      <c r="U935" s="3">
        <v>0.83193421599999995</v>
      </c>
      <c r="V935" s="3">
        <v>0.13800727500000001</v>
      </c>
      <c r="W935" s="3">
        <v>-0.97298136599999996</v>
      </c>
      <c r="X935" s="3">
        <v>-2.895563771</v>
      </c>
      <c r="Y935" s="3">
        <v>0.22920517600000001</v>
      </c>
      <c r="Z935" s="3">
        <v>5.9500510990000004</v>
      </c>
      <c r="AA935" s="3">
        <v>-0.88310134200000001</v>
      </c>
      <c r="AB935" s="3">
        <v>-2.5474152760000002</v>
      </c>
      <c r="AC935" s="3">
        <v>2.9759704249999999</v>
      </c>
      <c r="AD935" s="3">
        <v>0.20280909499999999</v>
      </c>
      <c r="AE935" s="3">
        <v>8.5019374069999998</v>
      </c>
      <c r="AF935" s="4">
        <v>42396</v>
      </c>
      <c r="AG935" s="5">
        <f>YEAR(AF935)</f>
        <v>2016</v>
      </c>
      <c r="AH935" s="5" t="str">
        <f>"Q"&amp;ROUNDUP(MONTH(AF935)/3,0)</f>
        <v>Q1</v>
      </c>
      <c r="AI935" s="5">
        <f>INDEX(RatingLookup!$B$2:$B$11,MATCH(A935,RatingLookup!$A$2:$A$11,0))</f>
        <v>5</v>
      </c>
      <c r="AJ935" s="5" t="str">
        <f>INDEX(RatingLookup!$C$2:$C$11,MATCH(A935,RatingLookup!$A$2:$A$11,0))</f>
        <v>Speculative Grade</v>
      </c>
    </row>
    <row r="936" spans="1:36" x14ac:dyDescent="0.3">
      <c r="A936" s="3" t="s">
        <v>42</v>
      </c>
      <c r="B936" s="3" t="s">
        <v>1081</v>
      </c>
      <c r="C936" s="3" t="s">
        <v>1082</v>
      </c>
      <c r="D936" s="3" t="s">
        <v>60</v>
      </c>
      <c r="E936" s="3" t="s">
        <v>499</v>
      </c>
      <c r="F936" s="3" t="s">
        <v>219</v>
      </c>
      <c r="G936" s="3">
        <v>1.748839907</v>
      </c>
      <c r="H936" s="3">
        <v>0.27842227400000003</v>
      </c>
      <c r="I936" s="3">
        <v>8.9713844000000001E-2</v>
      </c>
      <c r="J936" s="3">
        <v>16.22562739</v>
      </c>
      <c r="K936" s="3">
        <v>-6.1013154E-2</v>
      </c>
      <c r="L936" s="3">
        <v>-1.9777963999999999E-2</v>
      </c>
      <c r="M936" s="3">
        <v>9.0213638999999998E-2</v>
      </c>
      <c r="N936" s="3">
        <v>4.524676E-3</v>
      </c>
      <c r="O936" s="3">
        <v>-2.2246789999999999E-2</v>
      </c>
      <c r="P936" s="3">
        <v>-7.9070549999999996E-3</v>
      </c>
      <c r="Q936" s="3">
        <v>-7.1526221000000001E-2</v>
      </c>
      <c r="R936" s="3">
        <v>0.364622842</v>
      </c>
      <c r="S936" s="3">
        <v>0.81762013700000002</v>
      </c>
      <c r="T936" s="3">
        <v>2.215125499</v>
      </c>
      <c r="U936" s="3">
        <v>0.68897015100000003</v>
      </c>
      <c r="V936" s="3">
        <v>-0.76415094299999997</v>
      </c>
      <c r="W936" s="3">
        <v>-0.28129994699999999</v>
      </c>
      <c r="X936" s="3">
        <v>-1.5245428299999999</v>
      </c>
      <c r="Y936" s="3">
        <v>0.46871992299999998</v>
      </c>
      <c r="Z936" s="3">
        <v>3.215125499</v>
      </c>
      <c r="AA936" s="3">
        <v>-1.9777963999999999E-2</v>
      </c>
      <c r="AB936" s="3">
        <v>9.0837348480000006</v>
      </c>
      <c r="AC936" s="3">
        <v>5.4196342639999999</v>
      </c>
      <c r="AD936" s="3">
        <v>0.26266442800000001</v>
      </c>
      <c r="AE936" s="3">
        <v>5.339173282</v>
      </c>
      <c r="AF936" s="4">
        <v>41953</v>
      </c>
      <c r="AG936" s="5">
        <f>YEAR(AF936)</f>
        <v>2014</v>
      </c>
      <c r="AH936" s="5" t="str">
        <f>"Q"&amp;ROUNDUP(MONTH(AF936)/3,0)</f>
        <v>Q4</v>
      </c>
      <c r="AI936" s="5">
        <f>INDEX(RatingLookup!$B$2:$B$11,MATCH(A936,RatingLookup!$A$2:$A$11,0))</f>
        <v>7</v>
      </c>
      <c r="AJ936" s="5" t="str">
        <f>INDEX(RatingLookup!$C$2:$C$11,MATCH(A936,RatingLookup!$A$2:$A$11,0))</f>
        <v>Investment Grade</v>
      </c>
    </row>
    <row r="937" spans="1:36" x14ac:dyDescent="0.3">
      <c r="A937" s="3" t="s">
        <v>42</v>
      </c>
      <c r="B937" s="3" t="s">
        <v>1081</v>
      </c>
      <c r="C937" s="3" t="s">
        <v>1082</v>
      </c>
      <c r="D937" s="3" t="s">
        <v>60</v>
      </c>
      <c r="E937" s="3" t="s">
        <v>46</v>
      </c>
      <c r="F937" s="3" t="s">
        <v>219</v>
      </c>
      <c r="G937" s="3">
        <v>3.4173469390000002</v>
      </c>
      <c r="H937" s="3">
        <v>2.8840136049999998</v>
      </c>
      <c r="I937" s="3">
        <v>1.6401360540000001</v>
      </c>
      <c r="J937" s="3">
        <v>15.592911880000001</v>
      </c>
      <c r="K937" s="3">
        <v>0.21839080499999999</v>
      </c>
      <c r="L937" s="3">
        <v>0.101149425</v>
      </c>
      <c r="M937" s="3">
        <v>0.47701149399999998</v>
      </c>
      <c r="N937" s="3">
        <v>0.43773946400000002</v>
      </c>
      <c r="O937" s="3">
        <v>0.142188962</v>
      </c>
      <c r="P937" s="3">
        <v>7.2502575E-2</v>
      </c>
      <c r="Q937" s="3">
        <v>0.29152282299999999</v>
      </c>
      <c r="R937" s="3">
        <v>0.651075772</v>
      </c>
      <c r="S937" s="3">
        <v>1.1317686600000001</v>
      </c>
      <c r="T937" s="3">
        <v>1.0502493289999999</v>
      </c>
      <c r="U937" s="3">
        <v>0.512254443</v>
      </c>
      <c r="V937" s="3">
        <v>1.4616477269999999</v>
      </c>
      <c r="W937" s="3">
        <v>1</v>
      </c>
      <c r="X937" s="3">
        <v>6.9904963039999997</v>
      </c>
      <c r="Y937" s="3">
        <v>8.0116156279999995</v>
      </c>
      <c r="Z937" s="3">
        <v>2.0502493290000001</v>
      </c>
      <c r="AA937" s="3">
        <v>0.101149425</v>
      </c>
      <c r="AB937" s="3">
        <v>4.1696221219999998</v>
      </c>
      <c r="AC937" s="3">
        <v>6.9904963039999997</v>
      </c>
      <c r="AD937" s="3">
        <v>0.31704980799999999</v>
      </c>
      <c r="AE937" s="3">
        <v>4.8490230910000003</v>
      </c>
      <c r="AF937" s="4">
        <v>41075</v>
      </c>
      <c r="AG937" s="5">
        <f>YEAR(AF937)</f>
        <v>2012</v>
      </c>
      <c r="AH937" s="5" t="str">
        <f>"Q"&amp;ROUNDUP(MONTH(AF937)/3,0)</f>
        <v>Q2</v>
      </c>
      <c r="AI937" s="5">
        <f>INDEX(RatingLookup!$B$2:$B$11,MATCH(A937,RatingLookup!$A$2:$A$11,0))</f>
        <v>7</v>
      </c>
      <c r="AJ937" s="5" t="str">
        <f>INDEX(RatingLookup!$C$2:$C$11,MATCH(A937,RatingLookup!$A$2:$A$11,0))</f>
        <v>Investment Grade</v>
      </c>
    </row>
    <row r="938" spans="1:36" x14ac:dyDescent="0.3">
      <c r="A938" s="3" t="s">
        <v>42</v>
      </c>
      <c r="B938" s="3" t="s">
        <v>1081</v>
      </c>
      <c r="C938" s="3" t="s">
        <v>1082</v>
      </c>
      <c r="D938" s="3" t="s">
        <v>44</v>
      </c>
      <c r="E938" s="3" t="s">
        <v>128</v>
      </c>
      <c r="F938" s="3" t="s">
        <v>219</v>
      </c>
      <c r="G938" s="3">
        <v>3.0801675140000002</v>
      </c>
      <c r="H938" s="3">
        <v>2.5145079269999999</v>
      </c>
      <c r="I938" s="3">
        <v>1.1082859709999999</v>
      </c>
      <c r="J938" s="3">
        <v>18.78706274</v>
      </c>
      <c r="K938" s="3">
        <v>0.168850639</v>
      </c>
      <c r="L938" s="3">
        <v>0.218656302</v>
      </c>
      <c r="M938" s="3">
        <v>0.35807884499999998</v>
      </c>
      <c r="N938" s="3">
        <v>0.32282065500000001</v>
      </c>
      <c r="O938" s="3">
        <v>8.5806997999999995E-2</v>
      </c>
      <c r="P938" s="3">
        <v>0.122690594</v>
      </c>
      <c r="Q938" s="3">
        <v>0.17334549399999999</v>
      </c>
      <c r="R938" s="3">
        <v>0.50818284400000002</v>
      </c>
      <c r="S938" s="3">
        <v>0.85765988900000001</v>
      </c>
      <c r="T938" s="3">
        <v>1.0201789889999999</v>
      </c>
      <c r="U938" s="3">
        <v>0.50499435699999995</v>
      </c>
      <c r="V938" s="3">
        <v>0.383443372</v>
      </c>
      <c r="W938" s="3">
        <v>1</v>
      </c>
      <c r="X938" s="3">
        <v>3.976817703</v>
      </c>
      <c r="Y938" s="3">
        <v>7.880927292</v>
      </c>
      <c r="Z938" s="3">
        <v>2.0201789890000001</v>
      </c>
      <c r="AA938" s="3">
        <v>0.218656302</v>
      </c>
      <c r="AB938" s="3">
        <v>4.7460088660000004</v>
      </c>
      <c r="AC938" s="3">
        <v>3.976817703</v>
      </c>
      <c r="AD938" s="3">
        <v>0.20955024999999999</v>
      </c>
      <c r="AE938" s="3">
        <v>4.9746127370000002</v>
      </c>
      <c r="AF938" s="4">
        <v>41334</v>
      </c>
      <c r="AG938" s="5">
        <f>YEAR(AF938)</f>
        <v>2013</v>
      </c>
      <c r="AH938" s="5" t="str">
        <f>"Q"&amp;ROUNDUP(MONTH(AF938)/3,0)</f>
        <v>Q1</v>
      </c>
      <c r="AI938" s="5">
        <f>INDEX(RatingLookup!$B$2:$B$11,MATCH(A938,RatingLookup!$A$2:$A$11,0))</f>
        <v>7</v>
      </c>
      <c r="AJ938" s="5" t="str">
        <f>INDEX(RatingLookup!$C$2:$C$11,MATCH(A938,RatingLookup!$A$2:$A$11,0))</f>
        <v>Investment Grade</v>
      </c>
    </row>
    <row r="939" spans="1:36" x14ac:dyDescent="0.3">
      <c r="A939" s="3" t="s">
        <v>109</v>
      </c>
      <c r="B939" s="3" t="s">
        <v>1083</v>
      </c>
      <c r="C939" s="3" t="s">
        <v>1084</v>
      </c>
      <c r="D939" s="3" t="s">
        <v>39</v>
      </c>
      <c r="E939" s="3" t="s">
        <v>1085</v>
      </c>
      <c r="F939" s="3" t="s">
        <v>219</v>
      </c>
      <c r="G939" s="3">
        <v>1.770271347</v>
      </c>
      <c r="H939" s="3">
        <v>1.0080387340000001</v>
      </c>
      <c r="I939" s="3">
        <v>9.0293914000000003E-2</v>
      </c>
      <c r="J939" s="3">
        <v>64.260877730000004</v>
      </c>
      <c r="K939" s="3">
        <v>4.3990300000000003E-2</v>
      </c>
      <c r="L939" s="3">
        <v>5.8537758000000002E-2</v>
      </c>
      <c r="M939" s="3">
        <v>0.20161598999999999</v>
      </c>
      <c r="N939" s="3">
        <v>5.8537758000000002E-2</v>
      </c>
      <c r="O939" s="3">
        <v>7.1357439999999994E-2</v>
      </c>
      <c r="P939" s="3">
        <v>0.13785223399999999</v>
      </c>
      <c r="Q939" s="3">
        <v>0.27509387499999999</v>
      </c>
      <c r="R939" s="3">
        <v>1.6221176129999999</v>
      </c>
      <c r="S939" s="3">
        <v>5.5044900099999996</v>
      </c>
      <c r="T939" s="3">
        <v>2.8551533739999999</v>
      </c>
      <c r="U939" s="3">
        <v>0.74060694800000004</v>
      </c>
      <c r="V939" s="3">
        <v>0.155296502</v>
      </c>
      <c r="W939" s="3">
        <v>-0.85333622200000003</v>
      </c>
      <c r="X939" s="3">
        <v>-0.18218398799999999</v>
      </c>
      <c r="Y939" s="3">
        <v>0.32755191700000003</v>
      </c>
      <c r="Z939" s="3">
        <v>3.8551533739999999</v>
      </c>
      <c r="AA939" s="3">
        <v>5.8537758000000002E-2</v>
      </c>
      <c r="AB939" s="3">
        <v>9.5149377410000007</v>
      </c>
      <c r="AC939" s="3">
        <v>0.213496138</v>
      </c>
      <c r="AD939" s="3">
        <v>1.1290163000000001E-2</v>
      </c>
      <c r="AE939" s="3">
        <v>8.4852317110000008</v>
      </c>
      <c r="AF939" s="4">
        <v>41744</v>
      </c>
      <c r="AG939" s="5">
        <f>YEAR(AF939)</f>
        <v>2014</v>
      </c>
      <c r="AH939" s="5" t="str">
        <f>"Q"&amp;ROUNDUP(MONTH(AF939)/3,0)</f>
        <v>Q2</v>
      </c>
      <c r="AI939" s="5">
        <f>INDEX(RatingLookup!$B$2:$B$11,MATCH(A939,RatingLookup!$A$2:$A$11,0))</f>
        <v>5</v>
      </c>
      <c r="AJ939" s="5" t="str">
        <f>INDEX(RatingLookup!$C$2:$C$11,MATCH(A939,RatingLookup!$A$2:$A$11,0))</f>
        <v>Speculative Grade</v>
      </c>
    </row>
    <row r="940" spans="1:36" x14ac:dyDescent="0.3">
      <c r="A940" s="3" t="s">
        <v>109</v>
      </c>
      <c r="B940" s="3" t="s">
        <v>1083</v>
      </c>
      <c r="C940" s="3" t="s">
        <v>1084</v>
      </c>
      <c r="D940" s="3" t="s">
        <v>39</v>
      </c>
      <c r="E940" s="3" t="s">
        <v>1000</v>
      </c>
      <c r="F940" s="3" t="s">
        <v>219</v>
      </c>
      <c r="G940" s="3">
        <v>2.5353526099999999</v>
      </c>
      <c r="H940" s="3">
        <v>1.33047702</v>
      </c>
      <c r="I940" s="3">
        <v>0.26751592400000002</v>
      </c>
      <c r="J940" s="3">
        <v>78.736930889999996</v>
      </c>
      <c r="K940" s="3">
        <v>5.9608998000000003E-2</v>
      </c>
      <c r="L940" s="3">
        <v>5.094477E-2</v>
      </c>
      <c r="M940" s="3">
        <v>0.28054356699999999</v>
      </c>
      <c r="N940" s="3">
        <v>5.094477E-2</v>
      </c>
      <c r="O940" s="3">
        <v>5.2311542000000003E-2</v>
      </c>
      <c r="P940" s="3">
        <v>5.4395648999999997E-2</v>
      </c>
      <c r="Q940" s="3">
        <v>0.20255388499999999</v>
      </c>
      <c r="R940" s="3">
        <v>0.87757793500000003</v>
      </c>
      <c r="S940" s="3">
        <v>4.1291138849999998</v>
      </c>
      <c r="T940" s="3">
        <v>2.8720687360000001</v>
      </c>
      <c r="U940" s="3">
        <v>0.74174012199999995</v>
      </c>
      <c r="V940" s="3">
        <v>-0.82324808800000004</v>
      </c>
      <c r="W940" s="3">
        <v>0.15848990299999999</v>
      </c>
      <c r="X940" s="3">
        <v>9.3579187999999994E-2</v>
      </c>
      <c r="Y940" s="3">
        <v>0.67321663300000001</v>
      </c>
      <c r="Z940" s="3">
        <v>3.8720687360000001</v>
      </c>
      <c r="AA940" s="3">
        <v>5.094477E-2</v>
      </c>
      <c r="AB940" s="3">
        <v>12.58942776</v>
      </c>
      <c r="AC940" s="3">
        <v>0.59044258400000005</v>
      </c>
      <c r="AD940" s="3">
        <v>4.7614664000000001E-2</v>
      </c>
      <c r="AE940" s="3">
        <v>6.4268233930000003</v>
      </c>
      <c r="AF940" s="4">
        <v>42345</v>
      </c>
      <c r="AG940" s="5">
        <f>YEAR(AF940)</f>
        <v>2015</v>
      </c>
      <c r="AH940" s="5" t="str">
        <f>"Q"&amp;ROUNDUP(MONTH(AF940)/3,0)</f>
        <v>Q4</v>
      </c>
      <c r="AI940" s="5">
        <f>INDEX(RatingLookup!$B$2:$B$11,MATCH(A940,RatingLookup!$A$2:$A$11,0))</f>
        <v>5</v>
      </c>
      <c r="AJ940" s="5" t="str">
        <f>INDEX(RatingLookup!$C$2:$C$11,MATCH(A940,RatingLookup!$A$2:$A$11,0))</f>
        <v>Speculative Grade</v>
      </c>
    </row>
    <row r="941" spans="1:36" x14ac:dyDescent="0.3">
      <c r="A941" s="3" t="s">
        <v>109</v>
      </c>
      <c r="B941" s="3" t="s">
        <v>1083</v>
      </c>
      <c r="C941" s="3" t="s">
        <v>1084</v>
      </c>
      <c r="D941" s="3" t="s">
        <v>39</v>
      </c>
      <c r="E941" s="3" t="s">
        <v>938</v>
      </c>
      <c r="F941" s="3" t="s">
        <v>219</v>
      </c>
      <c r="G941" s="3">
        <v>2.5917920090000002</v>
      </c>
      <c r="H941" s="3">
        <v>1.5929912420000001</v>
      </c>
      <c r="I941" s="3">
        <v>0.59328260499999996</v>
      </c>
      <c r="J941" s="3">
        <v>77.736023630000005</v>
      </c>
      <c r="K941" s="3">
        <v>7.742802E-2</v>
      </c>
      <c r="L941" s="3">
        <v>-3.8534542999999997E-2</v>
      </c>
      <c r="M941" s="3">
        <v>0.25645765799999998</v>
      </c>
      <c r="N941" s="3">
        <v>-3.8534542999999997E-2</v>
      </c>
      <c r="O941" s="3">
        <v>7.8467642000000004E-2</v>
      </c>
      <c r="P941" s="3">
        <v>-4.9804669000000003E-2</v>
      </c>
      <c r="Q941" s="3">
        <v>0.26533676099999998</v>
      </c>
      <c r="R941" s="3">
        <v>1.0134269549999999</v>
      </c>
      <c r="S941" s="3">
        <v>5.2276878509999998</v>
      </c>
      <c r="T941" s="3">
        <v>2.3814799739999999</v>
      </c>
      <c r="U941" s="3">
        <v>0.70427150000000005</v>
      </c>
      <c r="V941" s="3">
        <v>0.79902418500000005</v>
      </c>
      <c r="W941" s="3">
        <v>0.110875928</v>
      </c>
      <c r="X941" s="3">
        <v>7.7139898999999998E-2</v>
      </c>
      <c r="Y941" s="3">
        <v>1.6164289000000001</v>
      </c>
      <c r="Z941" s="3">
        <v>3.3814799739999999</v>
      </c>
      <c r="AA941" s="3">
        <v>-3.8534542999999997E-2</v>
      </c>
      <c r="AB941" s="3">
        <v>-262.06410490000002</v>
      </c>
      <c r="AC941" s="3">
        <v>0.69573170699999998</v>
      </c>
      <c r="AD941" s="3">
        <v>5.4400491000000002E-2</v>
      </c>
      <c r="AE941" s="3">
        <v>6.395594107</v>
      </c>
      <c r="AF941" s="4">
        <v>42101</v>
      </c>
      <c r="AG941" s="5">
        <f>YEAR(AF941)</f>
        <v>2015</v>
      </c>
      <c r="AH941" s="5" t="str">
        <f>"Q"&amp;ROUNDUP(MONTH(AF941)/3,0)</f>
        <v>Q2</v>
      </c>
      <c r="AI941" s="5">
        <f>INDEX(RatingLookup!$B$2:$B$11,MATCH(A941,RatingLookup!$A$2:$A$11,0))</f>
        <v>5</v>
      </c>
      <c r="AJ941" s="5" t="str">
        <f>INDEX(RatingLookup!$C$2:$C$11,MATCH(A941,RatingLookup!$A$2:$A$11,0))</f>
        <v>Speculative Grade</v>
      </c>
    </row>
    <row r="942" spans="1:36" x14ac:dyDescent="0.3">
      <c r="A942" s="3" t="s">
        <v>109</v>
      </c>
      <c r="B942" s="3" t="s">
        <v>1083</v>
      </c>
      <c r="C942" s="3" t="s">
        <v>1084</v>
      </c>
      <c r="D942" s="3" t="s">
        <v>60</v>
      </c>
      <c r="E942" s="3" t="s">
        <v>46</v>
      </c>
      <c r="F942" s="3" t="s">
        <v>219</v>
      </c>
      <c r="G942" s="3">
        <v>1.9434162779999999</v>
      </c>
      <c r="H942" s="3">
        <v>1.0158085720000001</v>
      </c>
      <c r="I942" s="3">
        <v>7.0821294000000007E-2</v>
      </c>
      <c r="J942" s="3">
        <v>51.940481730000002</v>
      </c>
      <c r="K942" s="3">
        <v>1.5013972E-2</v>
      </c>
      <c r="L942" s="3">
        <v>3.0585510999999999E-2</v>
      </c>
      <c r="M942" s="3">
        <v>0.19166366700000001</v>
      </c>
      <c r="N942" s="3">
        <v>1.5013972E-2</v>
      </c>
      <c r="O942" s="3">
        <v>2.2466926000000002E-2</v>
      </c>
      <c r="P942" s="3">
        <v>5.9081537000000003E-2</v>
      </c>
      <c r="Q942" s="3">
        <v>5.6559758000000002E-2</v>
      </c>
      <c r="R942" s="3">
        <v>1.4964012799999999</v>
      </c>
      <c r="S942" s="3">
        <v>5.683067254</v>
      </c>
      <c r="T942" s="3">
        <v>1.499587601</v>
      </c>
      <c r="U942" s="3">
        <v>0.595673067</v>
      </c>
      <c r="V942" s="3">
        <v>0.50911489899999995</v>
      </c>
      <c r="W942" s="3">
        <v>-0.36593842199999999</v>
      </c>
      <c r="X942" s="3">
        <v>-0.22619863200000001</v>
      </c>
      <c r="Y942" s="3">
        <v>0.26696779999999998</v>
      </c>
      <c r="Z942" s="3">
        <v>2.5174675240000002</v>
      </c>
      <c r="AA942" s="3">
        <v>3.0585510999999999E-2</v>
      </c>
      <c r="AB942" s="3">
        <v>5.7977697680000002</v>
      </c>
      <c r="AC942" s="3">
        <v>0.61813304800000002</v>
      </c>
      <c r="AD942" s="3">
        <v>2.4693013E-2</v>
      </c>
      <c r="AE942" s="3">
        <v>8.1255478879999998</v>
      </c>
      <c r="AF942" s="4">
        <v>41075</v>
      </c>
      <c r="AG942" s="5">
        <f>YEAR(AF942)</f>
        <v>2012</v>
      </c>
      <c r="AH942" s="5" t="str">
        <f>"Q"&amp;ROUNDUP(MONTH(AF942)/3,0)</f>
        <v>Q2</v>
      </c>
      <c r="AI942" s="5">
        <f>INDEX(RatingLookup!$B$2:$B$11,MATCH(A942,RatingLookup!$A$2:$A$11,0))</f>
        <v>5</v>
      </c>
      <c r="AJ942" s="5" t="str">
        <f>INDEX(RatingLookup!$C$2:$C$11,MATCH(A942,RatingLookup!$A$2:$A$11,0))</f>
        <v>Speculative Grade</v>
      </c>
    </row>
    <row r="943" spans="1:36" x14ac:dyDescent="0.3">
      <c r="A943" s="3" t="s">
        <v>92</v>
      </c>
      <c r="B943" s="3" t="s">
        <v>1086</v>
      </c>
      <c r="C943" s="3" t="s">
        <v>1087</v>
      </c>
      <c r="D943" s="3" t="s">
        <v>47</v>
      </c>
      <c r="E943" s="3" t="s">
        <v>578</v>
      </c>
      <c r="F943" s="3" t="s">
        <v>59</v>
      </c>
      <c r="G943" s="3">
        <v>4.1236465640000004</v>
      </c>
      <c r="H943" s="3">
        <v>1.6421904899999999</v>
      </c>
      <c r="I943" s="3">
        <v>1.038850923</v>
      </c>
      <c r="J943" s="3">
        <v>43.244752849999998</v>
      </c>
      <c r="K943" s="3">
        <v>-4.7169992000000001E-2</v>
      </c>
      <c r="L943" s="3">
        <v>3.2488758999999999E-2</v>
      </c>
      <c r="M943" s="3">
        <v>0.235697817</v>
      </c>
      <c r="N943" s="3">
        <v>4.2512283999999997E-2</v>
      </c>
      <c r="O943" s="3">
        <v>-3.4416264000000002E-2</v>
      </c>
      <c r="P943" s="3">
        <v>2.7730142999999999E-2</v>
      </c>
      <c r="Q943" s="3">
        <v>-6.6881729000000001E-2</v>
      </c>
      <c r="R943" s="3">
        <v>0.72962201500000001</v>
      </c>
      <c r="S943" s="3">
        <v>2.6586139310000001</v>
      </c>
      <c r="T943" s="3">
        <v>0.943317497</v>
      </c>
      <c r="U943" s="3">
        <v>0.48541604700000002</v>
      </c>
      <c r="V943" s="3">
        <v>2.4414369819999999</v>
      </c>
      <c r="W943" s="3">
        <v>0.40023070900000002</v>
      </c>
      <c r="X943" s="3">
        <v>0.66478672999999999</v>
      </c>
      <c r="Y943" s="3">
        <v>3.2438117809999998</v>
      </c>
      <c r="Z943" s="3">
        <v>1.943317497</v>
      </c>
      <c r="AA943" s="3">
        <v>3.2488758999999999E-2</v>
      </c>
      <c r="AB943" s="3">
        <v>6.5348665859999997</v>
      </c>
      <c r="AC943" s="3">
        <v>1.661008802</v>
      </c>
      <c r="AD943" s="3">
        <v>0.106643025</v>
      </c>
      <c r="AE943" s="3">
        <v>11.18419948</v>
      </c>
      <c r="AF943" s="4">
        <v>42549</v>
      </c>
      <c r="AG943" s="5">
        <f>YEAR(AF943)</f>
        <v>2016</v>
      </c>
      <c r="AH943" s="5" t="str">
        <f>"Q"&amp;ROUNDUP(MONTH(AF943)/3,0)</f>
        <v>Q2</v>
      </c>
      <c r="AI943" s="5">
        <f>INDEX(RatingLookup!$B$2:$B$11,MATCH(A943,RatingLookup!$A$2:$A$11,0))</f>
        <v>6</v>
      </c>
      <c r="AJ943" s="5" t="str">
        <f>INDEX(RatingLookup!$C$2:$C$11,MATCH(A943,RatingLookup!$A$2:$A$11,0))</f>
        <v>Speculative Grade</v>
      </c>
    </row>
    <row r="944" spans="1:36" x14ac:dyDescent="0.3">
      <c r="A944" s="3" t="s">
        <v>92</v>
      </c>
      <c r="B944" s="3" t="s">
        <v>1086</v>
      </c>
      <c r="C944" s="3" t="s">
        <v>1087</v>
      </c>
      <c r="D944" s="3" t="s">
        <v>47</v>
      </c>
      <c r="E944" s="3" t="s">
        <v>1088</v>
      </c>
      <c r="F944" s="3" t="s">
        <v>59</v>
      </c>
      <c r="G944" s="3">
        <v>4.1626329049999997</v>
      </c>
      <c r="H944" s="3">
        <v>2.885929129</v>
      </c>
      <c r="I944" s="3">
        <v>1.7032934049999999</v>
      </c>
      <c r="J944" s="3">
        <v>38.127580690000002</v>
      </c>
      <c r="K944" s="3">
        <v>9.2065663000000006E-2</v>
      </c>
      <c r="L944" s="3">
        <v>0.12764544999999999</v>
      </c>
      <c r="M944" s="3">
        <v>0.27755510799999999</v>
      </c>
      <c r="N944" s="3">
        <v>0.12764544999999999</v>
      </c>
      <c r="O944" s="3">
        <v>7.9773727000000003E-2</v>
      </c>
      <c r="P944" s="3">
        <v>0.12964898999999999</v>
      </c>
      <c r="Q944" s="3">
        <v>0.148983223</v>
      </c>
      <c r="R944" s="3">
        <v>0.86648729199999996</v>
      </c>
      <c r="S944" s="3">
        <v>2.8571590640000002</v>
      </c>
      <c r="T944" s="3">
        <v>0.86757254800000005</v>
      </c>
      <c r="U944" s="3">
        <v>0.46454556699999999</v>
      </c>
      <c r="V944" s="3">
        <v>0.275187548</v>
      </c>
      <c r="W944" s="3">
        <v>0.55153083300000005</v>
      </c>
      <c r="X944" s="3">
        <v>1.295463915</v>
      </c>
      <c r="Y944" s="3">
        <v>6.2352555369999996</v>
      </c>
      <c r="Z944" s="3">
        <v>1.8675725480000001</v>
      </c>
      <c r="AA944" s="3">
        <v>0.12764544999999999</v>
      </c>
      <c r="AB944" s="3">
        <v>3.4555411920000001</v>
      </c>
      <c r="AC944" s="3">
        <v>2.3488513000000002</v>
      </c>
      <c r="AD944" s="3">
        <v>0.14496252700000001</v>
      </c>
      <c r="AE944" s="3">
        <v>12.095125919999999</v>
      </c>
      <c r="AF944" s="4">
        <v>41061</v>
      </c>
      <c r="AG944" s="5">
        <f>YEAR(AF944)</f>
        <v>2012</v>
      </c>
      <c r="AH944" s="5" t="str">
        <f>"Q"&amp;ROUNDUP(MONTH(AF944)/3,0)</f>
        <v>Q2</v>
      </c>
      <c r="AI944" s="5">
        <f>INDEX(RatingLookup!$B$2:$B$11,MATCH(A944,RatingLookup!$A$2:$A$11,0))</f>
        <v>6</v>
      </c>
      <c r="AJ944" s="5" t="str">
        <f>INDEX(RatingLookup!$C$2:$C$11,MATCH(A944,RatingLookup!$A$2:$A$11,0))</f>
        <v>Speculative Grade</v>
      </c>
    </row>
    <row r="945" spans="1:36" x14ac:dyDescent="0.3">
      <c r="A945" s="3" t="s">
        <v>92</v>
      </c>
      <c r="B945" s="3" t="s">
        <v>1086</v>
      </c>
      <c r="C945" s="3" t="s">
        <v>1087</v>
      </c>
      <c r="D945" s="3" t="s">
        <v>47</v>
      </c>
      <c r="E945" s="3" t="s">
        <v>623</v>
      </c>
      <c r="F945" s="3" t="s">
        <v>59</v>
      </c>
      <c r="G945" s="3">
        <v>4.217835569</v>
      </c>
      <c r="H945" s="3">
        <v>1.9248586169999999</v>
      </c>
      <c r="I945" s="3">
        <v>1.296521646</v>
      </c>
      <c r="J945" s="3">
        <v>39.753710169999998</v>
      </c>
      <c r="K945" s="3">
        <v>4.7178378E-2</v>
      </c>
      <c r="L945" s="3">
        <v>6.7037342999999999E-2</v>
      </c>
      <c r="M945" s="3">
        <v>0.245175636</v>
      </c>
      <c r="N945" s="3">
        <v>7.5848218999999995E-2</v>
      </c>
      <c r="O945" s="3">
        <v>3.5658410000000001E-2</v>
      </c>
      <c r="P945" s="3">
        <v>5.8811048999999997E-2</v>
      </c>
      <c r="Q945" s="3">
        <v>6.4441322999999995E-2</v>
      </c>
      <c r="R945" s="3">
        <v>0.75582102799999995</v>
      </c>
      <c r="S945" s="3">
        <v>2.776189601</v>
      </c>
      <c r="T945" s="3">
        <v>0.80718442199999996</v>
      </c>
      <c r="U945" s="3">
        <v>0.44665304300000003</v>
      </c>
      <c r="V945" s="3">
        <v>0.29495701299999999</v>
      </c>
      <c r="W945" s="3">
        <v>0.471533849</v>
      </c>
      <c r="X945" s="3">
        <v>0.94914852199999999</v>
      </c>
      <c r="Y945" s="3">
        <v>4.1174788400000004</v>
      </c>
      <c r="Z945" s="3">
        <v>1.807184422</v>
      </c>
      <c r="AA945" s="3">
        <v>6.7037342999999999E-2</v>
      </c>
      <c r="AB945" s="3">
        <v>5.3963489200000003</v>
      </c>
      <c r="AC945" s="3">
        <v>2.0128958369999999</v>
      </c>
      <c r="AD945" s="3">
        <v>0.119134939</v>
      </c>
      <c r="AE945" s="3">
        <v>10.7880723</v>
      </c>
      <c r="AF945" s="4">
        <v>42181</v>
      </c>
      <c r="AG945" s="5">
        <f>YEAR(AF945)</f>
        <v>2015</v>
      </c>
      <c r="AH945" s="5" t="str">
        <f>"Q"&amp;ROUNDUP(MONTH(AF945)/3,0)</f>
        <v>Q2</v>
      </c>
      <c r="AI945" s="5">
        <f>INDEX(RatingLookup!$B$2:$B$11,MATCH(A945,RatingLookup!$A$2:$A$11,0))</f>
        <v>6</v>
      </c>
      <c r="AJ945" s="5" t="str">
        <f>INDEX(RatingLookup!$C$2:$C$11,MATCH(A945,RatingLookup!$A$2:$A$11,0))</f>
        <v>Speculative Grade</v>
      </c>
    </row>
    <row r="946" spans="1:36" x14ac:dyDescent="0.3">
      <c r="A946" s="3" t="s">
        <v>92</v>
      </c>
      <c r="B946" s="3" t="s">
        <v>1086</v>
      </c>
      <c r="C946" s="3" t="s">
        <v>1087</v>
      </c>
      <c r="D946" s="3" t="s">
        <v>47</v>
      </c>
      <c r="E946" s="3" t="s">
        <v>1089</v>
      </c>
      <c r="F946" s="3" t="s">
        <v>59</v>
      </c>
      <c r="G946" s="3">
        <v>3.4040909699999999</v>
      </c>
      <c r="H946" s="3">
        <v>2.329258045</v>
      </c>
      <c r="I946" s="3">
        <v>1.702208623</v>
      </c>
      <c r="J946" s="3">
        <v>44.274813469999998</v>
      </c>
      <c r="K946" s="3">
        <v>0.13177756900000001</v>
      </c>
      <c r="L946" s="3">
        <v>0.148814425</v>
      </c>
      <c r="M946" s="3">
        <v>0.29631476699999998</v>
      </c>
      <c r="N946" s="3">
        <v>0.15336656500000001</v>
      </c>
      <c r="O946" s="3">
        <v>0.12107037800000001</v>
      </c>
      <c r="P946" s="3">
        <v>0.16627482800000001</v>
      </c>
      <c r="Q946" s="3">
        <v>0.24073106999999999</v>
      </c>
      <c r="R946" s="3">
        <v>0.91874799600000001</v>
      </c>
      <c r="S946" s="3">
        <v>2.9876660149999998</v>
      </c>
      <c r="T946" s="3">
        <v>0.98835647999999998</v>
      </c>
      <c r="U946" s="3">
        <v>0.49707207399999997</v>
      </c>
      <c r="V946" s="3">
        <v>0.11155688900000001</v>
      </c>
      <c r="W946" s="3">
        <v>0.73331633900000004</v>
      </c>
      <c r="X946" s="3">
        <v>2177.624198</v>
      </c>
      <c r="Y946" s="3">
        <v>4886.9827580000001</v>
      </c>
      <c r="Z946" s="3">
        <v>1.98835648</v>
      </c>
      <c r="AA946" s="3">
        <v>0.148814425</v>
      </c>
      <c r="AB946" s="3">
        <v>-0.75992337399999998</v>
      </c>
      <c r="AC946" s="3">
        <v>2969.5563619999998</v>
      </c>
      <c r="AD946" s="3">
        <v>0.20009012500000001</v>
      </c>
      <c r="AE946" s="3">
        <v>11.428272590000001</v>
      </c>
      <c r="AF946" s="4">
        <v>40722</v>
      </c>
      <c r="AG946" s="5">
        <f>YEAR(AF946)</f>
        <v>2011</v>
      </c>
      <c r="AH946" s="5" t="str">
        <f>"Q"&amp;ROUNDUP(MONTH(AF946)/3,0)</f>
        <v>Q2</v>
      </c>
      <c r="AI946" s="5">
        <f>INDEX(RatingLookup!$B$2:$B$11,MATCH(A946,RatingLookup!$A$2:$A$11,0))</f>
        <v>6</v>
      </c>
      <c r="AJ946" s="5" t="str">
        <f>INDEX(RatingLookup!$C$2:$C$11,MATCH(A946,RatingLookup!$A$2:$A$11,0))</f>
        <v>Speculative Grade</v>
      </c>
    </row>
    <row r="947" spans="1:36" x14ac:dyDescent="0.3">
      <c r="A947" s="3" t="s">
        <v>92</v>
      </c>
      <c r="B947" s="3" t="s">
        <v>1086</v>
      </c>
      <c r="C947" s="3" t="s">
        <v>1087</v>
      </c>
      <c r="D947" s="3" t="s">
        <v>47</v>
      </c>
      <c r="E947" s="3" t="s">
        <v>645</v>
      </c>
      <c r="F947" s="3" t="s">
        <v>59</v>
      </c>
      <c r="G947" s="3">
        <v>4.3459325040000003</v>
      </c>
      <c r="H947" s="3">
        <v>3.0074314000000002</v>
      </c>
      <c r="I947" s="3">
        <v>1.692493389</v>
      </c>
      <c r="J947" s="3">
        <v>40.43222111</v>
      </c>
      <c r="K947" s="3">
        <v>5.5037068000000001E-2</v>
      </c>
      <c r="L947" s="3">
        <v>7.6246459000000003E-2</v>
      </c>
      <c r="M947" s="3">
        <v>0.23616596000000001</v>
      </c>
      <c r="N947" s="3">
        <v>8.4839807000000003E-2</v>
      </c>
      <c r="O947" s="3">
        <v>4.0691885999999997E-2</v>
      </c>
      <c r="P947" s="3">
        <v>6.5295703999999996E-2</v>
      </c>
      <c r="Q947" s="3">
        <v>7.5608872999999993E-2</v>
      </c>
      <c r="R947" s="3">
        <v>0.73935417699999995</v>
      </c>
      <c r="S947" s="3">
        <v>2.4384583929999999</v>
      </c>
      <c r="T947" s="3">
        <v>0.85808228499999994</v>
      </c>
      <c r="U947" s="3">
        <v>0.46181070200000002</v>
      </c>
      <c r="V947" s="3">
        <v>0.27350517800000002</v>
      </c>
      <c r="W947" s="3">
        <v>0.47722869400000001</v>
      </c>
      <c r="X947" s="3">
        <v>0.92066836699999999</v>
      </c>
      <c r="Y947" s="3">
        <v>6.6604348409999998</v>
      </c>
      <c r="Z947" s="3">
        <v>1.8580822850000001</v>
      </c>
      <c r="AA947" s="3">
        <v>7.6246459000000003E-2</v>
      </c>
      <c r="AB947" s="3">
        <v>4.0491346620000002</v>
      </c>
      <c r="AC947" s="3">
        <v>1.929197423</v>
      </c>
      <c r="AD947" s="3">
        <v>0.12891322699999999</v>
      </c>
      <c r="AE947" s="3">
        <v>11.51460091</v>
      </c>
      <c r="AF947" s="4">
        <v>41451</v>
      </c>
      <c r="AG947" s="5">
        <f>YEAR(AF947)</f>
        <v>2013</v>
      </c>
      <c r="AH947" s="5" t="str">
        <f>"Q"&amp;ROUNDUP(MONTH(AF947)/3,0)</f>
        <v>Q2</v>
      </c>
      <c r="AI947" s="5">
        <f>INDEX(RatingLookup!$B$2:$B$11,MATCH(A947,RatingLookup!$A$2:$A$11,0))</f>
        <v>6</v>
      </c>
      <c r="AJ947" s="5" t="str">
        <f>INDEX(RatingLookup!$C$2:$C$11,MATCH(A947,RatingLookup!$A$2:$A$11,0))</f>
        <v>Speculative Grade</v>
      </c>
    </row>
    <row r="948" spans="1:36" x14ac:dyDescent="0.3">
      <c r="A948" s="3" t="s">
        <v>92</v>
      </c>
      <c r="B948" s="3" t="s">
        <v>1086</v>
      </c>
      <c r="C948" s="3" t="s">
        <v>1087</v>
      </c>
      <c r="D948" s="3" t="s">
        <v>47</v>
      </c>
      <c r="E948" s="3" t="s">
        <v>1023</v>
      </c>
      <c r="F948" s="3" t="s">
        <v>59</v>
      </c>
      <c r="G948" s="3">
        <v>4.4106755150000003</v>
      </c>
      <c r="H948" s="3">
        <v>2.0526805700000001</v>
      </c>
      <c r="I948" s="3">
        <v>1.42595838</v>
      </c>
      <c r="J948" s="3">
        <v>42.19366557</v>
      </c>
      <c r="K948" s="3">
        <v>5.1868868999999998E-2</v>
      </c>
      <c r="L948" s="3">
        <v>7.4401755999999999E-2</v>
      </c>
      <c r="M948" s="3">
        <v>0.23925138100000001</v>
      </c>
      <c r="N948" s="3">
        <v>8.3375686000000004E-2</v>
      </c>
      <c r="O948" s="3">
        <v>3.7990336999999999E-2</v>
      </c>
      <c r="P948" s="3">
        <v>6.3271276000000001E-2</v>
      </c>
      <c r="Q948" s="3">
        <v>6.5667925000000002E-2</v>
      </c>
      <c r="R948" s="3">
        <v>0.73243039600000004</v>
      </c>
      <c r="S948" s="3">
        <v>2.5587420500000002</v>
      </c>
      <c r="T948" s="3">
        <v>0.72854285299999999</v>
      </c>
      <c r="U948" s="3">
        <v>0.42147804</v>
      </c>
      <c r="V948" s="3">
        <v>0.29838156500000002</v>
      </c>
      <c r="W948" s="3">
        <v>0.47588934199999999</v>
      </c>
      <c r="X948" s="3">
        <v>0.95952532199999996</v>
      </c>
      <c r="Y948" s="3">
        <v>4.4713646660000004</v>
      </c>
      <c r="Z948" s="3">
        <v>1.728542853</v>
      </c>
      <c r="AA948" s="3">
        <v>7.4401755999999999E-2</v>
      </c>
      <c r="AB948" s="3">
        <v>5.1479406670000003</v>
      </c>
      <c r="AC948" s="3">
        <v>2.0162782350000001</v>
      </c>
      <c r="AD948" s="3">
        <v>0.123185401</v>
      </c>
      <c r="AE948" s="3">
        <v>11.00539983</v>
      </c>
      <c r="AF948" s="4">
        <v>41815</v>
      </c>
      <c r="AG948" s="5">
        <f>YEAR(AF948)</f>
        <v>2014</v>
      </c>
      <c r="AH948" s="5" t="str">
        <f>"Q"&amp;ROUNDUP(MONTH(AF948)/3,0)</f>
        <v>Q2</v>
      </c>
      <c r="AI948" s="5">
        <f>INDEX(RatingLookup!$B$2:$B$11,MATCH(A948,RatingLookup!$A$2:$A$11,0))</f>
        <v>6</v>
      </c>
      <c r="AJ948" s="5" t="str">
        <f>INDEX(RatingLookup!$C$2:$C$11,MATCH(A948,RatingLookup!$A$2:$A$11,0))</f>
        <v>Speculative Grade</v>
      </c>
    </row>
    <row r="949" spans="1:36" x14ac:dyDescent="0.3">
      <c r="A949" s="3" t="s">
        <v>42</v>
      </c>
      <c r="B949" s="3" t="s">
        <v>1090</v>
      </c>
      <c r="C949" s="3" t="s">
        <v>1091</v>
      </c>
      <c r="D949" s="3" t="s">
        <v>47</v>
      </c>
      <c r="E949" s="3" t="s">
        <v>1092</v>
      </c>
      <c r="F949" s="3" t="s">
        <v>96</v>
      </c>
      <c r="G949" s="3">
        <v>2.5746490849999999</v>
      </c>
      <c r="H949" s="3">
        <v>2.357294768</v>
      </c>
      <c r="I949" s="3">
        <v>0.25350914499999999</v>
      </c>
      <c r="J949" s="3">
        <v>36.791417170000003</v>
      </c>
      <c r="K949" s="3">
        <v>0.12255489</v>
      </c>
      <c r="L949" s="3">
        <v>0.14830339300000001</v>
      </c>
      <c r="M949" s="3">
        <v>0.56107784400000005</v>
      </c>
      <c r="N949" s="3">
        <v>0.14910179600000001</v>
      </c>
      <c r="O949" s="3">
        <v>8.3310719000000005E-2</v>
      </c>
      <c r="P949" s="3">
        <v>0.14803745800000001</v>
      </c>
      <c r="Q949" s="3">
        <v>0.137390915</v>
      </c>
      <c r="R949" s="3">
        <v>0.67978290399999997</v>
      </c>
      <c r="S949" s="3">
        <v>10.75107296</v>
      </c>
      <c r="T949" s="3">
        <v>0.62967106699999997</v>
      </c>
      <c r="U949" s="3">
        <v>0.38181818200000001</v>
      </c>
      <c r="V949" s="3">
        <v>0.17362045800000001</v>
      </c>
      <c r="W949" s="3">
        <v>0.92680851099999995</v>
      </c>
      <c r="X949" s="3">
        <v>2.0055248620000001</v>
      </c>
      <c r="Y949" s="3">
        <v>9.2762430939999998</v>
      </c>
      <c r="Z949" s="3">
        <v>1.64913851</v>
      </c>
      <c r="AA949" s="3">
        <v>0.14830339300000001</v>
      </c>
      <c r="AB949" s="3">
        <v>19.703654660000002</v>
      </c>
      <c r="AC949" s="3">
        <v>2.163904236</v>
      </c>
      <c r="AD949" s="3">
        <v>0.23453093799999999</v>
      </c>
      <c r="AE949" s="3">
        <v>7.4290540539999999</v>
      </c>
      <c r="AF949" s="4">
        <v>42634</v>
      </c>
      <c r="AG949" s="5">
        <f>YEAR(AF949)</f>
        <v>2016</v>
      </c>
      <c r="AH949" s="5" t="str">
        <f>"Q"&amp;ROUNDUP(MONTH(AF949)/3,0)</f>
        <v>Q3</v>
      </c>
      <c r="AI949" s="5">
        <f>INDEX(RatingLookup!$B$2:$B$11,MATCH(A949,RatingLookup!$A$2:$A$11,0))</f>
        <v>7</v>
      </c>
      <c r="AJ949" s="5" t="str">
        <f>INDEX(RatingLookup!$C$2:$C$11,MATCH(A949,RatingLookup!$A$2:$A$11,0))</f>
        <v>Investment Grade</v>
      </c>
    </row>
    <row r="950" spans="1:36" x14ac:dyDescent="0.3">
      <c r="A950" s="3" t="s">
        <v>92</v>
      </c>
      <c r="B950" s="3" t="s">
        <v>1090</v>
      </c>
      <c r="C950" s="3" t="s">
        <v>1091</v>
      </c>
      <c r="D950" s="3" t="s">
        <v>47</v>
      </c>
      <c r="E950" s="3" t="s">
        <v>1093</v>
      </c>
      <c r="F950" s="3" t="s">
        <v>96</v>
      </c>
      <c r="G950" s="3">
        <v>4.8915647350000002</v>
      </c>
      <c r="H950" s="3">
        <v>4.2839955620000003</v>
      </c>
      <c r="I950" s="3">
        <v>0.75063382000000001</v>
      </c>
      <c r="J950" s="3">
        <v>38737.3413</v>
      </c>
      <c r="K950" s="3">
        <v>0.131428762</v>
      </c>
      <c r="L950" s="3">
        <v>0.15467626300000001</v>
      </c>
      <c r="M950" s="3">
        <v>0.520154275</v>
      </c>
      <c r="N950" s="3">
        <v>0.15145208399999999</v>
      </c>
      <c r="O950" s="3">
        <v>8.7700000000000004E-5</v>
      </c>
      <c r="P950" s="3">
        <v>1.21787E-4</v>
      </c>
      <c r="Q950" s="3">
        <v>1.1652199999999999E-4</v>
      </c>
      <c r="R950" s="3">
        <v>6.6749799999999998E-4</v>
      </c>
      <c r="S950" s="3">
        <v>7.4289739999999996E-3</v>
      </c>
      <c r="T950" s="3">
        <v>1.3282186170000001</v>
      </c>
      <c r="U950" s="3">
        <v>1</v>
      </c>
      <c r="V950" s="3">
        <v>0.15029779200000001</v>
      </c>
      <c r="W950" s="3">
        <v>0.77758404800000003</v>
      </c>
      <c r="X950" s="3">
        <v>1034.7782420000001</v>
      </c>
      <c r="Y950" s="3">
        <v>6019.27747</v>
      </c>
      <c r="Z950" s="3">
        <v>1.3282186170000001</v>
      </c>
      <c r="AA950" s="3">
        <v>0.15467626300000001</v>
      </c>
      <c r="AB950" s="3">
        <v>-3.1960270199999998</v>
      </c>
      <c r="AC950" s="3">
        <v>1330.760636</v>
      </c>
      <c r="AD950" s="3">
        <v>192.556398</v>
      </c>
      <c r="AE950" s="3">
        <v>5.7622180000000004E-3</v>
      </c>
      <c r="AF950" s="4">
        <v>41628</v>
      </c>
      <c r="AG950" s="5">
        <f>YEAR(AF950)</f>
        <v>2013</v>
      </c>
      <c r="AH950" s="5" t="str">
        <f>"Q"&amp;ROUNDUP(MONTH(AF950)/3,0)</f>
        <v>Q4</v>
      </c>
      <c r="AI950" s="5">
        <f>INDEX(RatingLookup!$B$2:$B$11,MATCH(A950,RatingLookup!$A$2:$A$11,0))</f>
        <v>6</v>
      </c>
      <c r="AJ950" s="5" t="str">
        <f>INDEX(RatingLookup!$C$2:$C$11,MATCH(A950,RatingLookup!$A$2:$A$11,0))</f>
        <v>Speculative Grade</v>
      </c>
    </row>
    <row r="951" spans="1:36" x14ac:dyDescent="0.3">
      <c r="A951" s="3" t="s">
        <v>92</v>
      </c>
      <c r="B951" s="3" t="s">
        <v>1090</v>
      </c>
      <c r="C951" s="3" t="s">
        <v>1091</v>
      </c>
      <c r="D951" s="3" t="s">
        <v>47</v>
      </c>
      <c r="E951" s="3" t="s">
        <v>1094</v>
      </c>
      <c r="F951" s="3" t="s">
        <v>96</v>
      </c>
      <c r="G951" s="3">
        <v>5.9489527190000002</v>
      </c>
      <c r="H951" s="3">
        <v>1.668906056</v>
      </c>
      <c r="I951" s="3">
        <v>1.2179713080000001</v>
      </c>
      <c r="J951" s="3">
        <v>37678.983289999996</v>
      </c>
      <c r="K951" s="3">
        <v>0.10653093</v>
      </c>
      <c r="L951" s="3">
        <v>0.123543338</v>
      </c>
      <c r="M951" s="3">
        <v>0.54907362000000004</v>
      </c>
      <c r="N951" s="3">
        <v>0.12014710300000001</v>
      </c>
      <c r="O951" s="3">
        <v>6.0699999999999998E-5</v>
      </c>
      <c r="P951" s="3">
        <v>8.0900000000000001E-5</v>
      </c>
      <c r="Q951" s="3">
        <v>9.87E-5</v>
      </c>
      <c r="R951" s="3">
        <v>5.6960699999999997E-4</v>
      </c>
      <c r="S951" s="3">
        <v>7.087487E-3</v>
      </c>
      <c r="T951" s="3">
        <v>1.62707505</v>
      </c>
      <c r="U951" s="3">
        <v>1</v>
      </c>
      <c r="V951" s="3">
        <v>0.13770396700000001</v>
      </c>
      <c r="W951" s="3">
        <v>0.69444145099999999</v>
      </c>
      <c r="X951" s="3">
        <v>986.5060479</v>
      </c>
      <c r="Y951" s="3">
        <v>1958.8377479999999</v>
      </c>
      <c r="Z951" s="3">
        <v>1.62707505</v>
      </c>
      <c r="AA951" s="3">
        <v>0.123543338</v>
      </c>
      <c r="AB951" s="3">
        <v>0.90052290199999996</v>
      </c>
      <c r="AC951" s="3">
        <v>1420.574832</v>
      </c>
      <c r="AD951" s="3">
        <v>202.2065963</v>
      </c>
      <c r="AE951" s="3">
        <v>5.7412169999999998E-3</v>
      </c>
      <c r="AF951" s="4">
        <v>41964</v>
      </c>
      <c r="AG951" s="5">
        <f>YEAR(AF951)</f>
        <v>2014</v>
      </c>
      <c r="AH951" s="5" t="str">
        <f>"Q"&amp;ROUNDUP(MONTH(AF951)/3,0)</f>
        <v>Q4</v>
      </c>
      <c r="AI951" s="5">
        <f>INDEX(RatingLookup!$B$2:$B$11,MATCH(A951,RatingLookup!$A$2:$A$11,0))</f>
        <v>6</v>
      </c>
      <c r="AJ951" s="5" t="str">
        <f>INDEX(RatingLookup!$C$2:$C$11,MATCH(A951,RatingLookup!$A$2:$A$11,0))</f>
        <v>Speculative Grade</v>
      </c>
    </row>
    <row r="952" spans="1:36" x14ac:dyDescent="0.3">
      <c r="A952" s="3" t="s">
        <v>92</v>
      </c>
      <c r="B952" s="3" t="s">
        <v>1090</v>
      </c>
      <c r="C952" s="3" t="s">
        <v>1091</v>
      </c>
      <c r="D952" s="3" t="s">
        <v>47</v>
      </c>
      <c r="E952" s="3" t="s">
        <v>112</v>
      </c>
      <c r="F952" s="3" t="s">
        <v>96</v>
      </c>
      <c r="G952" s="3">
        <v>6.3762340550000003</v>
      </c>
      <c r="H952" s="3">
        <v>5.6883988260000002</v>
      </c>
      <c r="I952" s="3">
        <v>0.55428278099999995</v>
      </c>
      <c r="J952" s="3">
        <v>36927.746769999998</v>
      </c>
      <c r="K952" s="3">
        <v>0.134697438</v>
      </c>
      <c r="L952" s="3">
        <v>0.161237824</v>
      </c>
      <c r="M952" s="3">
        <v>0.55526500300000003</v>
      </c>
      <c r="N952" s="3">
        <v>0.162124931</v>
      </c>
      <c r="O952" s="3">
        <v>5.6100000000000002E-5</v>
      </c>
      <c r="P952" s="3">
        <v>7.2999999999999999E-5</v>
      </c>
      <c r="Q952" s="3">
        <v>1.4273199999999999E-4</v>
      </c>
      <c r="R952" s="3">
        <v>4.1660999999999998E-4</v>
      </c>
      <c r="S952" s="3">
        <v>8.4006069999999992E-3</v>
      </c>
      <c r="T952" s="3">
        <v>0</v>
      </c>
      <c r="U952" s="3">
        <v>0</v>
      </c>
      <c r="V952" s="3">
        <v>0.16460396699999999</v>
      </c>
      <c r="W952" s="3">
        <v>0.86487032600000002</v>
      </c>
      <c r="X952" s="3">
        <v>1418.156898</v>
      </c>
      <c r="Y952" s="3">
        <v>8370.7766709999996</v>
      </c>
      <c r="Z952" s="3">
        <v>2.543504478</v>
      </c>
      <c r="AA952" s="3">
        <v>0.161237824</v>
      </c>
      <c r="AB952" s="3">
        <v>31.330870340000001</v>
      </c>
      <c r="AC952" s="3">
        <v>1639.7335599999999</v>
      </c>
      <c r="AD952" s="3">
        <v>193.4539455</v>
      </c>
      <c r="AE952" s="3">
        <v>7.1005E-3</v>
      </c>
      <c r="AF952" s="4">
        <v>42328</v>
      </c>
      <c r="AG952" s="5">
        <f>YEAR(AF952)</f>
        <v>2015</v>
      </c>
      <c r="AH952" s="5" t="str">
        <f>"Q"&amp;ROUNDUP(MONTH(AF952)/3,0)</f>
        <v>Q4</v>
      </c>
      <c r="AI952" s="5">
        <f>INDEX(RatingLookup!$B$2:$B$11,MATCH(A952,RatingLookup!$A$2:$A$11,0))</f>
        <v>6</v>
      </c>
      <c r="AJ952" s="5" t="str">
        <f>INDEX(RatingLookup!$C$2:$C$11,MATCH(A952,RatingLookup!$A$2:$A$11,0))</f>
        <v>Speculative Grade</v>
      </c>
    </row>
    <row r="953" spans="1:36" x14ac:dyDescent="0.3">
      <c r="A953" s="3" t="s">
        <v>109</v>
      </c>
      <c r="B953" s="3" t="s">
        <v>1095</v>
      </c>
      <c r="C953" s="3" t="s">
        <v>1096</v>
      </c>
      <c r="D953" s="3" t="s">
        <v>60</v>
      </c>
      <c r="E953" s="3" t="s">
        <v>1097</v>
      </c>
      <c r="F953" s="3" t="s">
        <v>66</v>
      </c>
      <c r="G953" s="3">
        <v>2.1436663230000002</v>
      </c>
      <c r="H953" s="3">
        <v>1.1982492280000001</v>
      </c>
      <c r="I953" s="3">
        <v>0.48609680700000002</v>
      </c>
      <c r="J953" s="3">
        <v>39.12989279</v>
      </c>
      <c r="K953" s="3">
        <v>9.0251724000000005E-2</v>
      </c>
      <c r="L953" s="3">
        <v>0.14185988499999999</v>
      </c>
      <c r="M953" s="3">
        <v>0.48209091700000001</v>
      </c>
      <c r="N953" s="3">
        <v>0.148923793</v>
      </c>
      <c r="O953" s="3">
        <v>0.11265549800000001</v>
      </c>
      <c r="P953" s="3">
        <v>0.21398584000000001</v>
      </c>
      <c r="Q953" s="3">
        <v>0.20167112300000001</v>
      </c>
      <c r="R953" s="3">
        <v>1.2482365150000001</v>
      </c>
      <c r="S953" s="3">
        <v>12.733333330000001</v>
      </c>
      <c r="T953" s="3">
        <v>0.79015784600000005</v>
      </c>
      <c r="U953" s="3">
        <v>0.44139004100000001</v>
      </c>
      <c r="V953" s="3">
        <v>-0.229642648</v>
      </c>
      <c r="W953" s="3">
        <v>0.82474646699999998</v>
      </c>
      <c r="X953" s="3">
        <v>2.323583138</v>
      </c>
      <c r="Y953" s="3">
        <v>2.4285714289999998</v>
      </c>
      <c r="Z953" s="3">
        <v>1.7901578460000001</v>
      </c>
      <c r="AA953" s="3">
        <v>0.136895454</v>
      </c>
      <c r="AB953" s="3">
        <v>15.3184355</v>
      </c>
      <c r="AC953" s="3">
        <v>2.8173302109999998</v>
      </c>
      <c r="AD953" s="3">
        <v>9.9975069E-2</v>
      </c>
      <c r="AE953" s="3">
        <v>8.7503671070000006</v>
      </c>
      <c r="AF953" s="4">
        <v>42528</v>
      </c>
      <c r="AG953" s="5">
        <f>YEAR(AF953)</f>
        <v>2016</v>
      </c>
      <c r="AH953" s="5" t="str">
        <f>"Q"&amp;ROUNDUP(MONTH(AF953)/3,0)</f>
        <v>Q2</v>
      </c>
      <c r="AI953" s="5">
        <f>INDEX(RatingLookup!$B$2:$B$11,MATCH(A953,RatingLookup!$A$2:$A$11,0))</f>
        <v>5</v>
      </c>
      <c r="AJ953" s="5" t="str">
        <f>INDEX(RatingLookup!$C$2:$C$11,MATCH(A953,RatingLookup!$A$2:$A$11,0))</f>
        <v>Speculative Grade</v>
      </c>
    </row>
    <row r="954" spans="1:36" x14ac:dyDescent="0.3">
      <c r="A954" s="3" t="s">
        <v>36</v>
      </c>
      <c r="B954" s="3" t="s">
        <v>1095</v>
      </c>
      <c r="C954" s="3" t="s">
        <v>1096</v>
      </c>
      <c r="D954" s="3" t="s">
        <v>39</v>
      </c>
      <c r="E954" s="3" t="s">
        <v>721</v>
      </c>
      <c r="F954" s="3" t="s">
        <v>66</v>
      </c>
      <c r="G954" s="3">
        <v>2.5834761620000002</v>
      </c>
      <c r="H954" s="3">
        <v>1.4827448510000001</v>
      </c>
      <c r="I954" s="3">
        <v>0.59984594899999999</v>
      </c>
      <c r="J954" s="3">
        <v>37.926693839999999</v>
      </c>
      <c r="K954" s="3">
        <v>8.5286702000000006E-2</v>
      </c>
      <c r="L954" s="3">
        <v>4.5346498999999998E-2</v>
      </c>
      <c r="M954" s="3">
        <v>0.48802250699999999</v>
      </c>
      <c r="N954" s="3">
        <v>0.11705790200000001</v>
      </c>
      <c r="O954" s="3">
        <v>0.104958948</v>
      </c>
      <c r="P954" s="3">
        <v>0.17197863299999999</v>
      </c>
      <c r="Q954" s="3">
        <v>0.186028583</v>
      </c>
      <c r="R954" s="3">
        <v>1.2306601909999999</v>
      </c>
      <c r="S954" s="3">
        <v>13.0358827</v>
      </c>
      <c r="T954" s="3">
        <v>0.77239373899999997</v>
      </c>
      <c r="U954" s="3">
        <v>0.43579128099999997</v>
      </c>
      <c r="V954" s="3">
        <v>0.54737293799999998</v>
      </c>
      <c r="W954" s="3">
        <v>1</v>
      </c>
      <c r="X954" s="3">
        <v>3.924146635</v>
      </c>
      <c r="Y954" s="3">
        <v>2.6032162840000002</v>
      </c>
      <c r="Z954" s="3">
        <v>1.772393739</v>
      </c>
      <c r="AA954" s="3">
        <v>0.11705790200000001</v>
      </c>
      <c r="AB954" s="3">
        <v>18.145358259999998</v>
      </c>
      <c r="AC954" s="3">
        <v>3.924146635</v>
      </c>
      <c r="AD954" s="3">
        <v>0.13821908099999999</v>
      </c>
      <c r="AE954" s="3">
        <v>9.1022115039999996</v>
      </c>
      <c r="AF954" s="4">
        <v>41934</v>
      </c>
      <c r="AG954" s="5">
        <f>YEAR(AF954)</f>
        <v>2014</v>
      </c>
      <c r="AH954" s="5" t="str">
        <f>"Q"&amp;ROUNDUP(MONTH(AF954)/3,0)</f>
        <v>Q4</v>
      </c>
      <c r="AI954" s="5">
        <f>INDEX(RatingLookup!$B$2:$B$11,MATCH(A954,RatingLookup!$A$2:$A$11,0))</f>
        <v>8</v>
      </c>
      <c r="AJ954" s="5" t="str">
        <f>INDEX(RatingLookup!$C$2:$C$11,MATCH(A954,RatingLookup!$A$2:$A$11,0))</f>
        <v>Investment Grade</v>
      </c>
    </row>
    <row r="955" spans="1:36" x14ac:dyDescent="0.3">
      <c r="A955" s="3" t="s">
        <v>36</v>
      </c>
      <c r="B955" s="3" t="s">
        <v>1095</v>
      </c>
      <c r="C955" s="3" t="s">
        <v>1096</v>
      </c>
      <c r="D955" s="3" t="s">
        <v>39</v>
      </c>
      <c r="E955" s="3" t="s">
        <v>1098</v>
      </c>
      <c r="F955" s="3" t="s">
        <v>66</v>
      </c>
      <c r="G955" s="3">
        <v>2.476390002</v>
      </c>
      <c r="H955" s="3">
        <v>1.4707688320000001</v>
      </c>
      <c r="I955" s="3">
        <v>0.495154659</v>
      </c>
      <c r="J955" s="3">
        <v>43.483099920000001</v>
      </c>
      <c r="K955" s="3">
        <v>0.105968152</v>
      </c>
      <c r="L955" s="3">
        <v>0.127175023</v>
      </c>
      <c r="M955" s="3">
        <v>0.48059090799999998</v>
      </c>
      <c r="N955" s="3">
        <v>0.14423798400000001</v>
      </c>
      <c r="O955" s="3">
        <v>0.117311394</v>
      </c>
      <c r="P955" s="3">
        <v>0.16602499300000001</v>
      </c>
      <c r="Q955" s="3">
        <v>0.199129741</v>
      </c>
      <c r="R955" s="3">
        <v>1.1070438760000001</v>
      </c>
      <c r="S955" s="3">
        <v>12.24243776</v>
      </c>
      <c r="T955" s="3">
        <v>0.69744586099999994</v>
      </c>
      <c r="U955" s="3">
        <v>0.41087959099999999</v>
      </c>
      <c r="V955" s="3">
        <v>0.24263062399999999</v>
      </c>
      <c r="W955" s="3">
        <v>1</v>
      </c>
      <c r="X955" s="3">
        <v>3.434929259</v>
      </c>
      <c r="Y955" s="3">
        <v>2.156976496</v>
      </c>
      <c r="Z955" s="3">
        <v>1.6974458610000001</v>
      </c>
      <c r="AA955" s="3">
        <v>0.127175023</v>
      </c>
      <c r="AB955" s="3">
        <v>12.925675500000001</v>
      </c>
      <c r="AC955" s="3">
        <v>3.434929259</v>
      </c>
      <c r="AD955" s="3">
        <v>0.13188156100000001</v>
      </c>
      <c r="AE955" s="3">
        <v>9.2863188319999992</v>
      </c>
      <c r="AF955" s="4">
        <v>41477</v>
      </c>
      <c r="AG955" s="5">
        <f>YEAR(AF955)</f>
        <v>2013</v>
      </c>
      <c r="AH955" s="5" t="str">
        <f>"Q"&amp;ROUNDUP(MONTH(AF955)/3,0)</f>
        <v>Q3</v>
      </c>
      <c r="AI955" s="5">
        <f>INDEX(RatingLookup!$B$2:$B$11,MATCH(A955,RatingLookup!$A$2:$A$11,0))</f>
        <v>8</v>
      </c>
      <c r="AJ955" s="5" t="str">
        <f>INDEX(RatingLookup!$C$2:$C$11,MATCH(A955,RatingLookup!$A$2:$A$11,0))</f>
        <v>Investment Grade</v>
      </c>
    </row>
    <row r="956" spans="1:36" x14ac:dyDescent="0.3">
      <c r="A956" s="3" t="s">
        <v>36</v>
      </c>
      <c r="B956" s="3" t="s">
        <v>1095</v>
      </c>
      <c r="C956" s="3" t="s">
        <v>1096</v>
      </c>
      <c r="D956" s="3" t="s">
        <v>60</v>
      </c>
      <c r="E956" s="3" t="s">
        <v>46</v>
      </c>
      <c r="F956" s="3" t="s">
        <v>66</v>
      </c>
      <c r="G956" s="3">
        <v>1.9134950589999999</v>
      </c>
      <c r="H956" s="3">
        <v>0.90067297599999996</v>
      </c>
      <c r="I956" s="3">
        <v>0.20481479299999999</v>
      </c>
      <c r="J956" s="3">
        <v>43.2265315</v>
      </c>
      <c r="K956" s="3">
        <v>9.3885951999999995E-2</v>
      </c>
      <c r="L956" s="3">
        <v>0.123132935</v>
      </c>
      <c r="M956" s="3">
        <v>0.45782046599999998</v>
      </c>
      <c r="N956" s="3">
        <v>0.131595356</v>
      </c>
      <c r="O956" s="3">
        <v>9.5358851999999994E-2</v>
      </c>
      <c r="P956" s="3">
        <v>0.152311846</v>
      </c>
      <c r="Q956" s="3">
        <v>0.19621978900000001</v>
      </c>
      <c r="R956" s="3">
        <v>1.0156881799999999</v>
      </c>
      <c r="S956" s="3">
        <v>12.82692952</v>
      </c>
      <c r="T956" s="3">
        <v>1.0576987449999999</v>
      </c>
      <c r="U956" s="3">
        <v>0.51402021200000003</v>
      </c>
      <c r="V956" s="3">
        <v>0.23554552400000001</v>
      </c>
      <c r="W956" s="3">
        <v>1</v>
      </c>
      <c r="X956" s="3">
        <v>9.8737818530000006</v>
      </c>
      <c r="Y956" s="3">
        <v>3.472479597</v>
      </c>
      <c r="Z956" s="3">
        <v>2.0576987450000002</v>
      </c>
      <c r="AA956" s="3">
        <v>0.123132935</v>
      </c>
      <c r="AB956" s="3">
        <v>3.3742906910000001</v>
      </c>
      <c r="AC956" s="3">
        <v>9.8737818530000006</v>
      </c>
      <c r="AD956" s="3">
        <v>0.114319112</v>
      </c>
      <c r="AE956" s="3">
        <v>8.0497146520000005</v>
      </c>
      <c r="AF956" s="4">
        <v>41075</v>
      </c>
      <c r="AG956" s="5">
        <f>YEAR(AF956)</f>
        <v>2012</v>
      </c>
      <c r="AH956" s="5" t="str">
        <f>"Q"&amp;ROUNDUP(MONTH(AF956)/3,0)</f>
        <v>Q2</v>
      </c>
      <c r="AI956" s="5">
        <f>INDEX(RatingLookup!$B$2:$B$11,MATCH(A956,RatingLookup!$A$2:$A$11,0))</f>
        <v>8</v>
      </c>
      <c r="AJ956" s="5" t="str">
        <f>INDEX(RatingLookup!$C$2:$C$11,MATCH(A956,RatingLookup!$A$2:$A$11,0))</f>
        <v>Investment Grade</v>
      </c>
    </row>
    <row r="957" spans="1:36" x14ac:dyDescent="0.3">
      <c r="A957" s="3" t="s">
        <v>116</v>
      </c>
      <c r="B957" s="3" t="s">
        <v>1095</v>
      </c>
      <c r="C957" s="3" t="s">
        <v>1096</v>
      </c>
      <c r="D957" s="3" t="s">
        <v>47</v>
      </c>
      <c r="E957" s="3" t="s">
        <v>1099</v>
      </c>
      <c r="F957" s="3" t="s">
        <v>66</v>
      </c>
      <c r="G957" s="3">
        <v>2.4045580819999999</v>
      </c>
      <c r="H957" s="3">
        <v>1.468734177</v>
      </c>
      <c r="I957" s="3">
        <v>0.68772375900000005</v>
      </c>
      <c r="J957" s="3">
        <v>36.371774760000001</v>
      </c>
      <c r="K957" s="3">
        <v>8.9367313000000004E-2</v>
      </c>
      <c r="L957" s="3">
        <v>0.117779403</v>
      </c>
      <c r="M957" s="3">
        <v>0.484455158</v>
      </c>
      <c r="N957" s="3">
        <v>0.12473796700000001</v>
      </c>
      <c r="O957" s="3">
        <v>0.11028589699999999</v>
      </c>
      <c r="P957" s="3">
        <v>0.17797474399999999</v>
      </c>
      <c r="Q957" s="3">
        <v>0.217389835</v>
      </c>
      <c r="R957" s="3">
        <v>1.234074219</v>
      </c>
      <c r="S957" s="3">
        <v>12.790935989999999</v>
      </c>
      <c r="T957" s="3">
        <v>0.97114809199999996</v>
      </c>
      <c r="U957" s="3">
        <v>0.49268144600000002</v>
      </c>
      <c r="V957" s="3">
        <v>0.17170496299999999</v>
      </c>
      <c r="W957" s="3">
        <v>1</v>
      </c>
      <c r="X957" s="3">
        <v>3.8801864859999999</v>
      </c>
      <c r="Y957" s="3">
        <v>3.7402006929999998</v>
      </c>
      <c r="Z957" s="3">
        <v>1.971148092</v>
      </c>
      <c r="AA957" s="3">
        <v>0.117779403</v>
      </c>
      <c r="AB957" s="3">
        <v>10.939432</v>
      </c>
      <c r="AC957" s="3">
        <v>3.8801864859999999</v>
      </c>
      <c r="AD957" s="3">
        <v>0.122965191</v>
      </c>
      <c r="AE957" s="3">
        <v>9.322787838</v>
      </c>
      <c r="AF957" s="4">
        <v>42611</v>
      </c>
      <c r="AG957" s="5">
        <f>YEAR(AF957)</f>
        <v>2016</v>
      </c>
      <c r="AH957" s="5" t="str">
        <f>"Q"&amp;ROUNDUP(MONTH(AF957)/3,0)</f>
        <v>Q3</v>
      </c>
      <c r="AI957" s="5">
        <f>INDEX(RatingLookup!$B$2:$B$11,MATCH(A957,RatingLookup!$A$2:$A$11,0))</f>
        <v>4</v>
      </c>
      <c r="AJ957" s="5" t="str">
        <f>INDEX(RatingLookup!$C$2:$C$11,MATCH(A957,RatingLookup!$A$2:$A$11,0))</f>
        <v>Speculative Grade</v>
      </c>
    </row>
    <row r="958" spans="1:36" x14ac:dyDescent="0.3">
      <c r="A958" s="3" t="s">
        <v>92</v>
      </c>
      <c r="B958" s="3" t="s">
        <v>1100</v>
      </c>
      <c r="C958" s="3" t="s">
        <v>1101</v>
      </c>
      <c r="D958" s="3" t="s">
        <v>47</v>
      </c>
      <c r="E958" s="3" t="s">
        <v>1102</v>
      </c>
      <c r="F958" s="3" t="s">
        <v>174</v>
      </c>
      <c r="G958" s="3">
        <v>2.2169022049999998</v>
      </c>
      <c r="H958" s="3">
        <v>1.9264654160000001</v>
      </c>
      <c r="I958" s="3">
        <v>0.51540613499999999</v>
      </c>
      <c r="J958" s="3">
        <v>99.356637289999995</v>
      </c>
      <c r="K958" s="3">
        <v>-2.3455311E-2</v>
      </c>
      <c r="L958" s="3">
        <v>1.9747969999999999E-3</v>
      </c>
      <c r="M958" s="3">
        <v>0.37817868399999999</v>
      </c>
      <c r="N958" s="3">
        <v>3.7438699999999998E-2</v>
      </c>
      <c r="O958" s="3">
        <v>-1.6254352999999999E-2</v>
      </c>
      <c r="P958" s="3">
        <v>1.5797039999999999E-3</v>
      </c>
      <c r="Q958" s="3">
        <v>-3.4623565000000002E-2</v>
      </c>
      <c r="R958" s="3">
        <v>0.69299242500000002</v>
      </c>
      <c r="S958" s="3">
        <v>23.123988149999999</v>
      </c>
      <c r="T958" s="3">
        <v>1.1301103130000001</v>
      </c>
      <c r="U958" s="3">
        <v>0.53054074500000004</v>
      </c>
      <c r="V958" s="3">
        <v>12.877328199999999</v>
      </c>
      <c r="W958" s="3">
        <v>0.769036842</v>
      </c>
      <c r="X958" s="3">
        <v>2.2926133540000002</v>
      </c>
      <c r="Y958" s="3">
        <v>3.8889026690000001</v>
      </c>
      <c r="Z958" s="3">
        <v>2.1301103129999999</v>
      </c>
      <c r="AA958" s="3">
        <v>1.9747969999999999E-3</v>
      </c>
      <c r="AB958" s="3">
        <v>10.825259259999999</v>
      </c>
      <c r="AC958" s="3">
        <v>2.9811489240000002</v>
      </c>
      <c r="AD958" s="3">
        <v>7.6219298000000005E-2</v>
      </c>
      <c r="AE958" s="3">
        <v>9.9943124480000005</v>
      </c>
      <c r="AF958" s="4">
        <v>41222</v>
      </c>
      <c r="AG958" s="5">
        <f>YEAR(AF958)</f>
        <v>2012</v>
      </c>
      <c r="AH958" s="5" t="str">
        <f>"Q"&amp;ROUNDUP(MONTH(AF958)/3,0)</f>
        <v>Q4</v>
      </c>
      <c r="AI958" s="5">
        <f>INDEX(RatingLookup!$B$2:$B$11,MATCH(A958,RatingLookup!$A$2:$A$11,0))</f>
        <v>6</v>
      </c>
      <c r="AJ958" s="5" t="str">
        <f>INDEX(RatingLookup!$C$2:$C$11,MATCH(A958,RatingLookup!$A$2:$A$11,0))</f>
        <v>Speculative Grade</v>
      </c>
    </row>
    <row r="959" spans="1:36" x14ac:dyDescent="0.3">
      <c r="A959" s="3" t="s">
        <v>92</v>
      </c>
      <c r="B959" s="3" t="s">
        <v>1100</v>
      </c>
      <c r="C959" s="3" t="s">
        <v>1101</v>
      </c>
      <c r="D959" s="3" t="s">
        <v>47</v>
      </c>
      <c r="E959" s="3" t="s">
        <v>210</v>
      </c>
      <c r="F959" s="3" t="s">
        <v>174</v>
      </c>
      <c r="G959" s="3">
        <v>2.4085869479999999</v>
      </c>
      <c r="H959" s="3">
        <v>2.0942461290000001</v>
      </c>
      <c r="I959" s="3">
        <v>0.772776307</v>
      </c>
      <c r="J959" s="3">
        <v>100.8203252</v>
      </c>
      <c r="K959" s="3">
        <v>3.3485136999999998E-2</v>
      </c>
      <c r="L959" s="3">
        <v>5.7744167999999998E-2</v>
      </c>
      <c r="M959" s="3">
        <v>0.34816696400000002</v>
      </c>
      <c r="N959" s="3">
        <v>8.3945446000000007E-2</v>
      </c>
      <c r="O959" s="3">
        <v>2.4195164000000002E-2</v>
      </c>
      <c r="P959" s="3">
        <v>4.914669E-2</v>
      </c>
      <c r="Q959" s="3">
        <v>5.3327784000000003E-2</v>
      </c>
      <c r="R959" s="3">
        <v>0.72256428299999997</v>
      </c>
      <c r="S959" s="3">
        <v>21.374730719999999</v>
      </c>
      <c r="T959" s="3">
        <v>1.204067845</v>
      </c>
      <c r="U959" s="3">
        <v>0.54629345799999995</v>
      </c>
      <c r="V959" s="3">
        <v>0.42011221700000001</v>
      </c>
      <c r="W959" s="3">
        <v>0.71007599600000004</v>
      </c>
      <c r="X959" s="3">
        <v>2.420203393</v>
      </c>
      <c r="Y959" s="3">
        <v>7.1409152699999998</v>
      </c>
      <c r="Z959" s="3">
        <v>2.204067845</v>
      </c>
      <c r="AA959" s="3">
        <v>5.7744167999999998E-2</v>
      </c>
      <c r="AB959" s="3">
        <v>10.314260000000001</v>
      </c>
      <c r="AC959" s="3">
        <v>3.4083723510000001</v>
      </c>
      <c r="AD959" s="3">
        <v>7.7098322999999996E-2</v>
      </c>
      <c r="AE959" s="3">
        <v>11.505789289999999</v>
      </c>
      <c r="AF959" s="4">
        <v>41957</v>
      </c>
      <c r="AG959" s="5">
        <f>YEAR(AF959)</f>
        <v>2014</v>
      </c>
      <c r="AH959" s="5" t="str">
        <f>"Q"&amp;ROUNDUP(MONTH(AF959)/3,0)</f>
        <v>Q4</v>
      </c>
      <c r="AI959" s="5">
        <f>INDEX(RatingLookup!$B$2:$B$11,MATCH(A959,RatingLookup!$A$2:$A$11,0))</f>
        <v>6</v>
      </c>
      <c r="AJ959" s="5" t="str">
        <f>INDEX(RatingLookup!$C$2:$C$11,MATCH(A959,RatingLookup!$A$2:$A$11,0))</f>
        <v>Speculative Grade</v>
      </c>
    </row>
    <row r="960" spans="1:36" x14ac:dyDescent="0.3">
      <c r="A960" s="3" t="s">
        <v>92</v>
      </c>
      <c r="B960" s="3" t="s">
        <v>1100</v>
      </c>
      <c r="C960" s="3" t="s">
        <v>1101</v>
      </c>
      <c r="D960" s="3" t="s">
        <v>47</v>
      </c>
      <c r="E960" s="3" t="s">
        <v>166</v>
      </c>
      <c r="F960" s="3" t="s">
        <v>174</v>
      </c>
      <c r="G960" s="3">
        <v>2.136773684</v>
      </c>
      <c r="H960" s="3">
        <v>1.8714694430000001</v>
      </c>
      <c r="I960" s="3">
        <v>0.43148926599999998</v>
      </c>
      <c r="J960" s="3">
        <v>102.5328177</v>
      </c>
      <c r="K960" s="3">
        <v>3.7126177000000003E-2</v>
      </c>
      <c r="L960" s="3">
        <v>5.9233937E-2</v>
      </c>
      <c r="M960" s="3">
        <v>0.34157060500000003</v>
      </c>
      <c r="N960" s="3">
        <v>9.2466117E-2</v>
      </c>
      <c r="O960" s="3">
        <v>2.9633229000000001E-2</v>
      </c>
      <c r="P960" s="3">
        <v>5.5998566999999999E-2</v>
      </c>
      <c r="Q960" s="3">
        <v>5.7557361000000001E-2</v>
      </c>
      <c r="R960" s="3">
        <v>0.79817614800000003</v>
      </c>
      <c r="S960" s="3">
        <v>23.798140719999999</v>
      </c>
      <c r="T960" s="3">
        <v>0.94232500299999999</v>
      </c>
      <c r="U960" s="3">
        <v>0.48515310299999997</v>
      </c>
      <c r="V960" s="3">
        <v>0.37322794300000001</v>
      </c>
      <c r="W960" s="3">
        <v>0.77559319599999998</v>
      </c>
      <c r="X960" s="3">
        <v>2.6568329820000001</v>
      </c>
      <c r="Y960" s="3">
        <v>3.6664544879999998</v>
      </c>
      <c r="Z960" s="3">
        <v>1.9423250030000001</v>
      </c>
      <c r="AA960" s="3">
        <v>5.9233937E-2</v>
      </c>
      <c r="AB960" s="3">
        <v>8.3287158340000005</v>
      </c>
      <c r="AC960" s="3">
        <v>3.4255496249999999</v>
      </c>
      <c r="AD960" s="3">
        <v>7.8644341000000006E-2</v>
      </c>
      <c r="AE960" s="3">
        <v>13.03849964</v>
      </c>
      <c r="AF960" s="4">
        <v>42324</v>
      </c>
      <c r="AG960" s="5">
        <f>YEAR(AF960)</f>
        <v>2015</v>
      </c>
      <c r="AH960" s="5" t="str">
        <f>"Q"&amp;ROUNDUP(MONTH(AF960)/3,0)</f>
        <v>Q4</v>
      </c>
      <c r="AI960" s="5">
        <f>INDEX(RatingLookup!$B$2:$B$11,MATCH(A960,RatingLookup!$A$2:$A$11,0))</f>
        <v>6</v>
      </c>
      <c r="AJ960" s="5" t="str">
        <f>INDEX(RatingLookup!$C$2:$C$11,MATCH(A960,RatingLookup!$A$2:$A$11,0))</f>
        <v>Speculative Grade</v>
      </c>
    </row>
    <row r="961" spans="1:36" x14ac:dyDescent="0.3">
      <c r="A961" s="3" t="s">
        <v>92</v>
      </c>
      <c r="B961" s="3" t="s">
        <v>1100</v>
      </c>
      <c r="C961" s="3" t="s">
        <v>1101</v>
      </c>
      <c r="D961" s="3" t="s">
        <v>47</v>
      </c>
      <c r="E961" s="3" t="s">
        <v>1103</v>
      </c>
      <c r="F961" s="3" t="s">
        <v>174</v>
      </c>
      <c r="G961" s="3">
        <v>2.0915905600000002</v>
      </c>
      <c r="H961" s="3">
        <v>1.775240028</v>
      </c>
      <c r="I961" s="3">
        <v>0.53556318800000002</v>
      </c>
      <c r="J961" s="3">
        <v>105.2402913</v>
      </c>
      <c r="K961" s="3">
        <v>-6.4111560000000003E-3</v>
      </c>
      <c r="L961" s="3">
        <v>1.9251019000000001E-2</v>
      </c>
      <c r="M961" s="3">
        <v>0.36937737799999998</v>
      </c>
      <c r="N961" s="3">
        <v>4.9284328000000002E-2</v>
      </c>
      <c r="O961" s="3">
        <v>-4.4795929999999996E-3</v>
      </c>
      <c r="P961" s="3">
        <v>1.6061157E-2</v>
      </c>
      <c r="Q961" s="3">
        <v>-1.016446E-2</v>
      </c>
      <c r="R961" s="3">
        <v>0.69871840699999999</v>
      </c>
      <c r="S961" s="3">
        <v>20.91500753</v>
      </c>
      <c r="T961" s="3">
        <v>1.269058842</v>
      </c>
      <c r="U961" s="3">
        <v>0.559288644</v>
      </c>
      <c r="V961" s="3">
        <v>1.3330294549999999</v>
      </c>
      <c r="W961" s="3">
        <v>0.77987385600000003</v>
      </c>
      <c r="X961" s="3">
        <v>3.8462539549999999</v>
      </c>
      <c r="Y961" s="3">
        <v>5.2524497300000004</v>
      </c>
      <c r="Z961" s="3">
        <v>2.2690588420000002</v>
      </c>
      <c r="AA961" s="3">
        <v>1.9251019000000001E-2</v>
      </c>
      <c r="AB961" s="3">
        <v>10.274912390000001</v>
      </c>
      <c r="AC961" s="3">
        <v>4.9318924160000002</v>
      </c>
      <c r="AD961" s="3">
        <v>0.116961545</v>
      </c>
      <c r="AE961" s="3">
        <v>8.2125766440000003</v>
      </c>
      <c r="AF961" s="4">
        <v>41710</v>
      </c>
      <c r="AG961" s="5">
        <f>YEAR(AF961)</f>
        <v>2014</v>
      </c>
      <c r="AH961" s="5" t="str">
        <f>"Q"&amp;ROUNDUP(MONTH(AF961)/3,0)</f>
        <v>Q1</v>
      </c>
      <c r="AI961" s="5">
        <f>INDEX(RatingLookup!$B$2:$B$11,MATCH(A961,RatingLookup!$A$2:$A$11,0))</f>
        <v>6</v>
      </c>
      <c r="AJ961" s="5" t="str">
        <f>INDEX(RatingLookup!$C$2:$C$11,MATCH(A961,RatingLookup!$A$2:$A$11,0))</f>
        <v>Speculative Grade</v>
      </c>
    </row>
    <row r="962" spans="1:36" x14ac:dyDescent="0.3">
      <c r="A962" s="3" t="s">
        <v>92</v>
      </c>
      <c r="B962" s="3" t="s">
        <v>1100</v>
      </c>
      <c r="C962" s="3" t="s">
        <v>1101</v>
      </c>
      <c r="D962" s="3" t="s">
        <v>47</v>
      </c>
      <c r="E962" s="3" t="s">
        <v>557</v>
      </c>
      <c r="F962" s="3" t="s">
        <v>174</v>
      </c>
      <c r="G962" s="3">
        <v>2.0693900200000002</v>
      </c>
      <c r="H962" s="3">
        <v>1.8259898800000001</v>
      </c>
      <c r="I962" s="3">
        <v>0.57115905499999997</v>
      </c>
      <c r="J962" s="3">
        <v>95.745680219999997</v>
      </c>
      <c r="K962" s="3">
        <v>4.7238335999999999E-2</v>
      </c>
      <c r="L962" s="3">
        <v>7.0594025000000005E-2</v>
      </c>
      <c r="M962" s="3">
        <v>0.331211327</v>
      </c>
      <c r="N962" s="3">
        <v>7.8522133999999993E-2</v>
      </c>
      <c r="O962" s="3">
        <v>3.8429599000000002E-2</v>
      </c>
      <c r="P962" s="3">
        <v>6.9198170000000003E-2</v>
      </c>
      <c r="Q962" s="3">
        <v>7.0832346000000004E-2</v>
      </c>
      <c r="R962" s="3">
        <v>0.813525673</v>
      </c>
      <c r="S962" s="3">
        <v>29.26788024</v>
      </c>
      <c r="T962" s="3">
        <v>0.84317161900000004</v>
      </c>
      <c r="U962" s="3">
        <v>0.45745692399999999</v>
      </c>
      <c r="V962" s="3">
        <v>0.33084512900000002</v>
      </c>
      <c r="W962" s="3">
        <v>0.87607500199999999</v>
      </c>
      <c r="X962" s="3">
        <v>4.9960432800000003</v>
      </c>
      <c r="Y962" s="3">
        <v>5.2794861150000001</v>
      </c>
      <c r="Z962" s="3">
        <v>1.843171619</v>
      </c>
      <c r="AA962" s="3">
        <v>7.0594025000000005E-2</v>
      </c>
      <c r="AB962" s="3">
        <v>9.7683550080000003</v>
      </c>
      <c r="AC962" s="3">
        <v>5.7027574919999999</v>
      </c>
      <c r="AD962" s="3">
        <v>0.12897082100000001</v>
      </c>
      <c r="AE962" s="3">
        <v>13.865907010000001</v>
      </c>
      <c r="AF962" s="4">
        <v>42590</v>
      </c>
      <c r="AG962" s="5">
        <f>YEAR(AF962)</f>
        <v>2016</v>
      </c>
      <c r="AH962" s="5" t="str">
        <f>"Q"&amp;ROUNDUP(MONTH(AF962)/3,0)</f>
        <v>Q3</v>
      </c>
      <c r="AI962" s="5">
        <f>INDEX(RatingLookup!$B$2:$B$11,MATCH(A962,RatingLookup!$A$2:$A$11,0))</f>
        <v>6</v>
      </c>
      <c r="AJ962" s="5" t="str">
        <f>INDEX(RatingLookup!$C$2:$C$11,MATCH(A962,RatingLookup!$A$2:$A$11,0))</f>
        <v>Speculative Grade</v>
      </c>
    </row>
    <row r="963" spans="1:36" x14ac:dyDescent="0.3">
      <c r="A963" s="3" t="s">
        <v>92</v>
      </c>
      <c r="B963" s="3" t="s">
        <v>1104</v>
      </c>
      <c r="C963" s="3" t="s">
        <v>1105</v>
      </c>
      <c r="D963" s="3" t="s">
        <v>39</v>
      </c>
      <c r="E963" s="3" t="s">
        <v>319</v>
      </c>
      <c r="F963" s="3" t="s">
        <v>41</v>
      </c>
      <c r="G963" s="3">
        <v>1.969650986</v>
      </c>
      <c r="H963" s="3">
        <v>1.2976732419999999</v>
      </c>
      <c r="I963" s="3">
        <v>0.13454729400000001</v>
      </c>
      <c r="J963" s="3">
        <v>90.861058490000005</v>
      </c>
      <c r="K963" s="3">
        <v>5.4226852999999998E-2</v>
      </c>
      <c r="L963" s="3">
        <v>8.1103481000000005E-2</v>
      </c>
      <c r="M963" s="3">
        <v>0.313698792</v>
      </c>
      <c r="N963" s="3">
        <v>0.10277054200000001</v>
      </c>
      <c r="O963" s="3">
        <v>4.1142652000000002E-2</v>
      </c>
      <c r="P963" s="3">
        <v>7.4822501E-2</v>
      </c>
      <c r="Q963" s="3">
        <v>0.134508076</v>
      </c>
      <c r="R963" s="3">
        <v>0.75871361800000003</v>
      </c>
      <c r="S963" s="3">
        <v>7.1728237789999998</v>
      </c>
      <c r="T963" s="3">
        <v>2.2693098379999999</v>
      </c>
      <c r="U963" s="3">
        <v>0.69412504500000005</v>
      </c>
      <c r="V963" s="3">
        <v>0.33138686099999998</v>
      </c>
      <c r="W963" s="3">
        <v>0.82760628999999997</v>
      </c>
      <c r="X963" s="3">
        <v>1.2497801230000001</v>
      </c>
      <c r="Y963" s="3">
        <v>0.81442392299999999</v>
      </c>
      <c r="Z963" s="3">
        <v>3.2693098379999999</v>
      </c>
      <c r="AA963" s="3">
        <v>8.1103481000000005E-2</v>
      </c>
      <c r="AB963" s="3">
        <v>6.9881374630000002</v>
      </c>
      <c r="AC963" s="3">
        <v>1.510114336</v>
      </c>
      <c r="AD963" s="3">
        <v>0.10164574899999999</v>
      </c>
      <c r="AE963" s="3">
        <v>7.2866121939999999</v>
      </c>
      <c r="AF963" s="4">
        <v>41960</v>
      </c>
      <c r="AG963" s="5">
        <f>YEAR(AF963)</f>
        <v>2014</v>
      </c>
      <c r="AH963" s="5" t="str">
        <f>"Q"&amp;ROUNDUP(MONTH(AF963)/3,0)</f>
        <v>Q4</v>
      </c>
      <c r="AI963" s="5">
        <f>INDEX(RatingLookup!$B$2:$B$11,MATCH(A963,RatingLookup!$A$2:$A$11,0))</f>
        <v>6</v>
      </c>
      <c r="AJ963" s="5" t="str">
        <f>INDEX(RatingLookup!$C$2:$C$11,MATCH(A963,RatingLookup!$A$2:$A$11,0))</f>
        <v>Speculative Grade</v>
      </c>
    </row>
    <row r="964" spans="1:36" x14ac:dyDescent="0.3">
      <c r="A964" s="3" t="s">
        <v>92</v>
      </c>
      <c r="B964" s="3" t="s">
        <v>1104</v>
      </c>
      <c r="C964" s="3" t="s">
        <v>1105</v>
      </c>
      <c r="D964" s="3" t="s">
        <v>44</v>
      </c>
      <c r="E964" s="3" t="s">
        <v>46</v>
      </c>
      <c r="F964" s="3" t="s">
        <v>41</v>
      </c>
      <c r="G964" s="3">
        <v>2.0349558970000001</v>
      </c>
      <c r="H964" s="3">
        <v>1.301208755</v>
      </c>
      <c r="I964" s="3">
        <v>0.39594903599999998</v>
      </c>
      <c r="J964" s="3">
        <v>74.611271239999994</v>
      </c>
      <c r="K964" s="3">
        <v>4.3006675000000001E-2</v>
      </c>
      <c r="L964" s="3">
        <v>3.2539442000000002E-2</v>
      </c>
      <c r="M964" s="3">
        <v>0.314547937</v>
      </c>
      <c r="N964" s="3">
        <v>8.7378641000000007E-2</v>
      </c>
      <c r="O964" s="3">
        <v>5.0774604000000001E-2</v>
      </c>
      <c r="P964" s="3">
        <v>5.292376E-2</v>
      </c>
      <c r="Q964" s="3">
        <v>-0.91599353800000005</v>
      </c>
      <c r="R964" s="3">
        <v>1.1806214740000001</v>
      </c>
      <c r="S964" s="3">
        <v>8.9565217389999994</v>
      </c>
      <c r="T964" s="3">
        <v>-19.040387719999998</v>
      </c>
      <c r="U964" s="3">
        <v>1.0554311810000001</v>
      </c>
      <c r="V964" s="3">
        <v>0.56643356600000005</v>
      </c>
      <c r="W964" s="3">
        <v>0.78155339800000001</v>
      </c>
      <c r="X964" s="3">
        <v>0.875</v>
      </c>
      <c r="Y964" s="3">
        <v>2.3333333330000001</v>
      </c>
      <c r="Z964" s="3">
        <v>-18.040387719999998</v>
      </c>
      <c r="AA964" s="3">
        <v>3.2539442000000002E-2</v>
      </c>
      <c r="AB964" s="3">
        <v>7.1918618040000002</v>
      </c>
      <c r="AC964" s="3">
        <v>1.1195652169999999</v>
      </c>
      <c r="AD964" s="3">
        <v>4.6875E-2</v>
      </c>
      <c r="AE964" s="3">
        <v>7.1101494890000003</v>
      </c>
      <c r="AF964" s="4">
        <v>41075</v>
      </c>
      <c r="AG964" s="5">
        <f>YEAR(AF964)</f>
        <v>2012</v>
      </c>
      <c r="AH964" s="5" t="str">
        <f>"Q"&amp;ROUNDUP(MONTH(AF964)/3,0)</f>
        <v>Q2</v>
      </c>
      <c r="AI964" s="5">
        <f>INDEX(RatingLookup!$B$2:$B$11,MATCH(A964,RatingLookup!$A$2:$A$11,0))</f>
        <v>6</v>
      </c>
      <c r="AJ964" s="5" t="str">
        <f>INDEX(RatingLookup!$C$2:$C$11,MATCH(A964,RatingLookup!$A$2:$A$11,0))</f>
        <v>Speculative Grade</v>
      </c>
    </row>
    <row r="965" spans="1:36" x14ac:dyDescent="0.3">
      <c r="A965" s="3" t="s">
        <v>92</v>
      </c>
      <c r="B965" s="3" t="s">
        <v>1104</v>
      </c>
      <c r="C965" s="3" t="s">
        <v>1105</v>
      </c>
      <c r="D965" s="3" t="s">
        <v>39</v>
      </c>
      <c r="E965" s="3" t="s">
        <v>1106</v>
      </c>
      <c r="F965" s="3" t="s">
        <v>41</v>
      </c>
      <c r="G965" s="3">
        <v>1.891035722</v>
      </c>
      <c r="H965" s="3">
        <v>1.255672882</v>
      </c>
      <c r="I965" s="3">
        <v>0.120197708</v>
      </c>
      <c r="J965" s="3">
        <v>97.582856500000005</v>
      </c>
      <c r="K965" s="3">
        <v>4.3680244999999999E-2</v>
      </c>
      <c r="L965" s="3">
        <v>5.1951731000000001E-2</v>
      </c>
      <c r="M965" s="3">
        <v>0.30865106799999997</v>
      </c>
      <c r="N965" s="3">
        <v>8.2601551999999995E-2</v>
      </c>
      <c r="O965" s="3">
        <v>3.2355532999999999E-2</v>
      </c>
      <c r="P965" s="3">
        <v>4.7321704999999999E-2</v>
      </c>
      <c r="Q965" s="3">
        <v>0.109782144</v>
      </c>
      <c r="R965" s="3">
        <v>0.74073607799999996</v>
      </c>
      <c r="S965" s="3">
        <v>6.968416897</v>
      </c>
      <c r="T965" s="3">
        <v>2.392994447</v>
      </c>
      <c r="U965" s="3">
        <v>0.70527508500000002</v>
      </c>
      <c r="V965" s="3">
        <v>0.157033806</v>
      </c>
      <c r="W965" s="3">
        <v>0.811825193</v>
      </c>
      <c r="X965" s="3">
        <v>1.391189427</v>
      </c>
      <c r="Y965" s="3">
        <v>0.76651982399999996</v>
      </c>
      <c r="Z965" s="3">
        <v>3.392994447</v>
      </c>
      <c r="AA965" s="3">
        <v>5.1951731000000001E-2</v>
      </c>
      <c r="AB965" s="3">
        <v>7.0910203139999997</v>
      </c>
      <c r="AC965" s="3">
        <v>1.713656388</v>
      </c>
      <c r="AD965" s="3">
        <v>0.110192057</v>
      </c>
      <c r="AE965" s="3">
        <v>6.8594716130000002</v>
      </c>
      <c r="AF965" s="4">
        <v>41688</v>
      </c>
      <c r="AG965" s="5">
        <f>YEAR(AF965)</f>
        <v>2014</v>
      </c>
      <c r="AH965" s="5" t="str">
        <f>"Q"&amp;ROUNDUP(MONTH(AF965)/3,0)</f>
        <v>Q1</v>
      </c>
      <c r="AI965" s="5">
        <f>INDEX(RatingLookup!$B$2:$B$11,MATCH(A965,RatingLookup!$A$2:$A$11,0))</f>
        <v>6</v>
      </c>
      <c r="AJ965" s="5" t="str">
        <f>INDEX(RatingLookup!$C$2:$C$11,MATCH(A965,RatingLookup!$A$2:$A$11,0))</f>
        <v>Speculative Grade</v>
      </c>
    </row>
    <row r="966" spans="1:36" x14ac:dyDescent="0.3">
      <c r="A966" s="3" t="s">
        <v>92</v>
      </c>
      <c r="B966" s="3" t="s">
        <v>1104</v>
      </c>
      <c r="C966" s="3" t="s">
        <v>1105</v>
      </c>
      <c r="D966" s="3" t="s">
        <v>39</v>
      </c>
      <c r="E966" s="3" t="s">
        <v>281</v>
      </c>
      <c r="F966" s="3" t="s">
        <v>41</v>
      </c>
      <c r="G966" s="3">
        <v>1.839572193</v>
      </c>
      <c r="H966" s="3">
        <v>1.1953278919999999</v>
      </c>
      <c r="I966" s="3">
        <v>0.15592457100000001</v>
      </c>
      <c r="J966" s="3">
        <v>89.24423994</v>
      </c>
      <c r="K966" s="3">
        <v>5.6872352000000001E-2</v>
      </c>
      <c r="L966" s="3">
        <v>8.6996822000000001E-2</v>
      </c>
      <c r="M966" s="3">
        <v>0.31673728800000001</v>
      </c>
      <c r="N966" s="3">
        <v>0.10824947</v>
      </c>
      <c r="O966" s="3">
        <v>4.3974607999999998E-2</v>
      </c>
      <c r="P966" s="3">
        <v>8.2222639E-2</v>
      </c>
      <c r="Q966" s="3">
        <v>0.14779766</v>
      </c>
      <c r="R966" s="3">
        <v>0.77321593099999997</v>
      </c>
      <c r="S966" s="3">
        <v>7.2233381159999999</v>
      </c>
      <c r="T966" s="3">
        <v>2.360977288</v>
      </c>
      <c r="U966" s="3">
        <v>0.702467493</v>
      </c>
      <c r="V966" s="3">
        <v>0.34627092799999998</v>
      </c>
      <c r="W966" s="3">
        <v>0.83878504700000001</v>
      </c>
      <c r="X966" s="3">
        <v>1.3198529409999999</v>
      </c>
      <c r="Y966" s="3">
        <v>0.50919117599999997</v>
      </c>
      <c r="Z966" s="3">
        <v>3.360977288</v>
      </c>
      <c r="AA966" s="3">
        <v>8.6996822000000001E-2</v>
      </c>
      <c r="AB966" s="3">
        <v>6.8653698629999997</v>
      </c>
      <c r="AC966" s="3">
        <v>1.5735294120000001</v>
      </c>
      <c r="AD966" s="3">
        <v>0.113347458</v>
      </c>
      <c r="AE966" s="3">
        <v>6.991869919</v>
      </c>
      <c r="AF966" s="4">
        <v>42307</v>
      </c>
      <c r="AG966" s="5">
        <f>YEAR(AF966)</f>
        <v>2015</v>
      </c>
      <c r="AH966" s="5" t="str">
        <f>"Q"&amp;ROUNDUP(MONTH(AF966)/3,0)</f>
        <v>Q4</v>
      </c>
      <c r="AI966" s="5">
        <f>INDEX(RatingLookup!$B$2:$B$11,MATCH(A966,RatingLookup!$A$2:$A$11,0))</f>
        <v>6</v>
      </c>
      <c r="AJ966" s="5" t="str">
        <f>INDEX(RatingLookup!$C$2:$C$11,MATCH(A966,RatingLookup!$A$2:$A$11,0))</f>
        <v>Speculative Grade</v>
      </c>
    </row>
    <row r="967" spans="1:36" x14ac:dyDescent="0.3">
      <c r="A967" s="3" t="s">
        <v>92</v>
      </c>
      <c r="B967" s="3" t="s">
        <v>1104</v>
      </c>
      <c r="C967" s="3" t="s">
        <v>1105</v>
      </c>
      <c r="D967" s="3" t="s">
        <v>47</v>
      </c>
      <c r="E967" s="3" t="s">
        <v>1107</v>
      </c>
      <c r="F967" s="3" t="s">
        <v>41</v>
      </c>
      <c r="G967" s="3">
        <v>1.650344488</v>
      </c>
      <c r="H967" s="3">
        <v>1.067667323</v>
      </c>
      <c r="I967" s="3">
        <v>0.105561024</v>
      </c>
      <c r="J967" s="3">
        <v>91.65435746</v>
      </c>
      <c r="K967" s="3">
        <v>6.1331963000000003E-2</v>
      </c>
      <c r="L967" s="3">
        <v>8.0341660999999995E-2</v>
      </c>
      <c r="M967" s="3">
        <v>0.33080726999999999</v>
      </c>
      <c r="N967" s="3">
        <v>0.10744332400000001</v>
      </c>
      <c r="O967" s="3">
        <v>4.6258173999999999E-2</v>
      </c>
      <c r="P967" s="3">
        <v>7.5447801999999994E-2</v>
      </c>
      <c r="Q967" s="3">
        <v>0.13475377499999999</v>
      </c>
      <c r="R967" s="3">
        <v>0.75422620500000004</v>
      </c>
      <c r="S967" s="3">
        <v>7.8482862899999999</v>
      </c>
      <c r="T967" s="3">
        <v>1.913080288</v>
      </c>
      <c r="U967" s="3">
        <v>0.65672075600000002</v>
      </c>
      <c r="V967" s="3">
        <v>0.236610711</v>
      </c>
      <c r="W967" s="3">
        <v>0.88848704000000001</v>
      </c>
      <c r="X967" s="3">
        <v>1.3775700930000001</v>
      </c>
      <c r="Y967" s="3">
        <v>0.40093457900000001</v>
      </c>
      <c r="Z967" s="3">
        <v>2.9130802880000002</v>
      </c>
      <c r="AA967" s="3">
        <v>8.0341660999999995E-2</v>
      </c>
      <c r="AB967" s="3">
        <v>8.8138702460000005</v>
      </c>
      <c r="AC967" s="3">
        <v>1.5504672900000001</v>
      </c>
      <c r="AD967" s="3">
        <v>0.106544217</v>
      </c>
      <c r="AE967" s="3">
        <v>7.712805329</v>
      </c>
      <c r="AF967" s="4">
        <v>42712</v>
      </c>
      <c r="AG967" s="5">
        <f>YEAR(AF967)</f>
        <v>2016</v>
      </c>
      <c r="AH967" s="5" t="str">
        <f>"Q"&amp;ROUNDUP(MONTH(AF967)/3,0)</f>
        <v>Q4</v>
      </c>
      <c r="AI967" s="5">
        <f>INDEX(RatingLookup!$B$2:$B$11,MATCH(A967,RatingLookup!$A$2:$A$11,0))</f>
        <v>6</v>
      </c>
      <c r="AJ967" s="5" t="str">
        <f>INDEX(RatingLookup!$C$2:$C$11,MATCH(A967,RatingLookup!$A$2:$A$11,0))</f>
        <v>Speculative Grade</v>
      </c>
    </row>
    <row r="968" spans="1:36" x14ac:dyDescent="0.3">
      <c r="A968" s="3" t="s">
        <v>92</v>
      </c>
      <c r="B968" s="3" t="s">
        <v>1104</v>
      </c>
      <c r="C968" s="3" t="s">
        <v>1105</v>
      </c>
      <c r="D968" s="3" t="s">
        <v>44</v>
      </c>
      <c r="E968" s="3" t="s">
        <v>420</v>
      </c>
      <c r="F968" s="3" t="s">
        <v>41</v>
      </c>
      <c r="G968" s="3">
        <v>2.036096879</v>
      </c>
      <c r="H968" s="3">
        <v>1.3502561710000001</v>
      </c>
      <c r="I968" s="3">
        <v>0.11644154600000001</v>
      </c>
      <c r="J968" s="3">
        <v>103.51179980000001</v>
      </c>
      <c r="K968" s="3">
        <v>6.5624110999999999E-2</v>
      </c>
      <c r="L968" s="3">
        <v>-2.5021319999999998E-3</v>
      </c>
      <c r="M968" s="3">
        <v>0.30332669899999998</v>
      </c>
      <c r="N968" s="3">
        <v>7.9215240000000006E-2</v>
      </c>
      <c r="O968" s="3">
        <v>4.6018264000000003E-2</v>
      </c>
      <c r="P968" s="3">
        <v>-2.1171150000000001E-3</v>
      </c>
      <c r="Q968" s="3">
        <v>0.180538173</v>
      </c>
      <c r="R968" s="3">
        <v>0.70124017999999999</v>
      </c>
      <c r="S968" s="3">
        <v>6.427266082</v>
      </c>
      <c r="T968" s="3">
        <v>2.9231852319999998</v>
      </c>
      <c r="U968" s="3">
        <v>0.74510507599999998</v>
      </c>
      <c r="V968" s="3">
        <v>27.59090909</v>
      </c>
      <c r="W968" s="3">
        <v>5.04</v>
      </c>
      <c r="X968" s="3">
        <v>-0.40170031899999997</v>
      </c>
      <c r="Y968" s="3">
        <v>0.86184909700000001</v>
      </c>
      <c r="Z968" s="3">
        <v>3.9231852319999998</v>
      </c>
      <c r="AA968" s="3">
        <v>-2.5021319999999998E-3</v>
      </c>
      <c r="AB968" s="3">
        <v>8.2989764869999991</v>
      </c>
      <c r="AC968" s="3">
        <v>-7.9702443999999997E-2</v>
      </c>
      <c r="AD968" s="3">
        <v>-4.2649990000000002E-3</v>
      </c>
      <c r="AE968" s="3">
        <v>8.0387139110000003</v>
      </c>
      <c r="AF968" s="4">
        <v>41367</v>
      </c>
      <c r="AG968" s="5">
        <f>YEAR(AF968)</f>
        <v>2013</v>
      </c>
      <c r="AH968" s="5" t="str">
        <f>"Q"&amp;ROUNDUP(MONTH(AF968)/3,0)</f>
        <v>Q2</v>
      </c>
      <c r="AI968" s="5">
        <f>INDEX(RatingLookup!$B$2:$B$11,MATCH(A968,RatingLookup!$A$2:$A$11,0))</f>
        <v>6</v>
      </c>
      <c r="AJ968" s="5" t="str">
        <f>INDEX(RatingLookup!$C$2:$C$11,MATCH(A968,RatingLookup!$A$2:$A$11,0))</f>
        <v>Speculative Grade</v>
      </c>
    </row>
    <row r="969" spans="1:36" x14ac:dyDescent="0.3">
      <c r="A969" s="3" t="s">
        <v>49</v>
      </c>
      <c r="B969" s="3" t="s">
        <v>1108</v>
      </c>
      <c r="C969" s="3" t="s">
        <v>1109</v>
      </c>
      <c r="D969" s="3" t="s">
        <v>47</v>
      </c>
      <c r="E969" s="3" t="s">
        <v>1110</v>
      </c>
      <c r="F969" s="3" t="s">
        <v>96</v>
      </c>
      <c r="G969" s="3">
        <v>1.240304649</v>
      </c>
      <c r="H969" s="3">
        <v>0.48227260799999999</v>
      </c>
      <c r="I969" s="3">
        <v>0.224284339</v>
      </c>
      <c r="J969" s="3">
        <v>37.209539890000002</v>
      </c>
      <c r="K969" s="3">
        <v>0.161363331</v>
      </c>
      <c r="L969" s="3">
        <v>0.195067347</v>
      </c>
      <c r="M969" s="3">
        <v>0.49771840299999998</v>
      </c>
      <c r="N969" s="3">
        <v>0.195067347</v>
      </c>
      <c r="O969" s="3">
        <v>0.11937191699999999</v>
      </c>
      <c r="P969" s="3">
        <v>0.209180595</v>
      </c>
      <c r="Q969" s="3">
        <v>0.92483522600000001</v>
      </c>
      <c r="R969" s="3">
        <v>0.73977103</v>
      </c>
      <c r="S969" s="3">
        <v>7.6201174610000004</v>
      </c>
      <c r="T969" s="3">
        <v>6.747510868</v>
      </c>
      <c r="U969" s="3">
        <v>0.87092628599999999</v>
      </c>
      <c r="V969" s="3">
        <v>0.161868924</v>
      </c>
      <c r="W969" s="3">
        <v>0.78956961400000003</v>
      </c>
      <c r="X969" s="3">
        <v>13.72063872</v>
      </c>
      <c r="Y969" s="3">
        <v>8.3719497860000001</v>
      </c>
      <c r="Z969" s="3">
        <v>7.747510868</v>
      </c>
      <c r="AA969" s="3">
        <v>0.195067347</v>
      </c>
      <c r="AB969" s="3">
        <v>7.794976213</v>
      </c>
      <c r="AC969" s="3">
        <v>17.377364159999999</v>
      </c>
      <c r="AD969" s="3">
        <v>0.20807183700000001</v>
      </c>
      <c r="AE969" s="3">
        <v>6.8110484409999996</v>
      </c>
      <c r="AF969" s="4">
        <v>42356</v>
      </c>
      <c r="AG969" s="5">
        <f>YEAR(AF969)</f>
        <v>2015</v>
      </c>
      <c r="AH969" s="5" t="str">
        <f>"Q"&amp;ROUNDUP(MONTH(AF969)/3,0)</f>
        <v>Q4</v>
      </c>
      <c r="AI969" s="5">
        <f>INDEX(RatingLookup!$B$2:$B$11,MATCH(A969,RatingLookup!$A$2:$A$11,0))</f>
        <v>9</v>
      </c>
      <c r="AJ969" s="5" t="str">
        <f>INDEX(RatingLookup!$C$2:$C$11,MATCH(A969,RatingLookup!$A$2:$A$11,0))</f>
        <v>Investment Grade</v>
      </c>
    </row>
    <row r="970" spans="1:36" x14ac:dyDescent="0.3">
      <c r="A970" s="3" t="s">
        <v>36</v>
      </c>
      <c r="B970" s="3" t="s">
        <v>1108</v>
      </c>
      <c r="C970" s="3" t="s">
        <v>1109</v>
      </c>
      <c r="D970" s="3" t="s">
        <v>47</v>
      </c>
      <c r="E970" s="3" t="s">
        <v>1111</v>
      </c>
      <c r="F970" s="3" t="s">
        <v>96</v>
      </c>
      <c r="G970" s="3">
        <v>1.18623342</v>
      </c>
      <c r="H970" s="3">
        <v>0.554336571</v>
      </c>
      <c r="I970" s="3">
        <v>0.26283220699999998</v>
      </c>
      <c r="J970" s="3">
        <v>39.595574249999999</v>
      </c>
      <c r="K970" s="3">
        <v>0.14852308</v>
      </c>
      <c r="L970" s="3">
        <v>0.197486733</v>
      </c>
      <c r="M970" s="3">
        <v>0.460738961</v>
      </c>
      <c r="N970" s="3">
        <v>0.197486733</v>
      </c>
      <c r="O970" s="3">
        <v>0.130742517</v>
      </c>
      <c r="P970" s="3">
        <v>0.27058581399999998</v>
      </c>
      <c r="Q970" s="3">
        <v>0.64362579200000003</v>
      </c>
      <c r="R970" s="3">
        <v>0.88028417299999995</v>
      </c>
      <c r="S970" s="3">
        <v>7.0849886489999996</v>
      </c>
      <c r="T970" s="3">
        <v>3.922849952</v>
      </c>
      <c r="U970" s="3">
        <v>0.79686563499999996</v>
      </c>
      <c r="V970" s="3">
        <v>0.24793388399999999</v>
      </c>
      <c r="W970" s="3">
        <v>0.785922554</v>
      </c>
      <c r="X970" s="3">
        <v>12.109182499999999</v>
      </c>
      <c r="Y970" s="3">
        <v>9.1827704570000002</v>
      </c>
      <c r="Z970" s="3">
        <v>4.922849952</v>
      </c>
      <c r="AA970" s="3">
        <v>0.197486733</v>
      </c>
      <c r="AB970" s="3">
        <v>8.9584967360000007</v>
      </c>
      <c r="AC970" s="3">
        <v>15.407602750000001</v>
      </c>
      <c r="AD970" s="3">
        <v>0.195744468</v>
      </c>
      <c r="AE970" s="3">
        <v>6.9012045110000004</v>
      </c>
      <c r="AF970" s="4">
        <v>40724</v>
      </c>
      <c r="AG970" s="5">
        <f>YEAR(AF970)</f>
        <v>2011</v>
      </c>
      <c r="AH970" s="5" t="str">
        <f>"Q"&amp;ROUNDUP(MONTH(AF970)/3,0)</f>
        <v>Q2</v>
      </c>
      <c r="AI970" s="5">
        <f>INDEX(RatingLookup!$B$2:$B$11,MATCH(A970,RatingLookup!$A$2:$A$11,0))</f>
        <v>8</v>
      </c>
      <c r="AJ970" s="5" t="str">
        <f>INDEX(RatingLookup!$C$2:$C$11,MATCH(A970,RatingLookup!$A$2:$A$11,0))</f>
        <v>Investment Grade</v>
      </c>
    </row>
    <row r="971" spans="1:36" x14ac:dyDescent="0.3">
      <c r="A971" s="3" t="s">
        <v>49</v>
      </c>
      <c r="B971" s="3" t="s">
        <v>1108</v>
      </c>
      <c r="C971" s="3" t="s">
        <v>1109</v>
      </c>
      <c r="D971" s="3" t="s">
        <v>47</v>
      </c>
      <c r="E971" s="3" t="s">
        <v>704</v>
      </c>
      <c r="F971" s="3" t="s">
        <v>96</v>
      </c>
      <c r="G971" s="3">
        <v>1.248030303</v>
      </c>
      <c r="H971" s="3">
        <v>0.585075758</v>
      </c>
      <c r="I971" s="3">
        <v>0.21404040399999999</v>
      </c>
      <c r="J971" s="3">
        <v>35.755391029999998</v>
      </c>
      <c r="K971" s="3">
        <v>0.12955718599999999</v>
      </c>
      <c r="L971" s="3">
        <v>0.21538262599999999</v>
      </c>
      <c r="M971" s="3">
        <v>0.50011315499999998</v>
      </c>
      <c r="N971" s="3">
        <v>0.21538262599999999</v>
      </c>
      <c r="O971" s="3">
        <v>0.102287037</v>
      </c>
      <c r="P971" s="3">
        <v>0.25645434499999997</v>
      </c>
      <c r="Q971" s="3">
        <v>1.0129760699999999</v>
      </c>
      <c r="R971" s="3">
        <v>0.78951264300000001</v>
      </c>
      <c r="S971" s="3">
        <v>8.6150775230000001</v>
      </c>
      <c r="T971" s="3">
        <v>8.9032692959999995</v>
      </c>
      <c r="U971" s="3">
        <v>0.89902324499999997</v>
      </c>
      <c r="V971" s="3">
        <v>0.21184829399999999</v>
      </c>
      <c r="W971" s="3">
        <v>0.77827839700000001</v>
      </c>
      <c r="X971" s="3">
        <v>13.07214815</v>
      </c>
      <c r="Y971" s="3">
        <v>14.01910221</v>
      </c>
      <c r="Z971" s="3">
        <v>9.9032692959999995</v>
      </c>
      <c r="AA971" s="3">
        <v>0.21538262599999999</v>
      </c>
      <c r="AB971" s="3">
        <v>7.6106311729999998</v>
      </c>
      <c r="AC971" s="3">
        <v>16.796236669999999</v>
      </c>
      <c r="AD971" s="3">
        <v>0.181780953</v>
      </c>
      <c r="AE971" s="3">
        <v>6.7578671330000004</v>
      </c>
      <c r="AF971" s="4">
        <v>42048</v>
      </c>
      <c r="AG971" s="5">
        <f>YEAR(AF971)</f>
        <v>2015</v>
      </c>
      <c r="AH971" s="5" t="str">
        <f>"Q"&amp;ROUNDUP(MONTH(AF971)/3,0)</f>
        <v>Q1</v>
      </c>
      <c r="AI971" s="5">
        <f>INDEX(RatingLookup!$B$2:$B$11,MATCH(A971,RatingLookup!$A$2:$A$11,0))</f>
        <v>9</v>
      </c>
      <c r="AJ971" s="5" t="str">
        <f>INDEX(RatingLookup!$C$2:$C$11,MATCH(A971,RatingLookup!$A$2:$A$11,0))</f>
        <v>Investment Grade</v>
      </c>
    </row>
    <row r="972" spans="1:36" x14ac:dyDescent="0.3">
      <c r="A972" s="3" t="s">
        <v>49</v>
      </c>
      <c r="B972" s="3" t="s">
        <v>1108</v>
      </c>
      <c r="C972" s="3" t="s">
        <v>1109</v>
      </c>
      <c r="D972" s="3" t="s">
        <v>47</v>
      </c>
      <c r="E972" s="3" t="s">
        <v>1112</v>
      </c>
      <c r="F972" s="3" t="s">
        <v>96</v>
      </c>
      <c r="G972" s="3">
        <v>1.278826518</v>
      </c>
      <c r="H972" s="3">
        <v>0.53621058899999996</v>
      </c>
      <c r="I972" s="3">
        <v>0.26687254100000002</v>
      </c>
      <c r="J972" s="3">
        <v>38.292598570000003</v>
      </c>
      <c r="K972" s="3">
        <v>0.16524145100000001</v>
      </c>
      <c r="L972" s="3">
        <v>0.19572736099999999</v>
      </c>
      <c r="M972" s="3">
        <v>0.48626078900000003</v>
      </c>
      <c r="N972" s="3">
        <v>0.19572736099999999</v>
      </c>
      <c r="O972" s="3">
        <v>0.13058634299999999</v>
      </c>
      <c r="P972" s="3">
        <v>0.22684125499999999</v>
      </c>
      <c r="Q972" s="3">
        <v>0.72319234799999998</v>
      </c>
      <c r="R972" s="3">
        <v>0.79027594000000001</v>
      </c>
      <c r="S972" s="3">
        <v>7.2173504089999998</v>
      </c>
      <c r="T972" s="3">
        <v>4.5380396630000002</v>
      </c>
      <c r="U972" s="3">
        <v>0.81943069000000002</v>
      </c>
      <c r="V972" s="3">
        <v>0.155757017</v>
      </c>
      <c r="W972" s="3">
        <v>0.79279382300000001</v>
      </c>
      <c r="X972" s="3">
        <v>12.66529892</v>
      </c>
      <c r="Y972" s="3">
        <v>10.110676509999999</v>
      </c>
      <c r="Z972" s="3">
        <v>5.5380396630000002</v>
      </c>
      <c r="AA972" s="3">
        <v>0.19572736099999999</v>
      </c>
      <c r="AB972" s="3">
        <v>9.2190787570000001</v>
      </c>
      <c r="AC972" s="3">
        <v>15.97552673</v>
      </c>
      <c r="AD972" s="3">
        <v>0.175286463</v>
      </c>
      <c r="AE972" s="3">
        <v>6.8685162850000001</v>
      </c>
      <c r="AF972" s="4">
        <v>41820</v>
      </c>
      <c r="AG972" s="5">
        <f>YEAR(AF972)</f>
        <v>2014</v>
      </c>
      <c r="AH972" s="5" t="str">
        <f>"Q"&amp;ROUNDUP(MONTH(AF972)/3,0)</f>
        <v>Q2</v>
      </c>
      <c r="AI972" s="5">
        <f>INDEX(RatingLookup!$B$2:$B$11,MATCH(A972,RatingLookup!$A$2:$A$11,0))</f>
        <v>9</v>
      </c>
      <c r="AJ972" s="5" t="str">
        <f>INDEX(RatingLookup!$C$2:$C$11,MATCH(A972,RatingLookup!$A$2:$A$11,0))</f>
        <v>Investment Grade</v>
      </c>
    </row>
    <row r="973" spans="1:36" x14ac:dyDescent="0.3">
      <c r="A973" s="3" t="s">
        <v>49</v>
      </c>
      <c r="B973" s="3" t="s">
        <v>1108</v>
      </c>
      <c r="C973" s="3" t="s">
        <v>1109</v>
      </c>
      <c r="D973" s="3" t="s">
        <v>47</v>
      </c>
      <c r="E973" s="3" t="s">
        <v>1113</v>
      </c>
      <c r="F973" s="3" t="s">
        <v>96</v>
      </c>
      <c r="G973" s="3">
        <v>1.13313467</v>
      </c>
      <c r="H973" s="3">
        <v>0.49962177699999999</v>
      </c>
      <c r="I973" s="3">
        <v>0.23867048699999999</v>
      </c>
      <c r="J973" s="3">
        <v>37.255446999999997</v>
      </c>
      <c r="K973" s="3">
        <v>0.15887931</v>
      </c>
      <c r="L973" s="3">
        <v>0.20957447800000001</v>
      </c>
      <c r="M973" s="3">
        <v>0.48128833500000001</v>
      </c>
      <c r="N973" s="3">
        <v>0.20957447800000001</v>
      </c>
      <c r="O973" s="3">
        <v>0.13928011200000001</v>
      </c>
      <c r="P973" s="3">
        <v>0.28975498799999999</v>
      </c>
      <c r="Q973" s="3">
        <v>0.88038176000000001</v>
      </c>
      <c r="R973" s="3">
        <v>0.87664096999999996</v>
      </c>
      <c r="S973" s="3">
        <v>7.46691912</v>
      </c>
      <c r="T973" s="3">
        <v>5.3209437959999999</v>
      </c>
      <c r="U973" s="3">
        <v>0.84179577699999997</v>
      </c>
      <c r="V973" s="3">
        <v>0.24189571700000001</v>
      </c>
      <c r="W973" s="3">
        <v>0.79158582700000002</v>
      </c>
      <c r="X973" s="3">
        <v>13.570139490000001</v>
      </c>
      <c r="Y973" s="3">
        <v>9.7408463879999996</v>
      </c>
      <c r="Z973" s="3">
        <v>6.3209437959999999</v>
      </c>
      <c r="AA973" s="3">
        <v>0.20957447800000001</v>
      </c>
      <c r="AB973" s="3">
        <v>9.6087114979999999</v>
      </c>
      <c r="AC973" s="3">
        <v>17.142979369999999</v>
      </c>
      <c r="AD973" s="3">
        <v>0.18741328300000001</v>
      </c>
      <c r="AE973" s="3">
        <v>6.8170271629999997</v>
      </c>
      <c r="AF973" s="4">
        <v>41414</v>
      </c>
      <c r="AG973" s="5">
        <f>YEAR(AF973)</f>
        <v>2013</v>
      </c>
      <c r="AH973" s="5" t="str">
        <f>"Q"&amp;ROUNDUP(MONTH(AF973)/3,0)</f>
        <v>Q2</v>
      </c>
      <c r="AI973" s="5">
        <f>INDEX(RatingLookup!$B$2:$B$11,MATCH(A973,RatingLookup!$A$2:$A$11,0))</f>
        <v>9</v>
      </c>
      <c r="AJ973" s="5" t="str">
        <f>INDEX(RatingLookup!$C$2:$C$11,MATCH(A973,RatingLookup!$A$2:$A$11,0))</f>
        <v>Investment Grade</v>
      </c>
    </row>
    <row r="974" spans="1:36" x14ac:dyDescent="0.3">
      <c r="A974" s="3" t="s">
        <v>49</v>
      </c>
      <c r="B974" s="3" t="s">
        <v>1108</v>
      </c>
      <c r="C974" s="3" t="s">
        <v>1109</v>
      </c>
      <c r="D974" s="3" t="s">
        <v>47</v>
      </c>
      <c r="E974" s="3" t="s">
        <v>1114</v>
      </c>
      <c r="F974" s="3" t="s">
        <v>96</v>
      </c>
      <c r="G974" s="3">
        <v>1.2090306959999999</v>
      </c>
      <c r="H974" s="3">
        <v>0.66462502700000003</v>
      </c>
      <c r="I974" s="3">
        <v>0.28302827400000002</v>
      </c>
      <c r="J974" s="3">
        <v>38.163932430000003</v>
      </c>
      <c r="K974" s="3">
        <v>0.14829398799999999</v>
      </c>
      <c r="L974" s="3">
        <v>0.19644393700000001</v>
      </c>
      <c r="M974" s="3">
        <v>0.468947585</v>
      </c>
      <c r="N974" s="3">
        <v>0.19644393700000001</v>
      </c>
      <c r="O974" s="3">
        <v>0.13617273499999999</v>
      </c>
      <c r="P974" s="3">
        <v>0.28264029099999999</v>
      </c>
      <c r="Q974" s="3">
        <v>0.78731750899999997</v>
      </c>
      <c r="R974" s="3">
        <v>0.91826200499999999</v>
      </c>
      <c r="S974" s="3">
        <v>7.7012173160000001</v>
      </c>
      <c r="T974" s="3">
        <v>4.7817558839999998</v>
      </c>
      <c r="U974" s="3">
        <v>0.82704216200000003</v>
      </c>
      <c r="V974" s="3">
        <v>0.24510784199999999</v>
      </c>
      <c r="W974" s="3">
        <v>0.79300614700000005</v>
      </c>
      <c r="X974" s="3">
        <v>13.14840785</v>
      </c>
      <c r="Y974" s="3">
        <v>14.049864960000001</v>
      </c>
      <c r="Z974" s="3">
        <v>5.7817558839999998</v>
      </c>
      <c r="AA974" s="3">
        <v>0.19644393700000001</v>
      </c>
      <c r="AB974" s="3">
        <v>9.6758489680000004</v>
      </c>
      <c r="AC974" s="3">
        <v>16.580461440000001</v>
      </c>
      <c r="AD974" s="3">
        <v>0.18562235799999999</v>
      </c>
      <c r="AE974" s="3">
        <v>6.6664318419999997</v>
      </c>
      <c r="AF974" s="4">
        <v>41059</v>
      </c>
      <c r="AG974" s="5">
        <f>YEAR(AF974)</f>
        <v>2012</v>
      </c>
      <c r="AH974" s="5" t="str">
        <f>"Q"&amp;ROUNDUP(MONTH(AF974)/3,0)</f>
        <v>Q2</v>
      </c>
      <c r="AI974" s="5">
        <f>INDEX(RatingLookup!$B$2:$B$11,MATCH(A974,RatingLookup!$A$2:$A$11,0))</f>
        <v>9</v>
      </c>
      <c r="AJ974" s="5" t="str">
        <f>INDEX(RatingLookup!$C$2:$C$11,MATCH(A974,RatingLookup!$A$2:$A$11,0))</f>
        <v>Investment Grade</v>
      </c>
    </row>
    <row r="975" spans="1:36" x14ac:dyDescent="0.3">
      <c r="A975" s="3" t="s">
        <v>92</v>
      </c>
      <c r="B975" s="3" t="s">
        <v>1115</v>
      </c>
      <c r="C975" s="3" t="s">
        <v>1116</v>
      </c>
      <c r="D975" s="3" t="s">
        <v>60</v>
      </c>
      <c r="E975" s="3" t="s">
        <v>1117</v>
      </c>
      <c r="F975" s="3" t="s">
        <v>219</v>
      </c>
      <c r="G975" s="3">
        <v>1.333305366</v>
      </c>
      <c r="H975" s="3">
        <v>0.40378403299999999</v>
      </c>
      <c r="I975" s="3">
        <v>0.19046020899999999</v>
      </c>
      <c r="J975" s="3">
        <v>22.03964946</v>
      </c>
      <c r="K975" s="3">
        <v>-3.9803830999999998E-2</v>
      </c>
      <c r="L975" s="3">
        <v>-6.2436916000000002E-2</v>
      </c>
      <c r="M975" s="3">
        <v>7.9560159999999998E-3</v>
      </c>
      <c r="N975" s="3">
        <v>-3.1408452000000003E-2</v>
      </c>
      <c r="O975" s="3">
        <v>-2.9404025E-2</v>
      </c>
      <c r="P975" s="3">
        <v>-2.5986846000000001E-2</v>
      </c>
      <c r="Q975" s="3">
        <v>-7.1294878000000006E-2</v>
      </c>
      <c r="R975" s="3">
        <v>0.73872348600000004</v>
      </c>
      <c r="S975" s="3">
        <v>1.564861098</v>
      </c>
      <c r="T975" s="3">
        <v>1.351284669</v>
      </c>
      <c r="U975" s="3">
        <v>0.55730802300000004</v>
      </c>
      <c r="V975" s="3">
        <v>0.36249524500000002</v>
      </c>
      <c r="W975" s="3">
        <v>0.116666667</v>
      </c>
      <c r="X975" s="3">
        <v>1.197376113</v>
      </c>
      <c r="Y975" s="3">
        <v>8.7256622010000005</v>
      </c>
      <c r="Z975" s="3">
        <v>2.4246639440000002</v>
      </c>
      <c r="AA975" s="3">
        <v>-2.7822308E-2</v>
      </c>
      <c r="AB975" s="3">
        <v>19.346909929999999</v>
      </c>
      <c r="AC975" s="3">
        <v>10.26322382</v>
      </c>
      <c r="AD975" s="3">
        <v>6.3410637000000006E-2</v>
      </c>
      <c r="AE975" s="3">
        <v>7.3238362410000004</v>
      </c>
      <c r="AF975" s="4">
        <v>41219</v>
      </c>
      <c r="AG975" s="5">
        <f>YEAR(AF975)</f>
        <v>2012</v>
      </c>
      <c r="AH975" s="5" t="str">
        <f>"Q"&amp;ROUNDUP(MONTH(AF975)/3,0)</f>
        <v>Q4</v>
      </c>
      <c r="AI975" s="5">
        <f>INDEX(RatingLookup!$B$2:$B$11,MATCH(A975,RatingLookup!$A$2:$A$11,0))</f>
        <v>6</v>
      </c>
      <c r="AJ975" s="5" t="str">
        <f>INDEX(RatingLookup!$C$2:$C$11,MATCH(A975,RatingLookup!$A$2:$A$11,0))</f>
        <v>Speculative Grade</v>
      </c>
    </row>
    <row r="976" spans="1:36" x14ac:dyDescent="0.3">
      <c r="A976" s="3" t="s">
        <v>92</v>
      </c>
      <c r="B976" s="3" t="s">
        <v>1115</v>
      </c>
      <c r="C976" s="3" t="s">
        <v>1116</v>
      </c>
      <c r="D976" s="3" t="s">
        <v>60</v>
      </c>
      <c r="E976" s="3" t="s">
        <v>394</v>
      </c>
      <c r="F976" s="3" t="s">
        <v>219</v>
      </c>
      <c r="G976" s="3">
        <v>1.348325738</v>
      </c>
      <c r="H976" s="3">
        <v>0.44057856200000001</v>
      </c>
      <c r="I976" s="3">
        <v>0.24695858900000001</v>
      </c>
      <c r="J976" s="3">
        <v>22.449521650000001</v>
      </c>
      <c r="K976" s="3">
        <v>-3.2036756999999999E-2</v>
      </c>
      <c r="L976" s="3">
        <v>-2.9330312000000001E-2</v>
      </c>
      <c r="M976" s="3">
        <v>5.2781974000000002E-2</v>
      </c>
      <c r="N976" s="3">
        <v>1.5067976E-2</v>
      </c>
      <c r="O976" s="3">
        <v>-2.2660896999999999E-2</v>
      </c>
      <c r="P976" s="3">
        <v>9.0154239999999993E-3</v>
      </c>
      <c r="Q976" s="3">
        <v>-5.1111601999999999E-2</v>
      </c>
      <c r="R976" s="3">
        <v>0.70734052800000002</v>
      </c>
      <c r="S976" s="3">
        <v>1.5505933789999999</v>
      </c>
      <c r="T976" s="3">
        <v>1.187616733</v>
      </c>
      <c r="U976" s="3">
        <v>0.526543078</v>
      </c>
      <c r="V976" s="3">
        <v>-9.2274677999999999E-2</v>
      </c>
      <c r="W976" s="3">
        <v>0.19646182500000001</v>
      </c>
      <c r="X976" s="3">
        <v>1.622127511</v>
      </c>
      <c r="Y976" s="3">
        <v>11.977605029999999</v>
      </c>
      <c r="Z976" s="3">
        <v>2.255497761</v>
      </c>
      <c r="AA976" s="3">
        <v>9.8816719999999993E-3</v>
      </c>
      <c r="AB976" s="3">
        <v>7.8589756629999998</v>
      </c>
      <c r="AC976" s="3">
        <v>8.2567059070000006</v>
      </c>
      <c r="AD976" s="3">
        <v>5.4078550000000003E-2</v>
      </c>
      <c r="AE976" s="3">
        <v>5.9700888609999998</v>
      </c>
      <c r="AF976" s="4">
        <v>41723</v>
      </c>
      <c r="AG976" s="5">
        <f>YEAR(AF976)</f>
        <v>2014</v>
      </c>
      <c r="AH976" s="5" t="str">
        <f>"Q"&amp;ROUNDUP(MONTH(AF976)/3,0)</f>
        <v>Q1</v>
      </c>
      <c r="AI976" s="5">
        <f>INDEX(RatingLookup!$B$2:$B$11,MATCH(A976,RatingLookup!$A$2:$A$11,0))</f>
        <v>6</v>
      </c>
      <c r="AJ976" s="5" t="str">
        <f>INDEX(RatingLookup!$C$2:$C$11,MATCH(A976,RatingLookup!$A$2:$A$11,0))</f>
        <v>Speculative Grade</v>
      </c>
    </row>
    <row r="977" spans="1:36" x14ac:dyDescent="0.3">
      <c r="A977" s="3" t="s">
        <v>42</v>
      </c>
      <c r="B977" s="3" t="s">
        <v>1118</v>
      </c>
      <c r="C977" s="3" t="s">
        <v>1119</v>
      </c>
      <c r="D977" s="3" t="s">
        <v>47</v>
      </c>
      <c r="E977" s="3" t="s">
        <v>1120</v>
      </c>
      <c r="F977" s="3" t="s">
        <v>219</v>
      </c>
      <c r="G977" s="3">
        <v>1.0469633890000001</v>
      </c>
      <c r="H977" s="3">
        <v>0.49388269299999998</v>
      </c>
      <c r="I977" s="3">
        <v>0.27623938799999997</v>
      </c>
      <c r="J977" s="3">
        <v>22.905093090000001</v>
      </c>
      <c r="K977" s="3">
        <v>1.5647765000000001E-2</v>
      </c>
      <c r="L977" s="3">
        <v>2.6290635999999999E-2</v>
      </c>
      <c r="M977" s="3">
        <v>0.12950989299999999</v>
      </c>
      <c r="N977" s="3">
        <v>7.5915858000000003E-2</v>
      </c>
      <c r="O977" s="3">
        <v>1.4464001000000001E-2</v>
      </c>
      <c r="P977" s="3">
        <v>0.112121262</v>
      </c>
      <c r="Q977" s="3">
        <v>0.12470324000000001</v>
      </c>
      <c r="R977" s="3">
        <v>0.92434935100000004</v>
      </c>
      <c r="S977" s="3">
        <v>1.5739768190000001</v>
      </c>
      <c r="T977" s="3">
        <v>7.6468010350000002</v>
      </c>
      <c r="U977" s="3">
        <v>0.88693237400000002</v>
      </c>
      <c r="V977" s="3">
        <v>0.40481603599999999</v>
      </c>
      <c r="W977" s="3">
        <v>-0.23460716400000001</v>
      </c>
      <c r="X977" s="3">
        <v>-1.286666063</v>
      </c>
      <c r="Y977" s="3">
        <v>5.1245165989999997</v>
      </c>
      <c r="Z977" s="3">
        <v>8.6216280469999997</v>
      </c>
      <c r="AA977" s="3">
        <v>8.6780248000000004E-2</v>
      </c>
      <c r="AB977" s="3">
        <v>5.6525695349999996</v>
      </c>
      <c r="AC977" s="3">
        <v>5.4843426019999999</v>
      </c>
      <c r="AD977" s="3">
        <v>9.5560999999999993E-2</v>
      </c>
      <c r="AE977" s="3">
        <v>3.4951804960000001</v>
      </c>
      <c r="AF977" s="4">
        <v>41859</v>
      </c>
      <c r="AG977" s="5">
        <f>YEAR(AF977)</f>
        <v>2014</v>
      </c>
      <c r="AH977" s="5" t="str">
        <f>"Q"&amp;ROUNDUP(MONTH(AF977)/3,0)</f>
        <v>Q3</v>
      </c>
      <c r="AI977" s="5">
        <f>INDEX(RatingLookup!$B$2:$B$11,MATCH(A977,RatingLookup!$A$2:$A$11,0))</f>
        <v>7</v>
      </c>
      <c r="AJ977" s="5" t="str">
        <f>INDEX(RatingLookup!$C$2:$C$11,MATCH(A977,RatingLookup!$A$2:$A$11,0))</f>
        <v>Investment Grade</v>
      </c>
    </row>
    <row r="978" spans="1:36" x14ac:dyDescent="0.3">
      <c r="A978" s="3" t="s">
        <v>42</v>
      </c>
      <c r="B978" s="3" t="s">
        <v>1118</v>
      </c>
      <c r="C978" s="3" t="s">
        <v>1119</v>
      </c>
      <c r="D978" s="3" t="s">
        <v>47</v>
      </c>
      <c r="E978" s="3" t="s">
        <v>162</v>
      </c>
      <c r="F978" s="3" t="s">
        <v>219</v>
      </c>
      <c r="G978" s="3">
        <v>1.028156954</v>
      </c>
      <c r="H978" s="3">
        <v>0.61403712899999996</v>
      </c>
      <c r="I978" s="3">
        <v>0.39921011099999998</v>
      </c>
      <c r="J978" s="3">
        <v>26.27953123</v>
      </c>
      <c r="K978" s="3">
        <v>6.4029878999999998E-2</v>
      </c>
      <c r="L978" s="3">
        <v>9.9669797000000004E-2</v>
      </c>
      <c r="M978" s="3">
        <v>0.21719601899999999</v>
      </c>
      <c r="N978" s="3">
        <v>0.146917718</v>
      </c>
      <c r="O978" s="3">
        <v>4.9511355999999999E-2</v>
      </c>
      <c r="P978" s="3">
        <v>0.18229895600000001</v>
      </c>
      <c r="Q978" s="3">
        <v>1.8411235699999999</v>
      </c>
      <c r="R978" s="3">
        <v>0.77325393499999995</v>
      </c>
      <c r="S978" s="3">
        <v>1.3747680849999999</v>
      </c>
      <c r="T978" s="3">
        <v>36.605963420000002</v>
      </c>
      <c r="U978" s="3">
        <v>0.98440479400000003</v>
      </c>
      <c r="V978" s="3">
        <v>0.35757992599999999</v>
      </c>
      <c r="W978" s="3">
        <v>0.637173561</v>
      </c>
      <c r="X978" s="3">
        <v>7.3494489959999996</v>
      </c>
      <c r="Y978" s="3">
        <v>9.3544362989999996</v>
      </c>
      <c r="Z978" s="3">
        <v>37.185884960000003</v>
      </c>
      <c r="AA978" s="3">
        <v>0.16714852499999999</v>
      </c>
      <c r="AB978" s="3">
        <v>4.2922306050000003</v>
      </c>
      <c r="AC978" s="3">
        <v>11.534453790000001</v>
      </c>
      <c r="AD978" s="3">
        <v>0.19616581</v>
      </c>
      <c r="AE978" s="3">
        <v>2.8010489509999998</v>
      </c>
      <c r="AF978" s="4">
        <v>42342</v>
      </c>
      <c r="AG978" s="5">
        <f>YEAR(AF978)</f>
        <v>2015</v>
      </c>
      <c r="AH978" s="5" t="str">
        <f>"Q"&amp;ROUNDUP(MONTH(AF978)/3,0)</f>
        <v>Q4</v>
      </c>
      <c r="AI978" s="5">
        <f>INDEX(RatingLookup!$B$2:$B$11,MATCH(A978,RatingLookup!$A$2:$A$11,0))</f>
        <v>7</v>
      </c>
      <c r="AJ978" s="5" t="str">
        <f>INDEX(RatingLookup!$C$2:$C$11,MATCH(A978,RatingLookup!$A$2:$A$11,0))</f>
        <v>Investment Grade</v>
      </c>
    </row>
    <row r="979" spans="1:36" x14ac:dyDescent="0.3">
      <c r="A979" s="3" t="s">
        <v>49</v>
      </c>
      <c r="B979" s="3" t="s">
        <v>1121</v>
      </c>
      <c r="C979" s="3" t="s">
        <v>1122</v>
      </c>
      <c r="D979" s="3" t="s">
        <v>47</v>
      </c>
      <c r="E979" s="3" t="s">
        <v>643</v>
      </c>
      <c r="F979" s="3" t="s">
        <v>96</v>
      </c>
      <c r="G979" s="3">
        <v>1.1087706239999999</v>
      </c>
      <c r="H979" s="3">
        <v>0.72509614200000005</v>
      </c>
      <c r="I979" s="3">
        <v>0.26200223299999997</v>
      </c>
      <c r="J979" s="3">
        <v>26.31360845</v>
      </c>
      <c r="K979" s="3">
        <v>0.22845773699999999</v>
      </c>
      <c r="L979" s="3">
        <v>0.31027105700000002</v>
      </c>
      <c r="M979" s="3">
        <v>0.40059901999999997</v>
      </c>
      <c r="N979" s="3">
        <v>0.30477290699999998</v>
      </c>
      <c r="O979" s="3">
        <v>0.183813632</v>
      </c>
      <c r="P979" s="3">
        <v>0.34552506599999999</v>
      </c>
      <c r="Q979" s="3">
        <v>0.447354531</v>
      </c>
      <c r="R979" s="3">
        <v>0.80458484100000005</v>
      </c>
      <c r="S979" s="3">
        <v>10.40073873</v>
      </c>
      <c r="T979" s="3">
        <v>1.4337396840000001</v>
      </c>
      <c r="U979" s="3">
        <v>0.58910971199999995</v>
      </c>
      <c r="V979" s="3">
        <v>0.26368337600000002</v>
      </c>
      <c r="W979" s="3">
        <v>0.85863706799999995</v>
      </c>
      <c r="X979" s="3">
        <v>12.12808866</v>
      </c>
      <c r="Y979" s="3">
        <v>7.230654597</v>
      </c>
      <c r="Z979" s="3">
        <v>2.4337396839999998</v>
      </c>
      <c r="AA979" s="3">
        <v>0.31027105700000002</v>
      </c>
      <c r="AB979" s="3">
        <v>7.8452892319999998</v>
      </c>
      <c r="AC979" s="3">
        <v>14.12481374</v>
      </c>
      <c r="AD979" s="3">
        <v>0.34771409599999997</v>
      </c>
      <c r="AE979" s="3">
        <v>3.9472809240000002</v>
      </c>
      <c r="AF979" s="4">
        <v>42510</v>
      </c>
      <c r="AG979" s="5">
        <f>YEAR(AF979)</f>
        <v>2016</v>
      </c>
      <c r="AH979" s="5" t="str">
        <f>"Q"&amp;ROUNDUP(MONTH(AF979)/3,0)</f>
        <v>Q2</v>
      </c>
      <c r="AI979" s="5">
        <f>INDEX(RatingLookup!$B$2:$B$11,MATCH(A979,RatingLookup!$A$2:$A$11,0))</f>
        <v>9</v>
      </c>
      <c r="AJ979" s="5" t="str">
        <f>INDEX(RatingLookup!$C$2:$C$11,MATCH(A979,RatingLookup!$A$2:$A$11,0))</f>
        <v>Investment Grade</v>
      </c>
    </row>
    <row r="980" spans="1:36" x14ac:dyDescent="0.3">
      <c r="A980" s="3" t="s">
        <v>49</v>
      </c>
      <c r="B980" s="3" t="s">
        <v>1121</v>
      </c>
      <c r="C980" s="3" t="s">
        <v>1122</v>
      </c>
      <c r="D980" s="3" t="s">
        <v>47</v>
      </c>
      <c r="E980" s="3" t="s">
        <v>843</v>
      </c>
      <c r="F980" s="3" t="s">
        <v>96</v>
      </c>
      <c r="G980" s="3">
        <v>1.080112848</v>
      </c>
      <c r="H980" s="3">
        <v>0.67042302399999998</v>
      </c>
      <c r="I980" s="3">
        <v>0.218194427</v>
      </c>
      <c r="J980" s="3">
        <v>34.863645069999997</v>
      </c>
      <c r="K980" s="3">
        <v>0.21614376799999999</v>
      </c>
      <c r="L980" s="3">
        <v>0.29258458900000001</v>
      </c>
      <c r="M980" s="3">
        <v>0.38588035799999998</v>
      </c>
      <c r="N980" s="3">
        <v>0.28722339200000002</v>
      </c>
      <c r="O980" s="3">
        <v>0.17041998999999999</v>
      </c>
      <c r="P980" s="3">
        <v>0.31761198600000001</v>
      </c>
      <c r="Q980" s="3">
        <v>0.35420047199999999</v>
      </c>
      <c r="R980" s="3">
        <v>0.78845664400000004</v>
      </c>
      <c r="S980" s="3">
        <v>8.8632176109999996</v>
      </c>
      <c r="T980" s="3">
        <v>1.078397447</v>
      </c>
      <c r="U980" s="3">
        <v>0.51886007099999998</v>
      </c>
      <c r="V980" s="3">
        <v>0.26126058699999999</v>
      </c>
      <c r="W980" s="3">
        <v>0.83566392599999995</v>
      </c>
      <c r="X980" s="3">
        <v>8.1997222280000006</v>
      </c>
      <c r="Y980" s="3">
        <v>4.1207301469999997</v>
      </c>
      <c r="Z980" s="3">
        <v>2.078397447</v>
      </c>
      <c r="AA980" s="3">
        <v>0.29258458900000001</v>
      </c>
      <c r="AB980" s="3">
        <v>10.93658246</v>
      </c>
      <c r="AC980" s="3">
        <v>9.8122247179999995</v>
      </c>
      <c r="AD980" s="3">
        <v>0.32666648399999998</v>
      </c>
      <c r="AE980" s="3">
        <v>3.7176447210000001</v>
      </c>
      <c r="AF980" s="4">
        <v>42152</v>
      </c>
      <c r="AG980" s="5">
        <f>YEAR(AF980)</f>
        <v>2015</v>
      </c>
      <c r="AH980" s="5" t="str">
        <f>"Q"&amp;ROUNDUP(MONTH(AF980)/3,0)</f>
        <v>Q2</v>
      </c>
      <c r="AI980" s="5">
        <f>INDEX(RatingLookup!$B$2:$B$11,MATCH(A980,RatingLookup!$A$2:$A$11,0))</f>
        <v>9</v>
      </c>
      <c r="AJ980" s="5" t="str">
        <f>INDEX(RatingLookup!$C$2:$C$11,MATCH(A980,RatingLookup!$A$2:$A$11,0))</f>
        <v>Investment Grade</v>
      </c>
    </row>
    <row r="981" spans="1:36" x14ac:dyDescent="0.3">
      <c r="A981" s="3" t="s">
        <v>92</v>
      </c>
      <c r="B981" s="3" t="s">
        <v>1123</v>
      </c>
      <c r="C981" s="3" t="s">
        <v>1124</v>
      </c>
      <c r="D981" s="3" t="s">
        <v>39</v>
      </c>
      <c r="E981" s="3" t="s">
        <v>561</v>
      </c>
      <c r="F981" s="3" t="s">
        <v>246</v>
      </c>
      <c r="G981" s="3">
        <v>1.0374474869999999</v>
      </c>
      <c r="H981" s="3">
        <v>0.783065334</v>
      </c>
      <c r="I981" s="3">
        <v>8.2572794000000005E-2</v>
      </c>
      <c r="J981" s="3">
        <v>21.291552930000002</v>
      </c>
      <c r="K981" s="3">
        <v>-6.8578692999999996E-2</v>
      </c>
      <c r="L981" s="3">
        <v>-8.1516659000000005E-2</v>
      </c>
      <c r="M981" s="3">
        <v>1</v>
      </c>
      <c r="N981" s="3">
        <v>5.2312755000000002E-2</v>
      </c>
      <c r="O981" s="3">
        <v>-4.3379534999999997E-2</v>
      </c>
      <c r="P981" s="3">
        <v>-7.6566450999999994E-2</v>
      </c>
      <c r="Q981" s="3">
        <v>0.67154888300000004</v>
      </c>
      <c r="R981" s="3">
        <v>0.63255120899999995</v>
      </c>
      <c r="S981" s="3">
        <v>1.388597539</v>
      </c>
      <c r="T981" s="3">
        <v>-16.48077627</v>
      </c>
      <c r="U981" s="3">
        <v>1.0645962440000001</v>
      </c>
      <c r="V981" s="3">
        <v>0.15871559599999999</v>
      </c>
      <c r="W981" s="3">
        <v>-3.6133333329999999</v>
      </c>
      <c r="X981" s="3">
        <v>-14.958968629999999</v>
      </c>
      <c r="Y981" s="3">
        <v>56.738589109999999</v>
      </c>
      <c r="Z981" s="3">
        <v>-15.48077627</v>
      </c>
      <c r="AA981" s="3">
        <v>-8.1516659000000005E-2</v>
      </c>
      <c r="AB981" s="3">
        <v>8.7515315420000004</v>
      </c>
      <c r="AC981" s="3">
        <v>4.1399359689999997</v>
      </c>
      <c r="AD981" s="3">
        <v>2.5240249999999999E-2</v>
      </c>
      <c r="AE981" s="3">
        <v>5.7302631579999996</v>
      </c>
      <c r="AF981" s="4">
        <v>41590</v>
      </c>
      <c r="AG981" s="5">
        <f>YEAR(AF981)</f>
        <v>2013</v>
      </c>
      <c r="AH981" s="5" t="str">
        <f>"Q"&amp;ROUNDUP(MONTH(AF981)/3,0)</f>
        <v>Q4</v>
      </c>
      <c r="AI981" s="5">
        <f>INDEX(RatingLookup!$B$2:$B$11,MATCH(A981,RatingLookup!$A$2:$A$11,0))</f>
        <v>6</v>
      </c>
      <c r="AJ981" s="5" t="str">
        <f>INDEX(RatingLookup!$C$2:$C$11,MATCH(A981,RatingLookup!$A$2:$A$11,0))</f>
        <v>Speculative Grade</v>
      </c>
    </row>
    <row r="982" spans="1:36" x14ac:dyDescent="0.3">
      <c r="A982" s="3" t="s">
        <v>109</v>
      </c>
      <c r="B982" s="3" t="s">
        <v>1123</v>
      </c>
      <c r="C982" s="3" t="s">
        <v>1124</v>
      </c>
      <c r="D982" s="3" t="s">
        <v>60</v>
      </c>
      <c r="E982" s="3" t="s">
        <v>926</v>
      </c>
      <c r="F982" s="3" t="s">
        <v>246</v>
      </c>
      <c r="G982" s="3">
        <v>0.90152586499999998</v>
      </c>
      <c r="H982" s="3">
        <v>0.67540007400000002</v>
      </c>
      <c r="I982" s="3">
        <v>7.3985858000000002E-2</v>
      </c>
      <c r="J982" s="3">
        <v>138.98408939999999</v>
      </c>
      <c r="K982" s="3">
        <v>0.61965168800000003</v>
      </c>
      <c r="L982" s="3">
        <v>0.69060417100000004</v>
      </c>
      <c r="M982" s="3">
        <v>1</v>
      </c>
      <c r="N982" s="3">
        <v>0.91356697499999995</v>
      </c>
      <c r="O982" s="3">
        <v>6.5842681E-2</v>
      </c>
      <c r="P982" s="3">
        <v>0.105880802</v>
      </c>
      <c r="Q982" s="3">
        <v>1.426026719</v>
      </c>
      <c r="R982" s="3">
        <v>0.106257568</v>
      </c>
      <c r="S982" s="3">
        <v>0.20148154600000001</v>
      </c>
      <c r="T982" s="3">
        <v>20.658090049999998</v>
      </c>
      <c r="U982" s="3">
        <v>0.95382787700000005</v>
      </c>
      <c r="V982" s="3">
        <v>0.102739726</v>
      </c>
      <c r="W982" s="3">
        <v>-0.72435064900000001</v>
      </c>
      <c r="X982" s="3">
        <v>-3.109598359</v>
      </c>
      <c r="Y982" s="3">
        <v>10.179021430000001</v>
      </c>
      <c r="Z982" s="3">
        <v>21.658090049999998</v>
      </c>
      <c r="AA982" s="3">
        <v>0.69060417100000004</v>
      </c>
      <c r="AB982" s="3">
        <v>9.3226150029999992</v>
      </c>
      <c r="AC982" s="3">
        <v>4.2929461880000002</v>
      </c>
      <c r="AD982" s="3">
        <v>0.66222317799999997</v>
      </c>
      <c r="AE982" s="3">
        <v>7.6920842409999999</v>
      </c>
      <c r="AF982" s="4">
        <v>42185</v>
      </c>
      <c r="AG982" s="5">
        <f>YEAR(AF982)</f>
        <v>2015</v>
      </c>
      <c r="AH982" s="5" t="str">
        <f>"Q"&amp;ROUNDUP(MONTH(AF982)/3,0)</f>
        <v>Q2</v>
      </c>
      <c r="AI982" s="5">
        <f>INDEX(RatingLookup!$B$2:$B$11,MATCH(A982,RatingLookup!$A$2:$A$11,0))</f>
        <v>5</v>
      </c>
      <c r="AJ982" s="5" t="str">
        <f>INDEX(RatingLookup!$C$2:$C$11,MATCH(A982,RatingLookup!$A$2:$A$11,0))</f>
        <v>Speculative Grade</v>
      </c>
    </row>
    <row r="983" spans="1:36" x14ac:dyDescent="0.3">
      <c r="A983" s="3" t="s">
        <v>109</v>
      </c>
      <c r="B983" s="3" t="s">
        <v>1125</v>
      </c>
      <c r="C983" s="3" t="s">
        <v>1126</v>
      </c>
      <c r="D983" s="3" t="s">
        <v>47</v>
      </c>
      <c r="E983" s="3" t="s">
        <v>896</v>
      </c>
      <c r="F983" s="3" t="s">
        <v>53</v>
      </c>
      <c r="G983" s="3">
        <v>0.54108176900000005</v>
      </c>
      <c r="H983" s="3">
        <v>0.51988814299999997</v>
      </c>
      <c r="I983" s="3">
        <v>2.2573777E-2</v>
      </c>
      <c r="J983" s="3">
        <v>45.555669639999998</v>
      </c>
      <c r="K983" s="3">
        <v>-0.62240256299999996</v>
      </c>
      <c r="L983" s="3">
        <v>-0.98724054400000005</v>
      </c>
      <c r="M983" s="3">
        <v>1</v>
      </c>
      <c r="N983" s="3">
        <v>-0.87010965500000004</v>
      </c>
      <c r="O983" s="3">
        <v>-0.11851766599999999</v>
      </c>
      <c r="P983" s="3">
        <v>-0.20104514000000001</v>
      </c>
      <c r="Q983" s="3">
        <v>-0.30344559100000001</v>
      </c>
      <c r="R983" s="3">
        <v>0.19041963000000001</v>
      </c>
      <c r="S983" s="3">
        <v>0.20019390400000001</v>
      </c>
      <c r="T983" s="3">
        <v>1.5603405990000001</v>
      </c>
      <c r="U983" s="3">
        <v>0.60942696399999996</v>
      </c>
      <c r="V983" s="3">
        <v>0.36955327999999998</v>
      </c>
      <c r="W983" s="3">
        <v>1</v>
      </c>
      <c r="X983" s="3">
        <v>7.2197784980000002</v>
      </c>
      <c r="Y983" s="3">
        <v>0.83446087099999999</v>
      </c>
      <c r="Z983" s="3">
        <v>2.5603405989999999</v>
      </c>
      <c r="AA983" s="3">
        <v>-0.98724054400000005</v>
      </c>
      <c r="AB983" s="3">
        <v>-10.307458629999999</v>
      </c>
      <c r="AC983" s="3">
        <v>7.2197784980000002</v>
      </c>
      <c r="AD983" s="3">
        <v>0.45406710700000003</v>
      </c>
      <c r="AE983" s="3">
        <v>0</v>
      </c>
      <c r="AF983" s="4">
        <v>42591</v>
      </c>
      <c r="AG983" s="5">
        <f>YEAR(AF983)</f>
        <v>2016</v>
      </c>
      <c r="AH983" s="5" t="str">
        <f>"Q"&amp;ROUNDUP(MONTH(AF983)/3,0)</f>
        <v>Q3</v>
      </c>
      <c r="AI983" s="5">
        <f>INDEX(RatingLookup!$B$2:$B$11,MATCH(A983,RatingLookup!$A$2:$A$11,0))</f>
        <v>5</v>
      </c>
      <c r="AJ983" s="5" t="str">
        <f>INDEX(RatingLookup!$C$2:$C$11,MATCH(A983,RatingLookup!$A$2:$A$11,0))</f>
        <v>Speculative Grade</v>
      </c>
    </row>
    <row r="984" spans="1:36" x14ac:dyDescent="0.3">
      <c r="A984" s="3" t="s">
        <v>92</v>
      </c>
      <c r="B984" s="3" t="s">
        <v>1125</v>
      </c>
      <c r="C984" s="3" t="s">
        <v>1126</v>
      </c>
      <c r="D984" s="3" t="s">
        <v>47</v>
      </c>
      <c r="E984" s="3" t="s">
        <v>255</v>
      </c>
      <c r="F984" s="3" t="s">
        <v>53</v>
      </c>
      <c r="G984" s="3">
        <v>0.94951061599999997</v>
      </c>
      <c r="H984" s="3">
        <v>0.92449978300000002</v>
      </c>
      <c r="I984" s="3">
        <v>1.5293199999999999E-4</v>
      </c>
      <c r="J984" s="3">
        <v>46.687397689999997</v>
      </c>
      <c r="K984" s="3">
        <v>0.26406420800000002</v>
      </c>
      <c r="L984" s="3">
        <v>0.42211316900000001</v>
      </c>
      <c r="M984" s="3">
        <v>1</v>
      </c>
      <c r="N984" s="3">
        <v>0.46220146899999998</v>
      </c>
      <c r="O984" s="3">
        <v>0.102206792</v>
      </c>
      <c r="P984" s="3">
        <v>0.18574521499999999</v>
      </c>
      <c r="Q984" s="3">
        <v>0.291277434</v>
      </c>
      <c r="R984" s="3">
        <v>0.387052803</v>
      </c>
      <c r="S984" s="3">
        <v>0.45827606300000001</v>
      </c>
      <c r="T984" s="3">
        <v>1.8498833450000001</v>
      </c>
      <c r="U984" s="3">
        <v>0.64910844400000001</v>
      </c>
      <c r="V984" s="3">
        <v>0.37442319400000001</v>
      </c>
      <c r="W984" s="3">
        <v>1</v>
      </c>
      <c r="X984" s="3">
        <v>21.665551090000001</v>
      </c>
      <c r="Y984" s="3">
        <v>5.9911944070000001</v>
      </c>
      <c r="Z984" s="3">
        <v>2.8498833449999998</v>
      </c>
      <c r="AA984" s="3">
        <v>0.42211316900000001</v>
      </c>
      <c r="AB984" s="3">
        <v>1.397024891</v>
      </c>
      <c r="AC984" s="3">
        <v>21.665551090000001</v>
      </c>
      <c r="AD984" s="3">
        <v>0.57747728600000003</v>
      </c>
      <c r="AE984" s="3">
        <v>0</v>
      </c>
      <c r="AF984" s="4">
        <v>42020</v>
      </c>
      <c r="AG984" s="5">
        <f>YEAR(AF984)</f>
        <v>2015</v>
      </c>
      <c r="AH984" s="5" t="str">
        <f>"Q"&amp;ROUNDUP(MONTH(AF984)/3,0)</f>
        <v>Q1</v>
      </c>
      <c r="AI984" s="5">
        <f>INDEX(RatingLookup!$B$2:$B$11,MATCH(A984,RatingLookup!$A$2:$A$11,0))</f>
        <v>6</v>
      </c>
      <c r="AJ984" s="5" t="str">
        <f>INDEX(RatingLookup!$C$2:$C$11,MATCH(A984,RatingLookup!$A$2:$A$11,0))</f>
        <v>Speculative Grade</v>
      </c>
    </row>
    <row r="985" spans="1:36" x14ac:dyDescent="0.3">
      <c r="A985" s="3" t="s">
        <v>109</v>
      </c>
      <c r="B985" s="3" t="s">
        <v>1125</v>
      </c>
      <c r="C985" s="3" t="s">
        <v>1126</v>
      </c>
      <c r="D985" s="3" t="s">
        <v>47</v>
      </c>
      <c r="E985" s="3" t="s">
        <v>324</v>
      </c>
      <c r="F985" s="3" t="s">
        <v>53</v>
      </c>
      <c r="G985" s="3">
        <v>1.715524337</v>
      </c>
      <c r="H985" s="3">
        <v>1.658877779</v>
      </c>
      <c r="I985" s="3">
        <v>5.9500000000000003E-5</v>
      </c>
      <c r="J985" s="3">
        <v>31.442749190000001</v>
      </c>
      <c r="K985" s="3">
        <v>-0.28755302799999999</v>
      </c>
      <c r="L985" s="3">
        <v>-0.46427569000000002</v>
      </c>
      <c r="M985" s="3">
        <v>1</v>
      </c>
      <c r="N985" s="3">
        <v>-0.371737965</v>
      </c>
      <c r="O985" s="3">
        <v>-7.9640418000000004E-2</v>
      </c>
      <c r="P985" s="3">
        <v>-0.13589865800000001</v>
      </c>
      <c r="Q985" s="3">
        <v>-0.24169172899999999</v>
      </c>
      <c r="R985" s="3">
        <v>0.276959067</v>
      </c>
      <c r="S985" s="3">
        <v>0.31452059300000001</v>
      </c>
      <c r="T985" s="3">
        <v>2.0347872840000001</v>
      </c>
      <c r="U985" s="3">
        <v>0.67048761400000001</v>
      </c>
      <c r="V985" s="3">
        <v>0.38064164499999997</v>
      </c>
      <c r="W985" s="3">
        <v>1</v>
      </c>
      <c r="X985" s="3">
        <v>14.44637715</v>
      </c>
      <c r="Y985" s="3">
        <v>5.4298834960000004</v>
      </c>
      <c r="Z985" s="3">
        <v>3.0347872840000001</v>
      </c>
      <c r="AA985" s="3">
        <v>-0.46427569000000002</v>
      </c>
      <c r="AB985" s="3">
        <v>3.2827418160000001</v>
      </c>
      <c r="AC985" s="3">
        <v>14.44637715</v>
      </c>
      <c r="AD985" s="3">
        <v>0.62837122199999995</v>
      </c>
      <c r="AE985" s="3">
        <v>0</v>
      </c>
      <c r="AF985" s="4">
        <v>42409</v>
      </c>
      <c r="AG985" s="5">
        <f>YEAR(AF985)</f>
        <v>2016</v>
      </c>
      <c r="AH985" s="5" t="str">
        <f>"Q"&amp;ROUNDUP(MONTH(AF985)/3,0)</f>
        <v>Q1</v>
      </c>
      <c r="AI985" s="5">
        <f>INDEX(RatingLookup!$B$2:$B$11,MATCH(A985,RatingLookup!$A$2:$A$11,0))</f>
        <v>5</v>
      </c>
      <c r="AJ985" s="5" t="str">
        <f>INDEX(RatingLookup!$C$2:$C$11,MATCH(A985,RatingLookup!$A$2:$A$11,0))</f>
        <v>Speculative Grade</v>
      </c>
    </row>
    <row r="986" spans="1:36" x14ac:dyDescent="0.3">
      <c r="A986" s="3" t="s">
        <v>92</v>
      </c>
      <c r="B986" s="3" t="s">
        <v>1125</v>
      </c>
      <c r="C986" s="3" t="s">
        <v>1126</v>
      </c>
      <c r="D986" s="3" t="s">
        <v>47</v>
      </c>
      <c r="E986" s="3" t="s">
        <v>1127</v>
      </c>
      <c r="F986" s="3" t="s">
        <v>53</v>
      </c>
      <c r="G986" s="3">
        <v>0.62887363200000002</v>
      </c>
      <c r="H986" s="3">
        <v>0.55139175600000001</v>
      </c>
      <c r="I986" s="3">
        <v>1.0942745E-2</v>
      </c>
      <c r="J986" s="3">
        <v>61.79237354</v>
      </c>
      <c r="K986" s="3">
        <v>-3.6043404000000001E-2</v>
      </c>
      <c r="L986" s="3">
        <v>-5.5489262999999997E-2</v>
      </c>
      <c r="M986" s="3">
        <v>1</v>
      </c>
      <c r="N986" s="3">
        <v>-1.3299431E-2</v>
      </c>
      <c r="O986" s="3">
        <v>-1.2917876999999999E-2</v>
      </c>
      <c r="P986" s="3">
        <v>-2.2831435000000001E-2</v>
      </c>
      <c r="Q986" s="3">
        <v>-3.8352990000000003E-2</v>
      </c>
      <c r="R986" s="3">
        <v>0.35839781100000001</v>
      </c>
      <c r="S986" s="3">
        <v>0.40930687199999999</v>
      </c>
      <c r="T986" s="3">
        <v>1.9689854689999999</v>
      </c>
      <c r="U986" s="3">
        <v>0.66318460999999995</v>
      </c>
      <c r="V986" s="3">
        <v>0.35044362200000001</v>
      </c>
      <c r="W986" s="3">
        <v>1</v>
      </c>
      <c r="X986" s="3">
        <v>14.15408824</v>
      </c>
      <c r="Y986" s="3">
        <v>0.67240320600000003</v>
      </c>
      <c r="Z986" s="3">
        <v>2.9689854690000002</v>
      </c>
      <c r="AA986" s="3">
        <v>-5.5489262999999997E-2</v>
      </c>
      <c r="AB986" s="3">
        <v>6.1138179670000001</v>
      </c>
      <c r="AC986" s="3">
        <v>14.15408824</v>
      </c>
      <c r="AD986" s="3">
        <v>0.61256247100000005</v>
      </c>
      <c r="AE986" s="3">
        <v>0</v>
      </c>
      <c r="AF986" s="4">
        <v>41443</v>
      </c>
      <c r="AG986" s="5">
        <f>YEAR(AF986)</f>
        <v>2013</v>
      </c>
      <c r="AH986" s="5" t="str">
        <f>"Q"&amp;ROUNDUP(MONTH(AF986)/3,0)</f>
        <v>Q2</v>
      </c>
      <c r="AI986" s="5">
        <f>INDEX(RatingLookup!$B$2:$B$11,MATCH(A986,RatingLookup!$A$2:$A$11,0))</f>
        <v>6</v>
      </c>
      <c r="AJ986" s="5" t="str">
        <f>INDEX(RatingLookup!$C$2:$C$11,MATCH(A986,RatingLookup!$A$2:$A$11,0))</f>
        <v>Speculative Grade</v>
      </c>
    </row>
    <row r="987" spans="1:36" x14ac:dyDescent="0.3">
      <c r="A987" s="3" t="s">
        <v>92</v>
      </c>
      <c r="B987" s="3" t="s">
        <v>1125</v>
      </c>
      <c r="C987" s="3" t="s">
        <v>1126</v>
      </c>
      <c r="D987" s="3" t="s">
        <v>47</v>
      </c>
      <c r="E987" s="3" t="s">
        <v>1128</v>
      </c>
      <c r="F987" s="3" t="s">
        <v>53</v>
      </c>
      <c r="G987" s="3">
        <v>1.0130959070000001</v>
      </c>
      <c r="H987" s="3">
        <v>0.97347492099999999</v>
      </c>
      <c r="I987" s="3">
        <v>0.44161212599999999</v>
      </c>
      <c r="J987" s="3">
        <v>50.670067330000002</v>
      </c>
      <c r="K987" s="3">
        <v>7.4534289000000004E-2</v>
      </c>
      <c r="L987" s="3">
        <v>0.1214852</v>
      </c>
      <c r="M987" s="3">
        <v>1</v>
      </c>
      <c r="N987" s="3">
        <v>0.160573461</v>
      </c>
      <c r="O987" s="3">
        <v>3.6329225E-2</v>
      </c>
      <c r="P987" s="3">
        <v>6.8521561999999994E-2</v>
      </c>
      <c r="Q987" s="3">
        <v>0.10638085999999999</v>
      </c>
      <c r="R987" s="3">
        <v>0.48741627599999998</v>
      </c>
      <c r="S987" s="3">
        <v>0.59417035900000004</v>
      </c>
      <c r="T987" s="3">
        <v>1.9282446520000001</v>
      </c>
      <c r="U987" s="3">
        <v>0.65849848</v>
      </c>
      <c r="V987" s="3">
        <v>0.38647433199999998</v>
      </c>
      <c r="W987" s="3">
        <v>1</v>
      </c>
      <c r="X987" s="3">
        <v>20.093282290000001</v>
      </c>
      <c r="Y987" s="3">
        <v>4.5606394960000003</v>
      </c>
      <c r="Z987" s="3">
        <v>2.9282446520000001</v>
      </c>
      <c r="AA987" s="3">
        <v>0.1214852</v>
      </c>
      <c r="AB987" s="3">
        <v>4.9188836010000001</v>
      </c>
      <c r="AC987" s="3">
        <v>20.093282290000001</v>
      </c>
      <c r="AD987" s="3">
        <v>0.58364401099999996</v>
      </c>
      <c r="AE987" s="3">
        <v>0</v>
      </c>
      <c r="AF987" s="4">
        <v>41739</v>
      </c>
      <c r="AG987" s="5">
        <f>YEAR(AF987)</f>
        <v>2014</v>
      </c>
      <c r="AH987" s="5" t="str">
        <f>"Q"&amp;ROUNDUP(MONTH(AF987)/3,0)</f>
        <v>Q2</v>
      </c>
      <c r="AI987" s="5">
        <f>INDEX(RatingLookup!$B$2:$B$11,MATCH(A987,RatingLookup!$A$2:$A$11,0))</f>
        <v>6</v>
      </c>
      <c r="AJ987" s="5" t="str">
        <f>INDEX(RatingLookup!$C$2:$C$11,MATCH(A987,RatingLookup!$A$2:$A$11,0))</f>
        <v>Speculative Grade</v>
      </c>
    </row>
    <row r="988" spans="1:36" x14ac:dyDescent="0.3">
      <c r="A988" s="3" t="s">
        <v>92</v>
      </c>
      <c r="B988" s="3" t="s">
        <v>1125</v>
      </c>
      <c r="C988" s="3" t="s">
        <v>1126</v>
      </c>
      <c r="D988" s="3" t="s">
        <v>47</v>
      </c>
      <c r="E988" s="3" t="s">
        <v>1129</v>
      </c>
      <c r="F988" s="3" t="s">
        <v>53</v>
      </c>
      <c r="G988" s="3">
        <v>0.91577584199999995</v>
      </c>
      <c r="H988" s="3">
        <v>0.65155939500000004</v>
      </c>
      <c r="I988" s="3">
        <v>0.23565207899999999</v>
      </c>
      <c r="J988" s="3">
        <v>47.890886270000003</v>
      </c>
      <c r="K988" s="3">
        <v>0.134356378</v>
      </c>
      <c r="L988" s="3">
        <v>0.21143715699999999</v>
      </c>
      <c r="M988" s="3">
        <v>1</v>
      </c>
      <c r="N988" s="3">
        <v>0.23974283299999999</v>
      </c>
      <c r="O988" s="3">
        <v>5.6703641999999999E-2</v>
      </c>
      <c r="P988" s="3">
        <v>0.102940475</v>
      </c>
      <c r="Q988" s="3">
        <v>0.14724869099999999</v>
      </c>
      <c r="R988" s="3">
        <v>0.42203907400000001</v>
      </c>
      <c r="S988" s="3">
        <v>0.517761209</v>
      </c>
      <c r="T988" s="3">
        <v>1.596811899</v>
      </c>
      <c r="U988" s="3">
        <v>0.61491242400000001</v>
      </c>
      <c r="V988" s="3">
        <v>0.36455644700000001</v>
      </c>
      <c r="W988" s="3">
        <v>1</v>
      </c>
      <c r="X988" s="3">
        <v>11.92897812</v>
      </c>
      <c r="Y988" s="3">
        <v>1.8695631720000001</v>
      </c>
      <c r="Z988" s="3">
        <v>2.596811899</v>
      </c>
      <c r="AA988" s="3">
        <v>0.21143715699999999</v>
      </c>
      <c r="AB988" s="3">
        <v>5.2713571889999997</v>
      </c>
      <c r="AC988" s="3">
        <v>11.92897812</v>
      </c>
      <c r="AD988" s="3">
        <v>0.47434881899999998</v>
      </c>
      <c r="AE988" s="3">
        <v>0</v>
      </c>
      <c r="AF988" s="4">
        <v>41036</v>
      </c>
      <c r="AG988" s="5">
        <f>YEAR(AF988)</f>
        <v>2012</v>
      </c>
      <c r="AH988" s="5" t="str">
        <f>"Q"&amp;ROUNDUP(MONTH(AF988)/3,0)</f>
        <v>Q2</v>
      </c>
      <c r="AI988" s="5">
        <f>INDEX(RatingLookup!$B$2:$B$11,MATCH(A988,RatingLookup!$A$2:$A$11,0))</f>
        <v>6</v>
      </c>
      <c r="AJ988" s="5" t="str">
        <f>INDEX(RatingLookup!$C$2:$C$11,MATCH(A988,RatingLookup!$A$2:$A$11,0))</f>
        <v>Speculative Grade</v>
      </c>
    </row>
    <row r="989" spans="1:36" x14ac:dyDescent="0.3">
      <c r="A989" s="3" t="s">
        <v>109</v>
      </c>
      <c r="B989" s="3" t="s">
        <v>1130</v>
      </c>
      <c r="C989" s="3" t="s">
        <v>1131</v>
      </c>
      <c r="D989" s="3" t="s">
        <v>60</v>
      </c>
      <c r="E989" s="3" t="s">
        <v>46</v>
      </c>
      <c r="F989" s="3" t="s">
        <v>53</v>
      </c>
      <c r="G989" s="3">
        <v>0.58593938199999995</v>
      </c>
      <c r="H989" s="3">
        <v>7.1078068129999998</v>
      </c>
      <c r="I989" s="3">
        <v>4.87543E-4</v>
      </c>
      <c r="J989" s="3">
        <v>1045.4979290000001</v>
      </c>
      <c r="K989" s="3">
        <v>0.31502723900000001</v>
      </c>
      <c r="L989" s="3">
        <v>0.42900296399999999</v>
      </c>
      <c r="M989" s="3">
        <v>1</v>
      </c>
      <c r="N989" s="3">
        <v>0.49931119400000001</v>
      </c>
      <c r="O989" s="3">
        <v>8.0024952999999996E-2</v>
      </c>
      <c r="P989" s="3">
        <v>0.121411675</v>
      </c>
      <c r="Q989" s="3">
        <v>0.18389298800000001</v>
      </c>
      <c r="R989" s="3">
        <v>0.25402550499999998</v>
      </c>
      <c r="S989" s="3">
        <v>0.27661913500000002</v>
      </c>
      <c r="T989" s="3">
        <v>1.2979455769999999</v>
      </c>
      <c r="U989" s="3">
        <v>0.56482868399999997</v>
      </c>
      <c r="V989" s="3">
        <v>0.382942752</v>
      </c>
      <c r="W989" s="3">
        <v>1</v>
      </c>
      <c r="X989" s="3">
        <v>11.69278911</v>
      </c>
      <c r="Y989" s="3">
        <v>1.9886724000000001E-2</v>
      </c>
      <c r="Z989" s="3">
        <v>2.2979455770000001</v>
      </c>
      <c r="AA989" s="3">
        <v>0.42900296399999999</v>
      </c>
      <c r="AB989" s="3">
        <v>10.07063503</v>
      </c>
      <c r="AC989" s="3">
        <v>11.69278911</v>
      </c>
      <c r="AD989" s="3">
        <v>0.68935675200000002</v>
      </c>
      <c r="AE989" s="3">
        <v>0</v>
      </c>
      <c r="AF989" s="4">
        <v>41075</v>
      </c>
      <c r="AG989" s="5">
        <f>YEAR(AF989)</f>
        <v>2012</v>
      </c>
      <c r="AH989" s="5" t="str">
        <f>"Q"&amp;ROUNDUP(MONTH(AF989)/3,0)</f>
        <v>Q2</v>
      </c>
      <c r="AI989" s="5">
        <f>INDEX(RatingLookup!$B$2:$B$11,MATCH(A989,RatingLookup!$A$2:$A$11,0))</f>
        <v>5</v>
      </c>
      <c r="AJ989" s="5" t="str">
        <f>INDEX(RatingLookup!$C$2:$C$11,MATCH(A989,RatingLookup!$A$2:$A$11,0))</f>
        <v>Speculative Grade</v>
      </c>
    </row>
    <row r="990" spans="1:36" x14ac:dyDescent="0.3">
      <c r="A990" s="3" t="s">
        <v>92</v>
      </c>
      <c r="B990" s="3" t="s">
        <v>1130</v>
      </c>
      <c r="C990" s="3" t="s">
        <v>1131</v>
      </c>
      <c r="D990" s="3" t="s">
        <v>39</v>
      </c>
      <c r="E990" s="3" t="s">
        <v>414</v>
      </c>
      <c r="F990" s="3" t="s">
        <v>53</v>
      </c>
      <c r="G990" s="3">
        <v>2.2040676029999999</v>
      </c>
      <c r="H990" s="3">
        <v>1.819221354</v>
      </c>
      <c r="I990" s="3">
        <v>0.38320311200000001</v>
      </c>
      <c r="J990" s="3">
        <v>41.279049970000003</v>
      </c>
      <c r="K990" s="3">
        <v>3.6538582E-2</v>
      </c>
      <c r="L990" s="3">
        <v>5.3932388999999997E-2</v>
      </c>
      <c r="M990" s="3">
        <v>1</v>
      </c>
      <c r="N990" s="3">
        <v>0.21124900399999999</v>
      </c>
      <c r="O990" s="3">
        <v>5.2128340000000004E-3</v>
      </c>
      <c r="P990" s="3">
        <v>8.0753270000000002E-3</v>
      </c>
      <c r="Q990" s="3">
        <v>9.4921880000000004E-3</v>
      </c>
      <c r="R990" s="3">
        <v>0.142666563</v>
      </c>
      <c r="S990" s="3">
        <v>0.16430552100000001</v>
      </c>
      <c r="T990" s="3">
        <v>0.82092663099999996</v>
      </c>
      <c r="U990" s="3">
        <v>0.45082905400000001</v>
      </c>
      <c r="V990" s="3">
        <v>0.32251133399999998</v>
      </c>
      <c r="W990" s="3">
        <v>1</v>
      </c>
      <c r="X990" s="3">
        <v>7.4838233580000004</v>
      </c>
      <c r="Y990" s="3">
        <v>7.3465970680000003</v>
      </c>
      <c r="Z990" s="3">
        <v>1.8209266310000001</v>
      </c>
      <c r="AA990" s="3">
        <v>5.3932388999999997E-2</v>
      </c>
      <c r="AB990" s="3">
        <v>9.1613236170000008</v>
      </c>
      <c r="AC990" s="3">
        <v>7.4838233580000004</v>
      </c>
      <c r="AD990" s="3">
        <v>0.49762610099999999</v>
      </c>
      <c r="AE990" s="3">
        <v>0</v>
      </c>
      <c r="AF990" s="4">
        <v>42227</v>
      </c>
      <c r="AG990" s="5">
        <f>YEAR(AF990)</f>
        <v>2015</v>
      </c>
      <c r="AH990" s="5" t="str">
        <f>"Q"&amp;ROUNDUP(MONTH(AF990)/3,0)</f>
        <v>Q3</v>
      </c>
      <c r="AI990" s="5">
        <f>INDEX(RatingLookup!$B$2:$B$11,MATCH(A990,RatingLookup!$A$2:$A$11,0))</f>
        <v>6</v>
      </c>
      <c r="AJ990" s="5" t="str">
        <f>INDEX(RatingLookup!$C$2:$C$11,MATCH(A990,RatingLookup!$A$2:$A$11,0))</f>
        <v>Speculative Grade</v>
      </c>
    </row>
    <row r="991" spans="1:36" x14ac:dyDescent="0.3">
      <c r="A991" s="3" t="s">
        <v>92</v>
      </c>
      <c r="B991" s="3" t="s">
        <v>1130</v>
      </c>
      <c r="C991" s="3" t="s">
        <v>1131</v>
      </c>
      <c r="D991" s="3" t="s">
        <v>39</v>
      </c>
      <c r="E991" s="3" t="s">
        <v>648</v>
      </c>
      <c r="F991" s="3" t="s">
        <v>53</v>
      </c>
      <c r="G991" s="3">
        <v>0.83268065400000002</v>
      </c>
      <c r="H991" s="3">
        <v>0.51918135799999998</v>
      </c>
      <c r="I991" s="3">
        <v>1.47E-5</v>
      </c>
      <c r="J991" s="3">
        <v>34.38494188</v>
      </c>
      <c r="K991" s="3">
        <v>0.202310248</v>
      </c>
      <c r="L991" s="3">
        <v>0.321771692</v>
      </c>
      <c r="M991" s="3">
        <v>1</v>
      </c>
      <c r="N991" s="3">
        <v>0.40965593300000003</v>
      </c>
      <c r="O991" s="3">
        <v>4.5608193999999998E-2</v>
      </c>
      <c r="P991" s="3">
        <v>8.2519905000000005E-2</v>
      </c>
      <c r="Q991" s="3">
        <v>0.101911874</v>
      </c>
      <c r="R991" s="3">
        <v>0.225436893</v>
      </c>
      <c r="S991" s="3">
        <v>0.26064504700000002</v>
      </c>
      <c r="T991" s="3">
        <v>1.2345079940000001</v>
      </c>
      <c r="U991" s="3">
        <v>0.55247418999999998</v>
      </c>
      <c r="V991" s="3">
        <v>0.37126150800000002</v>
      </c>
      <c r="W991" s="3">
        <v>1</v>
      </c>
      <c r="X991" s="3">
        <v>15.377852710000001</v>
      </c>
      <c r="Y991" s="3">
        <v>4.505273603</v>
      </c>
      <c r="Z991" s="3">
        <v>2.2345079939999999</v>
      </c>
      <c r="AA991" s="3">
        <v>0.321771692</v>
      </c>
      <c r="AB991" s="3">
        <v>7.624101842</v>
      </c>
      <c r="AC991" s="3">
        <v>15.377852710000001</v>
      </c>
      <c r="AD991" s="3">
        <v>0.62920846100000005</v>
      </c>
      <c r="AE991" s="3">
        <v>0</v>
      </c>
      <c r="AF991" s="4">
        <v>41906</v>
      </c>
      <c r="AG991" s="5">
        <f>YEAR(AF991)</f>
        <v>2014</v>
      </c>
      <c r="AH991" s="5" t="str">
        <f>"Q"&amp;ROUNDUP(MONTH(AF991)/3,0)</f>
        <v>Q3</v>
      </c>
      <c r="AI991" s="5">
        <f>INDEX(RatingLookup!$B$2:$B$11,MATCH(A991,RatingLookup!$A$2:$A$11,0))</f>
        <v>6</v>
      </c>
      <c r="AJ991" s="5" t="str">
        <f>INDEX(RatingLookup!$C$2:$C$11,MATCH(A991,RatingLookup!$A$2:$A$11,0))</f>
        <v>Speculative Grade</v>
      </c>
    </row>
    <row r="992" spans="1:36" x14ac:dyDescent="0.3">
      <c r="A992" s="3" t="s">
        <v>109</v>
      </c>
      <c r="B992" s="3" t="s">
        <v>1130</v>
      </c>
      <c r="C992" s="3" t="s">
        <v>1131</v>
      </c>
      <c r="D992" s="3" t="s">
        <v>60</v>
      </c>
      <c r="E992" s="3" t="s">
        <v>652</v>
      </c>
      <c r="F992" s="3" t="s">
        <v>53</v>
      </c>
      <c r="G992" s="3">
        <v>0.62003875200000003</v>
      </c>
      <c r="H992" s="3">
        <v>0.32006415500000002</v>
      </c>
      <c r="I992" s="3">
        <v>3.8914399999999999E-3</v>
      </c>
      <c r="J992" s="3">
        <v>39.72347998</v>
      </c>
      <c r="K992" s="3">
        <v>0.23721600100000001</v>
      </c>
      <c r="L992" s="3">
        <v>0.36227383699999999</v>
      </c>
      <c r="M992" s="3">
        <v>1</v>
      </c>
      <c r="N992" s="3">
        <v>0.46739007399999999</v>
      </c>
      <c r="O992" s="3">
        <v>5.0258125000000001E-2</v>
      </c>
      <c r="P992" s="3">
        <v>8.3990511000000004E-2</v>
      </c>
      <c r="Q992" s="3">
        <v>0.124542582</v>
      </c>
      <c r="R992" s="3">
        <v>0.21186650500000001</v>
      </c>
      <c r="S992" s="3">
        <v>0.22766389000000001</v>
      </c>
      <c r="T992" s="3">
        <v>1.478058656</v>
      </c>
      <c r="U992" s="3">
        <v>0.59645830099999997</v>
      </c>
      <c r="V992" s="3">
        <v>0.38078574700000001</v>
      </c>
      <c r="W992" s="3">
        <v>1</v>
      </c>
      <c r="X992" s="3">
        <v>11.99222793</v>
      </c>
      <c r="Y992" s="3">
        <v>0.376218626</v>
      </c>
      <c r="Z992" s="3">
        <v>2.478058656</v>
      </c>
      <c r="AA992" s="3">
        <v>0.36227383699999999</v>
      </c>
      <c r="AB992" s="3">
        <v>8.9075515660000004</v>
      </c>
      <c r="AC992" s="3">
        <v>11.99222793</v>
      </c>
      <c r="AD992" s="3">
        <v>0.68000246200000003</v>
      </c>
      <c r="AE992" s="3">
        <v>0</v>
      </c>
      <c r="AF992" s="4">
        <v>41135</v>
      </c>
      <c r="AG992" s="5">
        <f>YEAR(AF992)</f>
        <v>2012</v>
      </c>
      <c r="AH992" s="5" t="str">
        <f>"Q"&amp;ROUNDUP(MONTH(AF992)/3,0)</f>
        <v>Q3</v>
      </c>
      <c r="AI992" s="5">
        <f>INDEX(RatingLookup!$B$2:$B$11,MATCH(A992,RatingLookup!$A$2:$A$11,0))</f>
        <v>5</v>
      </c>
      <c r="AJ992" s="5" t="str">
        <f>INDEX(RatingLookup!$C$2:$C$11,MATCH(A992,RatingLookup!$A$2:$A$11,0))</f>
        <v>Speculative Grade</v>
      </c>
    </row>
    <row r="993" spans="1:36" x14ac:dyDescent="0.3">
      <c r="A993" s="3" t="s">
        <v>42</v>
      </c>
      <c r="B993" s="3" t="s">
        <v>1130</v>
      </c>
      <c r="C993" s="3" t="s">
        <v>1131</v>
      </c>
      <c r="D993" s="3" t="s">
        <v>47</v>
      </c>
      <c r="E993" s="3" t="s">
        <v>1132</v>
      </c>
      <c r="F993" s="3" t="s">
        <v>53</v>
      </c>
      <c r="G993" s="3">
        <v>0.72557641799999995</v>
      </c>
      <c r="H993" s="3">
        <v>0.36772324499999998</v>
      </c>
      <c r="I993" s="3">
        <v>7.0714271999999995E-2</v>
      </c>
      <c r="J993" s="3">
        <v>49.147443279999997</v>
      </c>
      <c r="K993" s="3">
        <v>-0.89446895000000004</v>
      </c>
      <c r="L993" s="3">
        <v>-1.4303077449999999</v>
      </c>
      <c r="M993" s="3">
        <v>1</v>
      </c>
      <c r="N993" s="3">
        <v>-1.2657242740000001</v>
      </c>
      <c r="O993" s="3">
        <v>-0.120670572</v>
      </c>
      <c r="P993" s="3">
        <v>-0.20574583799999999</v>
      </c>
      <c r="Q993" s="3">
        <v>-0.19185424400000001</v>
      </c>
      <c r="R993" s="3">
        <v>0.13490750200000001</v>
      </c>
      <c r="S993" s="3">
        <v>0.14465805700000001</v>
      </c>
      <c r="T993" s="3">
        <v>0.58990083999999998</v>
      </c>
      <c r="U993" s="3">
        <v>0.37102995700000002</v>
      </c>
      <c r="V993" s="3">
        <v>0.37463182099999998</v>
      </c>
      <c r="W993" s="3">
        <v>1</v>
      </c>
      <c r="X993" s="3">
        <v>10.27381544</v>
      </c>
      <c r="Y993" s="3">
        <v>0.42159474600000002</v>
      </c>
      <c r="Z993" s="3">
        <v>1.5899008400000001</v>
      </c>
      <c r="AA993" s="3">
        <v>-1.4303077449999999</v>
      </c>
      <c r="AB993" s="3">
        <v>-23.874227919999999</v>
      </c>
      <c r="AC993" s="3">
        <v>10.27381544</v>
      </c>
      <c r="AD993" s="3">
        <v>0.84676340100000003</v>
      </c>
      <c r="AE993" s="3">
        <v>0</v>
      </c>
      <c r="AF993" s="4">
        <v>42601</v>
      </c>
      <c r="AG993" s="5">
        <f>YEAR(AF993)</f>
        <v>2016</v>
      </c>
      <c r="AH993" s="5" t="str">
        <f>"Q"&amp;ROUNDUP(MONTH(AF993)/3,0)</f>
        <v>Q3</v>
      </c>
      <c r="AI993" s="5">
        <f>INDEX(RatingLookup!$B$2:$B$11,MATCH(A993,RatingLookup!$A$2:$A$11,0))</f>
        <v>7</v>
      </c>
      <c r="AJ993" s="5" t="str">
        <f>INDEX(RatingLookup!$C$2:$C$11,MATCH(A993,RatingLookup!$A$2:$A$11,0))</f>
        <v>Investment Grade</v>
      </c>
    </row>
    <row r="994" spans="1:36" x14ac:dyDescent="0.3">
      <c r="A994" s="3" t="s">
        <v>42</v>
      </c>
      <c r="B994" s="3" t="s">
        <v>1133</v>
      </c>
      <c r="C994" s="3" t="s">
        <v>1134</v>
      </c>
      <c r="D994" s="3" t="s">
        <v>39</v>
      </c>
      <c r="E994" s="3" t="s">
        <v>1135</v>
      </c>
      <c r="F994" s="3" t="s">
        <v>113</v>
      </c>
      <c r="G994" s="3">
        <v>1.221731449</v>
      </c>
      <c r="H994" s="3">
        <v>0.91784452299999997</v>
      </c>
      <c r="I994" s="3">
        <v>0.16519434599999999</v>
      </c>
      <c r="J994" s="3">
        <v>43.518052060000002</v>
      </c>
      <c r="K994" s="3">
        <v>0.118807725</v>
      </c>
      <c r="L994" s="3">
        <v>0.118667786</v>
      </c>
      <c r="M994" s="3">
        <v>0.39462636400000001</v>
      </c>
      <c r="N994" s="3">
        <v>0.20640918</v>
      </c>
      <c r="O994" s="3">
        <v>9.4881538000000001E-2</v>
      </c>
      <c r="P994" s="3">
        <v>0.108495394</v>
      </c>
      <c r="Q994" s="3">
        <v>0.21504559300000001</v>
      </c>
      <c r="R994" s="3">
        <v>0.79861421499999996</v>
      </c>
      <c r="S994" s="3">
        <v>8.8770186340000006</v>
      </c>
      <c r="T994" s="3">
        <v>1.266464032</v>
      </c>
      <c r="U994" s="3">
        <v>0.55878408599999996</v>
      </c>
      <c r="V994" s="3">
        <v>0.58962264200000003</v>
      </c>
      <c r="W994" s="3">
        <v>0.645705521</v>
      </c>
      <c r="X994" s="3">
        <v>2.7697368419999999</v>
      </c>
      <c r="Y994" s="3">
        <v>1.2302631580000001</v>
      </c>
      <c r="Z994" s="3">
        <v>2.266464032</v>
      </c>
      <c r="AA994" s="3">
        <v>0.118667786</v>
      </c>
      <c r="AB994" s="3">
        <v>6.3178384530000002</v>
      </c>
      <c r="AC994" s="3">
        <v>4.2894736839999998</v>
      </c>
      <c r="AD994" s="3">
        <v>9.1239853999999995E-2</v>
      </c>
      <c r="AE994" s="3">
        <v>4.7021739130000002</v>
      </c>
      <c r="AF994" s="4">
        <v>41682</v>
      </c>
      <c r="AG994" s="5">
        <f>YEAR(AF994)</f>
        <v>2014</v>
      </c>
      <c r="AH994" s="5" t="str">
        <f>"Q"&amp;ROUNDUP(MONTH(AF994)/3,0)</f>
        <v>Q1</v>
      </c>
      <c r="AI994" s="5">
        <f>INDEX(RatingLookup!$B$2:$B$11,MATCH(A994,RatingLookup!$A$2:$A$11,0))</f>
        <v>7</v>
      </c>
      <c r="AJ994" s="5" t="str">
        <f>INDEX(RatingLookup!$C$2:$C$11,MATCH(A994,RatingLookup!$A$2:$A$11,0))</f>
        <v>Investment Grade</v>
      </c>
    </row>
    <row r="995" spans="1:36" x14ac:dyDescent="0.3">
      <c r="A995" s="3" t="s">
        <v>42</v>
      </c>
      <c r="B995" s="3" t="s">
        <v>1133</v>
      </c>
      <c r="C995" s="3" t="s">
        <v>1134</v>
      </c>
      <c r="D995" s="3" t="s">
        <v>60</v>
      </c>
      <c r="E995" s="3" t="s">
        <v>1136</v>
      </c>
      <c r="F995" s="3" t="s">
        <v>113</v>
      </c>
      <c r="G995" s="3">
        <v>1.279624893</v>
      </c>
      <c r="H995" s="3">
        <v>1.2847399829999999</v>
      </c>
      <c r="I995" s="3">
        <v>0.11338448399999999</v>
      </c>
      <c r="J995" s="3">
        <v>43.889630320000002</v>
      </c>
      <c r="K995" s="3">
        <v>9.4621647000000003E-2</v>
      </c>
      <c r="L995" s="3">
        <v>0.147204057</v>
      </c>
      <c r="M995" s="3">
        <v>0.37848658699999999</v>
      </c>
      <c r="N995" s="3">
        <v>0.186707594</v>
      </c>
      <c r="O995" s="3">
        <v>7.1170447999999997E-2</v>
      </c>
      <c r="P995" s="3">
        <v>0.125497781</v>
      </c>
      <c r="Q995" s="3">
        <v>0.15136635400000001</v>
      </c>
      <c r="R995" s="3">
        <v>0.75215820099999997</v>
      </c>
      <c r="S995" s="3">
        <v>8.1005405410000009</v>
      </c>
      <c r="T995" s="3">
        <v>1.1268146880000001</v>
      </c>
      <c r="U995" s="3">
        <v>0.52981329099999996</v>
      </c>
      <c r="V995" s="3">
        <v>0.338168631</v>
      </c>
      <c r="W995" s="3">
        <v>0.67530864199999996</v>
      </c>
      <c r="X995" s="3">
        <v>3.798611111</v>
      </c>
      <c r="Y995" s="3">
        <v>4.2083333329999997</v>
      </c>
      <c r="Z995" s="3">
        <v>2.1268146880000001</v>
      </c>
      <c r="AA995" s="3">
        <v>0.147204057</v>
      </c>
      <c r="AB995" s="3">
        <v>7.6186024659999996</v>
      </c>
      <c r="AC995" s="3">
        <v>5.625</v>
      </c>
      <c r="AD995" s="3">
        <v>0.108100894</v>
      </c>
      <c r="AE995" s="3">
        <v>4.5927021699999999</v>
      </c>
      <c r="AF995" s="4">
        <v>42513</v>
      </c>
      <c r="AG995" s="5">
        <f>YEAR(AF995)</f>
        <v>2016</v>
      </c>
      <c r="AH995" s="5" t="str">
        <f>"Q"&amp;ROUNDUP(MONTH(AF995)/3,0)</f>
        <v>Q2</v>
      </c>
      <c r="AI995" s="5">
        <f>INDEX(RatingLookup!$B$2:$B$11,MATCH(A995,RatingLookup!$A$2:$A$11,0))</f>
        <v>7</v>
      </c>
      <c r="AJ995" s="5" t="str">
        <f>INDEX(RatingLookup!$C$2:$C$11,MATCH(A995,RatingLookup!$A$2:$A$11,0))</f>
        <v>Investment Grade</v>
      </c>
    </row>
    <row r="996" spans="1:36" x14ac:dyDescent="0.3">
      <c r="A996" s="3" t="s">
        <v>42</v>
      </c>
      <c r="B996" s="3" t="s">
        <v>1133</v>
      </c>
      <c r="C996" s="3" t="s">
        <v>1134</v>
      </c>
      <c r="D996" s="3" t="s">
        <v>60</v>
      </c>
      <c r="E996" s="3" t="s">
        <v>46</v>
      </c>
      <c r="F996" s="3" t="s">
        <v>113</v>
      </c>
      <c r="G996" s="3">
        <v>0.89757673599999999</v>
      </c>
      <c r="H996" s="3">
        <v>0.68624720500000003</v>
      </c>
      <c r="I996" s="3">
        <v>0.105617685</v>
      </c>
      <c r="J996" s="3">
        <v>44.052528529999996</v>
      </c>
      <c r="K996" s="3">
        <v>6.2654634000000001E-2</v>
      </c>
      <c r="L996" s="3">
        <v>6.7536472E-2</v>
      </c>
      <c r="M996" s="3">
        <v>0.41477413600000002</v>
      </c>
      <c r="N996" s="3">
        <v>0.13248776000000001</v>
      </c>
      <c r="O996" s="3">
        <v>5.0525914999999998E-2</v>
      </c>
      <c r="P996" s="3">
        <v>6.5430548000000005E-2</v>
      </c>
      <c r="Q996" s="3">
        <v>0.127425754</v>
      </c>
      <c r="R996" s="3">
        <v>0.80641945299999995</v>
      </c>
      <c r="S996" s="3">
        <v>9.390800617</v>
      </c>
      <c r="T996" s="3">
        <v>1.5219880349999999</v>
      </c>
      <c r="U996" s="3">
        <v>0.60348741299999997</v>
      </c>
      <c r="V996" s="3">
        <v>0.68804807300000004</v>
      </c>
      <c r="W996" s="3">
        <v>0.81958605200000001</v>
      </c>
      <c r="X996" s="3">
        <v>4.6253781390000004</v>
      </c>
      <c r="Y996" s="3">
        <v>1.039162549</v>
      </c>
      <c r="Z996" s="3">
        <v>2.5219880350000001</v>
      </c>
      <c r="AA996" s="3">
        <v>6.7536472E-2</v>
      </c>
      <c r="AB996" s="3">
        <v>10.273563920000001</v>
      </c>
      <c r="AC996" s="3">
        <v>5.6435539979999998</v>
      </c>
      <c r="AD996" s="3">
        <v>0.119229771</v>
      </c>
      <c r="AE996" s="3">
        <v>4.8472733809999999</v>
      </c>
      <c r="AF996" s="4">
        <v>41075</v>
      </c>
      <c r="AG996" s="5">
        <f>YEAR(AF996)</f>
        <v>2012</v>
      </c>
      <c r="AH996" s="5" t="str">
        <f>"Q"&amp;ROUNDUP(MONTH(AF996)/3,0)</f>
        <v>Q2</v>
      </c>
      <c r="AI996" s="5">
        <f>INDEX(RatingLookup!$B$2:$B$11,MATCH(A996,RatingLookup!$A$2:$A$11,0))</f>
        <v>7</v>
      </c>
      <c r="AJ996" s="5" t="str">
        <f>INDEX(RatingLookup!$C$2:$C$11,MATCH(A996,RatingLookup!$A$2:$A$11,0))</f>
        <v>Investment Grade</v>
      </c>
    </row>
    <row r="997" spans="1:36" x14ac:dyDescent="0.3">
      <c r="A997" s="3" t="s">
        <v>42</v>
      </c>
      <c r="B997" s="3" t="s">
        <v>1133</v>
      </c>
      <c r="C997" s="3" t="s">
        <v>1134</v>
      </c>
      <c r="D997" s="3" t="s">
        <v>39</v>
      </c>
      <c r="E997" s="3" t="s">
        <v>78</v>
      </c>
      <c r="F997" s="3" t="s">
        <v>113</v>
      </c>
      <c r="G997" s="3">
        <v>0.937975424</v>
      </c>
      <c r="H997" s="3">
        <v>0.65769455799999998</v>
      </c>
      <c r="I997" s="3">
        <v>0.112346401</v>
      </c>
      <c r="J997" s="3">
        <v>45.753866850000001</v>
      </c>
      <c r="K997" s="3">
        <v>7.4781439000000005E-2</v>
      </c>
      <c r="L997" s="3">
        <v>7.8950908E-2</v>
      </c>
      <c r="M997" s="3">
        <v>0.37632817800000001</v>
      </c>
      <c r="N997" s="3">
        <v>0.13221250800000001</v>
      </c>
      <c r="O997" s="3">
        <v>5.6292396000000001E-2</v>
      </c>
      <c r="P997" s="3">
        <v>7.1865817999999998E-2</v>
      </c>
      <c r="Q997" s="3">
        <v>0.129272262</v>
      </c>
      <c r="R997" s="3">
        <v>0.75275893500000002</v>
      </c>
      <c r="S997" s="3">
        <v>7.9689174710000001</v>
      </c>
      <c r="T997" s="3">
        <v>1.296442688</v>
      </c>
      <c r="U997" s="3">
        <v>0.56454389000000005</v>
      </c>
      <c r="V997" s="3">
        <v>0.44633730799999999</v>
      </c>
      <c r="W997" s="3">
        <v>0.67164179099999999</v>
      </c>
      <c r="X997" s="3">
        <v>4.3448275860000001</v>
      </c>
      <c r="Y997" s="3">
        <v>1.3241379310000001</v>
      </c>
      <c r="Z997" s="3">
        <v>2.296442688</v>
      </c>
      <c r="AA997" s="3">
        <v>7.8950908E-2</v>
      </c>
      <c r="AB997" s="3">
        <v>10.69787972</v>
      </c>
      <c r="AC997" s="3">
        <v>6.468965517</v>
      </c>
      <c r="AD997" s="3">
        <v>0.12616005399999999</v>
      </c>
      <c r="AE997" s="3">
        <v>3.893366919</v>
      </c>
      <c r="AF997" s="4">
        <v>41940</v>
      </c>
      <c r="AG997" s="5">
        <f>YEAR(AF997)</f>
        <v>2014</v>
      </c>
      <c r="AH997" s="5" t="str">
        <f>"Q"&amp;ROUNDUP(MONTH(AF997)/3,0)</f>
        <v>Q4</v>
      </c>
      <c r="AI997" s="5">
        <f>INDEX(RatingLookup!$B$2:$B$11,MATCH(A997,RatingLookup!$A$2:$A$11,0))</f>
        <v>7</v>
      </c>
      <c r="AJ997" s="5" t="str">
        <f>INDEX(RatingLookup!$C$2:$C$11,MATCH(A997,RatingLookup!$A$2:$A$11,0))</f>
        <v>Investment Grade</v>
      </c>
    </row>
    <row r="998" spans="1:36" x14ac:dyDescent="0.3">
      <c r="A998" s="3" t="s">
        <v>109</v>
      </c>
      <c r="B998" s="3" t="s">
        <v>1137</v>
      </c>
      <c r="C998" s="3" t="s">
        <v>1138</v>
      </c>
      <c r="D998" s="3" t="s">
        <v>39</v>
      </c>
      <c r="E998" s="3" t="s">
        <v>1139</v>
      </c>
      <c r="F998" s="3" t="s">
        <v>41</v>
      </c>
      <c r="G998" s="3">
        <v>3.6892321020000001</v>
      </c>
      <c r="H998" s="3">
        <v>1.24629653</v>
      </c>
      <c r="I998" s="3">
        <v>8.3124461999999996E-2</v>
      </c>
      <c r="J998" s="3">
        <v>42.878256540000002</v>
      </c>
      <c r="K998" s="3">
        <v>-1.1665219999999999E-3</v>
      </c>
      <c r="L998" s="3">
        <v>-2.1117140000000002E-3</v>
      </c>
      <c r="M998" s="3">
        <v>0.28053504000000001</v>
      </c>
      <c r="N998" s="3">
        <v>2.4282897000000001E-2</v>
      </c>
      <c r="O998" s="3">
        <v>-1.6612700000000001E-3</v>
      </c>
      <c r="P998" s="3">
        <v>-3.5675210000000001E-3</v>
      </c>
      <c r="Q998" s="3">
        <v>-4.1158319999999998E-3</v>
      </c>
      <c r="R998" s="3">
        <v>1.4241215679999999</v>
      </c>
      <c r="S998" s="3">
        <v>8.7534103000000005</v>
      </c>
      <c r="T998" s="3">
        <v>1.4775218809999999</v>
      </c>
      <c r="U998" s="3">
        <v>0.59637087099999997</v>
      </c>
      <c r="V998" s="3">
        <v>0.74226804099999999</v>
      </c>
      <c r="W998" s="3">
        <v>1.8900360650000001</v>
      </c>
      <c r="X998" s="3">
        <v>-1.1114484140000001</v>
      </c>
      <c r="Y998" s="3">
        <v>0.68565725499999997</v>
      </c>
      <c r="Z998" s="3">
        <v>2.4775218809999999</v>
      </c>
      <c r="AA998" s="3">
        <v>-2.1117140000000002E-3</v>
      </c>
      <c r="AB998" s="3">
        <v>11.254262000000001</v>
      </c>
      <c r="AC998" s="3">
        <v>-0.58805672200000003</v>
      </c>
      <c r="AD998" s="3">
        <v>-1.7102948E-2</v>
      </c>
      <c r="AE998" s="3">
        <v>11.48732729</v>
      </c>
      <c r="AF998" s="4">
        <v>41808</v>
      </c>
      <c r="AG998" s="5">
        <f>YEAR(AF998)</f>
        <v>2014</v>
      </c>
      <c r="AH998" s="5" t="str">
        <f>"Q"&amp;ROUNDUP(MONTH(AF998)/3,0)</f>
        <v>Q2</v>
      </c>
      <c r="AI998" s="5">
        <f>INDEX(RatingLookup!$B$2:$B$11,MATCH(A998,RatingLookup!$A$2:$A$11,0))</f>
        <v>5</v>
      </c>
      <c r="AJ998" s="5" t="str">
        <f>INDEX(RatingLookup!$C$2:$C$11,MATCH(A998,RatingLookup!$A$2:$A$11,0))</f>
        <v>Speculative Grade</v>
      </c>
    </row>
    <row r="999" spans="1:36" x14ac:dyDescent="0.3">
      <c r="A999" s="3" t="s">
        <v>109</v>
      </c>
      <c r="B999" s="3" t="s">
        <v>1137</v>
      </c>
      <c r="C999" s="3" t="s">
        <v>1138</v>
      </c>
      <c r="D999" s="3" t="s">
        <v>39</v>
      </c>
      <c r="E999" s="3" t="s">
        <v>770</v>
      </c>
      <c r="F999" s="3" t="s">
        <v>41</v>
      </c>
      <c r="G999" s="3">
        <v>3.8796057720000001</v>
      </c>
      <c r="H999" s="3">
        <v>1.6314168849999999</v>
      </c>
      <c r="I999" s="3">
        <v>0.45451709400000001</v>
      </c>
      <c r="J999" s="3">
        <v>44.074407999999998</v>
      </c>
      <c r="K999" s="3">
        <v>5.4875569999999997E-3</v>
      </c>
      <c r="L999" s="3">
        <v>8.6427150000000005E-3</v>
      </c>
      <c r="M999" s="3">
        <v>0.28299437100000002</v>
      </c>
      <c r="N999" s="3">
        <v>3.5037712999999998E-2</v>
      </c>
      <c r="O999" s="3">
        <v>7.6641360000000002E-3</v>
      </c>
      <c r="P999" s="3">
        <v>1.421237E-2</v>
      </c>
      <c r="Q999" s="3">
        <v>1.8162951E-2</v>
      </c>
      <c r="R999" s="3">
        <v>1.396639062</v>
      </c>
      <c r="S999" s="3">
        <v>9.6156225089999996</v>
      </c>
      <c r="T999" s="3">
        <v>1.3698627880000001</v>
      </c>
      <c r="U999" s="3">
        <v>0.57803464199999999</v>
      </c>
      <c r="V999" s="3">
        <v>0.29172075600000003</v>
      </c>
      <c r="W999" s="3">
        <v>0.864209636</v>
      </c>
      <c r="X999" s="3">
        <v>2.2359656299999999</v>
      </c>
      <c r="Y999" s="3">
        <v>1.813952537</v>
      </c>
      <c r="Z999" s="3">
        <v>2.3698627879999998</v>
      </c>
      <c r="AA999" s="3">
        <v>8.6427150000000005E-3</v>
      </c>
      <c r="AB999" s="3">
        <v>7.8646324759999997</v>
      </c>
      <c r="AC999" s="3">
        <v>2.587295417</v>
      </c>
      <c r="AD999" s="3">
        <v>7.8827219000000004E-2</v>
      </c>
      <c r="AE999" s="3">
        <v>13.00869634</v>
      </c>
      <c r="AF999" s="4">
        <v>41879</v>
      </c>
      <c r="AG999" s="5">
        <f>YEAR(AF999)</f>
        <v>2014</v>
      </c>
      <c r="AH999" s="5" t="str">
        <f>"Q"&amp;ROUNDUP(MONTH(AF999)/3,0)</f>
        <v>Q3</v>
      </c>
      <c r="AI999" s="5">
        <f>INDEX(RatingLookup!$B$2:$B$11,MATCH(A999,RatingLookup!$A$2:$A$11,0))</f>
        <v>5</v>
      </c>
      <c r="AJ999" s="5" t="str">
        <f>INDEX(RatingLookup!$C$2:$C$11,MATCH(A999,RatingLookup!$A$2:$A$11,0))</f>
        <v>Speculative Grade</v>
      </c>
    </row>
    <row r="1000" spans="1:36" x14ac:dyDescent="0.3">
      <c r="A1000" s="3" t="s">
        <v>109</v>
      </c>
      <c r="B1000" s="3" t="s">
        <v>1137</v>
      </c>
      <c r="C1000" s="3" t="s">
        <v>1138</v>
      </c>
      <c r="D1000" s="3" t="s">
        <v>39</v>
      </c>
      <c r="E1000" s="3" t="s">
        <v>1140</v>
      </c>
      <c r="F1000" s="3" t="s">
        <v>41</v>
      </c>
      <c r="G1000" s="3">
        <v>3.6959028630000001</v>
      </c>
      <c r="H1000" s="3">
        <v>1.4413806360000001</v>
      </c>
      <c r="I1000" s="3">
        <v>0.268982047</v>
      </c>
      <c r="J1000" s="3">
        <v>45.859352520000002</v>
      </c>
      <c r="K1000" s="3">
        <v>1.9367713000000002E-2</v>
      </c>
      <c r="L1000" s="3">
        <v>3.1228476000000002E-2</v>
      </c>
      <c r="M1000" s="3">
        <v>0.29565703100000001</v>
      </c>
      <c r="N1000" s="3">
        <v>5.5390410000000001E-2</v>
      </c>
      <c r="O1000" s="3">
        <v>2.8174388000000002E-2</v>
      </c>
      <c r="P1000" s="3">
        <v>5.3818447999999998E-2</v>
      </c>
      <c r="Q1000" s="3">
        <v>6.3273076999999997E-2</v>
      </c>
      <c r="R1000" s="3">
        <v>1.454709126</v>
      </c>
      <c r="S1000" s="3">
        <v>10.139101650000001</v>
      </c>
      <c r="T1000" s="3">
        <v>1.2457657639999999</v>
      </c>
      <c r="U1000" s="3">
        <v>0.55471758599999998</v>
      </c>
      <c r="V1000" s="3">
        <v>0.35955383099999999</v>
      </c>
      <c r="W1000" s="3">
        <v>0.74808173899999997</v>
      </c>
      <c r="X1000" s="3">
        <v>1.347123265</v>
      </c>
      <c r="Y1000" s="3">
        <v>0.97986079699999995</v>
      </c>
      <c r="Z1000" s="3">
        <v>2.2457657640000002</v>
      </c>
      <c r="AA1000" s="3">
        <v>3.1228476000000002E-2</v>
      </c>
      <c r="AB1000" s="3">
        <v>9.4385601020000003</v>
      </c>
      <c r="AC1000" s="3">
        <v>1.8007701490000001</v>
      </c>
      <c r="AD1000" s="3">
        <v>5.2975730999999998E-2</v>
      </c>
      <c r="AE1000" s="3">
        <v>13.080189900000001</v>
      </c>
      <c r="AF1000" s="4">
        <v>42354</v>
      </c>
      <c r="AG1000" s="5">
        <f>YEAR(AF1000)</f>
        <v>2015</v>
      </c>
      <c r="AH1000" s="5" t="str">
        <f>"Q"&amp;ROUNDUP(MONTH(AF1000)/3,0)</f>
        <v>Q4</v>
      </c>
      <c r="AI1000" s="5">
        <f>INDEX(RatingLookup!$B$2:$B$11,MATCH(A1000,RatingLookup!$A$2:$A$11,0))</f>
        <v>5</v>
      </c>
      <c r="AJ1000" s="5" t="str">
        <f>INDEX(RatingLookup!$C$2:$C$11,MATCH(A1000,RatingLookup!$A$2:$A$11,0))</f>
        <v>Speculative Grade</v>
      </c>
    </row>
    <row r="1001" spans="1:36" x14ac:dyDescent="0.3">
      <c r="A1001" s="3" t="s">
        <v>109</v>
      </c>
      <c r="B1001" s="3" t="s">
        <v>1137</v>
      </c>
      <c r="C1001" s="3" t="s">
        <v>1138</v>
      </c>
      <c r="D1001" s="3" t="s">
        <v>60</v>
      </c>
      <c r="E1001" s="3" t="s">
        <v>46</v>
      </c>
      <c r="F1001" s="3" t="s">
        <v>41</v>
      </c>
      <c r="G1001" s="3">
        <v>3.1395970430000002</v>
      </c>
      <c r="H1001" s="3">
        <v>1.173692629</v>
      </c>
      <c r="I1001" s="3">
        <v>6.2683984999999998E-2</v>
      </c>
      <c r="J1001" s="3">
        <v>43.795239870000003</v>
      </c>
      <c r="K1001" s="3">
        <v>1.7390454999999999E-2</v>
      </c>
      <c r="L1001" s="3">
        <v>2.9458103999999999E-2</v>
      </c>
      <c r="M1001" s="3">
        <v>0.30326859299999998</v>
      </c>
      <c r="N1001" s="3">
        <v>5.2297850999999999E-2</v>
      </c>
      <c r="O1001" s="3">
        <v>2.5913011999999999E-2</v>
      </c>
      <c r="P1001" s="3">
        <v>5.3244357999999999E-2</v>
      </c>
      <c r="Q1001" s="3">
        <v>6.2006323000000002E-2</v>
      </c>
      <c r="R1001" s="3">
        <v>1.4900709329999999</v>
      </c>
      <c r="S1001" s="3">
        <v>9.2326164100000003</v>
      </c>
      <c r="T1001" s="3">
        <v>1.3928643359999999</v>
      </c>
      <c r="U1001" s="3">
        <v>0.58209080899999999</v>
      </c>
      <c r="V1001" s="3">
        <v>0.40842487</v>
      </c>
      <c r="W1001" s="3">
        <v>0.38121471099999998</v>
      </c>
      <c r="X1001" s="3">
        <v>0.34589181200000002</v>
      </c>
      <c r="Y1001" s="3">
        <v>0.53099596199999999</v>
      </c>
      <c r="Z1001" s="3">
        <v>2.3928643360000001</v>
      </c>
      <c r="AA1001" s="3">
        <v>2.9458103999999999E-2</v>
      </c>
      <c r="AB1001" s="3">
        <v>7.8708524630000003</v>
      </c>
      <c r="AC1001" s="3">
        <v>0.90734119599999996</v>
      </c>
      <c r="AD1001" s="3">
        <v>3.1319152000000003E-2</v>
      </c>
      <c r="AE1001" s="3">
        <v>9.7381912740000001</v>
      </c>
      <c r="AF1001" s="4">
        <v>41075</v>
      </c>
      <c r="AG1001" s="5">
        <f>YEAR(AF1001)</f>
        <v>2012</v>
      </c>
      <c r="AH1001" s="5" t="str">
        <f>"Q"&amp;ROUNDUP(MONTH(AF1001)/3,0)</f>
        <v>Q2</v>
      </c>
      <c r="AI1001" s="5">
        <f>INDEX(RatingLookup!$B$2:$B$11,MATCH(A1001,RatingLookup!$A$2:$A$11,0))</f>
        <v>5</v>
      </c>
      <c r="AJ1001" s="5" t="str">
        <f>INDEX(RatingLookup!$C$2:$C$11,MATCH(A1001,RatingLookup!$A$2:$A$11,0))</f>
        <v>Speculative Grade</v>
      </c>
    </row>
    <row r="1002" spans="1:36" x14ac:dyDescent="0.3">
      <c r="A1002" s="3" t="s">
        <v>42</v>
      </c>
      <c r="B1002" s="3" t="s">
        <v>1141</v>
      </c>
      <c r="C1002" s="3" t="s">
        <v>1142</v>
      </c>
      <c r="D1002" s="3" t="s">
        <v>39</v>
      </c>
      <c r="E1002" s="3" t="s">
        <v>344</v>
      </c>
      <c r="F1002" s="3" t="s">
        <v>174</v>
      </c>
      <c r="G1002" s="3">
        <v>0.46551304300000002</v>
      </c>
      <c r="H1002" s="3">
        <v>0.46551304300000002</v>
      </c>
      <c r="I1002" s="3">
        <v>0.46551304300000002</v>
      </c>
      <c r="J1002" s="3">
        <v>0</v>
      </c>
      <c r="K1002" s="3">
        <v>0.76668403299999999</v>
      </c>
      <c r="L1002" s="3">
        <v>-5.0708169999999997E-2</v>
      </c>
      <c r="M1002" s="3">
        <v>2.3273424000000001E-2</v>
      </c>
      <c r="N1002" s="3">
        <v>0.21455273699999999</v>
      </c>
      <c r="O1002" s="3">
        <v>8.0168578000000004E-2</v>
      </c>
      <c r="P1002" s="3">
        <v>-5.3291559999999998E-3</v>
      </c>
      <c r="Q1002" s="3">
        <v>0.17422461</v>
      </c>
      <c r="R1002" s="3">
        <v>0.10456534200000001</v>
      </c>
      <c r="S1002" s="3">
        <v>0.124191</v>
      </c>
      <c r="T1002" s="3">
        <v>1.173228151</v>
      </c>
      <c r="U1002" s="3">
        <v>0.53985503099999999</v>
      </c>
      <c r="V1002" s="3">
        <v>-9.655093E-3</v>
      </c>
      <c r="W1002" s="3">
        <v>1</v>
      </c>
      <c r="X1002" s="3">
        <v>2.452451983</v>
      </c>
      <c r="Y1002" s="3">
        <v>0.151095807</v>
      </c>
      <c r="Z1002" s="3">
        <v>2.173228151</v>
      </c>
      <c r="AA1002" s="3">
        <v>-5.0708169999999997E-2</v>
      </c>
      <c r="AB1002" s="3">
        <v>19.654465869999999</v>
      </c>
      <c r="AC1002" s="3">
        <v>2.452451983</v>
      </c>
      <c r="AD1002" s="3">
        <v>0.36391308500000003</v>
      </c>
      <c r="AE1002" s="3">
        <v>19.63222803</v>
      </c>
      <c r="AF1002" s="4">
        <v>41787</v>
      </c>
      <c r="AG1002" s="5">
        <f>YEAR(AF1002)</f>
        <v>2014</v>
      </c>
      <c r="AH1002" s="5" t="str">
        <f>"Q"&amp;ROUNDUP(MONTH(AF1002)/3,0)</f>
        <v>Q2</v>
      </c>
      <c r="AI1002" s="5">
        <f>INDEX(RatingLookup!$B$2:$B$11,MATCH(A1002,RatingLookup!$A$2:$A$11,0))</f>
        <v>7</v>
      </c>
      <c r="AJ1002" s="5" t="str">
        <f>INDEX(RatingLookup!$C$2:$C$11,MATCH(A1002,RatingLookup!$A$2:$A$11,0))</f>
        <v>Investment Grade</v>
      </c>
    </row>
    <row r="1003" spans="1:36" x14ac:dyDescent="0.3">
      <c r="A1003" s="3" t="s">
        <v>42</v>
      </c>
      <c r="B1003" s="3" t="s">
        <v>1141</v>
      </c>
      <c r="C1003" s="3" t="s">
        <v>1142</v>
      </c>
      <c r="D1003" s="3" t="s">
        <v>39</v>
      </c>
      <c r="E1003" s="3" t="s">
        <v>122</v>
      </c>
      <c r="F1003" s="3" t="s">
        <v>174</v>
      </c>
      <c r="G1003" s="3">
        <v>8.6418750000000003E-3</v>
      </c>
      <c r="H1003" s="3">
        <v>8.6418750000000003E-3</v>
      </c>
      <c r="I1003" s="3">
        <v>8.6418750000000003E-3</v>
      </c>
      <c r="J1003" s="3">
        <v>0</v>
      </c>
      <c r="K1003" s="3">
        <v>0.31698764800000001</v>
      </c>
      <c r="L1003" s="3">
        <v>0.203419716</v>
      </c>
      <c r="M1003" s="3">
        <v>2.4870262000000001E-2</v>
      </c>
      <c r="N1003" s="3">
        <v>0.36751652600000001</v>
      </c>
      <c r="O1003" s="3">
        <v>3.7574283E-2</v>
      </c>
      <c r="P1003" s="3">
        <v>3.0570478000000002E-2</v>
      </c>
      <c r="Q1003" s="3">
        <v>8.3103096000000001E-2</v>
      </c>
      <c r="R1003" s="3">
        <v>0.11853548</v>
      </c>
      <c r="S1003" s="3">
        <v>0.152268916</v>
      </c>
      <c r="T1003" s="3">
        <v>1.2117014420000001</v>
      </c>
      <c r="U1003" s="3">
        <v>0.54785940799999999</v>
      </c>
      <c r="V1003" s="3">
        <v>1.642251E-3</v>
      </c>
      <c r="W1003" s="3">
        <v>1</v>
      </c>
      <c r="X1003" s="3">
        <v>3.7317921969999999</v>
      </c>
      <c r="Y1003" s="3">
        <v>0.116303253</v>
      </c>
      <c r="Z1003" s="3">
        <v>2.2117014419999999</v>
      </c>
      <c r="AA1003" s="3">
        <v>0.203419716</v>
      </c>
      <c r="AB1003" s="3">
        <v>21.439206380000002</v>
      </c>
      <c r="AC1003" s="3">
        <v>3.7317921969999999</v>
      </c>
      <c r="AD1003" s="3">
        <v>0.49417715699999998</v>
      </c>
      <c r="AE1003" s="3">
        <v>14.30440243</v>
      </c>
      <c r="AF1003" s="4">
        <v>42261</v>
      </c>
      <c r="AG1003" s="5">
        <f>YEAR(AF1003)</f>
        <v>2015</v>
      </c>
      <c r="AH1003" s="5" t="str">
        <f>"Q"&amp;ROUNDUP(MONTH(AF1003)/3,0)</f>
        <v>Q3</v>
      </c>
      <c r="AI1003" s="5">
        <f>INDEX(RatingLookup!$B$2:$B$11,MATCH(A1003,RatingLookup!$A$2:$A$11,0))</f>
        <v>7</v>
      </c>
      <c r="AJ1003" s="5" t="str">
        <f>INDEX(RatingLookup!$C$2:$C$11,MATCH(A1003,RatingLookup!$A$2:$A$11,0))</f>
        <v>Investment Grade</v>
      </c>
    </row>
    <row r="1004" spans="1:36" x14ac:dyDescent="0.3">
      <c r="A1004" s="3" t="s">
        <v>42</v>
      </c>
      <c r="B1004" s="3" t="s">
        <v>1141</v>
      </c>
      <c r="C1004" s="3" t="s">
        <v>1142</v>
      </c>
      <c r="D1004" s="3" t="s">
        <v>39</v>
      </c>
      <c r="E1004" s="3" t="s">
        <v>1143</v>
      </c>
      <c r="F1004" s="3" t="s">
        <v>174</v>
      </c>
      <c r="G1004" s="3">
        <v>0.12036036</v>
      </c>
      <c r="H1004" s="3">
        <v>0.12036036</v>
      </c>
      <c r="I1004" s="3">
        <v>0.12036036</v>
      </c>
      <c r="J1004" s="3">
        <v>0</v>
      </c>
      <c r="K1004" s="3">
        <v>0.24144124</v>
      </c>
      <c r="L1004" s="3">
        <v>0.17152130900000001</v>
      </c>
      <c r="M1004" s="3">
        <v>2.3869986999999999E-2</v>
      </c>
      <c r="N1004" s="3">
        <v>0.35237621400000002</v>
      </c>
      <c r="O1004" s="3">
        <v>2.7507238E-2</v>
      </c>
      <c r="P1004" s="3">
        <v>1.9829014999999998E-2</v>
      </c>
      <c r="Q1004" s="3">
        <v>6.0887367999999997E-2</v>
      </c>
      <c r="R1004" s="3">
        <v>0.113929327</v>
      </c>
      <c r="S1004" s="3">
        <v>0.13171536</v>
      </c>
      <c r="T1004" s="3">
        <v>1.213503534</v>
      </c>
      <c r="U1004" s="3">
        <v>0.548227511</v>
      </c>
      <c r="V1004" s="3">
        <v>3.1082420000000002E-3</v>
      </c>
      <c r="W1004" s="3">
        <v>1</v>
      </c>
      <c r="X1004" s="3">
        <v>3.6659541889999998</v>
      </c>
      <c r="Y1004" s="3">
        <v>0.110969292</v>
      </c>
      <c r="Z1004" s="3">
        <v>2.213503534</v>
      </c>
      <c r="AA1004" s="3">
        <v>0.17152130900000001</v>
      </c>
      <c r="AB1004" s="3">
        <v>19.9183445</v>
      </c>
      <c r="AC1004" s="3">
        <v>3.6659541889999998</v>
      </c>
      <c r="AD1004" s="3">
        <v>0.50638646600000004</v>
      </c>
      <c r="AE1004" s="3">
        <v>16.617839700000001</v>
      </c>
      <c r="AF1004" s="4">
        <v>42136</v>
      </c>
      <c r="AG1004" s="5">
        <f>YEAR(AF1004)</f>
        <v>2015</v>
      </c>
      <c r="AH1004" s="5" t="str">
        <f>"Q"&amp;ROUNDUP(MONTH(AF1004)/3,0)</f>
        <v>Q2</v>
      </c>
      <c r="AI1004" s="5">
        <f>INDEX(RatingLookup!$B$2:$B$11,MATCH(A1004,RatingLookup!$A$2:$A$11,0))</f>
        <v>7</v>
      </c>
      <c r="AJ1004" s="5" t="str">
        <f>INDEX(RatingLookup!$C$2:$C$11,MATCH(A1004,RatingLookup!$A$2:$A$11,0))</f>
        <v>Investment Grade</v>
      </c>
    </row>
    <row r="1005" spans="1:36" x14ac:dyDescent="0.3">
      <c r="A1005" s="3" t="s">
        <v>92</v>
      </c>
      <c r="B1005" s="3" t="s">
        <v>1144</v>
      </c>
      <c r="C1005" s="3" t="s">
        <v>1145</v>
      </c>
      <c r="D1005" s="3" t="s">
        <v>47</v>
      </c>
      <c r="E1005" s="3" t="s">
        <v>880</v>
      </c>
      <c r="F1005" s="3" t="s">
        <v>232</v>
      </c>
      <c r="G1005" s="3">
        <v>20.25</v>
      </c>
      <c r="H1005" s="3">
        <v>20.25</v>
      </c>
      <c r="I1005" s="3">
        <v>15.362068969999999</v>
      </c>
      <c r="J1005" s="3">
        <v>447.33720929999998</v>
      </c>
      <c r="K1005" s="3">
        <v>-0.148837209</v>
      </c>
      <c r="L1005" s="3">
        <v>0.38372093000000002</v>
      </c>
      <c r="M1005" s="3">
        <v>0.56046511600000004</v>
      </c>
      <c r="N1005" s="3">
        <v>0.35813953500000001</v>
      </c>
      <c r="O1005" s="3">
        <v>-3.5579280000000001E-3</v>
      </c>
      <c r="P1005" s="3">
        <v>9.2323189999999992E-3</v>
      </c>
      <c r="Q1005" s="3">
        <v>-8.3300790000000006E-3</v>
      </c>
      <c r="R1005" s="3">
        <v>2.3904825000000001E-2</v>
      </c>
      <c r="S1005" s="3">
        <v>4.134615385</v>
      </c>
      <c r="T1005" s="3">
        <v>1.3412729400000001</v>
      </c>
      <c r="U1005" s="3">
        <v>0.57288192100000002</v>
      </c>
      <c r="V1005" s="3">
        <v>0.175757576</v>
      </c>
      <c r="W1005" s="3">
        <v>1</v>
      </c>
      <c r="X1005" s="3">
        <v>0.43985435099999998</v>
      </c>
      <c r="Y1005" s="3">
        <v>2.560430121</v>
      </c>
      <c r="Z1005" s="3">
        <v>2.3412729400000001</v>
      </c>
      <c r="AA1005" s="3">
        <v>0.38372093000000002</v>
      </c>
      <c r="AB1005" s="3">
        <v>71.289054429999993</v>
      </c>
      <c r="AC1005" s="3">
        <v>0.43985435099999998</v>
      </c>
      <c r="AD1005" s="3">
        <v>0.72790697699999996</v>
      </c>
      <c r="AE1005" s="3">
        <v>7.269230769</v>
      </c>
      <c r="AF1005" s="4">
        <v>41717</v>
      </c>
      <c r="AG1005" s="5">
        <f>YEAR(AF1005)</f>
        <v>2014</v>
      </c>
      <c r="AH1005" s="5" t="str">
        <f>"Q"&amp;ROUNDUP(MONTH(AF1005)/3,0)</f>
        <v>Q1</v>
      </c>
      <c r="AI1005" s="5">
        <f>INDEX(RatingLookup!$B$2:$B$11,MATCH(A1005,RatingLookup!$A$2:$A$11,0))</f>
        <v>6</v>
      </c>
      <c r="AJ1005" s="5" t="str">
        <f>INDEX(RatingLookup!$C$2:$C$11,MATCH(A1005,RatingLookup!$A$2:$A$11,0))</f>
        <v>Speculative Grade</v>
      </c>
    </row>
    <row r="1006" spans="1:36" x14ac:dyDescent="0.3">
      <c r="A1006" s="3" t="s">
        <v>92</v>
      </c>
      <c r="B1006" s="3" t="s">
        <v>1144</v>
      </c>
      <c r="C1006" s="3" t="s">
        <v>1145</v>
      </c>
      <c r="D1006" s="3" t="s">
        <v>47</v>
      </c>
      <c r="E1006" s="3" t="s">
        <v>1146</v>
      </c>
      <c r="F1006" s="3" t="s">
        <v>232</v>
      </c>
      <c r="G1006" s="3">
        <v>46.648648649999998</v>
      </c>
      <c r="H1006" s="3">
        <v>46.648648649999998</v>
      </c>
      <c r="I1006" s="3">
        <v>32.954954950000001</v>
      </c>
      <c r="J1006" s="3">
        <v>2893.9285709999999</v>
      </c>
      <c r="K1006" s="3">
        <v>1.880952381</v>
      </c>
      <c r="L1006" s="3">
        <v>2.9735449740000002</v>
      </c>
      <c r="M1006" s="3">
        <v>-1.8571428569999999</v>
      </c>
      <c r="N1006" s="3">
        <v>3.3968253970000002</v>
      </c>
      <c r="O1006" s="3">
        <v>9.3061610000000003E-3</v>
      </c>
      <c r="P1006" s="3">
        <v>1.4754722E-2</v>
      </c>
      <c r="Q1006" s="3">
        <v>6.2709473000000002E-2</v>
      </c>
      <c r="R1006" s="3">
        <v>4.9475789999999997E-3</v>
      </c>
      <c r="S1006" s="3">
        <v>1.3548387099999999</v>
      </c>
      <c r="T1006" s="3">
        <v>5.7384900339999998</v>
      </c>
      <c r="U1006" s="3">
        <v>0.85159880099999996</v>
      </c>
      <c r="V1006" s="3">
        <v>0.475088968</v>
      </c>
      <c r="W1006" s="3">
        <v>1</v>
      </c>
      <c r="X1006" s="3">
        <v>1.7257155630000001</v>
      </c>
      <c r="Y1006" s="3">
        <v>7.1265661199999997</v>
      </c>
      <c r="Z1006" s="3">
        <v>6.7384900339999998</v>
      </c>
      <c r="AA1006" s="3">
        <v>2.9735449740000002</v>
      </c>
      <c r="AB1006" s="3">
        <v>19.58050793</v>
      </c>
      <c r="AC1006" s="3">
        <v>1.7257155630000001</v>
      </c>
      <c r="AD1006" s="3">
        <v>4.7142857139999998</v>
      </c>
      <c r="AE1006" s="3">
        <v>4.8648648650000004</v>
      </c>
      <c r="AF1006" s="4">
        <v>42214</v>
      </c>
      <c r="AG1006" s="5">
        <f>YEAR(AF1006)</f>
        <v>2015</v>
      </c>
      <c r="AH1006" s="5" t="str">
        <f>"Q"&amp;ROUNDUP(MONTH(AF1006)/3,0)</f>
        <v>Q3</v>
      </c>
      <c r="AI1006" s="5">
        <f>INDEX(RatingLookup!$B$2:$B$11,MATCH(A1006,RatingLookup!$A$2:$A$11,0))</f>
        <v>6</v>
      </c>
      <c r="AJ1006" s="5" t="str">
        <f>INDEX(RatingLookup!$C$2:$C$11,MATCH(A1006,RatingLookup!$A$2:$A$11,0))</f>
        <v>Speculative Grade</v>
      </c>
    </row>
    <row r="1007" spans="1:36" x14ac:dyDescent="0.3">
      <c r="A1007" s="3" t="s">
        <v>92</v>
      </c>
      <c r="B1007" s="3" t="s">
        <v>1144</v>
      </c>
      <c r="C1007" s="3" t="s">
        <v>1145</v>
      </c>
      <c r="D1007" s="3" t="s">
        <v>47</v>
      </c>
      <c r="E1007" s="3" t="s">
        <v>1147</v>
      </c>
      <c r="F1007" s="3" t="s">
        <v>232</v>
      </c>
      <c r="G1007" s="3">
        <v>51.175114290000003</v>
      </c>
      <c r="H1007" s="3">
        <v>51.175114290000003</v>
      </c>
      <c r="I1007" s="3">
        <v>24.022063209999999</v>
      </c>
      <c r="J1007" s="3">
        <v>5848.1767529999997</v>
      </c>
      <c r="K1007" s="3">
        <v>0.49847525199999998</v>
      </c>
      <c r="L1007" s="3">
        <v>0.80236922399999999</v>
      </c>
      <c r="M1007" s="3">
        <v>0.47267182699999999</v>
      </c>
      <c r="N1007" s="3">
        <v>0.392212057</v>
      </c>
      <c r="O1007" s="3">
        <v>3.3105130000000002E-3</v>
      </c>
      <c r="P1007" s="3">
        <v>5.3497220000000003E-3</v>
      </c>
      <c r="Q1007" s="3">
        <v>8.3391539999999997E-3</v>
      </c>
      <c r="R1007" s="3">
        <v>6.6412779999999996E-3</v>
      </c>
      <c r="S1007" s="3">
        <v>3.001055966</v>
      </c>
      <c r="T1007" s="3">
        <v>1.5189916880000001</v>
      </c>
      <c r="U1007" s="3">
        <v>0.60301576000000001</v>
      </c>
      <c r="V1007" s="3">
        <v>-3.0404911999999999E-2</v>
      </c>
      <c r="W1007" s="3">
        <v>1</v>
      </c>
      <c r="X1007" s="3">
        <v>0.122400254</v>
      </c>
      <c r="Y1007" s="3">
        <v>2.1860030579999998</v>
      </c>
      <c r="Z1007" s="3">
        <v>2.5189916879999998</v>
      </c>
      <c r="AA1007" s="3">
        <v>0.80236922399999999</v>
      </c>
      <c r="AB1007" s="3">
        <v>146.93755609999999</v>
      </c>
      <c r="AC1007" s="3">
        <v>0.122400254</v>
      </c>
      <c r="AD1007" s="3">
        <v>0.79368989000000001</v>
      </c>
      <c r="AE1007" s="3">
        <v>2.551645857</v>
      </c>
      <c r="AF1007" s="4">
        <v>41361</v>
      </c>
      <c r="AG1007" s="5">
        <f>YEAR(AF1007)</f>
        <v>2013</v>
      </c>
      <c r="AH1007" s="5" t="str">
        <f>"Q"&amp;ROUNDUP(MONTH(AF1007)/3,0)</f>
        <v>Q1</v>
      </c>
      <c r="AI1007" s="5">
        <f>INDEX(RatingLookup!$B$2:$B$11,MATCH(A1007,RatingLookup!$A$2:$A$11,0))</f>
        <v>6</v>
      </c>
      <c r="AJ1007" s="5" t="str">
        <f>INDEX(RatingLookup!$C$2:$C$11,MATCH(A1007,RatingLookup!$A$2:$A$11,0))</f>
        <v>Speculative Grade</v>
      </c>
    </row>
    <row r="1008" spans="1:36" x14ac:dyDescent="0.3">
      <c r="A1008" s="3" t="s">
        <v>92</v>
      </c>
      <c r="B1008" s="3" t="s">
        <v>1144</v>
      </c>
      <c r="C1008" s="3" t="s">
        <v>1145</v>
      </c>
      <c r="D1008" s="3" t="s">
        <v>47</v>
      </c>
      <c r="E1008" s="3" t="s">
        <v>185</v>
      </c>
      <c r="F1008" s="3" t="s">
        <v>232</v>
      </c>
      <c r="G1008" s="3">
        <v>3.2254424209999999</v>
      </c>
      <c r="H1008" s="3">
        <v>3.2254424209999999</v>
      </c>
      <c r="I1008" s="3">
        <v>2.404975635</v>
      </c>
      <c r="J1008" s="3">
        <v>1992.874564</v>
      </c>
      <c r="K1008" s="3">
        <v>0.24041811799999999</v>
      </c>
      <c r="L1008" s="3">
        <v>2.1341463410000001</v>
      </c>
      <c r="M1008" s="3">
        <v>-1.027874564</v>
      </c>
      <c r="N1008" s="3">
        <v>0.865853659</v>
      </c>
      <c r="O1008" s="3">
        <v>2.1793720000000002E-3</v>
      </c>
      <c r="P1008" s="3">
        <v>2.061526E-2</v>
      </c>
      <c r="Q1008" s="3">
        <v>1.5314615E-2</v>
      </c>
      <c r="R1008" s="3">
        <v>9.0649230000000008E-3</v>
      </c>
      <c r="S1008" s="3">
        <v>2.6090909089999998</v>
      </c>
      <c r="T1008" s="3">
        <v>6.0270780159999999</v>
      </c>
      <c r="U1008" s="3">
        <v>0.85769333999999997</v>
      </c>
      <c r="V1008" s="3">
        <v>0.264489796</v>
      </c>
      <c r="W1008" s="3">
        <v>1</v>
      </c>
      <c r="X1008" s="3">
        <v>1.099765243</v>
      </c>
      <c r="Y1008" s="3">
        <v>10.58510033</v>
      </c>
      <c r="Z1008" s="3">
        <v>7.0270780159999999</v>
      </c>
      <c r="AA1008" s="3">
        <v>2.1341463410000001</v>
      </c>
      <c r="AB1008" s="3">
        <v>11.711757540000001</v>
      </c>
      <c r="AC1008" s="3">
        <v>1.099765243</v>
      </c>
      <c r="AD1008" s="3">
        <v>1.7090592330000001</v>
      </c>
      <c r="AE1008" s="3">
        <v>0.43941109900000003</v>
      </c>
      <c r="AF1008" s="4">
        <v>41985</v>
      </c>
      <c r="AG1008" s="5">
        <f>YEAR(AF1008)</f>
        <v>2014</v>
      </c>
      <c r="AH1008" s="5" t="str">
        <f>"Q"&amp;ROUNDUP(MONTH(AF1008)/3,0)</f>
        <v>Q4</v>
      </c>
      <c r="AI1008" s="5">
        <f>INDEX(RatingLookup!$B$2:$B$11,MATCH(A1008,RatingLookup!$A$2:$A$11,0))</f>
        <v>6</v>
      </c>
      <c r="AJ1008" s="5" t="str">
        <f>INDEX(RatingLookup!$C$2:$C$11,MATCH(A1008,RatingLookup!$A$2:$A$11,0))</f>
        <v>Speculative Grade</v>
      </c>
    </row>
    <row r="1009" spans="1:36" x14ac:dyDescent="0.3">
      <c r="A1009" s="3" t="s">
        <v>92</v>
      </c>
      <c r="B1009" s="3" t="s">
        <v>1144</v>
      </c>
      <c r="C1009" s="3" t="s">
        <v>1145</v>
      </c>
      <c r="D1009" s="3" t="s">
        <v>47</v>
      </c>
      <c r="E1009" s="3" t="s">
        <v>1148</v>
      </c>
      <c r="F1009" s="3" t="s">
        <v>232</v>
      </c>
      <c r="G1009" s="3">
        <v>87.580357140000004</v>
      </c>
      <c r="H1009" s="3">
        <v>87.580357140000004</v>
      </c>
      <c r="I1009" s="3">
        <v>79.080357140000004</v>
      </c>
      <c r="J1009" s="3">
        <v>1107.629758</v>
      </c>
      <c r="K1009" s="3">
        <v>9.6885813000000001E-2</v>
      </c>
      <c r="L1009" s="3">
        <v>3.1314878890000002</v>
      </c>
      <c r="M1009" s="3">
        <v>-3.6851211070000001</v>
      </c>
      <c r="N1009" s="3">
        <v>4.7785467129999999</v>
      </c>
      <c r="O1009" s="3">
        <v>3.6557799999999998E-4</v>
      </c>
      <c r="P1009" s="3">
        <v>1.1833313999999999E-2</v>
      </c>
      <c r="Q1009" s="3">
        <v>2.671756E-3</v>
      </c>
      <c r="R1009" s="3">
        <v>3.773289E-3</v>
      </c>
      <c r="S1009" s="3">
        <v>1.1377952760000001</v>
      </c>
      <c r="T1009" s="3">
        <v>6.3083015270000002</v>
      </c>
      <c r="U1009" s="3">
        <v>0.86316930199999997</v>
      </c>
      <c r="V1009" s="3">
        <v>0.15469613300000001</v>
      </c>
      <c r="W1009" s="3">
        <v>1</v>
      </c>
      <c r="X1009" s="3">
        <v>0.94321869300000005</v>
      </c>
      <c r="Y1009" s="3">
        <v>8.1873949130000003</v>
      </c>
      <c r="Z1009" s="3">
        <v>7.3083015270000002</v>
      </c>
      <c r="AA1009" s="3">
        <v>3.1314878890000002</v>
      </c>
      <c r="AB1009" s="3">
        <v>14.739151959999999</v>
      </c>
      <c r="AC1009" s="3">
        <v>0.94321869300000005</v>
      </c>
      <c r="AD1009" s="3">
        <v>3.5605536330000001</v>
      </c>
      <c r="AE1009" s="3">
        <v>12.08928571</v>
      </c>
      <c r="AF1009" s="4">
        <v>42566</v>
      </c>
      <c r="AG1009" s="5">
        <f>YEAR(AF1009)</f>
        <v>2016</v>
      </c>
      <c r="AH1009" s="5" t="str">
        <f>"Q"&amp;ROUNDUP(MONTH(AF1009)/3,0)</f>
        <v>Q3</v>
      </c>
      <c r="AI1009" s="5">
        <f>INDEX(RatingLookup!$B$2:$B$11,MATCH(A1009,RatingLookup!$A$2:$A$11,0))</f>
        <v>6</v>
      </c>
      <c r="AJ1009" s="5" t="str">
        <f>INDEX(RatingLookup!$C$2:$C$11,MATCH(A1009,RatingLookup!$A$2:$A$11,0))</f>
        <v>Speculative Grade</v>
      </c>
    </row>
    <row r="1010" spans="1:36" x14ac:dyDescent="0.3">
      <c r="A1010" s="3" t="s">
        <v>42</v>
      </c>
      <c r="B1010" s="3" t="s">
        <v>1149</v>
      </c>
      <c r="C1010" s="3" t="s">
        <v>1150</v>
      </c>
      <c r="D1010" s="3" t="s">
        <v>44</v>
      </c>
      <c r="E1010" s="3" t="s">
        <v>46</v>
      </c>
      <c r="F1010" s="3" t="s">
        <v>41</v>
      </c>
      <c r="G1010" s="3">
        <v>0.93699633699999996</v>
      </c>
      <c r="H1010" s="3">
        <v>0.18974358999999999</v>
      </c>
      <c r="I1010" s="3">
        <v>0.18974358999999999</v>
      </c>
      <c r="J1010" s="3">
        <v>0</v>
      </c>
      <c r="K1010" s="3">
        <v>0.106480596</v>
      </c>
      <c r="L1010" s="3">
        <v>8.5260944000000005E-2</v>
      </c>
      <c r="M1010" s="3">
        <v>0.43452494699999999</v>
      </c>
      <c r="N1010" s="3">
        <v>0.106480596</v>
      </c>
      <c r="O1010" s="3">
        <v>0.133797742</v>
      </c>
      <c r="P1010" s="3">
        <v>0.15939957099999999</v>
      </c>
      <c r="Q1010" s="3">
        <v>-6.4767441860000003</v>
      </c>
      <c r="R1010" s="3">
        <v>1.2565457600000001</v>
      </c>
      <c r="S1010" s="3">
        <v>5.0346487010000001</v>
      </c>
      <c r="T1010" s="3">
        <v>-49.406976739999998</v>
      </c>
      <c r="U1010" s="3">
        <v>1.020658179</v>
      </c>
      <c r="V1010" s="3">
        <v>0.61883408100000004</v>
      </c>
      <c r="W1010" s="3">
        <v>0.67335243600000005</v>
      </c>
      <c r="X1010" s="3">
        <v>3.4382109600000001</v>
      </c>
      <c r="Y1010" s="3">
        <v>1.8946736989999999</v>
      </c>
      <c r="Z1010" s="3">
        <v>-48.406976739999998</v>
      </c>
      <c r="AA1010" s="3">
        <v>8.5260944000000005E-2</v>
      </c>
      <c r="AB1010" s="3">
        <v>16.590796449999999</v>
      </c>
      <c r="AC1010" s="3">
        <v>5.1061090419999999</v>
      </c>
      <c r="AD1010" s="3">
        <v>0.13343529000000001</v>
      </c>
      <c r="AE1010" s="3">
        <v>6.9929078010000003</v>
      </c>
      <c r="AF1010" s="4">
        <v>41075</v>
      </c>
      <c r="AG1010" s="5">
        <f>YEAR(AF1010)</f>
        <v>2012</v>
      </c>
      <c r="AH1010" s="5" t="str">
        <f>"Q"&amp;ROUNDUP(MONTH(AF1010)/3,0)</f>
        <v>Q2</v>
      </c>
      <c r="AI1010" s="5">
        <f>INDEX(RatingLookup!$B$2:$B$11,MATCH(A1010,RatingLookup!$A$2:$A$11,0))</f>
        <v>7</v>
      </c>
      <c r="AJ1010" s="5" t="str">
        <f>INDEX(RatingLookup!$C$2:$C$11,MATCH(A1010,RatingLookup!$A$2:$A$11,0))</f>
        <v>Investment Grade</v>
      </c>
    </row>
    <row r="1011" spans="1:36" x14ac:dyDescent="0.3">
      <c r="A1011" s="3" t="s">
        <v>42</v>
      </c>
      <c r="B1011" s="3" t="s">
        <v>1149</v>
      </c>
      <c r="C1011" s="3" t="s">
        <v>1150</v>
      </c>
      <c r="D1011" s="3" t="s">
        <v>60</v>
      </c>
      <c r="E1011" s="3" t="s">
        <v>1151</v>
      </c>
      <c r="F1011" s="3" t="s">
        <v>41</v>
      </c>
      <c r="G1011" s="3">
        <v>0.66763706899999997</v>
      </c>
      <c r="H1011" s="3">
        <v>0.12954876300000001</v>
      </c>
      <c r="I1011" s="3">
        <v>0.12954876300000001</v>
      </c>
      <c r="J1011" s="3">
        <v>0</v>
      </c>
      <c r="K1011" s="3">
        <v>9.8939283000000003E-2</v>
      </c>
      <c r="L1011" s="3">
        <v>0.119787857</v>
      </c>
      <c r="M1011" s="3">
        <v>0.42136064400000001</v>
      </c>
      <c r="N1011" s="3">
        <v>9.8939283000000003E-2</v>
      </c>
      <c r="O1011" s="3">
        <v>0.124225029</v>
      </c>
      <c r="P1011" s="3">
        <v>0.28552746299999998</v>
      </c>
      <c r="Q1011" s="3">
        <v>-4.0074074069999996</v>
      </c>
      <c r="R1011" s="3">
        <v>1.2555683120000001</v>
      </c>
      <c r="S1011" s="3">
        <v>5.0582793710000002</v>
      </c>
      <c r="T1011" s="3">
        <v>-33.25925926</v>
      </c>
      <c r="U1011" s="3">
        <v>1.030998852</v>
      </c>
      <c r="V1011" s="3">
        <v>0.37862595399999999</v>
      </c>
      <c r="W1011" s="3">
        <v>0.68627450999999995</v>
      </c>
      <c r="X1011" s="3">
        <v>3.2097331339999999</v>
      </c>
      <c r="Y1011" s="3">
        <v>2.0404732060000002</v>
      </c>
      <c r="Z1011" s="3">
        <v>-32.25925926</v>
      </c>
      <c r="AA1011" s="3">
        <v>0.119787857</v>
      </c>
      <c r="AB1011" s="3">
        <v>16.28849803</v>
      </c>
      <c r="AC1011" s="3">
        <v>4.6770397089999998</v>
      </c>
      <c r="AD1011" s="3">
        <v>0.111923921</v>
      </c>
      <c r="AE1011" s="3">
        <v>7.67961165</v>
      </c>
      <c r="AF1011" s="4">
        <v>41164</v>
      </c>
      <c r="AG1011" s="5">
        <f>YEAR(AF1011)</f>
        <v>2012</v>
      </c>
      <c r="AH1011" s="5" t="str">
        <f>"Q"&amp;ROUNDUP(MONTH(AF1011)/3,0)</f>
        <v>Q3</v>
      </c>
      <c r="AI1011" s="5">
        <f>INDEX(RatingLookup!$B$2:$B$11,MATCH(A1011,RatingLookup!$A$2:$A$11,0))</f>
        <v>7</v>
      </c>
      <c r="AJ1011" s="5" t="str">
        <f>INDEX(RatingLookup!$C$2:$C$11,MATCH(A1011,RatingLookup!$A$2:$A$11,0))</f>
        <v>Investment Grade</v>
      </c>
    </row>
    <row r="1012" spans="1:36" x14ac:dyDescent="0.3">
      <c r="A1012" s="3" t="s">
        <v>109</v>
      </c>
      <c r="B1012" s="3" t="s">
        <v>1152</v>
      </c>
      <c r="C1012" s="3" t="s">
        <v>1153</v>
      </c>
      <c r="D1012" s="3" t="s">
        <v>47</v>
      </c>
      <c r="E1012" s="3" t="s">
        <v>1154</v>
      </c>
      <c r="F1012" s="3" t="s">
        <v>53</v>
      </c>
      <c r="G1012" s="3">
        <v>6.1475023560000004</v>
      </c>
      <c r="H1012" s="3">
        <v>61.433788880000002</v>
      </c>
      <c r="I1012" s="3">
        <v>3.3376531570000001</v>
      </c>
      <c r="J1012" s="3">
        <v>85.188641380000007</v>
      </c>
      <c r="K1012" s="3">
        <v>0.32046959699999999</v>
      </c>
      <c r="L1012" s="3">
        <v>0.26674693999999999</v>
      </c>
      <c r="M1012" s="3">
        <v>1</v>
      </c>
      <c r="N1012" s="3">
        <v>0.32046959699999999</v>
      </c>
      <c r="O1012" s="3">
        <v>4.0535498000000003E-2</v>
      </c>
      <c r="P1012" s="3">
        <v>3.4107676000000003E-2</v>
      </c>
      <c r="Q1012" s="3">
        <v>-0.13275086699999999</v>
      </c>
      <c r="R1012" s="3">
        <v>0.12648781200000001</v>
      </c>
      <c r="S1012" s="3">
        <v>0.381024476</v>
      </c>
      <c r="T1012" s="3">
        <v>-4.2749287159999998</v>
      </c>
      <c r="U1012" s="3">
        <v>1.305350158</v>
      </c>
      <c r="V1012" s="3">
        <v>0</v>
      </c>
      <c r="W1012" s="3">
        <v>-5.2387684989999999</v>
      </c>
      <c r="X1012" s="3">
        <v>-2.4522195409999998</v>
      </c>
      <c r="Y1012" s="3">
        <v>15.406856169999999</v>
      </c>
      <c r="Z1012" s="3">
        <v>-3.2749287159999998</v>
      </c>
      <c r="AA1012" s="3">
        <v>0.26674693999999999</v>
      </c>
      <c r="AB1012" s="3">
        <v>43.243652410000003</v>
      </c>
      <c r="AC1012" s="3">
        <v>0.46809083899999998</v>
      </c>
      <c r="AD1012" s="3">
        <v>0.15187638000000001</v>
      </c>
      <c r="AE1012" s="3">
        <v>0</v>
      </c>
      <c r="AF1012" s="4">
        <v>42128</v>
      </c>
      <c r="AG1012" s="5">
        <f>YEAR(AF1012)</f>
        <v>2015</v>
      </c>
      <c r="AH1012" s="5" t="str">
        <f>"Q"&amp;ROUNDUP(MONTH(AF1012)/3,0)</f>
        <v>Q2</v>
      </c>
      <c r="AI1012" s="5">
        <f>INDEX(RatingLookup!$B$2:$B$11,MATCH(A1012,RatingLookup!$A$2:$A$11,0))</f>
        <v>5</v>
      </c>
      <c r="AJ1012" s="5" t="str">
        <f>INDEX(RatingLookup!$C$2:$C$11,MATCH(A1012,RatingLookup!$A$2:$A$11,0))</f>
        <v>Speculative Grade</v>
      </c>
    </row>
    <row r="1013" spans="1:36" x14ac:dyDescent="0.3">
      <c r="A1013" s="3" t="s">
        <v>92</v>
      </c>
      <c r="B1013" s="3" t="s">
        <v>1152</v>
      </c>
      <c r="C1013" s="3" t="s">
        <v>1153</v>
      </c>
      <c r="D1013" s="3" t="s">
        <v>47</v>
      </c>
      <c r="E1013" s="3" t="s">
        <v>845</v>
      </c>
      <c r="F1013" s="3" t="s">
        <v>53</v>
      </c>
      <c r="G1013" s="3">
        <v>2.2225074299999998</v>
      </c>
      <c r="H1013" s="3">
        <v>1.6292743700000001</v>
      </c>
      <c r="I1013" s="3">
        <v>0.96401873400000004</v>
      </c>
      <c r="J1013" s="3">
        <v>131.85076129999999</v>
      </c>
      <c r="K1013" s="3">
        <v>9.4266846130000008</v>
      </c>
      <c r="L1013" s="3">
        <v>6.8664928070000002</v>
      </c>
      <c r="M1013" s="3">
        <v>1</v>
      </c>
      <c r="N1013" s="3">
        <v>9.4266846130000008</v>
      </c>
      <c r="O1013" s="3">
        <v>0.14978011799999999</v>
      </c>
      <c r="P1013" s="3">
        <v>0.11976605</v>
      </c>
      <c r="Q1013" s="3">
        <v>-3.340736986</v>
      </c>
      <c r="R1013" s="3">
        <v>1.5888949999999999E-2</v>
      </c>
      <c r="S1013" s="3">
        <v>1.9809323E-2</v>
      </c>
      <c r="T1013" s="3">
        <v>-23.304275239999999</v>
      </c>
      <c r="U1013" s="3">
        <v>1.0448344540000001</v>
      </c>
      <c r="V1013" s="3">
        <v>0</v>
      </c>
      <c r="W1013" s="3">
        <v>0.83630468400000002</v>
      </c>
      <c r="X1013" s="3">
        <v>3.7379109349999999</v>
      </c>
      <c r="Y1013" s="3">
        <v>4.6771557829999999</v>
      </c>
      <c r="Z1013" s="3">
        <v>-22.304275239999999</v>
      </c>
      <c r="AA1013" s="3">
        <v>6.8664928070000002</v>
      </c>
      <c r="AB1013" s="3">
        <v>7.4011832499999999</v>
      </c>
      <c r="AC1013" s="3">
        <v>4.4695563800000002</v>
      </c>
      <c r="AD1013" s="3">
        <v>8.3804155799999993</v>
      </c>
      <c r="AE1013" s="3">
        <v>0</v>
      </c>
      <c r="AF1013" s="4">
        <v>42720</v>
      </c>
      <c r="AG1013" s="5">
        <f>YEAR(AF1013)</f>
        <v>2016</v>
      </c>
      <c r="AH1013" s="5" t="str">
        <f>"Q"&amp;ROUNDUP(MONTH(AF1013)/3,0)</f>
        <v>Q4</v>
      </c>
      <c r="AI1013" s="5">
        <f>INDEX(RatingLookup!$B$2:$B$11,MATCH(A1013,RatingLookup!$A$2:$A$11,0))</f>
        <v>6</v>
      </c>
      <c r="AJ1013" s="5" t="str">
        <f>INDEX(RatingLookup!$C$2:$C$11,MATCH(A1013,RatingLookup!$A$2:$A$11,0))</f>
        <v>Speculative Grade</v>
      </c>
    </row>
    <row r="1014" spans="1:36" x14ac:dyDescent="0.3">
      <c r="A1014" s="3" t="s">
        <v>109</v>
      </c>
      <c r="B1014" s="3" t="s">
        <v>1152</v>
      </c>
      <c r="C1014" s="3" t="s">
        <v>1153</v>
      </c>
      <c r="D1014" s="3" t="s">
        <v>47</v>
      </c>
      <c r="E1014" s="3" t="s">
        <v>823</v>
      </c>
      <c r="F1014" s="3" t="s">
        <v>53</v>
      </c>
      <c r="G1014" s="3">
        <v>4.8195034669999997</v>
      </c>
      <c r="H1014" s="3">
        <v>30.96454932</v>
      </c>
      <c r="I1014" s="3">
        <v>2.0887944530000002</v>
      </c>
      <c r="J1014" s="3">
        <v>61.514862559999997</v>
      </c>
      <c r="K1014" s="3">
        <v>0.67821705499999996</v>
      </c>
      <c r="L1014" s="3">
        <v>0.528648436</v>
      </c>
      <c r="M1014" s="3">
        <v>1</v>
      </c>
      <c r="N1014" s="3">
        <v>0.67821705499999996</v>
      </c>
      <c r="O1014" s="3">
        <v>0.22789204099999999</v>
      </c>
      <c r="P1014" s="3">
        <v>0.18147163999999999</v>
      </c>
      <c r="Q1014" s="3">
        <v>-0.51905749300000004</v>
      </c>
      <c r="R1014" s="3">
        <v>0.336016382</v>
      </c>
      <c r="S1014" s="3">
        <v>0.97632396200000005</v>
      </c>
      <c r="T1014" s="3">
        <v>-3.2776464249999999</v>
      </c>
      <c r="U1014" s="3">
        <v>1.4390497090000001</v>
      </c>
      <c r="V1014" s="3">
        <v>0</v>
      </c>
      <c r="W1014" s="3">
        <v>0.97395156999999999</v>
      </c>
      <c r="X1014" s="3">
        <v>36.42969901</v>
      </c>
      <c r="Y1014" s="3">
        <v>120.4494425</v>
      </c>
      <c r="Z1014" s="3">
        <v>-2.2776464249999999</v>
      </c>
      <c r="AA1014" s="3">
        <v>0.528648436</v>
      </c>
      <c r="AB1014" s="3">
        <v>5.9659627439999996</v>
      </c>
      <c r="AC1014" s="3">
        <v>37.404014889999999</v>
      </c>
      <c r="AD1014" s="3">
        <v>0.55274380400000001</v>
      </c>
      <c r="AE1014" s="3">
        <v>0</v>
      </c>
      <c r="AF1014" s="4">
        <v>42443</v>
      </c>
      <c r="AG1014" s="5">
        <f>YEAR(AF1014)</f>
        <v>2016</v>
      </c>
      <c r="AH1014" s="5" t="str">
        <f>"Q"&amp;ROUNDUP(MONTH(AF1014)/3,0)</f>
        <v>Q1</v>
      </c>
      <c r="AI1014" s="5">
        <f>INDEX(RatingLookup!$B$2:$B$11,MATCH(A1014,RatingLookup!$A$2:$A$11,0))</f>
        <v>5</v>
      </c>
      <c r="AJ1014" s="5" t="str">
        <f>INDEX(RatingLookup!$C$2:$C$11,MATCH(A1014,RatingLookup!$A$2:$A$11,0))</f>
        <v>Speculative Grade</v>
      </c>
    </row>
    <row r="1015" spans="1:36" x14ac:dyDescent="0.3">
      <c r="A1015" s="3" t="s">
        <v>36</v>
      </c>
      <c r="B1015" s="3" t="s">
        <v>1155</v>
      </c>
      <c r="C1015" s="3" t="s">
        <v>1156</v>
      </c>
      <c r="D1015" s="3" t="s">
        <v>39</v>
      </c>
      <c r="E1015" s="3" t="s">
        <v>1157</v>
      </c>
      <c r="F1015" s="3" t="s">
        <v>79</v>
      </c>
      <c r="G1015" s="3">
        <v>0.60825424900000002</v>
      </c>
      <c r="H1015" s="3">
        <v>0.30787905500000001</v>
      </c>
      <c r="I1015" s="3">
        <v>4.2669020000000004E-3</v>
      </c>
      <c r="J1015" s="3">
        <v>44.604130810000001</v>
      </c>
      <c r="K1015" s="3">
        <v>0.119375461</v>
      </c>
      <c r="L1015" s="3">
        <v>0.141781411</v>
      </c>
      <c r="M1015" s="3">
        <v>1</v>
      </c>
      <c r="N1015" s="3">
        <v>0.17734202099999999</v>
      </c>
      <c r="O1015" s="3">
        <v>3.1083936E-2</v>
      </c>
      <c r="P1015" s="3">
        <v>4.1424582000000001E-2</v>
      </c>
      <c r="Q1015" s="3">
        <v>0.104293655</v>
      </c>
      <c r="R1015" s="3">
        <v>0.26038798899999999</v>
      </c>
      <c r="S1015" s="3">
        <v>0.34179701899999998</v>
      </c>
      <c r="T1015" s="3">
        <v>2.3552267659999999</v>
      </c>
      <c r="U1015" s="3">
        <v>0.70195755199999998</v>
      </c>
      <c r="V1015" s="3">
        <v>0.15261218300000001</v>
      </c>
      <c r="W1015" s="3">
        <v>-0.187213039</v>
      </c>
      <c r="X1015" s="3">
        <v>-1.45625</v>
      </c>
      <c r="Y1015" s="3">
        <v>0.186607143</v>
      </c>
      <c r="Z1015" s="3">
        <v>3.3552267659999999</v>
      </c>
      <c r="AA1015" s="3">
        <v>0.141781411</v>
      </c>
      <c r="AB1015" s="3">
        <v>6.2516403709999997</v>
      </c>
      <c r="AC1015" s="3">
        <v>7.7785714290000003</v>
      </c>
      <c r="AD1015" s="3">
        <v>0.26776493699999998</v>
      </c>
      <c r="AE1015" s="3">
        <v>0.54423459200000002</v>
      </c>
      <c r="AF1015" s="4">
        <v>42249</v>
      </c>
      <c r="AG1015" s="5">
        <f>YEAR(AF1015)</f>
        <v>2015</v>
      </c>
      <c r="AH1015" s="5" t="str">
        <f>"Q"&amp;ROUNDUP(MONTH(AF1015)/3,0)</f>
        <v>Q3</v>
      </c>
      <c r="AI1015" s="5">
        <f>INDEX(RatingLookup!$B$2:$B$11,MATCH(A1015,RatingLookup!$A$2:$A$11,0))</f>
        <v>8</v>
      </c>
      <c r="AJ1015" s="5" t="str">
        <f>INDEX(RatingLookup!$C$2:$C$11,MATCH(A1015,RatingLookup!$A$2:$A$11,0))</f>
        <v>Investment Grade</v>
      </c>
    </row>
    <row r="1016" spans="1:36" x14ac:dyDescent="0.3">
      <c r="A1016" s="3" t="s">
        <v>36</v>
      </c>
      <c r="B1016" s="3" t="s">
        <v>1155</v>
      </c>
      <c r="C1016" s="3" t="s">
        <v>1156</v>
      </c>
      <c r="D1016" s="3" t="s">
        <v>39</v>
      </c>
      <c r="E1016" s="3" t="s">
        <v>265</v>
      </c>
      <c r="F1016" s="3" t="s">
        <v>79</v>
      </c>
      <c r="G1016" s="3">
        <v>0.85873055099999995</v>
      </c>
      <c r="H1016" s="3">
        <v>0.42372602300000001</v>
      </c>
      <c r="I1016" s="3">
        <v>4.6842842000000003E-2</v>
      </c>
      <c r="J1016" s="3">
        <v>46.552398289999999</v>
      </c>
      <c r="K1016" s="3">
        <v>0.117392472</v>
      </c>
      <c r="L1016" s="3">
        <v>0.13133152300000001</v>
      </c>
      <c r="M1016" s="3">
        <v>1</v>
      </c>
      <c r="N1016" s="3">
        <v>0.162254126</v>
      </c>
      <c r="O1016" s="3">
        <v>3.2542053000000001E-2</v>
      </c>
      <c r="P1016" s="3">
        <v>4.0473913E-2</v>
      </c>
      <c r="Q1016" s="3">
        <v>0.114374618</v>
      </c>
      <c r="R1016" s="3">
        <v>0.27720732399999998</v>
      </c>
      <c r="S1016" s="3">
        <v>0.37482099699999999</v>
      </c>
      <c r="T1016" s="3">
        <v>2.5146712419999999</v>
      </c>
      <c r="U1016" s="3">
        <v>0.715478367</v>
      </c>
      <c r="V1016" s="3">
        <v>0.10068181800000001</v>
      </c>
      <c r="W1016" s="3">
        <v>-1.2561687E-2</v>
      </c>
      <c r="X1016" s="3">
        <v>-0.10181818199999999</v>
      </c>
      <c r="Y1016" s="3">
        <v>0.79454545499999996</v>
      </c>
      <c r="Z1016" s="3">
        <v>3.5146712419999999</v>
      </c>
      <c r="AA1016" s="3">
        <v>0.13133152300000001</v>
      </c>
      <c r="AB1016" s="3">
        <v>6.343501775</v>
      </c>
      <c r="AC1016" s="3">
        <v>8.1054545450000006</v>
      </c>
      <c r="AD1016" s="3">
        <v>0.266125422</v>
      </c>
      <c r="AE1016" s="3">
        <v>0.76419724200000005</v>
      </c>
      <c r="AF1016" s="4">
        <v>42082</v>
      </c>
      <c r="AG1016" s="5">
        <f>YEAR(AF1016)</f>
        <v>2015</v>
      </c>
      <c r="AH1016" s="5" t="str">
        <f>"Q"&amp;ROUNDUP(MONTH(AF1016)/3,0)</f>
        <v>Q1</v>
      </c>
      <c r="AI1016" s="5">
        <f>INDEX(RatingLookup!$B$2:$B$11,MATCH(A1016,RatingLookup!$A$2:$A$11,0))</f>
        <v>8</v>
      </c>
      <c r="AJ1016" s="5" t="str">
        <f>INDEX(RatingLookup!$C$2:$C$11,MATCH(A1016,RatingLookup!$A$2:$A$11,0))</f>
        <v>Investment Grade</v>
      </c>
    </row>
    <row r="1017" spans="1:36" x14ac:dyDescent="0.3">
      <c r="A1017" s="3" t="s">
        <v>36</v>
      </c>
      <c r="B1017" s="3" t="s">
        <v>1155</v>
      </c>
      <c r="C1017" s="3" t="s">
        <v>1156</v>
      </c>
      <c r="D1017" s="3" t="s">
        <v>39</v>
      </c>
      <c r="E1017" s="3" t="s">
        <v>1158</v>
      </c>
      <c r="F1017" s="3" t="s">
        <v>79</v>
      </c>
      <c r="G1017" s="3">
        <v>0.70550477899999997</v>
      </c>
      <c r="H1017" s="3">
        <v>8.1769342999999994E-2</v>
      </c>
      <c r="I1017" s="3">
        <v>6.8373679999999999E-3</v>
      </c>
      <c r="J1017" s="3">
        <v>9.1116333009999995</v>
      </c>
      <c r="K1017" s="3">
        <v>0.11480712899999999</v>
      </c>
      <c r="L1017" s="3">
        <v>0.133056641</v>
      </c>
      <c r="M1017" s="3">
        <v>1</v>
      </c>
      <c r="N1017" s="3">
        <v>0.16293335</v>
      </c>
      <c r="O1017" s="3">
        <v>3.3854072999999998E-2</v>
      </c>
      <c r="P1017" s="3">
        <v>4.5045509999999997E-2</v>
      </c>
      <c r="Q1017" s="3">
        <v>0.114646188</v>
      </c>
      <c r="R1017" s="3">
        <v>0.29487779400000003</v>
      </c>
      <c r="S1017" s="3">
        <v>0.39353870200000002</v>
      </c>
      <c r="T1017" s="3">
        <v>2.3864813800000002</v>
      </c>
      <c r="U1017" s="3">
        <v>0.70470825400000003</v>
      </c>
      <c r="V1017" s="3">
        <v>0.12362385300000001</v>
      </c>
      <c r="W1017" s="3">
        <v>-9.2065663000000006E-2</v>
      </c>
      <c r="X1017" s="3">
        <v>-0.61181818200000004</v>
      </c>
      <c r="Y1017" s="3">
        <v>0.32181818200000001</v>
      </c>
      <c r="Z1017" s="3">
        <v>3.3864813800000002</v>
      </c>
      <c r="AA1017" s="3">
        <v>0.133056641</v>
      </c>
      <c r="AB1017" s="3">
        <v>5.433764633</v>
      </c>
      <c r="AC1017" s="3">
        <v>6.6454545449999998</v>
      </c>
      <c r="AD1017" s="3">
        <v>0.22308349599999999</v>
      </c>
      <c r="AE1017" s="3">
        <v>0.75616438399999997</v>
      </c>
      <c r="AF1017" s="4">
        <v>41647</v>
      </c>
      <c r="AG1017" s="5">
        <f>YEAR(AF1017)</f>
        <v>2014</v>
      </c>
      <c r="AH1017" s="5" t="str">
        <f>"Q"&amp;ROUNDUP(MONTH(AF1017)/3,0)</f>
        <v>Q1</v>
      </c>
      <c r="AI1017" s="5">
        <f>INDEX(RatingLookup!$B$2:$B$11,MATCH(A1017,RatingLookup!$A$2:$A$11,0))</f>
        <v>8</v>
      </c>
      <c r="AJ1017" s="5" t="str">
        <f>INDEX(RatingLookup!$C$2:$C$11,MATCH(A1017,RatingLookup!$A$2:$A$11,0))</f>
        <v>Investment Grade</v>
      </c>
    </row>
    <row r="1018" spans="1:36" x14ac:dyDescent="0.3">
      <c r="A1018" s="3" t="s">
        <v>42</v>
      </c>
      <c r="B1018" s="3" t="s">
        <v>1155</v>
      </c>
      <c r="C1018" s="3" t="s">
        <v>1156</v>
      </c>
      <c r="D1018" s="3" t="s">
        <v>60</v>
      </c>
      <c r="E1018" s="3" t="s">
        <v>46</v>
      </c>
      <c r="F1018" s="3" t="s">
        <v>79</v>
      </c>
      <c r="G1018" s="3">
        <v>1.0134502919999999</v>
      </c>
      <c r="H1018" s="3">
        <v>0.249005848</v>
      </c>
      <c r="I1018" s="3">
        <v>1.3333332999999999E-2</v>
      </c>
      <c r="J1018" s="3">
        <v>18.801189529999998</v>
      </c>
      <c r="K1018" s="3">
        <v>8.7823643000000007E-2</v>
      </c>
      <c r="L1018" s="3">
        <v>0.102501842</v>
      </c>
      <c r="M1018" s="3">
        <v>1</v>
      </c>
      <c r="N1018" s="3">
        <v>0.13052137599999999</v>
      </c>
      <c r="O1018" s="3">
        <v>3.3227014999999999E-2</v>
      </c>
      <c r="P1018" s="3">
        <v>4.2534162E-2</v>
      </c>
      <c r="Q1018" s="3">
        <v>0.10683703899999999</v>
      </c>
      <c r="R1018" s="3">
        <v>0.37833792700000002</v>
      </c>
      <c r="S1018" s="3">
        <v>0.52085376100000003</v>
      </c>
      <c r="T1018" s="3">
        <v>2.2153667440000002</v>
      </c>
      <c r="U1018" s="3">
        <v>0.68899348699999996</v>
      </c>
      <c r="V1018" s="3">
        <v>0.14665956899999999</v>
      </c>
      <c r="W1018" s="3">
        <v>4.1696313999999998E-2</v>
      </c>
      <c r="X1018" s="3">
        <v>264.85636290000002</v>
      </c>
      <c r="Y1018" s="3">
        <v>217.85113809999999</v>
      </c>
      <c r="Z1018" s="3">
        <v>3.2153667440000002</v>
      </c>
      <c r="AA1018" s="3">
        <v>0.102501842</v>
      </c>
      <c r="AB1018" s="3">
        <v>2.2798178779999998</v>
      </c>
      <c r="AC1018" s="3">
        <v>6352.0329760000004</v>
      </c>
      <c r="AD1018" s="3">
        <v>0.19171691299999999</v>
      </c>
      <c r="AE1018" s="3">
        <v>0.95717066799999995</v>
      </c>
      <c r="AF1018" s="4">
        <v>41075</v>
      </c>
      <c r="AG1018" s="5">
        <f>YEAR(AF1018)</f>
        <v>2012</v>
      </c>
      <c r="AH1018" s="5" t="str">
        <f>"Q"&amp;ROUNDUP(MONTH(AF1018)/3,0)</f>
        <v>Q2</v>
      </c>
      <c r="AI1018" s="5">
        <f>INDEX(RatingLookup!$B$2:$B$11,MATCH(A1018,RatingLookup!$A$2:$A$11,0))</f>
        <v>7</v>
      </c>
      <c r="AJ1018" s="5" t="str">
        <f>INDEX(RatingLookup!$C$2:$C$11,MATCH(A1018,RatingLookup!$A$2:$A$11,0))</f>
        <v>Investment Grade</v>
      </c>
    </row>
    <row r="1019" spans="1:36" x14ac:dyDescent="0.3">
      <c r="A1019" s="3" t="s">
        <v>42</v>
      </c>
      <c r="B1019" s="3" t="s">
        <v>1155</v>
      </c>
      <c r="C1019" s="3" t="s">
        <v>1156</v>
      </c>
      <c r="D1019" s="3" t="s">
        <v>60</v>
      </c>
      <c r="E1019" s="3" t="s">
        <v>435</v>
      </c>
      <c r="F1019" s="3" t="s">
        <v>79</v>
      </c>
      <c r="G1019" s="3">
        <v>0.75481927699999996</v>
      </c>
      <c r="H1019" s="3">
        <v>0.45688468199999999</v>
      </c>
      <c r="I1019" s="3">
        <v>7.0567989999999999E-3</v>
      </c>
      <c r="J1019" s="3">
        <v>54.233283129999997</v>
      </c>
      <c r="K1019" s="3">
        <v>0.11496988</v>
      </c>
      <c r="L1019" s="3">
        <v>0.133554217</v>
      </c>
      <c r="M1019" s="3">
        <v>1</v>
      </c>
      <c r="N1019" s="3">
        <v>0.16174698800000001</v>
      </c>
      <c r="O1019" s="3">
        <v>2.8540877999999999E-2</v>
      </c>
      <c r="P1019" s="3">
        <v>3.6309144000000002E-2</v>
      </c>
      <c r="Q1019" s="3">
        <v>9.8834801E-2</v>
      </c>
      <c r="R1019" s="3">
        <v>0.248246572</v>
      </c>
      <c r="S1019" s="3">
        <v>0.32298233300000001</v>
      </c>
      <c r="T1019" s="3">
        <v>2.4629207659999999</v>
      </c>
      <c r="U1019" s="3">
        <v>0.71122642800000002</v>
      </c>
      <c r="V1019" s="3">
        <v>0.13396481700000001</v>
      </c>
      <c r="W1019" s="3">
        <v>-0.39227547699999998</v>
      </c>
      <c r="X1019" s="3">
        <v>-1.485462555</v>
      </c>
      <c r="Y1019" s="3">
        <v>0.16563876699999999</v>
      </c>
      <c r="Z1019" s="3">
        <v>3.4629207659999999</v>
      </c>
      <c r="AA1019" s="3">
        <v>0.133554217</v>
      </c>
      <c r="AB1019" s="3">
        <v>10.93601863</v>
      </c>
      <c r="AC1019" s="3">
        <v>3.786784141</v>
      </c>
      <c r="AD1019" s="3">
        <v>0.25891566300000002</v>
      </c>
      <c r="AE1019" s="3">
        <v>0.435661352</v>
      </c>
      <c r="AF1019" s="4">
        <v>42556</v>
      </c>
      <c r="AG1019" s="5">
        <f>YEAR(AF1019)</f>
        <v>2016</v>
      </c>
      <c r="AH1019" s="5" t="str">
        <f>"Q"&amp;ROUNDUP(MONTH(AF1019)/3,0)</f>
        <v>Q3</v>
      </c>
      <c r="AI1019" s="5">
        <f>INDEX(RatingLookup!$B$2:$B$11,MATCH(A1019,RatingLookup!$A$2:$A$11,0))</f>
        <v>7</v>
      </c>
      <c r="AJ1019" s="5" t="str">
        <f>INDEX(RatingLookup!$C$2:$C$11,MATCH(A1019,RatingLookup!$A$2:$A$11,0))</f>
        <v>Investment Grade</v>
      </c>
    </row>
    <row r="1020" spans="1:36" x14ac:dyDescent="0.3">
      <c r="A1020" s="3" t="s">
        <v>92</v>
      </c>
      <c r="B1020" s="3" t="s">
        <v>1159</v>
      </c>
      <c r="C1020" s="3" t="s">
        <v>1160</v>
      </c>
      <c r="D1020" s="3" t="s">
        <v>47</v>
      </c>
      <c r="E1020" s="3" t="s">
        <v>1161</v>
      </c>
      <c r="F1020" s="3" t="s">
        <v>174</v>
      </c>
      <c r="G1020" s="3">
        <v>2.9784266420000001</v>
      </c>
      <c r="H1020" s="3">
        <v>2.6679976710000002</v>
      </c>
      <c r="I1020" s="3">
        <v>0.86681640500000001</v>
      </c>
      <c r="J1020" s="3">
        <v>97.955445010000005</v>
      </c>
      <c r="K1020" s="3">
        <v>0.11205678400000001</v>
      </c>
      <c r="L1020" s="3">
        <v>0.188259695</v>
      </c>
      <c r="M1020" s="3">
        <v>0.987634173</v>
      </c>
      <c r="N1020" s="3">
        <v>0.24651501000000001</v>
      </c>
      <c r="O1020" s="3">
        <v>5.1390102E-2</v>
      </c>
      <c r="P1020" s="3">
        <v>9.2669574000000005E-2</v>
      </c>
      <c r="Q1020" s="3">
        <v>0.18633122199999999</v>
      </c>
      <c r="R1020" s="3">
        <v>0.45860768099999999</v>
      </c>
      <c r="S1020" s="3">
        <v>4.2624330800000001</v>
      </c>
      <c r="T1020" s="3">
        <v>2.6258192610000002</v>
      </c>
      <c r="U1020" s="3">
        <v>0.72420026299999996</v>
      </c>
      <c r="V1020" s="3">
        <v>0.40477549000000002</v>
      </c>
      <c r="W1020" s="3">
        <v>0.84178122499999997</v>
      </c>
      <c r="X1020" s="3">
        <v>0.51649564400000003</v>
      </c>
      <c r="Y1020" s="3">
        <v>0.35250210300000001</v>
      </c>
      <c r="Z1020" s="3">
        <v>3.6258192610000002</v>
      </c>
      <c r="AA1020" s="3">
        <v>0.188259695</v>
      </c>
      <c r="AB1020" s="3">
        <v>11.327185</v>
      </c>
      <c r="AC1020" s="3">
        <v>0.61357467799999998</v>
      </c>
      <c r="AD1020" s="3">
        <v>0.22480767500000001</v>
      </c>
      <c r="AE1020" s="3">
        <v>9.2964746000000001E-2</v>
      </c>
      <c r="AF1020" s="4">
        <v>41830</v>
      </c>
      <c r="AG1020" s="5">
        <f>YEAR(AF1020)</f>
        <v>2014</v>
      </c>
      <c r="AH1020" s="5" t="str">
        <f>"Q"&amp;ROUNDUP(MONTH(AF1020)/3,0)</f>
        <v>Q3</v>
      </c>
      <c r="AI1020" s="5">
        <f>INDEX(RatingLookup!$B$2:$B$11,MATCH(A1020,RatingLookup!$A$2:$A$11,0))</f>
        <v>6</v>
      </c>
      <c r="AJ1020" s="5" t="str">
        <f>INDEX(RatingLookup!$C$2:$C$11,MATCH(A1020,RatingLookup!$A$2:$A$11,0))</f>
        <v>Speculative Grade</v>
      </c>
    </row>
    <row r="1021" spans="1:36" x14ac:dyDescent="0.3">
      <c r="A1021" s="3" t="s">
        <v>109</v>
      </c>
      <c r="B1021" s="3" t="s">
        <v>1159</v>
      </c>
      <c r="C1021" s="3" t="s">
        <v>1160</v>
      </c>
      <c r="D1021" s="3" t="s">
        <v>47</v>
      </c>
      <c r="E1021" s="3" t="s">
        <v>882</v>
      </c>
      <c r="F1021" s="3" t="s">
        <v>174</v>
      </c>
      <c r="G1021" s="3">
        <v>0.854982503</v>
      </c>
      <c r="H1021" s="3">
        <v>0.854982503</v>
      </c>
      <c r="I1021" s="3">
        <v>0.75258290299999997</v>
      </c>
      <c r="J1021" s="3">
        <v>8.0372492189999996</v>
      </c>
      <c r="K1021" s="3">
        <v>6.0921914000000001E-2</v>
      </c>
      <c r="L1021" s="3">
        <v>8.8298925E-2</v>
      </c>
      <c r="M1021" s="3">
        <v>1</v>
      </c>
      <c r="N1021" s="3">
        <v>0.26327529799999999</v>
      </c>
      <c r="O1021" s="3">
        <v>3.1048895999999999E-2</v>
      </c>
      <c r="P1021" s="3">
        <v>5.0540581000000001E-2</v>
      </c>
      <c r="Q1021" s="3">
        <v>2.5182373629999999</v>
      </c>
      <c r="R1021" s="3">
        <v>0.50965070300000004</v>
      </c>
      <c r="S1021" s="3">
        <v>3.6339708640000001</v>
      </c>
      <c r="T1021" s="3">
        <v>80.105536009999994</v>
      </c>
      <c r="U1021" s="3">
        <v>0.98767038500000004</v>
      </c>
      <c r="V1021" s="3">
        <v>0.31004920600000002</v>
      </c>
      <c r="W1021" s="3">
        <v>0.75379696200000001</v>
      </c>
      <c r="X1021" s="3">
        <v>0.35136318500000002</v>
      </c>
      <c r="Y1021" s="3">
        <v>0.42069034500000002</v>
      </c>
      <c r="Z1021" s="3">
        <v>81.105536009999994</v>
      </c>
      <c r="AA1021" s="3">
        <v>8.8298925E-2</v>
      </c>
      <c r="AB1021" s="3">
        <v>5.9833366679999997</v>
      </c>
      <c r="AC1021" s="3">
        <v>0.466124437</v>
      </c>
      <c r="AD1021" s="3">
        <v>0.17931226</v>
      </c>
      <c r="AE1021" s="3">
        <v>0</v>
      </c>
      <c r="AF1021" s="4">
        <v>41437</v>
      </c>
      <c r="AG1021" s="5">
        <f>YEAR(AF1021)</f>
        <v>2013</v>
      </c>
      <c r="AH1021" s="5" t="str">
        <f>"Q"&amp;ROUNDUP(MONTH(AF1021)/3,0)</f>
        <v>Q2</v>
      </c>
      <c r="AI1021" s="5">
        <f>INDEX(RatingLookup!$B$2:$B$11,MATCH(A1021,RatingLookup!$A$2:$A$11,0))</f>
        <v>5</v>
      </c>
      <c r="AJ1021" s="5" t="str">
        <f>INDEX(RatingLookup!$C$2:$C$11,MATCH(A1021,RatingLookup!$A$2:$A$11,0))</f>
        <v>Speculative Grade</v>
      </c>
    </row>
    <row r="1022" spans="1:36" x14ac:dyDescent="0.3">
      <c r="A1022" s="3" t="s">
        <v>92</v>
      </c>
      <c r="B1022" s="3" t="s">
        <v>1159</v>
      </c>
      <c r="C1022" s="3" t="s">
        <v>1160</v>
      </c>
      <c r="D1022" s="3" t="s">
        <v>47</v>
      </c>
      <c r="E1022" s="3" t="s">
        <v>1162</v>
      </c>
      <c r="F1022" s="3" t="s">
        <v>174</v>
      </c>
      <c r="G1022" s="3">
        <v>3.8038773149999998</v>
      </c>
      <c r="H1022" s="3">
        <v>3.662962963</v>
      </c>
      <c r="I1022" s="3">
        <v>1.780092593</v>
      </c>
      <c r="J1022" s="3">
        <v>91.876184660000007</v>
      </c>
      <c r="K1022" s="3">
        <v>7.8931895000000002E-2</v>
      </c>
      <c r="L1022" s="3">
        <v>0.129687367</v>
      </c>
      <c r="M1022" s="3">
        <v>0.96311224900000003</v>
      </c>
      <c r="N1022" s="3">
        <v>0.18898783</v>
      </c>
      <c r="O1022" s="3">
        <v>3.93979E-2</v>
      </c>
      <c r="P1022" s="3">
        <v>6.9360168E-2</v>
      </c>
      <c r="Q1022" s="3">
        <v>0.11122558</v>
      </c>
      <c r="R1022" s="3">
        <v>0.499137899</v>
      </c>
      <c r="S1022" s="3">
        <v>4.669014593</v>
      </c>
      <c r="T1022" s="3">
        <v>1.823134703</v>
      </c>
      <c r="U1022" s="3">
        <v>0.64578381600000001</v>
      </c>
      <c r="V1022" s="3">
        <v>0.39136789399999999</v>
      </c>
      <c r="W1022" s="3">
        <v>0.84199595100000002</v>
      </c>
      <c r="X1022" s="3">
        <v>0.539989724</v>
      </c>
      <c r="Y1022" s="3">
        <v>0.68860078800000002</v>
      </c>
      <c r="Z1022" s="3">
        <v>2.823134703</v>
      </c>
      <c r="AA1022" s="3">
        <v>0.129687367</v>
      </c>
      <c r="AB1022" s="3">
        <v>10.745152689999999</v>
      </c>
      <c r="AC1022" s="3">
        <v>0.64132104599999995</v>
      </c>
      <c r="AD1022" s="3">
        <v>0.22163596599999999</v>
      </c>
      <c r="AE1022" s="3">
        <v>0.30950989899999998</v>
      </c>
      <c r="AF1022" s="4">
        <v>42569</v>
      </c>
      <c r="AG1022" s="5">
        <f>YEAR(AF1022)</f>
        <v>2016</v>
      </c>
      <c r="AH1022" s="5" t="str">
        <f>"Q"&amp;ROUNDUP(MONTH(AF1022)/3,0)</f>
        <v>Q3</v>
      </c>
      <c r="AI1022" s="5">
        <f>INDEX(RatingLookup!$B$2:$B$11,MATCH(A1022,RatingLookup!$A$2:$A$11,0))</f>
        <v>6</v>
      </c>
      <c r="AJ1022" s="5" t="str">
        <f>INDEX(RatingLookup!$C$2:$C$11,MATCH(A1022,RatingLookup!$A$2:$A$11,0))</f>
        <v>Speculative Grade</v>
      </c>
    </row>
    <row r="1023" spans="1:36" x14ac:dyDescent="0.3">
      <c r="A1023" s="3" t="s">
        <v>92</v>
      </c>
      <c r="B1023" s="3" t="s">
        <v>1159</v>
      </c>
      <c r="C1023" s="3" t="s">
        <v>1160</v>
      </c>
      <c r="D1023" s="3" t="s">
        <v>47</v>
      </c>
      <c r="E1023" s="3" t="s">
        <v>1163</v>
      </c>
      <c r="F1023" s="3" t="s">
        <v>174</v>
      </c>
      <c r="G1023" s="3">
        <v>3.1626132029999998</v>
      </c>
      <c r="H1023" s="3">
        <v>2.8725009969999999</v>
      </c>
      <c r="I1023" s="3">
        <v>1.2479922539999999</v>
      </c>
      <c r="J1023" s="3">
        <v>92.984400399999998</v>
      </c>
      <c r="K1023" s="3">
        <v>0.59765715699999999</v>
      </c>
      <c r="L1023" s="3">
        <v>-1.3933800000000001E-3</v>
      </c>
      <c r="M1023" s="3">
        <v>1</v>
      </c>
      <c r="N1023" s="3">
        <v>0.24093856599999999</v>
      </c>
      <c r="O1023" s="3">
        <v>0.24863582400000001</v>
      </c>
      <c r="P1023" s="3">
        <v>-6.2012700000000005E-4</v>
      </c>
      <c r="Q1023" s="3">
        <v>0.98383373500000004</v>
      </c>
      <c r="R1023" s="3">
        <v>0.41601747900000002</v>
      </c>
      <c r="S1023" s="3">
        <v>3.8103633110000001</v>
      </c>
      <c r="T1023" s="3">
        <v>2.9569267190000001</v>
      </c>
      <c r="U1023" s="3">
        <v>0.74727861500000003</v>
      </c>
      <c r="V1023" s="3">
        <v>429.92628209999998</v>
      </c>
      <c r="W1023" s="3">
        <v>0.68939093299999998</v>
      </c>
      <c r="X1023" s="3">
        <v>0.25836052500000001</v>
      </c>
      <c r="Y1023" s="3">
        <v>0.50138943899999999</v>
      </c>
      <c r="Z1023" s="3">
        <v>3.9569267190000001</v>
      </c>
      <c r="AA1023" s="3">
        <v>-1.3933800000000001E-3</v>
      </c>
      <c r="AB1023" s="3">
        <v>11.93496766</v>
      </c>
      <c r="AC1023" s="3">
        <v>0.37476635200000002</v>
      </c>
      <c r="AD1023" s="3">
        <v>0.14628253499999999</v>
      </c>
      <c r="AE1023" s="3">
        <v>0</v>
      </c>
      <c r="AF1023" s="4">
        <v>41774</v>
      </c>
      <c r="AG1023" s="5">
        <f>YEAR(AF1023)</f>
        <v>2014</v>
      </c>
      <c r="AH1023" s="5" t="str">
        <f>"Q"&amp;ROUNDUP(MONTH(AF1023)/3,0)</f>
        <v>Q2</v>
      </c>
      <c r="AI1023" s="5">
        <f>INDEX(RatingLookup!$B$2:$B$11,MATCH(A1023,RatingLookup!$A$2:$A$11,0))</f>
        <v>6</v>
      </c>
      <c r="AJ1023" s="5" t="str">
        <f>INDEX(RatingLookup!$C$2:$C$11,MATCH(A1023,RatingLookup!$A$2:$A$11,0))</f>
        <v>Speculative Grade</v>
      </c>
    </row>
    <row r="1024" spans="1:36" x14ac:dyDescent="0.3">
      <c r="A1024" s="3" t="s">
        <v>109</v>
      </c>
      <c r="B1024" s="3" t="s">
        <v>1159</v>
      </c>
      <c r="C1024" s="3" t="s">
        <v>1160</v>
      </c>
      <c r="D1024" s="3" t="s">
        <v>60</v>
      </c>
      <c r="E1024" s="3" t="s">
        <v>46</v>
      </c>
      <c r="F1024" s="3" t="s">
        <v>174</v>
      </c>
      <c r="G1024" s="3">
        <v>2.732216314</v>
      </c>
      <c r="H1024" s="3">
        <v>2.5832497239999999</v>
      </c>
      <c r="I1024" s="3">
        <v>1.4728353569999999</v>
      </c>
      <c r="J1024" s="3">
        <v>83.121823489999997</v>
      </c>
      <c r="K1024" s="3">
        <v>-4.2181938000000002E-2</v>
      </c>
      <c r="L1024" s="3">
        <v>-1.2397373999999999E-2</v>
      </c>
      <c r="M1024" s="3">
        <v>1</v>
      </c>
      <c r="N1024" s="3">
        <v>0.179905965</v>
      </c>
      <c r="O1024" s="3">
        <v>-1.7546824999999999E-2</v>
      </c>
      <c r="P1024" s="3">
        <v>-5.6380470000000002E-3</v>
      </c>
      <c r="Q1024" s="3">
        <v>14.616755789999999</v>
      </c>
      <c r="R1024" s="3">
        <v>0.41597959400000001</v>
      </c>
      <c r="S1024" s="3">
        <v>2.9803452610000001</v>
      </c>
      <c r="T1024" s="3">
        <v>-834.01426019999997</v>
      </c>
      <c r="U1024" s="3">
        <v>1.00120046</v>
      </c>
      <c r="V1024" s="3">
        <v>-2.402489627</v>
      </c>
      <c r="W1024" s="3">
        <v>0.51598432800000005</v>
      </c>
      <c r="X1024" s="3">
        <v>0.106841694</v>
      </c>
      <c r="Y1024" s="3">
        <v>0.69039698999999999</v>
      </c>
      <c r="Z1024" s="3">
        <v>-833.01426019999997</v>
      </c>
      <c r="AA1024" s="3">
        <v>-1.2397373999999999E-2</v>
      </c>
      <c r="AB1024" s="3">
        <v>8.3469505730000009</v>
      </c>
      <c r="AC1024" s="3">
        <v>0.207063836</v>
      </c>
      <c r="AD1024" s="3">
        <v>9.0593428000000004E-2</v>
      </c>
      <c r="AE1024" s="3">
        <v>0</v>
      </c>
      <c r="AF1024" s="4">
        <v>41075</v>
      </c>
      <c r="AG1024" s="5">
        <f>YEAR(AF1024)</f>
        <v>2012</v>
      </c>
      <c r="AH1024" s="5" t="str">
        <f>"Q"&amp;ROUNDUP(MONTH(AF1024)/3,0)</f>
        <v>Q2</v>
      </c>
      <c r="AI1024" s="5">
        <f>INDEX(RatingLookup!$B$2:$B$11,MATCH(A1024,RatingLookup!$A$2:$A$11,0))</f>
        <v>5</v>
      </c>
      <c r="AJ1024" s="5" t="str">
        <f>INDEX(RatingLookup!$C$2:$C$11,MATCH(A1024,RatingLookup!$A$2:$A$11,0))</f>
        <v>Speculative Grade</v>
      </c>
    </row>
    <row r="1025" spans="1:36" x14ac:dyDescent="0.3">
      <c r="A1025" s="3" t="s">
        <v>92</v>
      </c>
      <c r="B1025" s="3" t="s">
        <v>1159</v>
      </c>
      <c r="C1025" s="3" t="s">
        <v>1160</v>
      </c>
      <c r="D1025" s="3" t="s">
        <v>47</v>
      </c>
      <c r="E1025" s="3" t="s">
        <v>277</v>
      </c>
      <c r="F1025" s="3" t="s">
        <v>174</v>
      </c>
      <c r="G1025" s="3">
        <v>3.5789724779999998</v>
      </c>
      <c r="H1025" s="3">
        <v>3.408861854</v>
      </c>
      <c r="I1025" s="3">
        <v>1.428988878</v>
      </c>
      <c r="J1025" s="3">
        <v>95.365574850000002</v>
      </c>
      <c r="K1025" s="3">
        <v>0.10083263200000001</v>
      </c>
      <c r="L1025" s="3">
        <v>0.165420605</v>
      </c>
      <c r="M1025" s="3">
        <v>0.97150322300000003</v>
      </c>
      <c r="N1025" s="3">
        <v>0.217385316</v>
      </c>
      <c r="O1025" s="3">
        <v>4.8514923000000001E-2</v>
      </c>
      <c r="P1025" s="3">
        <v>8.4987193000000003E-2</v>
      </c>
      <c r="Q1025" s="3">
        <v>0.153192685</v>
      </c>
      <c r="R1025" s="3">
        <v>0.481143078</v>
      </c>
      <c r="S1025" s="3">
        <v>4.3911601060000001</v>
      </c>
      <c r="T1025" s="3">
        <v>2.1576405040000002</v>
      </c>
      <c r="U1025" s="3">
        <v>0.68330783699999997</v>
      </c>
      <c r="V1025" s="3">
        <v>0.39044696600000001</v>
      </c>
      <c r="W1025" s="3">
        <v>0.78010050900000005</v>
      </c>
      <c r="X1025" s="3">
        <v>0.55262594300000001</v>
      </c>
      <c r="Y1025" s="3">
        <v>0.54508501600000003</v>
      </c>
      <c r="Z1025" s="3">
        <v>3.1576405040000002</v>
      </c>
      <c r="AA1025" s="3">
        <v>0.165420605</v>
      </c>
      <c r="AB1025" s="3">
        <v>12.77125493</v>
      </c>
      <c r="AC1025" s="3">
        <v>0.70840351499999998</v>
      </c>
      <c r="AD1025" s="3">
        <v>0.24507936799999999</v>
      </c>
      <c r="AE1025" s="3">
        <v>0.244093161</v>
      </c>
      <c r="AF1025" s="4">
        <v>42205</v>
      </c>
      <c r="AG1025" s="5">
        <f>YEAR(AF1025)</f>
        <v>2015</v>
      </c>
      <c r="AH1025" s="5" t="str">
        <f>"Q"&amp;ROUNDUP(MONTH(AF1025)/3,0)</f>
        <v>Q3</v>
      </c>
      <c r="AI1025" s="5">
        <f>INDEX(RatingLookup!$B$2:$B$11,MATCH(A1025,RatingLookup!$A$2:$A$11,0))</f>
        <v>6</v>
      </c>
      <c r="AJ1025" s="5" t="str">
        <f>INDEX(RatingLookup!$C$2:$C$11,MATCH(A1025,RatingLookup!$A$2:$A$11,0))</f>
        <v>Speculative Grade</v>
      </c>
    </row>
    <row r="1026" spans="1:36" x14ac:dyDescent="0.3">
      <c r="A1026" s="3" t="s">
        <v>36</v>
      </c>
      <c r="B1026" s="3" t="s">
        <v>1164</v>
      </c>
      <c r="C1026" s="3" t="s">
        <v>1165</v>
      </c>
      <c r="D1026" s="3" t="s">
        <v>47</v>
      </c>
      <c r="E1026" s="3" t="s">
        <v>1166</v>
      </c>
      <c r="F1026" s="3" t="s">
        <v>66</v>
      </c>
      <c r="G1026" s="3">
        <v>1.0954415120000001</v>
      </c>
      <c r="H1026" s="3">
        <v>0.79934460799999996</v>
      </c>
      <c r="I1026" s="3">
        <v>0.36848265000000002</v>
      </c>
      <c r="J1026" s="3">
        <v>39.240899650000003</v>
      </c>
      <c r="K1026" s="3">
        <v>9.4332131999999999E-2</v>
      </c>
      <c r="L1026" s="3">
        <v>0.12679411199999999</v>
      </c>
      <c r="M1026" s="3">
        <v>0.52221645400000005</v>
      </c>
      <c r="N1026" s="3">
        <v>0.13913149699999999</v>
      </c>
      <c r="O1026" s="3">
        <v>8.2772849999999995E-2</v>
      </c>
      <c r="P1026" s="3">
        <v>0.144294427</v>
      </c>
      <c r="Q1026" s="3">
        <v>0.27559441499999998</v>
      </c>
      <c r="R1026" s="3">
        <v>0.87746188300000005</v>
      </c>
      <c r="S1026" s="3">
        <v>3.4224498329999999</v>
      </c>
      <c r="T1026" s="3">
        <v>2.329526698</v>
      </c>
      <c r="U1026" s="3">
        <v>0.699657011</v>
      </c>
      <c r="V1026" s="3">
        <v>0.251685934</v>
      </c>
      <c r="W1026" s="3">
        <v>0.679915084</v>
      </c>
      <c r="X1026" s="3">
        <v>3.7026332690000001</v>
      </c>
      <c r="Y1026" s="3">
        <v>4.2511239559999998</v>
      </c>
      <c r="Z1026" s="3">
        <v>3.329526698</v>
      </c>
      <c r="AA1026" s="3">
        <v>0.12679411199999999</v>
      </c>
      <c r="AB1026" s="3">
        <v>11.449518680000001</v>
      </c>
      <c r="AC1026" s="3">
        <v>5.4457289659999999</v>
      </c>
      <c r="AD1026" s="3">
        <v>0.12946619400000001</v>
      </c>
      <c r="AE1026" s="3">
        <v>2.628833067</v>
      </c>
      <c r="AF1026" s="4">
        <v>41360</v>
      </c>
      <c r="AG1026" s="5">
        <f>YEAR(AF1026)</f>
        <v>2013</v>
      </c>
      <c r="AH1026" s="5" t="str">
        <f>"Q"&amp;ROUNDUP(MONTH(AF1026)/3,0)</f>
        <v>Q1</v>
      </c>
      <c r="AI1026" s="5">
        <f>INDEX(RatingLookup!$B$2:$B$11,MATCH(A1026,RatingLookup!$A$2:$A$11,0))</f>
        <v>8</v>
      </c>
      <c r="AJ1026" s="5" t="str">
        <f>INDEX(RatingLookup!$C$2:$C$11,MATCH(A1026,RatingLookup!$A$2:$A$11,0))</f>
        <v>Investment Grade</v>
      </c>
    </row>
    <row r="1027" spans="1:36" x14ac:dyDescent="0.3">
      <c r="A1027" s="3" t="s">
        <v>36</v>
      </c>
      <c r="B1027" s="3" t="s">
        <v>1164</v>
      </c>
      <c r="C1027" s="3" t="s">
        <v>1165</v>
      </c>
      <c r="D1027" s="3" t="s">
        <v>47</v>
      </c>
      <c r="E1027" s="3" t="s">
        <v>988</v>
      </c>
      <c r="F1027" s="3" t="s">
        <v>66</v>
      </c>
      <c r="G1027" s="3">
        <v>1.310217317</v>
      </c>
      <c r="H1027" s="3">
        <v>1.0493799070000001</v>
      </c>
      <c r="I1027" s="3">
        <v>0.51746501300000003</v>
      </c>
      <c r="J1027" s="3">
        <v>37.260609619999997</v>
      </c>
      <c r="K1027" s="3">
        <v>8.6462827000000006E-2</v>
      </c>
      <c r="L1027" s="3">
        <v>0.118022076</v>
      </c>
      <c r="M1027" s="3">
        <v>0.54986044199999995</v>
      </c>
      <c r="N1027" s="3">
        <v>0.13246955099999999</v>
      </c>
      <c r="O1027" s="3">
        <v>7.8257998999999995E-2</v>
      </c>
      <c r="P1027" s="3">
        <v>0.14287085599999999</v>
      </c>
      <c r="Q1027" s="3">
        <v>0.45177328500000002</v>
      </c>
      <c r="R1027" s="3">
        <v>0.90510571699999998</v>
      </c>
      <c r="S1027" s="3">
        <v>3.8644358639999998</v>
      </c>
      <c r="T1027" s="3">
        <v>4.7728704009999996</v>
      </c>
      <c r="U1027" s="3">
        <v>0.82677594799999998</v>
      </c>
      <c r="V1027" s="3">
        <v>0.260816985</v>
      </c>
      <c r="W1027" s="3">
        <v>0.73931947099999995</v>
      </c>
      <c r="X1027" s="3">
        <v>5.3247106879999997</v>
      </c>
      <c r="Y1027" s="3">
        <v>8.1749489450000006</v>
      </c>
      <c r="Z1027" s="3">
        <v>5.7728704009999996</v>
      </c>
      <c r="AA1027" s="3">
        <v>0.118022076</v>
      </c>
      <c r="AB1027" s="3">
        <v>15.333258430000001</v>
      </c>
      <c r="AC1027" s="3">
        <v>7.2021783529999999</v>
      </c>
      <c r="AD1027" s="3">
        <v>0.16778736399999999</v>
      </c>
      <c r="AE1027" s="3">
        <v>2.1014288890000001</v>
      </c>
      <c r="AF1027" s="4">
        <v>42481</v>
      </c>
      <c r="AG1027" s="5">
        <f>YEAR(AF1027)</f>
        <v>2016</v>
      </c>
      <c r="AH1027" s="5" t="str">
        <f>"Q"&amp;ROUNDUP(MONTH(AF1027)/3,0)</f>
        <v>Q2</v>
      </c>
      <c r="AI1027" s="5">
        <f>INDEX(RatingLookup!$B$2:$B$11,MATCH(A1027,RatingLookup!$A$2:$A$11,0))</f>
        <v>8</v>
      </c>
      <c r="AJ1027" s="5" t="str">
        <f>INDEX(RatingLookup!$C$2:$C$11,MATCH(A1027,RatingLookup!$A$2:$A$11,0))</f>
        <v>Investment Grade</v>
      </c>
    </row>
    <row r="1028" spans="1:36" x14ac:dyDescent="0.3">
      <c r="A1028" s="3" t="s">
        <v>36</v>
      </c>
      <c r="B1028" s="3" t="s">
        <v>1164</v>
      </c>
      <c r="C1028" s="3" t="s">
        <v>1165</v>
      </c>
      <c r="D1028" s="3" t="s">
        <v>47</v>
      </c>
      <c r="E1028" s="3" t="s">
        <v>1106</v>
      </c>
      <c r="F1028" s="3" t="s">
        <v>66</v>
      </c>
      <c r="G1028" s="3">
        <v>1.2446325469999999</v>
      </c>
      <c r="H1028" s="3">
        <v>0.93233925699999998</v>
      </c>
      <c r="I1028" s="3">
        <v>0.52553394200000003</v>
      </c>
      <c r="J1028" s="3">
        <v>38.217420760000003</v>
      </c>
      <c r="K1028" s="3">
        <v>0.10148309899999999</v>
      </c>
      <c r="L1028" s="3">
        <v>0.13387036099999999</v>
      </c>
      <c r="M1028" s="3">
        <v>0.52957916100000002</v>
      </c>
      <c r="N1028" s="3">
        <v>0.14612662800000001</v>
      </c>
      <c r="O1028" s="3">
        <v>8.6992437000000006E-2</v>
      </c>
      <c r="P1028" s="3">
        <v>0.1490803</v>
      </c>
      <c r="Q1028" s="3">
        <v>0.276127658</v>
      </c>
      <c r="R1028" s="3">
        <v>0.85721107900000004</v>
      </c>
      <c r="S1028" s="3">
        <v>3.5755047109999998</v>
      </c>
      <c r="T1028" s="3">
        <v>2.1741570729999999</v>
      </c>
      <c r="U1028" s="3">
        <v>0.68495572900000001</v>
      </c>
      <c r="V1028" s="3">
        <v>0.23664379699999999</v>
      </c>
      <c r="W1028" s="3">
        <v>0.71149876099999998</v>
      </c>
      <c r="X1028" s="3">
        <v>4.4730694350000002</v>
      </c>
      <c r="Y1028" s="3">
        <v>6.2803374429999996</v>
      </c>
      <c r="Z1028" s="3">
        <v>3.1741570729999999</v>
      </c>
      <c r="AA1028" s="3">
        <v>0.13387036099999999</v>
      </c>
      <c r="AB1028" s="3">
        <v>11.862747410000001</v>
      </c>
      <c r="AC1028" s="3">
        <v>6.2868267360000001</v>
      </c>
      <c r="AD1028" s="3">
        <v>0.14587066200000001</v>
      </c>
      <c r="AE1028" s="3">
        <v>2.492858853</v>
      </c>
      <c r="AF1028" s="4">
        <v>41688</v>
      </c>
      <c r="AG1028" s="5">
        <f>YEAR(AF1028)</f>
        <v>2014</v>
      </c>
      <c r="AH1028" s="5" t="str">
        <f>"Q"&amp;ROUNDUP(MONTH(AF1028)/3,0)</f>
        <v>Q1</v>
      </c>
      <c r="AI1028" s="5">
        <f>INDEX(RatingLookup!$B$2:$B$11,MATCH(A1028,RatingLookup!$A$2:$A$11,0))</f>
        <v>8</v>
      </c>
      <c r="AJ1028" s="5" t="str">
        <f>INDEX(RatingLookup!$C$2:$C$11,MATCH(A1028,RatingLookup!$A$2:$A$11,0))</f>
        <v>Investment Grade</v>
      </c>
    </row>
    <row r="1029" spans="1:36" x14ac:dyDescent="0.3">
      <c r="A1029" s="3" t="s">
        <v>36</v>
      </c>
      <c r="B1029" s="3" t="s">
        <v>1164</v>
      </c>
      <c r="C1029" s="3" t="s">
        <v>1165</v>
      </c>
      <c r="D1029" s="3" t="s">
        <v>47</v>
      </c>
      <c r="E1029" s="3" t="s">
        <v>659</v>
      </c>
      <c r="F1029" s="3" t="s">
        <v>66</v>
      </c>
      <c r="G1029" s="3">
        <v>1.1421070090000001</v>
      </c>
      <c r="H1029" s="3">
        <v>0.84993367200000003</v>
      </c>
      <c r="I1029" s="3">
        <v>0.33904488199999999</v>
      </c>
      <c r="J1029" s="3">
        <v>36.4053057</v>
      </c>
      <c r="K1029" s="3">
        <v>9.7671070999999998E-2</v>
      </c>
      <c r="L1029" s="3">
        <v>0.131322826</v>
      </c>
      <c r="M1029" s="3">
        <v>0.53685347100000003</v>
      </c>
      <c r="N1029" s="3">
        <v>0.143679798</v>
      </c>
      <c r="O1029" s="3">
        <v>9.2371186999999993E-2</v>
      </c>
      <c r="P1029" s="3">
        <v>0.16706412000000001</v>
      </c>
      <c r="Q1029" s="3">
        <v>0.37051996799999998</v>
      </c>
      <c r="R1029" s="3">
        <v>0.94573742400000005</v>
      </c>
      <c r="S1029" s="3">
        <v>3.8670262119999999</v>
      </c>
      <c r="T1029" s="3">
        <v>3.011207191</v>
      </c>
      <c r="U1029" s="3">
        <v>0.75069849200000005</v>
      </c>
      <c r="V1029" s="3">
        <v>0.25111339500000002</v>
      </c>
      <c r="W1029" s="3">
        <v>0.72786978899999999</v>
      </c>
      <c r="X1029" s="3">
        <v>5.067594433</v>
      </c>
      <c r="Y1029" s="3">
        <v>5.7826375079999996</v>
      </c>
      <c r="Z1029" s="3">
        <v>4.0112071909999996</v>
      </c>
      <c r="AA1029" s="3">
        <v>0.131322826</v>
      </c>
      <c r="AB1029" s="3">
        <v>14.065722600000001</v>
      </c>
      <c r="AC1029" s="3">
        <v>6.9622266399999999</v>
      </c>
      <c r="AD1029" s="3">
        <v>0.15755140000000001</v>
      </c>
      <c r="AE1029" s="3">
        <v>2.3727719729999999</v>
      </c>
      <c r="AF1029" s="4">
        <v>42184</v>
      </c>
      <c r="AG1029" s="5">
        <f>YEAR(AF1029)</f>
        <v>2015</v>
      </c>
      <c r="AH1029" s="5" t="str">
        <f>"Q"&amp;ROUNDUP(MONTH(AF1029)/3,0)</f>
        <v>Q2</v>
      </c>
      <c r="AI1029" s="5">
        <f>INDEX(RatingLookup!$B$2:$B$11,MATCH(A1029,RatingLookup!$A$2:$A$11,0))</f>
        <v>8</v>
      </c>
      <c r="AJ1029" s="5" t="str">
        <f>INDEX(RatingLookup!$C$2:$C$11,MATCH(A1029,RatingLookup!$A$2:$A$11,0))</f>
        <v>Investment Grade</v>
      </c>
    </row>
    <row r="1030" spans="1:36" x14ac:dyDescent="0.3">
      <c r="A1030" s="3" t="s">
        <v>36</v>
      </c>
      <c r="B1030" s="3" t="s">
        <v>1164</v>
      </c>
      <c r="C1030" s="3" t="s">
        <v>1165</v>
      </c>
      <c r="D1030" s="3" t="s">
        <v>47</v>
      </c>
      <c r="E1030" s="3" t="s">
        <v>1167</v>
      </c>
      <c r="F1030" s="3" t="s">
        <v>66</v>
      </c>
      <c r="G1030" s="3">
        <v>1.105524792</v>
      </c>
      <c r="H1030" s="3">
        <v>0.79864082599999997</v>
      </c>
      <c r="I1030" s="3">
        <v>0.37396174199999999</v>
      </c>
      <c r="J1030" s="3">
        <v>39.902745600000003</v>
      </c>
      <c r="K1030" s="3">
        <v>0.109270722</v>
      </c>
      <c r="L1030" s="3">
        <v>0.14232857300000001</v>
      </c>
      <c r="M1030" s="3">
        <v>0.54052698899999996</v>
      </c>
      <c r="N1030" s="3">
        <v>0.14405754000000001</v>
      </c>
      <c r="O1030" s="3">
        <v>9.2732527999999995E-2</v>
      </c>
      <c r="P1030" s="3">
        <v>0.157517078</v>
      </c>
      <c r="Q1030" s="3">
        <v>0.29709020800000002</v>
      </c>
      <c r="R1030" s="3">
        <v>0.84864936199999996</v>
      </c>
      <c r="S1030" s="3">
        <v>3.0348410119999998</v>
      </c>
      <c r="T1030" s="3">
        <v>2.2037324310000002</v>
      </c>
      <c r="U1030" s="3">
        <v>0.68786407100000002</v>
      </c>
      <c r="V1030" s="3">
        <v>0.230077745</v>
      </c>
      <c r="W1030" s="3">
        <v>0.614938447</v>
      </c>
      <c r="X1030" s="3">
        <v>3.2672955969999999</v>
      </c>
      <c r="Y1030" s="3">
        <v>4.0056603769999999</v>
      </c>
      <c r="Z1030" s="3">
        <v>3.2037324310000002</v>
      </c>
      <c r="AA1030" s="3">
        <v>0.14232857300000001</v>
      </c>
      <c r="AB1030" s="3">
        <v>11.650267380000001</v>
      </c>
      <c r="AC1030" s="3">
        <v>5.3132075470000002</v>
      </c>
      <c r="AD1030" s="3">
        <v>0.14606314200000001</v>
      </c>
      <c r="AE1030" s="3">
        <v>2.432939669</v>
      </c>
      <c r="AF1030" s="4">
        <v>40632</v>
      </c>
      <c r="AG1030" s="5">
        <f>YEAR(AF1030)</f>
        <v>2011</v>
      </c>
      <c r="AH1030" s="5" t="str">
        <f>"Q"&amp;ROUNDUP(MONTH(AF1030)/3,0)</f>
        <v>Q1</v>
      </c>
      <c r="AI1030" s="5">
        <f>INDEX(RatingLookup!$B$2:$B$11,MATCH(A1030,RatingLookup!$A$2:$A$11,0))</f>
        <v>8</v>
      </c>
      <c r="AJ1030" s="5" t="str">
        <f>INDEX(RatingLookup!$C$2:$C$11,MATCH(A1030,RatingLookup!$A$2:$A$11,0))</f>
        <v>Investment Grade</v>
      </c>
    </row>
    <row r="1031" spans="1:36" x14ac:dyDescent="0.3">
      <c r="A1031" s="3" t="s">
        <v>36</v>
      </c>
      <c r="B1031" s="3" t="s">
        <v>1164</v>
      </c>
      <c r="C1031" s="3" t="s">
        <v>1165</v>
      </c>
      <c r="D1031" s="3" t="s">
        <v>47</v>
      </c>
      <c r="E1031" s="3" t="s">
        <v>1168</v>
      </c>
      <c r="F1031" s="3" t="s">
        <v>66</v>
      </c>
      <c r="G1031" s="3">
        <v>0.96072490899999996</v>
      </c>
      <c r="H1031" s="3">
        <v>0.62449047000000002</v>
      </c>
      <c r="I1031" s="3">
        <v>0.22402776199999999</v>
      </c>
      <c r="J1031" s="3">
        <v>37.935763260000002</v>
      </c>
      <c r="K1031" s="3">
        <v>9.6881390999999997E-2</v>
      </c>
      <c r="L1031" s="3">
        <v>0.132834115</v>
      </c>
      <c r="M1031" s="3">
        <v>0.52494586799999998</v>
      </c>
      <c r="N1031" s="3">
        <v>0.14484843</v>
      </c>
      <c r="O1031" s="3">
        <v>8.8403172000000002E-2</v>
      </c>
      <c r="P1031" s="3">
        <v>0.16141646000000001</v>
      </c>
      <c r="Q1031" s="3">
        <v>0.31119590400000002</v>
      </c>
      <c r="R1031" s="3">
        <v>0.91248868000000005</v>
      </c>
      <c r="S1031" s="3">
        <v>3.3761803229999998</v>
      </c>
      <c r="T1031" s="3">
        <v>2.520189335</v>
      </c>
      <c r="U1031" s="3">
        <v>0.71592437099999995</v>
      </c>
      <c r="V1031" s="3">
        <v>0.26850803699999998</v>
      </c>
      <c r="W1031" s="3">
        <v>0.62667710200000004</v>
      </c>
      <c r="X1031" s="3">
        <v>3.5564720809999999</v>
      </c>
      <c r="Y1031" s="3">
        <v>2.807741117</v>
      </c>
      <c r="Z1031" s="3">
        <v>3.520189335</v>
      </c>
      <c r="AA1031" s="3">
        <v>0.132834115</v>
      </c>
      <c r="AB1031" s="3">
        <v>10.16913177</v>
      </c>
      <c r="AC1031" s="3">
        <v>5.6751269039999999</v>
      </c>
      <c r="AD1031" s="3">
        <v>0.134488151</v>
      </c>
      <c r="AE1031" s="3">
        <v>2.6871650929999999</v>
      </c>
      <c r="AF1031" s="4">
        <v>40995</v>
      </c>
      <c r="AG1031" s="5">
        <f>YEAR(AF1031)</f>
        <v>2012</v>
      </c>
      <c r="AH1031" s="5" t="str">
        <f>"Q"&amp;ROUNDUP(MONTH(AF1031)/3,0)</f>
        <v>Q1</v>
      </c>
      <c r="AI1031" s="5">
        <f>INDEX(RatingLookup!$B$2:$B$11,MATCH(A1031,RatingLookup!$A$2:$A$11,0))</f>
        <v>8</v>
      </c>
      <c r="AJ1031" s="5" t="str">
        <f>INDEX(RatingLookup!$C$2:$C$11,MATCH(A1031,RatingLookup!$A$2:$A$11,0))</f>
        <v>Investment Grade</v>
      </c>
    </row>
    <row r="1032" spans="1:36" x14ac:dyDescent="0.3">
      <c r="A1032" s="3" t="s">
        <v>42</v>
      </c>
      <c r="B1032" s="3" t="s">
        <v>1169</v>
      </c>
      <c r="C1032" s="3" t="s">
        <v>1170</v>
      </c>
      <c r="D1032" s="3" t="s">
        <v>60</v>
      </c>
      <c r="E1032" s="3" t="s">
        <v>542</v>
      </c>
      <c r="F1032" s="3" t="s">
        <v>174</v>
      </c>
      <c r="G1032" s="3">
        <v>1.7771987279999999</v>
      </c>
      <c r="H1032" s="3">
        <v>0.29169961900000002</v>
      </c>
      <c r="I1032" s="3">
        <v>0.29169961900000002</v>
      </c>
      <c r="J1032" s="3">
        <v>0</v>
      </c>
      <c r="K1032" s="3">
        <v>5.6338880000000001E-2</v>
      </c>
      <c r="L1032" s="3">
        <v>8.8889351000000005E-2</v>
      </c>
      <c r="M1032" s="3">
        <v>0.30685528400000001</v>
      </c>
      <c r="N1032" s="3">
        <v>9.3555342999999999E-2</v>
      </c>
      <c r="O1032" s="3">
        <v>9.4915817E-2</v>
      </c>
      <c r="P1032" s="3">
        <v>0.18198297499999999</v>
      </c>
      <c r="Q1032" s="3">
        <v>0.18657406500000001</v>
      </c>
      <c r="R1032" s="3">
        <v>1.6847302909999999</v>
      </c>
      <c r="S1032" s="3">
        <v>8.9361615249999993</v>
      </c>
      <c r="T1032" s="3">
        <v>0.96567938799999997</v>
      </c>
      <c r="U1032" s="3">
        <v>0.49127003800000002</v>
      </c>
      <c r="V1032" s="3">
        <v>0.36619089900000001</v>
      </c>
      <c r="W1032" s="3">
        <v>0.71555907500000004</v>
      </c>
      <c r="X1032" s="3">
        <v>3.0882307560000002</v>
      </c>
      <c r="Y1032" s="3">
        <v>1.9033492759999999</v>
      </c>
      <c r="Z1032" s="3">
        <v>1.9656793880000001</v>
      </c>
      <c r="AA1032" s="3">
        <v>8.8889351000000005E-2</v>
      </c>
      <c r="AB1032" s="3">
        <v>11.50074899</v>
      </c>
      <c r="AC1032" s="3">
        <v>4.3158292109999996</v>
      </c>
      <c r="AD1032" s="3">
        <v>6.9527903000000002E-2</v>
      </c>
      <c r="AE1032" s="3">
        <v>9.4420943210000008</v>
      </c>
      <c r="AF1032" s="4">
        <v>42522</v>
      </c>
      <c r="AG1032" s="5">
        <f>YEAR(AF1032)</f>
        <v>2016</v>
      </c>
      <c r="AH1032" s="5" t="str">
        <f>"Q"&amp;ROUNDUP(MONTH(AF1032)/3,0)</f>
        <v>Q2</v>
      </c>
      <c r="AI1032" s="5">
        <f>INDEX(RatingLookup!$B$2:$B$11,MATCH(A1032,RatingLookup!$A$2:$A$11,0))</f>
        <v>7</v>
      </c>
      <c r="AJ1032" s="5" t="str">
        <f>INDEX(RatingLookup!$C$2:$C$11,MATCH(A1032,RatingLookup!$A$2:$A$11,0))</f>
        <v>Investment Grade</v>
      </c>
    </row>
    <row r="1033" spans="1:36" x14ac:dyDescent="0.3">
      <c r="A1033" s="3" t="s">
        <v>42</v>
      </c>
      <c r="B1033" s="3" t="s">
        <v>1169</v>
      </c>
      <c r="C1033" s="3" t="s">
        <v>1170</v>
      </c>
      <c r="D1033" s="3" t="s">
        <v>60</v>
      </c>
      <c r="E1033" s="3" t="s">
        <v>1171</v>
      </c>
      <c r="F1033" s="3" t="s">
        <v>174</v>
      </c>
      <c r="G1033" s="3">
        <v>1.506769314</v>
      </c>
      <c r="H1033" s="3">
        <v>8.3532573999999998E-2</v>
      </c>
      <c r="I1033" s="3">
        <v>8.3532573999999998E-2</v>
      </c>
      <c r="J1033" s="3">
        <v>0</v>
      </c>
      <c r="K1033" s="3">
        <v>5.1777892999999998E-2</v>
      </c>
      <c r="L1033" s="3">
        <v>8.2749608000000002E-2</v>
      </c>
      <c r="M1033" s="3">
        <v>0.31727225999999997</v>
      </c>
      <c r="N1033" s="3">
        <v>0.10068110199999999</v>
      </c>
      <c r="O1033" s="3">
        <v>7.9133344999999994E-2</v>
      </c>
      <c r="P1033" s="3">
        <v>0.14981614300000001</v>
      </c>
      <c r="Q1033" s="3">
        <v>0.16422530199999999</v>
      </c>
      <c r="R1033" s="3">
        <v>1.5283230050000001</v>
      </c>
      <c r="S1033" s="3">
        <v>8.249313634</v>
      </c>
      <c r="T1033" s="3">
        <v>1.075298356</v>
      </c>
      <c r="U1033" s="3">
        <v>0.51814157400000005</v>
      </c>
      <c r="V1033" s="3">
        <v>0.37428231200000001</v>
      </c>
      <c r="W1033" s="3">
        <v>0.50988024499999995</v>
      </c>
      <c r="X1033" s="3">
        <v>1.567650072</v>
      </c>
      <c r="Y1033" s="3">
        <v>0.36914566700000001</v>
      </c>
      <c r="Z1033" s="3">
        <v>2.0752983559999998</v>
      </c>
      <c r="AA1033" s="3">
        <v>8.2749608000000002E-2</v>
      </c>
      <c r="AB1033" s="3">
        <v>9.6848967730000002</v>
      </c>
      <c r="AC1033" s="3">
        <v>3.0745456139999998</v>
      </c>
      <c r="AD1033" s="3">
        <v>7.0943923000000006E-2</v>
      </c>
      <c r="AE1033" s="3">
        <v>9.5004243069999994</v>
      </c>
      <c r="AF1033" s="4">
        <v>41372</v>
      </c>
      <c r="AG1033" s="5">
        <f>YEAR(AF1033)</f>
        <v>2013</v>
      </c>
      <c r="AH1033" s="5" t="str">
        <f>"Q"&amp;ROUNDUP(MONTH(AF1033)/3,0)</f>
        <v>Q2</v>
      </c>
      <c r="AI1033" s="5">
        <f>INDEX(RatingLookup!$B$2:$B$11,MATCH(A1033,RatingLookup!$A$2:$A$11,0))</f>
        <v>7</v>
      </c>
      <c r="AJ1033" s="5" t="str">
        <f>INDEX(RatingLookup!$C$2:$C$11,MATCH(A1033,RatingLookup!$A$2:$A$11,0))</f>
        <v>Investment Grade</v>
      </c>
    </row>
    <row r="1034" spans="1:36" x14ac:dyDescent="0.3">
      <c r="A1034" s="3" t="s">
        <v>92</v>
      </c>
      <c r="B1034" s="3" t="s">
        <v>1169</v>
      </c>
      <c r="C1034" s="3" t="s">
        <v>1170</v>
      </c>
      <c r="D1034" s="3" t="s">
        <v>60</v>
      </c>
      <c r="E1034" s="3" t="s">
        <v>1172</v>
      </c>
      <c r="F1034" s="3" t="s">
        <v>174</v>
      </c>
      <c r="G1034" s="3">
        <v>1.7341964430000001</v>
      </c>
      <c r="H1034" s="3">
        <v>0.36432974699999998</v>
      </c>
      <c r="I1034" s="3">
        <v>0.36432974699999998</v>
      </c>
      <c r="J1034" s="3">
        <v>0</v>
      </c>
      <c r="K1034" s="3">
        <v>2.0170168340000001</v>
      </c>
      <c r="L1034" s="3">
        <v>-0.78111989199999998</v>
      </c>
      <c r="M1034" s="3">
        <v>1</v>
      </c>
      <c r="N1034" s="3">
        <v>-0.78111989199999998</v>
      </c>
      <c r="O1034" s="3">
        <v>6.5770206999999997E-2</v>
      </c>
      <c r="P1034" s="3">
        <v>-2.9721487000000001E-2</v>
      </c>
      <c r="Q1034" s="3">
        <v>0.15485516099999999</v>
      </c>
      <c r="R1034" s="3">
        <v>3.2607664000000001E-2</v>
      </c>
      <c r="S1034" s="3">
        <v>0.204174934</v>
      </c>
      <c r="T1034" s="3">
        <v>2.354487963</v>
      </c>
      <c r="U1034" s="3">
        <v>1</v>
      </c>
      <c r="V1034" s="3">
        <v>0.42134182199999998</v>
      </c>
      <c r="W1034" s="3">
        <v>1.258179063</v>
      </c>
      <c r="X1034" s="3">
        <v>-0.32630418100000003</v>
      </c>
      <c r="Y1034" s="3">
        <v>1.458952783</v>
      </c>
      <c r="Z1034" s="3">
        <v>2.354487963</v>
      </c>
      <c r="AA1034" s="3">
        <v>-0.78111989199999998</v>
      </c>
      <c r="AB1034" s="3">
        <v>-44.720475700000001</v>
      </c>
      <c r="AC1034" s="3">
        <v>-0.25934637700000002</v>
      </c>
      <c r="AD1034" s="3">
        <v>-0.28407543000000002</v>
      </c>
      <c r="AE1034" s="3">
        <v>0</v>
      </c>
      <c r="AF1034" s="4">
        <v>41087</v>
      </c>
      <c r="AG1034" s="5">
        <f>YEAR(AF1034)</f>
        <v>2012</v>
      </c>
      <c r="AH1034" s="5" t="str">
        <f>"Q"&amp;ROUNDUP(MONTH(AF1034)/3,0)</f>
        <v>Q2</v>
      </c>
      <c r="AI1034" s="5">
        <f>INDEX(RatingLookup!$B$2:$B$11,MATCH(A1034,RatingLookup!$A$2:$A$11,0))</f>
        <v>6</v>
      </c>
      <c r="AJ1034" s="5" t="str">
        <f>INDEX(RatingLookup!$C$2:$C$11,MATCH(A1034,RatingLookup!$A$2:$A$11,0))</f>
        <v>Speculative Grade</v>
      </c>
    </row>
    <row r="1035" spans="1:36" x14ac:dyDescent="0.3">
      <c r="A1035" s="3" t="s">
        <v>36</v>
      </c>
      <c r="B1035" s="3" t="s">
        <v>1173</v>
      </c>
      <c r="C1035" s="3" t="s">
        <v>1174</v>
      </c>
      <c r="D1035" s="3" t="s">
        <v>39</v>
      </c>
      <c r="E1035" s="3" t="s">
        <v>806</v>
      </c>
      <c r="F1035" s="3" t="s">
        <v>66</v>
      </c>
      <c r="G1035" s="3">
        <v>0.676721511</v>
      </c>
      <c r="H1035" s="3">
        <v>0.27970749499999997</v>
      </c>
      <c r="I1035" s="3">
        <v>0.101462523</v>
      </c>
      <c r="J1035" s="3">
        <v>26.110283160000002</v>
      </c>
      <c r="K1035" s="3">
        <v>5.6880277999999999E-2</v>
      </c>
      <c r="L1035" s="3">
        <v>0.118604074</v>
      </c>
      <c r="M1035" s="3">
        <v>0.36164928000000002</v>
      </c>
      <c r="N1035" s="3">
        <v>0.13412816699999999</v>
      </c>
      <c r="O1035" s="3">
        <v>5.5028235000000002E-2</v>
      </c>
      <c r="P1035" s="3">
        <v>0.189446538</v>
      </c>
      <c r="Q1035" s="3">
        <v>0.37633525099999998</v>
      </c>
      <c r="R1035" s="3">
        <v>0.96743962500000003</v>
      </c>
      <c r="S1035" s="3">
        <v>3.562831858</v>
      </c>
      <c r="T1035" s="3">
        <v>5.838948233</v>
      </c>
      <c r="U1035" s="3">
        <v>0.85377868599999995</v>
      </c>
      <c r="V1035" s="3">
        <v>0.28795811500000001</v>
      </c>
      <c r="W1035" s="3">
        <v>0.67026496599999996</v>
      </c>
      <c r="X1035" s="3">
        <v>2.1751592359999998</v>
      </c>
      <c r="Y1035" s="3">
        <v>1.089171975</v>
      </c>
      <c r="Z1035" s="3">
        <v>6.838948233</v>
      </c>
      <c r="AA1035" s="3">
        <v>0.118604074</v>
      </c>
      <c r="AB1035" s="3">
        <v>12.287814389999999</v>
      </c>
      <c r="AC1035" s="3">
        <v>3.2452229300000002</v>
      </c>
      <c r="AD1035" s="3">
        <v>0.126552409</v>
      </c>
      <c r="AE1035" s="3">
        <v>9.82791587</v>
      </c>
      <c r="AF1035" s="4">
        <v>41526</v>
      </c>
      <c r="AG1035" s="5">
        <f>YEAR(AF1035)</f>
        <v>2013</v>
      </c>
      <c r="AH1035" s="5" t="str">
        <f>"Q"&amp;ROUNDUP(MONTH(AF1035)/3,0)</f>
        <v>Q3</v>
      </c>
      <c r="AI1035" s="5">
        <f>INDEX(RatingLookup!$B$2:$B$11,MATCH(A1035,RatingLookup!$A$2:$A$11,0))</f>
        <v>8</v>
      </c>
      <c r="AJ1035" s="5" t="str">
        <f>INDEX(RatingLookup!$C$2:$C$11,MATCH(A1035,RatingLookup!$A$2:$A$11,0))</f>
        <v>Investment Grade</v>
      </c>
    </row>
    <row r="1036" spans="1:36" x14ac:dyDescent="0.3">
      <c r="A1036" s="3" t="s">
        <v>36</v>
      </c>
      <c r="B1036" s="3" t="s">
        <v>1173</v>
      </c>
      <c r="C1036" s="3" t="s">
        <v>1174</v>
      </c>
      <c r="D1036" s="3" t="s">
        <v>39</v>
      </c>
      <c r="E1036" s="3" t="s">
        <v>1175</v>
      </c>
      <c r="F1036" s="3" t="s">
        <v>66</v>
      </c>
      <c r="G1036" s="3">
        <v>0.70257611200000003</v>
      </c>
      <c r="H1036" s="3">
        <v>0.27835396499999998</v>
      </c>
      <c r="I1036" s="3">
        <v>7.7617932000000001E-2</v>
      </c>
      <c r="J1036" s="3">
        <v>25.825471700000001</v>
      </c>
      <c r="K1036" s="3">
        <v>9.8935655999999997E-2</v>
      </c>
      <c r="L1036" s="3">
        <v>8.7808417999999999E-2</v>
      </c>
      <c r="M1036" s="3">
        <v>0.35050798300000002</v>
      </c>
      <c r="N1036" s="3">
        <v>0.144170295</v>
      </c>
      <c r="O1036" s="3">
        <v>0.100825835</v>
      </c>
      <c r="P1036" s="3">
        <v>0.14168618299999999</v>
      </c>
      <c r="Q1036" s="3">
        <v>0.50650154800000002</v>
      </c>
      <c r="R1036" s="3">
        <v>1.01910514</v>
      </c>
      <c r="S1036" s="3">
        <v>3.56686799</v>
      </c>
      <c r="T1036" s="3">
        <v>4.0235294120000002</v>
      </c>
      <c r="U1036" s="3">
        <v>0.80093676800000002</v>
      </c>
      <c r="V1036" s="3">
        <v>0.47796143299999999</v>
      </c>
      <c r="W1036" s="3">
        <v>0.61401557299999998</v>
      </c>
      <c r="X1036" s="3">
        <v>1.7579617830000001</v>
      </c>
      <c r="Y1036" s="3">
        <v>0.78662420399999999</v>
      </c>
      <c r="Z1036" s="3">
        <v>5.0235294120000002</v>
      </c>
      <c r="AA1036" s="3">
        <v>8.7808417999999999E-2</v>
      </c>
      <c r="AB1036" s="3">
        <v>11.890420840000001</v>
      </c>
      <c r="AC1036" s="3">
        <v>2.8630573250000002</v>
      </c>
      <c r="AD1036" s="3">
        <v>0.108732463</v>
      </c>
      <c r="AE1036" s="3">
        <v>10.189753319999999</v>
      </c>
      <c r="AF1036" s="4">
        <v>41892</v>
      </c>
      <c r="AG1036" s="5">
        <f>YEAR(AF1036)</f>
        <v>2014</v>
      </c>
      <c r="AH1036" s="5" t="str">
        <f>"Q"&amp;ROUNDUP(MONTH(AF1036)/3,0)</f>
        <v>Q3</v>
      </c>
      <c r="AI1036" s="5">
        <f>INDEX(RatingLookup!$B$2:$B$11,MATCH(A1036,RatingLookup!$A$2:$A$11,0))</f>
        <v>8</v>
      </c>
      <c r="AJ1036" s="5" t="str">
        <f>INDEX(RatingLookup!$C$2:$C$11,MATCH(A1036,RatingLookup!$A$2:$A$11,0))</f>
        <v>Investment Grade</v>
      </c>
    </row>
    <row r="1037" spans="1:36" x14ac:dyDescent="0.3">
      <c r="A1037" s="3" t="s">
        <v>36</v>
      </c>
      <c r="B1037" s="3" t="s">
        <v>1173</v>
      </c>
      <c r="C1037" s="3" t="s">
        <v>1174</v>
      </c>
      <c r="D1037" s="3" t="s">
        <v>39</v>
      </c>
      <c r="E1037" s="3" t="s">
        <v>260</v>
      </c>
      <c r="F1037" s="3" t="s">
        <v>66</v>
      </c>
      <c r="G1037" s="3">
        <v>0.74554525999999999</v>
      </c>
      <c r="H1037" s="3">
        <v>0.300071276</v>
      </c>
      <c r="I1037" s="3">
        <v>9.0163934000000001E-2</v>
      </c>
      <c r="J1037" s="3">
        <v>25.155283350000001</v>
      </c>
      <c r="K1037" s="3">
        <v>8.5498639000000001E-2</v>
      </c>
      <c r="L1037" s="3">
        <v>0.122494432</v>
      </c>
      <c r="M1037" s="3">
        <v>0.347067558</v>
      </c>
      <c r="N1037" s="3">
        <v>0.13548626599999999</v>
      </c>
      <c r="O1037" s="3">
        <v>8.5424651000000004E-2</v>
      </c>
      <c r="P1037" s="3">
        <v>0.187393526</v>
      </c>
      <c r="Q1037" s="3">
        <v>0.500724638</v>
      </c>
      <c r="R1037" s="3">
        <v>0.999134627</v>
      </c>
      <c r="S1037" s="3">
        <v>3.4435449509999998</v>
      </c>
      <c r="T1037" s="3">
        <v>4.8615942030000001</v>
      </c>
      <c r="U1037" s="3">
        <v>0.829397948</v>
      </c>
      <c r="V1037" s="3">
        <v>0.30202020200000002</v>
      </c>
      <c r="W1037" s="3">
        <v>0.67851099800000003</v>
      </c>
      <c r="X1037" s="3">
        <v>2.5705128209999999</v>
      </c>
      <c r="Y1037" s="3">
        <v>0.91346153799999996</v>
      </c>
      <c r="Z1037" s="3">
        <v>5.8615942030000001</v>
      </c>
      <c r="AA1037" s="3">
        <v>0.122494432</v>
      </c>
      <c r="AB1037" s="3">
        <v>13.208469239999999</v>
      </c>
      <c r="AC1037" s="3">
        <v>3.788461538</v>
      </c>
      <c r="AD1037" s="3">
        <v>0.146250928</v>
      </c>
      <c r="AE1037" s="3">
        <v>9.7003676470000002</v>
      </c>
      <c r="AF1037" s="4">
        <v>42348</v>
      </c>
      <c r="AG1037" s="5">
        <f>YEAR(AF1037)</f>
        <v>2015</v>
      </c>
      <c r="AH1037" s="5" t="str">
        <f>"Q"&amp;ROUNDUP(MONTH(AF1037)/3,0)</f>
        <v>Q4</v>
      </c>
      <c r="AI1037" s="5">
        <f>INDEX(RatingLookup!$B$2:$B$11,MATCH(A1037,RatingLookup!$A$2:$A$11,0))</f>
        <v>8</v>
      </c>
      <c r="AJ1037" s="5" t="str">
        <f>INDEX(RatingLookup!$C$2:$C$11,MATCH(A1037,RatingLookup!$A$2:$A$11,0))</f>
        <v>Investment Grade</v>
      </c>
    </row>
    <row r="1038" spans="1:36" x14ac:dyDescent="0.3">
      <c r="A1038" s="3" t="s">
        <v>36</v>
      </c>
      <c r="B1038" s="3" t="s">
        <v>1173</v>
      </c>
      <c r="C1038" s="3" t="s">
        <v>1174</v>
      </c>
      <c r="D1038" s="3" t="s">
        <v>60</v>
      </c>
      <c r="E1038" s="3" t="s">
        <v>46</v>
      </c>
      <c r="F1038" s="3" t="s">
        <v>66</v>
      </c>
      <c r="G1038" s="3">
        <v>0.98692810500000006</v>
      </c>
      <c r="H1038" s="3">
        <v>0.50477626900000006</v>
      </c>
      <c r="I1038" s="3">
        <v>0.243338361</v>
      </c>
      <c r="J1038" s="3">
        <v>24.541391369999999</v>
      </c>
      <c r="K1038" s="3">
        <v>0.10428812</v>
      </c>
      <c r="L1038" s="3">
        <v>0.15131493700000001</v>
      </c>
      <c r="M1038" s="3">
        <v>0.40199507699999998</v>
      </c>
      <c r="N1038" s="3">
        <v>0.16569503799999999</v>
      </c>
      <c r="O1038" s="3">
        <v>0.117312737</v>
      </c>
      <c r="P1038" s="3">
        <v>0.239688077</v>
      </c>
      <c r="Q1038" s="3">
        <v>0.73988970600000004</v>
      </c>
      <c r="R1038" s="3">
        <v>1.1248907020000001</v>
      </c>
      <c r="S1038" s="3">
        <v>3.6704707559999998</v>
      </c>
      <c r="T1038" s="3">
        <v>5.3069852940000004</v>
      </c>
      <c r="U1038" s="3">
        <v>0.84144564300000002</v>
      </c>
      <c r="V1038" s="3">
        <v>0.31335616399999999</v>
      </c>
      <c r="W1038" s="3">
        <v>0.76182136600000006</v>
      </c>
      <c r="X1038" s="3">
        <v>2.6687116560000002</v>
      </c>
      <c r="Y1038" s="3">
        <v>1.4877300609999999</v>
      </c>
      <c r="Z1038" s="3">
        <v>6.3069852940000004</v>
      </c>
      <c r="AA1038" s="3">
        <v>0.15131493700000001</v>
      </c>
      <c r="AB1038" s="3">
        <v>8.3608274080000005</v>
      </c>
      <c r="AC1038" s="3">
        <v>3.5030674849999999</v>
      </c>
      <c r="AD1038" s="3">
        <v>0.147946625</v>
      </c>
      <c r="AE1038" s="3">
        <v>7.8905982909999999</v>
      </c>
      <c r="AF1038" s="4">
        <v>41075</v>
      </c>
      <c r="AG1038" s="5">
        <f>YEAR(AF1038)</f>
        <v>2012</v>
      </c>
      <c r="AH1038" s="5" t="str">
        <f>"Q"&amp;ROUNDUP(MONTH(AF1038)/3,0)</f>
        <v>Q2</v>
      </c>
      <c r="AI1038" s="5">
        <f>INDEX(RatingLookup!$B$2:$B$11,MATCH(A1038,RatingLookup!$A$2:$A$11,0))</f>
        <v>8</v>
      </c>
      <c r="AJ1038" s="5" t="str">
        <f>INDEX(RatingLookup!$C$2:$C$11,MATCH(A1038,RatingLookup!$A$2:$A$11,0))</f>
        <v>Investment Grade</v>
      </c>
    </row>
    <row r="1039" spans="1:36" x14ac:dyDescent="0.3">
      <c r="A1039" s="3" t="s">
        <v>36</v>
      </c>
      <c r="B1039" s="3" t="s">
        <v>1173</v>
      </c>
      <c r="C1039" s="3" t="s">
        <v>1174</v>
      </c>
      <c r="D1039" s="3" t="s">
        <v>60</v>
      </c>
      <c r="E1039" s="3" t="s">
        <v>1019</v>
      </c>
      <c r="F1039" s="3" t="s">
        <v>66</v>
      </c>
      <c r="G1039" s="3">
        <v>0.85555555599999999</v>
      </c>
      <c r="H1039" s="3">
        <v>0.42657004799999998</v>
      </c>
      <c r="I1039" s="3">
        <v>0.161835749</v>
      </c>
      <c r="J1039" s="3">
        <v>24.295445699999998</v>
      </c>
      <c r="K1039" s="3">
        <v>0.100428182</v>
      </c>
      <c r="L1039" s="3">
        <v>0.14350590399999999</v>
      </c>
      <c r="M1039" s="3">
        <v>0.38821850299999999</v>
      </c>
      <c r="N1039" s="3">
        <v>0.15725963400000001</v>
      </c>
      <c r="O1039" s="3">
        <v>0.118529862</v>
      </c>
      <c r="P1039" s="3">
        <v>0.247982063</v>
      </c>
      <c r="Q1039" s="3">
        <v>0.86191536700000004</v>
      </c>
      <c r="R1039" s="3">
        <v>1.1802450229999999</v>
      </c>
      <c r="S1039" s="3">
        <v>3.6234132579999998</v>
      </c>
      <c r="T1039" s="3">
        <v>6.2717149220000001</v>
      </c>
      <c r="U1039" s="3">
        <v>0.86248085799999996</v>
      </c>
      <c r="V1039" s="3">
        <v>0.30922242300000002</v>
      </c>
      <c r="W1039" s="3">
        <v>0.71160714300000005</v>
      </c>
      <c r="X1039" s="3">
        <v>2.5141955839999999</v>
      </c>
      <c r="Y1039" s="3">
        <v>1.167192429</v>
      </c>
      <c r="Z1039" s="3">
        <v>7.2717149220000001</v>
      </c>
      <c r="AA1039" s="3">
        <v>0.14350590399999999</v>
      </c>
      <c r="AB1039" s="3">
        <v>9.2959023070000004</v>
      </c>
      <c r="AC1039" s="3">
        <v>3.5331230279999999</v>
      </c>
      <c r="AD1039" s="3">
        <v>0.145322434</v>
      </c>
      <c r="AE1039" s="3">
        <v>8.257443082</v>
      </c>
      <c r="AF1039" s="4">
        <v>41120</v>
      </c>
      <c r="AG1039" s="5">
        <f>YEAR(AF1039)</f>
        <v>2012</v>
      </c>
      <c r="AH1039" s="5" t="str">
        <f>"Q"&amp;ROUNDUP(MONTH(AF1039)/3,0)</f>
        <v>Q3</v>
      </c>
      <c r="AI1039" s="5">
        <f>INDEX(RatingLookup!$B$2:$B$11,MATCH(A1039,RatingLookup!$A$2:$A$11,0))</f>
        <v>8</v>
      </c>
      <c r="AJ1039" s="5" t="str">
        <f>INDEX(RatingLookup!$C$2:$C$11,MATCH(A1039,RatingLookup!$A$2:$A$11,0))</f>
        <v>Investment Grade</v>
      </c>
    </row>
    <row r="1040" spans="1:36" x14ac:dyDescent="0.3">
      <c r="A1040" s="3" t="s">
        <v>109</v>
      </c>
      <c r="B1040" s="3" t="s">
        <v>1176</v>
      </c>
      <c r="C1040" s="3" t="s">
        <v>1177</v>
      </c>
      <c r="D1040" s="3" t="s">
        <v>47</v>
      </c>
      <c r="E1040" s="3" t="s">
        <v>1178</v>
      </c>
      <c r="F1040" s="3" t="s">
        <v>174</v>
      </c>
      <c r="G1040" s="3">
        <v>0.57488122200000003</v>
      </c>
      <c r="H1040" s="3">
        <v>0.20838974399999999</v>
      </c>
      <c r="I1040" s="3">
        <v>0.17412944899999999</v>
      </c>
      <c r="J1040" s="3">
        <v>4.5956544289999997</v>
      </c>
      <c r="K1040" s="3">
        <v>3.4509367999999999E-2</v>
      </c>
      <c r="L1040" s="3">
        <v>4.6244166000000003E-2</v>
      </c>
      <c r="M1040" s="3">
        <v>0.95606496699999999</v>
      </c>
      <c r="N1040" s="3">
        <v>6.5781251999999998E-2</v>
      </c>
      <c r="O1040" s="3">
        <v>1.2921668000000001E-2</v>
      </c>
      <c r="P1040" s="3">
        <v>2.0078627000000002E-2</v>
      </c>
      <c r="Q1040" s="3">
        <v>5.5565285999999998E-2</v>
      </c>
      <c r="R1040" s="3">
        <v>0.37443942800000002</v>
      </c>
      <c r="S1040" s="3">
        <v>1.0658749300000001</v>
      </c>
      <c r="T1040" s="3">
        <v>3.3001636099999998</v>
      </c>
      <c r="U1040" s="3">
        <v>0.76745070900000001</v>
      </c>
      <c r="V1040" s="3">
        <v>0.25375737599999998</v>
      </c>
      <c r="W1040" s="3">
        <v>2.3032283000000001E-2</v>
      </c>
      <c r="X1040" s="3">
        <v>0.101246487</v>
      </c>
      <c r="Y1040" s="3">
        <v>2.108772251</v>
      </c>
      <c r="Z1040" s="3">
        <v>4.3001636100000002</v>
      </c>
      <c r="AA1040" s="3">
        <v>4.6244166000000003E-2</v>
      </c>
      <c r="AB1040" s="3">
        <v>14.1707655</v>
      </c>
      <c r="AC1040" s="3">
        <v>4.3958511549999999</v>
      </c>
      <c r="AD1040" s="3">
        <v>0.133397881</v>
      </c>
      <c r="AE1040" s="3">
        <v>0.28333608999999998</v>
      </c>
      <c r="AF1040" s="4">
        <v>42585</v>
      </c>
      <c r="AG1040" s="5">
        <f>YEAR(AF1040)</f>
        <v>2016</v>
      </c>
      <c r="AH1040" s="5" t="str">
        <f>"Q"&amp;ROUNDUP(MONTH(AF1040)/3,0)</f>
        <v>Q3</v>
      </c>
      <c r="AI1040" s="5">
        <f>INDEX(RatingLookup!$B$2:$B$11,MATCH(A1040,RatingLookup!$A$2:$A$11,0))</f>
        <v>5</v>
      </c>
      <c r="AJ1040" s="5" t="str">
        <f>INDEX(RatingLookup!$C$2:$C$11,MATCH(A1040,RatingLookup!$A$2:$A$11,0))</f>
        <v>Speculative Grade</v>
      </c>
    </row>
    <row r="1041" spans="1:36" x14ac:dyDescent="0.3">
      <c r="A1041" s="3" t="s">
        <v>36</v>
      </c>
      <c r="B1041" s="3" t="s">
        <v>1179</v>
      </c>
      <c r="C1041" s="3" t="s">
        <v>1180</v>
      </c>
      <c r="D1041" s="3" t="s">
        <v>39</v>
      </c>
      <c r="E1041" s="3" t="s">
        <v>1181</v>
      </c>
      <c r="F1041" s="3" t="s">
        <v>96</v>
      </c>
      <c r="G1041" s="3">
        <v>0.92781752900000003</v>
      </c>
      <c r="H1041" s="3">
        <v>0.73915314499999996</v>
      </c>
      <c r="I1041" s="3">
        <v>0.198000182</v>
      </c>
      <c r="J1041" s="3">
        <v>155.4737299</v>
      </c>
      <c r="K1041" s="3">
        <v>7.2073013000000005E-2</v>
      </c>
      <c r="L1041" s="3">
        <v>0.118163183</v>
      </c>
      <c r="M1041" s="3">
        <v>1</v>
      </c>
      <c r="N1041" s="3">
        <v>0.12691770399999999</v>
      </c>
      <c r="O1041" s="3">
        <v>5.1206649E-2</v>
      </c>
      <c r="P1041" s="3">
        <v>0.19055439699999999</v>
      </c>
      <c r="Q1041" s="3">
        <v>0.38736842100000002</v>
      </c>
      <c r="R1041" s="3">
        <v>0.71048298399999998</v>
      </c>
      <c r="S1041" s="3">
        <v>21.63531073</v>
      </c>
      <c r="T1041" s="3">
        <v>6.5648070179999998</v>
      </c>
      <c r="U1041" s="3">
        <v>0.86780892099999996</v>
      </c>
      <c r="V1041" s="3">
        <v>0.32767955799999998</v>
      </c>
      <c r="W1041" s="3">
        <v>0.85573992499999996</v>
      </c>
      <c r="X1041" s="3">
        <v>4.9763686490000003</v>
      </c>
      <c r="Y1041" s="3">
        <v>9.4143363529999995</v>
      </c>
      <c r="Z1041" s="3">
        <v>7.5648070179999998</v>
      </c>
      <c r="AA1041" s="3">
        <v>0.118163183</v>
      </c>
      <c r="AB1041" s="3">
        <v>9.228867545</v>
      </c>
      <c r="AC1041" s="3">
        <v>5.8152816070000002</v>
      </c>
      <c r="AD1041" s="3">
        <v>9.6391126999999993E-2</v>
      </c>
      <c r="AE1041" s="3">
        <v>0</v>
      </c>
      <c r="AF1041" s="4">
        <v>41939</v>
      </c>
      <c r="AG1041" s="5">
        <f>YEAR(AF1041)</f>
        <v>2014</v>
      </c>
      <c r="AH1041" s="5" t="str">
        <f>"Q"&amp;ROUNDUP(MONTH(AF1041)/3,0)</f>
        <v>Q4</v>
      </c>
      <c r="AI1041" s="5">
        <f>INDEX(RatingLookup!$B$2:$B$11,MATCH(A1041,RatingLookup!$A$2:$A$11,0))</f>
        <v>8</v>
      </c>
      <c r="AJ1041" s="5" t="str">
        <f>INDEX(RatingLookup!$C$2:$C$11,MATCH(A1041,RatingLookup!$A$2:$A$11,0))</f>
        <v>Investment Grade</v>
      </c>
    </row>
    <row r="1042" spans="1:36" x14ac:dyDescent="0.3">
      <c r="A1042" s="3" t="s">
        <v>36</v>
      </c>
      <c r="B1042" s="3" t="s">
        <v>1179</v>
      </c>
      <c r="C1042" s="3" t="s">
        <v>1180</v>
      </c>
      <c r="D1042" s="3" t="s">
        <v>39</v>
      </c>
      <c r="E1042" s="3" t="s">
        <v>291</v>
      </c>
      <c r="F1042" s="3" t="s">
        <v>96</v>
      </c>
      <c r="G1042" s="3">
        <v>0.84253424899999996</v>
      </c>
      <c r="H1042" s="3">
        <v>0.69204478300000005</v>
      </c>
      <c r="I1042" s="3">
        <v>0.18321190500000001</v>
      </c>
      <c r="J1042" s="3">
        <v>174.14819879999999</v>
      </c>
      <c r="K1042" s="3">
        <v>7.2279046E-2</v>
      </c>
      <c r="L1042" s="3">
        <v>0.117520351</v>
      </c>
      <c r="M1042" s="3">
        <v>1</v>
      </c>
      <c r="N1042" s="3">
        <v>0.126869912</v>
      </c>
      <c r="O1042" s="3">
        <v>4.9473784E-2</v>
      </c>
      <c r="P1042" s="3">
        <v>0.22539316400000001</v>
      </c>
      <c r="Q1042" s="3">
        <v>0.446052846</v>
      </c>
      <c r="R1042" s="3">
        <v>0.68448307799999997</v>
      </c>
      <c r="S1042" s="3">
        <v>21.848419230000001</v>
      </c>
      <c r="T1042" s="3">
        <v>8.0159435650000006</v>
      </c>
      <c r="U1042" s="3">
        <v>0.88908537499999996</v>
      </c>
      <c r="V1042" s="3">
        <v>0.32812324300000001</v>
      </c>
      <c r="W1042" s="3">
        <v>0.90668876300000001</v>
      </c>
      <c r="X1042" s="3">
        <v>8.0655200659999995</v>
      </c>
      <c r="Y1042" s="3">
        <v>10.727682229999999</v>
      </c>
      <c r="Z1042" s="3">
        <v>9.0159435650000006</v>
      </c>
      <c r="AA1042" s="3">
        <v>0.117520351</v>
      </c>
      <c r="AB1042" s="3">
        <v>9.0247366029999991</v>
      </c>
      <c r="AC1042" s="3">
        <v>8.8955773960000002</v>
      </c>
      <c r="AD1042" s="3">
        <v>0.143533936</v>
      </c>
      <c r="AE1042" s="3">
        <v>0</v>
      </c>
      <c r="AF1042" s="4">
        <v>42221</v>
      </c>
      <c r="AG1042" s="5">
        <f>YEAR(AF1042)</f>
        <v>2015</v>
      </c>
      <c r="AH1042" s="5" t="str">
        <f>"Q"&amp;ROUNDUP(MONTH(AF1042)/3,0)</f>
        <v>Q3</v>
      </c>
      <c r="AI1042" s="5">
        <f>INDEX(RatingLookup!$B$2:$B$11,MATCH(A1042,RatingLookup!$A$2:$A$11,0))</f>
        <v>8</v>
      </c>
      <c r="AJ1042" s="5" t="str">
        <f>INDEX(RatingLookup!$C$2:$C$11,MATCH(A1042,RatingLookup!$A$2:$A$11,0))</f>
        <v>Investment Grade</v>
      </c>
    </row>
    <row r="1043" spans="1:36" x14ac:dyDescent="0.3">
      <c r="A1043" s="3" t="s">
        <v>36</v>
      </c>
      <c r="B1043" s="3" t="s">
        <v>1179</v>
      </c>
      <c r="C1043" s="3" t="s">
        <v>1180</v>
      </c>
      <c r="D1043" s="3" t="s">
        <v>39</v>
      </c>
      <c r="E1043" s="3" t="s">
        <v>98</v>
      </c>
      <c r="F1043" s="3" t="s">
        <v>96</v>
      </c>
      <c r="G1043" s="3">
        <v>0.94906212099999998</v>
      </c>
      <c r="H1043" s="3">
        <v>0.76246365400000005</v>
      </c>
      <c r="I1043" s="3">
        <v>0.22076610399999999</v>
      </c>
      <c r="J1043" s="3">
        <v>165.99122360000001</v>
      </c>
      <c r="K1043" s="3">
        <v>6.7955706000000005E-2</v>
      </c>
      <c r="L1043" s="3">
        <v>6.9416161000000004E-2</v>
      </c>
      <c r="M1043" s="3">
        <v>1</v>
      </c>
      <c r="N1043" s="3">
        <v>0.12515341599999999</v>
      </c>
      <c r="O1043" s="3">
        <v>4.4848791999999998E-2</v>
      </c>
      <c r="P1043" s="3">
        <v>0.103085226</v>
      </c>
      <c r="Q1043" s="3">
        <v>0.27665810600000001</v>
      </c>
      <c r="R1043" s="3">
        <v>0.65997094899999997</v>
      </c>
      <c r="S1043" s="3">
        <v>19.778275019999999</v>
      </c>
      <c r="T1043" s="3">
        <v>5.1686857970000002</v>
      </c>
      <c r="U1043" s="3">
        <v>0.83789091699999996</v>
      </c>
      <c r="V1043" s="3">
        <v>0.55827736100000003</v>
      </c>
      <c r="W1043" s="3">
        <v>0.88280818100000003</v>
      </c>
      <c r="X1043" s="3">
        <v>6.1684047890000002</v>
      </c>
      <c r="Y1043" s="3">
        <v>10.53959058</v>
      </c>
      <c r="Z1043" s="3">
        <v>6.1686857970000002</v>
      </c>
      <c r="AA1043" s="3">
        <v>6.9416161000000004E-2</v>
      </c>
      <c r="AB1043" s="3">
        <v>9.5843903130000001</v>
      </c>
      <c r="AC1043" s="3">
        <v>6.9872537660000003</v>
      </c>
      <c r="AD1043" s="3">
        <v>0.12403579100000001</v>
      </c>
      <c r="AE1043" s="3">
        <v>0</v>
      </c>
      <c r="AF1043" s="4">
        <v>41572</v>
      </c>
      <c r="AG1043" s="5">
        <f>YEAR(AF1043)</f>
        <v>2013</v>
      </c>
      <c r="AH1043" s="5" t="str">
        <f>"Q"&amp;ROUNDUP(MONTH(AF1043)/3,0)</f>
        <v>Q4</v>
      </c>
      <c r="AI1043" s="5">
        <f>INDEX(RatingLookup!$B$2:$B$11,MATCH(A1043,RatingLookup!$A$2:$A$11,0))</f>
        <v>8</v>
      </c>
      <c r="AJ1043" s="5" t="str">
        <f>INDEX(RatingLookup!$C$2:$C$11,MATCH(A1043,RatingLookup!$A$2:$A$11,0))</f>
        <v>Investment Grade</v>
      </c>
    </row>
    <row r="1044" spans="1:36" x14ac:dyDescent="0.3">
      <c r="A1044" s="3" t="s">
        <v>109</v>
      </c>
      <c r="B1044" s="3" t="s">
        <v>1182</v>
      </c>
      <c r="C1044" s="3" t="s">
        <v>1183</v>
      </c>
      <c r="D1044" s="3" t="s">
        <v>47</v>
      </c>
      <c r="E1044" s="3" t="s">
        <v>812</v>
      </c>
      <c r="F1044" s="3" t="s">
        <v>53</v>
      </c>
      <c r="G1044" s="3">
        <v>0.97191190599999999</v>
      </c>
      <c r="H1044" s="3">
        <v>0.52170443700000002</v>
      </c>
      <c r="I1044" s="3">
        <v>8.9371209999999993E-3</v>
      </c>
      <c r="J1044" s="3">
        <v>16.920931450000001</v>
      </c>
      <c r="K1044" s="3">
        <v>-3.3089632000000001E-2</v>
      </c>
      <c r="L1044" s="3">
        <v>-3.9830991000000003E-2</v>
      </c>
      <c r="M1044" s="3">
        <v>0.14114128400000001</v>
      </c>
      <c r="N1044" s="3">
        <v>1.7802886E-2</v>
      </c>
      <c r="O1044" s="3">
        <v>-4.7339288E-2</v>
      </c>
      <c r="P1044" s="3">
        <v>-7.2386869000000006E-2</v>
      </c>
      <c r="Q1044" s="3">
        <v>-0.230832919</v>
      </c>
      <c r="R1044" s="3">
        <v>1.430638096</v>
      </c>
      <c r="S1044" s="3">
        <v>2.4504420659999999</v>
      </c>
      <c r="T1044" s="3">
        <v>3.876138434</v>
      </c>
      <c r="U1044" s="3">
        <v>0.79491968599999996</v>
      </c>
      <c r="V1044" s="3">
        <v>0.16924910600000001</v>
      </c>
      <c r="W1044" s="3">
        <v>9.8565356000000007E-2</v>
      </c>
      <c r="X1044" s="3">
        <v>0.49799195099999999</v>
      </c>
      <c r="Y1044" s="3">
        <v>1.7664620170000001</v>
      </c>
      <c r="Z1044" s="3">
        <v>4.8761384339999996</v>
      </c>
      <c r="AA1044" s="3">
        <v>-3.9830991000000003E-2</v>
      </c>
      <c r="AB1044" s="3">
        <v>11.51609949</v>
      </c>
      <c r="AC1044" s="3">
        <v>5.0524035190000003</v>
      </c>
      <c r="AD1044" s="3">
        <v>8.9346753000000001E-2</v>
      </c>
      <c r="AE1044" s="3">
        <v>11.42830069</v>
      </c>
      <c r="AF1044" s="4">
        <v>42408</v>
      </c>
      <c r="AG1044" s="5">
        <f>YEAR(AF1044)</f>
        <v>2016</v>
      </c>
      <c r="AH1044" s="5" t="str">
        <f>"Q"&amp;ROUNDUP(MONTH(AF1044)/3,0)</f>
        <v>Q1</v>
      </c>
      <c r="AI1044" s="5">
        <f>INDEX(RatingLookup!$B$2:$B$11,MATCH(A1044,RatingLookup!$A$2:$A$11,0))</f>
        <v>5</v>
      </c>
      <c r="AJ1044" s="5" t="str">
        <f>INDEX(RatingLookup!$C$2:$C$11,MATCH(A1044,RatingLookup!$A$2:$A$11,0))</f>
        <v>Speculative Grade</v>
      </c>
    </row>
    <row r="1045" spans="1:36" x14ac:dyDescent="0.3">
      <c r="A1045" s="3" t="s">
        <v>109</v>
      </c>
      <c r="B1045" s="3" t="s">
        <v>1182</v>
      </c>
      <c r="C1045" s="3" t="s">
        <v>1183</v>
      </c>
      <c r="D1045" s="3" t="s">
        <v>47</v>
      </c>
      <c r="E1045" s="3" t="s">
        <v>920</v>
      </c>
      <c r="F1045" s="3" t="s">
        <v>53</v>
      </c>
      <c r="G1045" s="3">
        <v>1.667893284</v>
      </c>
      <c r="H1045" s="3">
        <v>0.65814167400000001</v>
      </c>
      <c r="I1045" s="3">
        <v>1.5639374000000001E-2</v>
      </c>
      <c r="J1045" s="3">
        <v>20.547046330000001</v>
      </c>
      <c r="K1045" s="3">
        <v>-1.9374558E-2</v>
      </c>
      <c r="L1045" s="3">
        <v>-1.9512701E-2</v>
      </c>
      <c r="M1045" s="3">
        <v>9.1467941999999997E-2</v>
      </c>
      <c r="N1045" s="3">
        <v>8.0813659999999995E-3</v>
      </c>
      <c r="O1045" s="3">
        <v>-3.5963844000000002E-2</v>
      </c>
      <c r="P1045" s="3">
        <v>-4.3861351999999999E-2</v>
      </c>
      <c r="Q1045" s="3">
        <v>-0.13848432499999999</v>
      </c>
      <c r="R1045" s="3">
        <v>1.856240785</v>
      </c>
      <c r="S1045" s="3">
        <v>3.95458891</v>
      </c>
      <c r="T1045" s="3">
        <v>2.8506541589999999</v>
      </c>
      <c r="U1045" s="3">
        <v>0.74030386599999998</v>
      </c>
      <c r="V1045" s="3">
        <v>7.0796460000000002E-3</v>
      </c>
      <c r="W1045" s="3">
        <v>-0.27821869500000002</v>
      </c>
      <c r="X1045" s="3">
        <v>-0.90611459500000002</v>
      </c>
      <c r="Y1045" s="3">
        <v>0.45521129399999999</v>
      </c>
      <c r="Z1045" s="3">
        <v>3.8506541589999999</v>
      </c>
      <c r="AA1045" s="3">
        <v>-1.9512701E-2</v>
      </c>
      <c r="AB1045" s="3">
        <v>15.989295479999999</v>
      </c>
      <c r="AC1045" s="3">
        <v>3.2568429490000002</v>
      </c>
      <c r="AD1045" s="3">
        <v>3.9163544000000002E-2</v>
      </c>
      <c r="AE1045" s="3">
        <v>12.53012622</v>
      </c>
      <c r="AF1045" s="4">
        <v>41864</v>
      </c>
      <c r="AG1045" s="5">
        <f>YEAR(AF1045)</f>
        <v>2014</v>
      </c>
      <c r="AH1045" s="5" t="str">
        <f>"Q"&amp;ROUNDUP(MONTH(AF1045)/3,0)</f>
        <v>Q3</v>
      </c>
      <c r="AI1045" s="5">
        <f>INDEX(RatingLookup!$B$2:$B$11,MATCH(A1045,RatingLookup!$A$2:$A$11,0))</f>
        <v>5</v>
      </c>
      <c r="AJ1045" s="5" t="str">
        <f>INDEX(RatingLookup!$C$2:$C$11,MATCH(A1045,RatingLookup!$A$2:$A$11,0))</f>
        <v>Speculative Grade</v>
      </c>
    </row>
    <row r="1046" spans="1:36" x14ac:dyDescent="0.3">
      <c r="A1046" s="3" t="s">
        <v>116</v>
      </c>
      <c r="B1046" s="3" t="s">
        <v>1182</v>
      </c>
      <c r="C1046" s="3" t="s">
        <v>1183</v>
      </c>
      <c r="D1046" s="3" t="s">
        <v>47</v>
      </c>
      <c r="E1046" s="3" t="s">
        <v>1184</v>
      </c>
      <c r="F1046" s="3" t="s">
        <v>53</v>
      </c>
      <c r="G1046" s="3">
        <v>1.286431152</v>
      </c>
      <c r="H1046" s="3">
        <v>0.44439983900000002</v>
      </c>
      <c r="I1046" s="3">
        <v>8.4303490000000002E-3</v>
      </c>
      <c r="J1046" s="3">
        <v>21.944212919999998</v>
      </c>
      <c r="K1046" s="3">
        <v>-9.1292993000000003E-2</v>
      </c>
      <c r="L1046" s="3">
        <v>-9.3432239E-2</v>
      </c>
      <c r="M1046" s="3">
        <v>0.113435573</v>
      </c>
      <c r="N1046" s="3">
        <v>-1.1029616000000001E-2</v>
      </c>
      <c r="O1046" s="3">
        <v>-0.120578306</v>
      </c>
      <c r="P1046" s="3">
        <v>-0.151010328</v>
      </c>
      <c r="Q1046" s="3">
        <v>-1.5025148610000001</v>
      </c>
      <c r="R1046" s="3">
        <v>1.320783796</v>
      </c>
      <c r="S1046" s="3">
        <v>2.145053635</v>
      </c>
      <c r="T1046" s="3">
        <v>11.460905350000001</v>
      </c>
      <c r="U1046" s="3">
        <v>0.91974900900000001</v>
      </c>
      <c r="V1046" s="3">
        <v>2.2896224E-2</v>
      </c>
      <c r="W1046" s="3">
        <v>-33</v>
      </c>
      <c r="X1046" s="3">
        <v>-1.7624536790000001</v>
      </c>
      <c r="Y1046" s="3">
        <v>6.5131326000000003E-2</v>
      </c>
      <c r="Z1046" s="3">
        <v>12.460905350000001</v>
      </c>
      <c r="AA1046" s="3">
        <v>-9.3432239E-2</v>
      </c>
      <c r="AB1046" s="3">
        <v>13.24769631</v>
      </c>
      <c r="AC1046" s="3">
        <v>5.3407687000000002E-2</v>
      </c>
      <c r="AD1046" s="3">
        <v>1.1390790000000001E-3</v>
      </c>
      <c r="AE1046" s="3">
        <v>10.798984770000001</v>
      </c>
      <c r="AF1046" s="4">
        <v>42661</v>
      </c>
      <c r="AG1046" s="5">
        <f>YEAR(AF1046)</f>
        <v>2016</v>
      </c>
      <c r="AH1046" s="5" t="str">
        <f>"Q"&amp;ROUNDUP(MONTH(AF1046)/3,0)</f>
        <v>Q4</v>
      </c>
      <c r="AI1046" s="5">
        <f>INDEX(RatingLookup!$B$2:$B$11,MATCH(A1046,RatingLookup!$A$2:$A$11,0))</f>
        <v>4</v>
      </c>
      <c r="AJ1046" s="5" t="str">
        <f>INDEX(RatingLookup!$C$2:$C$11,MATCH(A1046,RatingLookup!$A$2:$A$11,0))</f>
        <v>Speculative Grade</v>
      </c>
    </row>
    <row r="1047" spans="1:36" x14ac:dyDescent="0.3">
      <c r="A1047" s="3" t="s">
        <v>109</v>
      </c>
      <c r="B1047" s="3" t="s">
        <v>1182</v>
      </c>
      <c r="C1047" s="3" t="s">
        <v>1183</v>
      </c>
      <c r="D1047" s="3" t="s">
        <v>47</v>
      </c>
      <c r="E1047" s="3" t="s">
        <v>1001</v>
      </c>
      <c r="F1047" s="3" t="s">
        <v>53</v>
      </c>
      <c r="G1047" s="3">
        <v>1.940649273</v>
      </c>
      <c r="H1047" s="3">
        <v>0.80541724800000003</v>
      </c>
      <c r="I1047" s="3">
        <v>0.241187015</v>
      </c>
      <c r="J1047" s="3">
        <v>16.851643490000001</v>
      </c>
      <c r="K1047" s="3">
        <v>6.4559000000000003E-4</v>
      </c>
      <c r="L1047" s="3">
        <v>7.1937100000000001E-4</v>
      </c>
      <c r="M1047" s="3">
        <v>7.5626222000000007E-2</v>
      </c>
      <c r="N1047" s="3">
        <v>1.6896004999999999E-2</v>
      </c>
      <c r="O1047" s="3">
        <v>1.302035E-3</v>
      </c>
      <c r="P1047" s="3">
        <v>1.7840810000000001E-3</v>
      </c>
      <c r="Q1047" s="3">
        <v>3.2931879999999998E-3</v>
      </c>
      <c r="R1047" s="3">
        <v>2.0168148509999999</v>
      </c>
      <c r="S1047" s="3">
        <v>4.6720096519999998</v>
      </c>
      <c r="T1047" s="3">
        <v>1.529262326</v>
      </c>
      <c r="U1047" s="3">
        <v>0.60462780400000005</v>
      </c>
      <c r="V1047" s="3">
        <v>0.102564103</v>
      </c>
      <c r="W1047" s="3">
        <v>-3.112531969</v>
      </c>
      <c r="X1047" s="3">
        <v>-1.8065137389999999</v>
      </c>
      <c r="Y1047" s="3">
        <v>2.287459057</v>
      </c>
      <c r="Z1047" s="3">
        <v>2.529262326</v>
      </c>
      <c r="AA1047" s="3">
        <v>7.1937100000000001E-4</v>
      </c>
      <c r="AB1047" s="3">
        <v>12.99238134</v>
      </c>
      <c r="AC1047" s="3">
        <v>0.58040005900000002</v>
      </c>
      <c r="AD1047" s="3">
        <v>7.2121590000000001E-3</v>
      </c>
      <c r="AE1047" s="3">
        <v>14.084879150000001</v>
      </c>
      <c r="AF1047" s="4">
        <v>41724</v>
      </c>
      <c r="AG1047" s="5">
        <f>YEAR(AF1047)</f>
        <v>2014</v>
      </c>
      <c r="AH1047" s="5" t="str">
        <f>"Q"&amp;ROUNDUP(MONTH(AF1047)/3,0)</f>
        <v>Q1</v>
      </c>
      <c r="AI1047" s="5">
        <f>INDEX(RatingLookup!$B$2:$B$11,MATCH(A1047,RatingLookup!$A$2:$A$11,0))</f>
        <v>5</v>
      </c>
      <c r="AJ1047" s="5" t="str">
        <f>INDEX(RatingLookup!$C$2:$C$11,MATCH(A1047,RatingLookup!$A$2:$A$11,0))</f>
        <v>Speculative Grade</v>
      </c>
    </row>
    <row r="1048" spans="1:36" x14ac:dyDescent="0.3">
      <c r="A1048" s="3" t="s">
        <v>109</v>
      </c>
      <c r="B1048" s="3" t="s">
        <v>1182</v>
      </c>
      <c r="C1048" s="3" t="s">
        <v>1183</v>
      </c>
      <c r="D1048" s="3" t="s">
        <v>47</v>
      </c>
      <c r="E1048" s="3" t="s">
        <v>1185</v>
      </c>
      <c r="F1048" s="3" t="s">
        <v>53</v>
      </c>
      <c r="G1048" s="3">
        <v>1.75420595</v>
      </c>
      <c r="H1048" s="3">
        <v>0.53550078000000001</v>
      </c>
      <c r="I1048" s="3">
        <v>6.767803E-2</v>
      </c>
      <c r="J1048" s="3">
        <v>17.188053029999999</v>
      </c>
      <c r="K1048" s="3">
        <v>4.4175337000000002E-2</v>
      </c>
      <c r="L1048" s="3">
        <v>4.4337018999999998E-2</v>
      </c>
      <c r="M1048" s="3">
        <v>0.110188088</v>
      </c>
      <c r="N1048" s="3">
        <v>6.1393748999999997E-2</v>
      </c>
      <c r="O1048" s="3">
        <v>9.1315087000000003E-2</v>
      </c>
      <c r="P1048" s="3">
        <v>0.11615917000000001</v>
      </c>
      <c r="Q1048" s="3">
        <v>0.23121894600000001</v>
      </c>
      <c r="R1048" s="3">
        <v>2.0671056280000002</v>
      </c>
      <c r="S1048" s="3">
        <v>4.7192217860000003</v>
      </c>
      <c r="T1048" s="3">
        <v>1.532100163</v>
      </c>
      <c r="U1048" s="3">
        <v>0.60507091499999999</v>
      </c>
      <c r="V1048" s="3">
        <v>3.6466659999999998E-3</v>
      </c>
      <c r="W1048" s="3">
        <v>0.84990318499999995</v>
      </c>
      <c r="X1048" s="3">
        <v>5892.2611120000001</v>
      </c>
      <c r="Y1048" s="3">
        <v>643.15027269999996</v>
      </c>
      <c r="Z1048" s="3">
        <v>2.532100163</v>
      </c>
      <c r="AA1048" s="3">
        <v>4.4337018999999998E-2</v>
      </c>
      <c r="AB1048" s="3">
        <v>2.0983547960000002</v>
      </c>
      <c r="AC1048" s="3">
        <v>6932.8615460000001</v>
      </c>
      <c r="AD1048" s="3">
        <v>8.1615844000000007E-2</v>
      </c>
      <c r="AE1048" s="3">
        <v>12.42923255</v>
      </c>
      <c r="AF1048" s="4">
        <v>41142</v>
      </c>
      <c r="AG1048" s="5">
        <f>YEAR(AF1048)</f>
        <v>2012</v>
      </c>
      <c r="AH1048" s="5" t="str">
        <f>"Q"&amp;ROUNDUP(MONTH(AF1048)/3,0)</f>
        <v>Q3</v>
      </c>
      <c r="AI1048" s="5">
        <f>INDEX(RatingLookup!$B$2:$B$11,MATCH(A1048,RatingLookup!$A$2:$A$11,0))</f>
        <v>5</v>
      </c>
      <c r="AJ1048" s="5" t="str">
        <f>INDEX(RatingLookup!$C$2:$C$11,MATCH(A1048,RatingLookup!$A$2:$A$11,0))</f>
        <v>Speculative Grade</v>
      </c>
    </row>
    <row r="1049" spans="1:36" x14ac:dyDescent="0.3">
      <c r="A1049" s="3" t="s">
        <v>42</v>
      </c>
      <c r="B1049" s="3" t="s">
        <v>1186</v>
      </c>
      <c r="C1049" s="3" t="s">
        <v>1187</v>
      </c>
      <c r="D1049" s="3" t="s">
        <v>47</v>
      </c>
      <c r="E1049" s="3" t="s">
        <v>666</v>
      </c>
      <c r="F1049" s="3" t="s">
        <v>53</v>
      </c>
      <c r="G1049" s="3">
        <v>0.77878106599999997</v>
      </c>
      <c r="H1049" s="3">
        <v>0.45860452000000002</v>
      </c>
      <c r="I1049" s="3">
        <v>1.9334001E-2</v>
      </c>
      <c r="J1049" s="3">
        <v>67.978747670000004</v>
      </c>
      <c r="K1049" s="3">
        <v>0.22118258299999999</v>
      </c>
      <c r="L1049" s="3">
        <v>0.35108432299999998</v>
      </c>
      <c r="M1049" s="3">
        <v>1</v>
      </c>
      <c r="N1049" s="3">
        <v>0.41843827300000003</v>
      </c>
      <c r="O1049" s="3">
        <v>6.3998606E-2</v>
      </c>
      <c r="P1049" s="3">
        <v>0.11588135099999999</v>
      </c>
      <c r="Q1049" s="3">
        <v>0.193320564</v>
      </c>
      <c r="R1049" s="3">
        <v>0.289347403</v>
      </c>
      <c r="S1049" s="3">
        <v>0.32227052899999997</v>
      </c>
      <c r="T1049" s="3">
        <v>2.0206996099999999</v>
      </c>
      <c r="U1049" s="3">
        <v>0.66895086299999995</v>
      </c>
      <c r="V1049" s="3">
        <v>0.37000154200000002</v>
      </c>
      <c r="W1049" s="3">
        <v>1</v>
      </c>
      <c r="X1049" s="3">
        <v>13.925275020000001</v>
      </c>
      <c r="Y1049" s="3">
        <v>0.174374576</v>
      </c>
      <c r="Z1049" s="3">
        <v>3.0206996099999999</v>
      </c>
      <c r="AA1049" s="3">
        <v>0.35108432299999998</v>
      </c>
      <c r="AB1049" s="3">
        <v>6.100783571</v>
      </c>
      <c r="AC1049" s="3">
        <v>13.925275020000001</v>
      </c>
      <c r="AD1049" s="3">
        <v>0.74187661900000001</v>
      </c>
      <c r="AE1049" s="3">
        <v>0</v>
      </c>
      <c r="AF1049" s="4">
        <v>41786</v>
      </c>
      <c r="AG1049" s="5">
        <f>YEAR(AF1049)</f>
        <v>2014</v>
      </c>
      <c r="AH1049" s="5" t="str">
        <f>"Q"&amp;ROUNDUP(MONTH(AF1049)/3,0)</f>
        <v>Q2</v>
      </c>
      <c r="AI1049" s="5">
        <f>INDEX(RatingLookup!$B$2:$B$11,MATCH(A1049,RatingLookup!$A$2:$A$11,0))</f>
        <v>7</v>
      </c>
      <c r="AJ1049" s="5" t="str">
        <f>INDEX(RatingLookup!$C$2:$C$11,MATCH(A1049,RatingLookup!$A$2:$A$11,0))</f>
        <v>Investment Grade</v>
      </c>
    </row>
    <row r="1050" spans="1:36" x14ac:dyDescent="0.3">
      <c r="A1050" s="3" t="s">
        <v>42</v>
      </c>
      <c r="B1050" s="3" t="s">
        <v>1186</v>
      </c>
      <c r="C1050" s="3" t="s">
        <v>1187</v>
      </c>
      <c r="D1050" s="3" t="s">
        <v>47</v>
      </c>
      <c r="E1050" s="3" t="s">
        <v>1027</v>
      </c>
      <c r="F1050" s="3" t="s">
        <v>53</v>
      </c>
      <c r="G1050" s="3">
        <v>0.71188101699999995</v>
      </c>
      <c r="H1050" s="3">
        <v>0.32237490200000002</v>
      </c>
      <c r="I1050" s="3">
        <v>1.2490183E-2</v>
      </c>
      <c r="J1050" s="3">
        <v>41.99703933</v>
      </c>
      <c r="K1050" s="3">
        <v>0.20354409700000001</v>
      </c>
      <c r="L1050" s="3">
        <v>0.32531492499999998</v>
      </c>
      <c r="M1050" s="3">
        <v>1</v>
      </c>
      <c r="N1050" s="3">
        <v>0.38900137400000001</v>
      </c>
      <c r="O1050" s="3">
        <v>6.4531957000000001E-2</v>
      </c>
      <c r="P1050" s="3">
        <v>0.118398488</v>
      </c>
      <c r="Q1050" s="3">
        <v>0.19673343200000001</v>
      </c>
      <c r="R1050" s="3">
        <v>0.31704165099999998</v>
      </c>
      <c r="S1050" s="3">
        <v>0.35213186499999999</v>
      </c>
      <c r="T1050" s="3">
        <v>2.0486202869999999</v>
      </c>
      <c r="U1050" s="3">
        <v>0.67198276400000001</v>
      </c>
      <c r="V1050" s="3">
        <v>0.37431675800000003</v>
      </c>
      <c r="W1050" s="3">
        <v>1</v>
      </c>
      <c r="X1050" s="3">
        <v>9.0982948740000005</v>
      </c>
      <c r="Y1050" s="3">
        <v>0.20823742200000001</v>
      </c>
      <c r="Z1050" s="3">
        <v>3.0486202869999999</v>
      </c>
      <c r="AA1050" s="3">
        <v>0.32531492499999998</v>
      </c>
      <c r="AB1050" s="3">
        <v>7.0201911719999996</v>
      </c>
      <c r="AC1050" s="3">
        <v>9.0982948740000005</v>
      </c>
      <c r="AD1050" s="3">
        <v>0.69887171400000003</v>
      </c>
      <c r="AE1050" s="3">
        <v>0</v>
      </c>
      <c r="AF1050" s="4">
        <v>42124</v>
      </c>
      <c r="AG1050" s="5">
        <f>YEAR(AF1050)</f>
        <v>2015</v>
      </c>
      <c r="AH1050" s="5" t="str">
        <f>"Q"&amp;ROUNDUP(MONTH(AF1050)/3,0)</f>
        <v>Q2</v>
      </c>
      <c r="AI1050" s="5">
        <f>INDEX(RatingLookup!$B$2:$B$11,MATCH(A1050,RatingLookup!$A$2:$A$11,0))</f>
        <v>7</v>
      </c>
      <c r="AJ1050" s="5" t="str">
        <f>INDEX(RatingLookup!$C$2:$C$11,MATCH(A1050,RatingLookup!$A$2:$A$11,0))</f>
        <v>Investment Grade</v>
      </c>
    </row>
    <row r="1051" spans="1:36" x14ac:dyDescent="0.3">
      <c r="A1051" s="3" t="s">
        <v>92</v>
      </c>
      <c r="B1051" s="3" t="s">
        <v>1186</v>
      </c>
      <c r="C1051" s="3" t="s">
        <v>1187</v>
      </c>
      <c r="D1051" s="3" t="s">
        <v>47</v>
      </c>
      <c r="E1051" s="3" t="s">
        <v>1188</v>
      </c>
      <c r="F1051" s="3" t="s">
        <v>53</v>
      </c>
      <c r="G1051" s="3">
        <v>0.89091446799999996</v>
      </c>
      <c r="H1051" s="3">
        <v>0.52436870800000002</v>
      </c>
      <c r="I1051" s="3">
        <v>1.2418907999999999E-2</v>
      </c>
      <c r="J1051" s="3">
        <v>51.562842910000001</v>
      </c>
      <c r="K1051" s="3">
        <v>-0.131957449</v>
      </c>
      <c r="L1051" s="3">
        <v>-0.199646141</v>
      </c>
      <c r="M1051" s="3">
        <v>1</v>
      </c>
      <c r="N1051" s="3">
        <v>-8.3577255000000003E-2</v>
      </c>
      <c r="O1051" s="3">
        <v>-2.3704594999999998E-2</v>
      </c>
      <c r="P1051" s="3">
        <v>-3.8229150000000003E-2</v>
      </c>
      <c r="Q1051" s="3">
        <v>-7.5749748000000006E-2</v>
      </c>
      <c r="R1051" s="3">
        <v>0.17963817000000001</v>
      </c>
      <c r="S1051" s="3">
        <v>0.19057843199999999</v>
      </c>
      <c r="T1051" s="3">
        <v>2.1955724050000001</v>
      </c>
      <c r="U1051" s="3">
        <v>0.687067019</v>
      </c>
      <c r="V1051" s="3">
        <v>0.33904332999999998</v>
      </c>
      <c r="W1051" s="3">
        <v>1</v>
      </c>
      <c r="X1051" s="3">
        <v>5.025439736</v>
      </c>
      <c r="Y1051" s="3">
        <v>0.285178871</v>
      </c>
      <c r="Z1051" s="3">
        <v>3.1955724050000001</v>
      </c>
      <c r="AA1051" s="3">
        <v>-0.199646141</v>
      </c>
      <c r="AB1051" s="3">
        <v>9.7916417780000007</v>
      </c>
      <c r="AC1051" s="3">
        <v>5.025439736</v>
      </c>
      <c r="AD1051" s="3">
        <v>0.69290495699999999</v>
      </c>
      <c r="AE1051" s="3">
        <v>0</v>
      </c>
      <c r="AF1051" s="4">
        <v>42474</v>
      </c>
      <c r="AG1051" s="5">
        <f>YEAR(AF1051)</f>
        <v>2016</v>
      </c>
      <c r="AH1051" s="5" t="str">
        <f>"Q"&amp;ROUNDUP(MONTH(AF1051)/3,0)</f>
        <v>Q2</v>
      </c>
      <c r="AI1051" s="5">
        <f>INDEX(RatingLookup!$B$2:$B$11,MATCH(A1051,RatingLookup!$A$2:$A$11,0))</f>
        <v>6</v>
      </c>
      <c r="AJ1051" s="5" t="str">
        <f>INDEX(RatingLookup!$C$2:$C$11,MATCH(A1051,RatingLookup!$A$2:$A$11,0))</f>
        <v>Speculative Grade</v>
      </c>
    </row>
    <row r="1052" spans="1:36" x14ac:dyDescent="0.3">
      <c r="A1052" s="3" t="s">
        <v>92</v>
      </c>
      <c r="B1052" s="3" t="s">
        <v>1186</v>
      </c>
      <c r="C1052" s="3" t="s">
        <v>1187</v>
      </c>
      <c r="D1052" s="3" t="s">
        <v>47</v>
      </c>
      <c r="E1052" s="3" t="s">
        <v>1189</v>
      </c>
      <c r="F1052" s="3" t="s">
        <v>53</v>
      </c>
      <c r="G1052" s="3">
        <v>0.840938301</v>
      </c>
      <c r="H1052" s="3">
        <v>0.46432565199999998</v>
      </c>
      <c r="I1052" s="3">
        <v>3.1734710999999999E-2</v>
      </c>
      <c r="J1052" s="3">
        <v>66.494040859999998</v>
      </c>
      <c r="K1052" s="3">
        <v>0.28741661899999998</v>
      </c>
      <c r="L1052" s="3">
        <v>0.44905229099999999</v>
      </c>
      <c r="M1052" s="3">
        <v>1</v>
      </c>
      <c r="N1052" s="3">
        <v>0.50254497499999995</v>
      </c>
      <c r="O1052" s="3">
        <v>8.0895435000000002E-2</v>
      </c>
      <c r="P1052" s="3">
        <v>0.14414465200000001</v>
      </c>
      <c r="Q1052" s="3">
        <v>0.23370902199999999</v>
      </c>
      <c r="R1052" s="3">
        <v>0.28145705300000001</v>
      </c>
      <c r="S1052" s="3">
        <v>0.31738860200000002</v>
      </c>
      <c r="T1052" s="3">
        <v>1.8890261049999999</v>
      </c>
      <c r="U1052" s="3">
        <v>0.65386259499999999</v>
      </c>
      <c r="V1052" s="3">
        <v>0.35994844199999998</v>
      </c>
      <c r="W1052" s="3">
        <v>1</v>
      </c>
      <c r="X1052" s="3">
        <v>9.0000275730000006</v>
      </c>
      <c r="Y1052" s="3">
        <v>0.29843388100000001</v>
      </c>
      <c r="Z1052" s="3">
        <v>2.8890261050000001</v>
      </c>
      <c r="AA1052" s="3">
        <v>0.44905229099999999</v>
      </c>
      <c r="AB1052" s="3">
        <v>5.5695441270000003</v>
      </c>
      <c r="AC1052" s="3">
        <v>9.0000275730000006</v>
      </c>
      <c r="AD1052" s="3">
        <v>0.63442266700000005</v>
      </c>
      <c r="AE1052" s="3">
        <v>0</v>
      </c>
      <c r="AF1052" s="4">
        <v>41366</v>
      </c>
      <c r="AG1052" s="5">
        <f>YEAR(AF1052)</f>
        <v>2013</v>
      </c>
      <c r="AH1052" s="5" t="str">
        <f>"Q"&amp;ROUNDUP(MONTH(AF1052)/3,0)</f>
        <v>Q2</v>
      </c>
      <c r="AI1052" s="5">
        <f>INDEX(RatingLookup!$B$2:$B$11,MATCH(A1052,RatingLookup!$A$2:$A$11,0))</f>
        <v>6</v>
      </c>
      <c r="AJ1052" s="5" t="str">
        <f>INDEX(RatingLookup!$C$2:$C$11,MATCH(A1052,RatingLookup!$A$2:$A$11,0))</f>
        <v>Speculative Grade</v>
      </c>
    </row>
    <row r="1053" spans="1:36" x14ac:dyDescent="0.3">
      <c r="A1053" s="3" t="s">
        <v>92</v>
      </c>
      <c r="B1053" s="3" t="s">
        <v>1186</v>
      </c>
      <c r="C1053" s="3" t="s">
        <v>1187</v>
      </c>
      <c r="D1053" s="3" t="s">
        <v>47</v>
      </c>
      <c r="E1053" s="3" t="s">
        <v>957</v>
      </c>
      <c r="F1053" s="3" t="s">
        <v>53</v>
      </c>
      <c r="G1053" s="3">
        <v>0.84221277000000005</v>
      </c>
      <c r="H1053" s="3">
        <v>0.383750329</v>
      </c>
      <c r="I1053" s="3">
        <v>4.8159698000000001E-2</v>
      </c>
      <c r="J1053" s="3">
        <v>81.071558240000002</v>
      </c>
      <c r="K1053" s="3">
        <v>0.26007689499999997</v>
      </c>
      <c r="L1053" s="3">
        <v>0.41668661899999998</v>
      </c>
      <c r="M1053" s="3">
        <v>1</v>
      </c>
      <c r="N1053" s="3">
        <v>0.461120786</v>
      </c>
      <c r="O1053" s="3">
        <v>7.5994592E-2</v>
      </c>
      <c r="P1053" s="3">
        <v>0.15161045200000001</v>
      </c>
      <c r="Q1053" s="3">
        <v>0.18589626400000001</v>
      </c>
      <c r="R1053" s="3">
        <v>0.29220047300000002</v>
      </c>
      <c r="S1053" s="3">
        <v>0.35238852799999998</v>
      </c>
      <c r="T1053" s="3">
        <v>1.4461775480000001</v>
      </c>
      <c r="U1053" s="3">
        <v>0.59119893000000001</v>
      </c>
      <c r="V1053" s="3">
        <v>0.37584534000000003</v>
      </c>
      <c r="W1053" s="3">
        <v>1</v>
      </c>
      <c r="X1053" s="3">
        <v>6.0133735010000002</v>
      </c>
      <c r="Y1053" s="3">
        <v>0.33905625299999997</v>
      </c>
      <c r="Z1053" s="3">
        <v>2.4461775480000001</v>
      </c>
      <c r="AA1053" s="3">
        <v>0.41668661899999998</v>
      </c>
      <c r="AB1053" s="3">
        <v>7.5524976659999998</v>
      </c>
      <c r="AC1053" s="3">
        <v>6.0133735010000002</v>
      </c>
      <c r="AD1053" s="3">
        <v>0.64730398899999997</v>
      </c>
      <c r="AE1053" s="3">
        <v>0</v>
      </c>
      <c r="AF1053" s="4">
        <v>40973</v>
      </c>
      <c r="AG1053" s="5">
        <f>YEAR(AF1053)</f>
        <v>2012</v>
      </c>
      <c r="AH1053" s="5" t="str">
        <f>"Q"&amp;ROUNDUP(MONTH(AF1053)/3,0)</f>
        <v>Q1</v>
      </c>
      <c r="AI1053" s="5">
        <f>INDEX(RatingLookup!$B$2:$B$11,MATCH(A1053,RatingLookup!$A$2:$A$11,0))</f>
        <v>6</v>
      </c>
      <c r="AJ1053" s="5" t="str">
        <f>INDEX(RatingLookup!$C$2:$C$11,MATCH(A1053,RatingLookup!$A$2:$A$11,0))</f>
        <v>Speculative Grade</v>
      </c>
    </row>
    <row r="1054" spans="1:36" x14ac:dyDescent="0.3">
      <c r="A1054" s="3" t="s">
        <v>42</v>
      </c>
      <c r="B1054" s="3" t="s">
        <v>1190</v>
      </c>
      <c r="C1054" s="3" t="s">
        <v>1191</v>
      </c>
      <c r="D1054" s="3" t="s">
        <v>44</v>
      </c>
      <c r="E1054" s="3" t="s">
        <v>1192</v>
      </c>
      <c r="F1054" s="3" t="s">
        <v>232</v>
      </c>
      <c r="G1054" s="3">
        <v>0.99974792000000001</v>
      </c>
      <c r="H1054" s="3">
        <v>0.86513738299999998</v>
      </c>
      <c r="I1054" s="3">
        <v>0.62944290400000003</v>
      </c>
      <c r="J1054" s="3">
        <v>67.349039790000006</v>
      </c>
      <c r="K1054" s="3">
        <v>-2.2767769E-2</v>
      </c>
      <c r="L1054" s="3">
        <v>1.0690952E-2</v>
      </c>
      <c r="M1054" s="3">
        <v>0.67788556700000002</v>
      </c>
      <c r="N1054" s="3">
        <v>2.2371808E-2</v>
      </c>
      <c r="O1054" s="3">
        <v>-1.6984196999999999E-2</v>
      </c>
      <c r="P1054" s="3">
        <v>1.9258203000000002E-2</v>
      </c>
      <c r="Q1054" s="3">
        <v>-0.235655738</v>
      </c>
      <c r="R1054" s="3">
        <v>0.74597548400000002</v>
      </c>
      <c r="S1054" s="3">
        <v>24.519417480000001</v>
      </c>
      <c r="T1054" s="3">
        <v>12.875</v>
      </c>
      <c r="U1054" s="3">
        <v>0.92792792800000001</v>
      </c>
      <c r="V1054" s="3">
        <v>4.5370370370000002</v>
      </c>
      <c r="W1054" s="3">
        <v>0.923904053</v>
      </c>
      <c r="X1054" s="3">
        <v>4.1141804789999998</v>
      </c>
      <c r="Y1054" s="3">
        <v>9.2081031309999997</v>
      </c>
      <c r="Z1054" s="3">
        <v>13.875</v>
      </c>
      <c r="AA1054" s="3">
        <v>1.0690952E-2</v>
      </c>
      <c r="AB1054" s="3">
        <v>93.064615380000006</v>
      </c>
      <c r="AC1054" s="3">
        <v>4.4530386740000001</v>
      </c>
      <c r="AD1054" s="3">
        <v>0.23935854300000001</v>
      </c>
      <c r="AE1054" s="3">
        <v>8.5183246070000003</v>
      </c>
      <c r="AF1054" s="4">
        <v>42145</v>
      </c>
      <c r="AG1054" s="5">
        <f>YEAR(AF1054)</f>
        <v>2015</v>
      </c>
      <c r="AH1054" s="5" t="str">
        <f>"Q"&amp;ROUNDUP(MONTH(AF1054)/3,0)</f>
        <v>Q2</v>
      </c>
      <c r="AI1054" s="5">
        <f>INDEX(RatingLookup!$B$2:$B$11,MATCH(A1054,RatingLookup!$A$2:$A$11,0))</f>
        <v>7</v>
      </c>
      <c r="AJ1054" s="5" t="str">
        <f>INDEX(RatingLookup!$C$2:$C$11,MATCH(A1054,RatingLookup!$A$2:$A$11,0))</f>
        <v>Investment Grade</v>
      </c>
    </row>
    <row r="1055" spans="1:36" x14ac:dyDescent="0.3">
      <c r="A1055" s="3" t="s">
        <v>36</v>
      </c>
      <c r="B1055" s="3" t="s">
        <v>1190</v>
      </c>
      <c r="C1055" s="3" t="s">
        <v>1191</v>
      </c>
      <c r="D1055" s="3" t="s">
        <v>39</v>
      </c>
      <c r="E1055" s="3" t="s">
        <v>524</v>
      </c>
      <c r="F1055" s="3" t="s">
        <v>232</v>
      </c>
      <c r="G1055" s="3">
        <v>1.1334250340000001</v>
      </c>
      <c r="H1055" s="3">
        <v>0.85213205000000003</v>
      </c>
      <c r="I1055" s="3">
        <v>0.50928473200000002</v>
      </c>
      <c r="J1055" s="3">
        <v>68.081121780000004</v>
      </c>
      <c r="K1055" s="3">
        <v>0.217579522</v>
      </c>
      <c r="L1055" s="3">
        <v>0.34161490700000002</v>
      </c>
      <c r="M1055" s="3">
        <v>0.68530020700000005</v>
      </c>
      <c r="N1055" s="3">
        <v>0.3608131</v>
      </c>
      <c r="O1055" s="3">
        <v>0.141268483</v>
      </c>
      <c r="P1055" s="3">
        <v>0.344075829</v>
      </c>
      <c r="Q1055" s="3">
        <v>5.9587628869999998</v>
      </c>
      <c r="R1055" s="3">
        <v>0.64927288299999997</v>
      </c>
      <c r="S1055" s="3">
        <v>19.67777778</v>
      </c>
      <c r="T1055" s="3">
        <v>41.180412369999999</v>
      </c>
      <c r="U1055" s="3">
        <v>0.97629231299999997</v>
      </c>
      <c r="V1055" s="3">
        <v>0.30137741000000001</v>
      </c>
      <c r="W1055" s="3">
        <v>0.28717948700000001</v>
      </c>
      <c r="X1055" s="3">
        <v>0.20618556699999999</v>
      </c>
      <c r="Y1055" s="3">
        <v>5.4749631809999997</v>
      </c>
      <c r="Z1055" s="3">
        <v>42.180412369999999</v>
      </c>
      <c r="AA1055" s="3">
        <v>0.34161490700000002</v>
      </c>
      <c r="AB1055" s="3">
        <v>12.1607676</v>
      </c>
      <c r="AC1055" s="3">
        <v>0.71796759899999996</v>
      </c>
      <c r="AD1055" s="3">
        <v>3.6702428000000002E-2</v>
      </c>
      <c r="AE1055" s="3">
        <v>8.1165048540000004</v>
      </c>
      <c r="AF1055" s="4">
        <v>42325</v>
      </c>
      <c r="AG1055" s="5">
        <f>YEAR(AF1055)</f>
        <v>2015</v>
      </c>
      <c r="AH1055" s="5" t="str">
        <f>"Q"&amp;ROUNDUP(MONTH(AF1055)/3,0)</f>
        <v>Q4</v>
      </c>
      <c r="AI1055" s="5">
        <f>INDEX(RatingLookup!$B$2:$B$11,MATCH(A1055,RatingLookup!$A$2:$A$11,0))</f>
        <v>8</v>
      </c>
      <c r="AJ1055" s="5" t="str">
        <f>INDEX(RatingLookup!$C$2:$C$11,MATCH(A1055,RatingLookup!$A$2:$A$11,0))</f>
        <v>Investment Grade</v>
      </c>
    </row>
    <row r="1056" spans="1:36" x14ac:dyDescent="0.3">
      <c r="A1056" s="3" t="s">
        <v>42</v>
      </c>
      <c r="B1056" s="3" t="s">
        <v>1190</v>
      </c>
      <c r="C1056" s="3" t="s">
        <v>1191</v>
      </c>
      <c r="D1056" s="3" t="s">
        <v>60</v>
      </c>
      <c r="E1056" s="3" t="s">
        <v>190</v>
      </c>
      <c r="F1056" s="3" t="s">
        <v>232</v>
      </c>
      <c r="G1056" s="3">
        <v>1.063266976</v>
      </c>
      <c r="H1056" s="3">
        <v>0.46768475599999998</v>
      </c>
      <c r="I1056" s="3">
        <v>0.207253886</v>
      </c>
      <c r="J1056" s="3">
        <v>78.2494382</v>
      </c>
      <c r="K1056" s="3">
        <v>9.8202247000000006E-2</v>
      </c>
      <c r="L1056" s="3">
        <v>0.25393258400000002</v>
      </c>
      <c r="M1056" s="3">
        <v>0.67191011199999995</v>
      </c>
      <c r="N1056" s="3">
        <v>0.27213483100000002</v>
      </c>
      <c r="O1056" s="3">
        <v>6.1968236000000003E-2</v>
      </c>
      <c r="P1056" s="3">
        <v>0.333825702</v>
      </c>
      <c r="Q1056" s="3">
        <v>0.56975228200000005</v>
      </c>
      <c r="R1056" s="3">
        <v>0.63102665899999999</v>
      </c>
      <c r="S1056" s="3">
        <v>12.092391299999999</v>
      </c>
      <c r="T1056" s="3">
        <v>8.1942633639999993</v>
      </c>
      <c r="U1056" s="3">
        <v>0.89123652900000006</v>
      </c>
      <c r="V1056" s="3">
        <v>0.357522124</v>
      </c>
      <c r="W1056" s="3">
        <v>0.87014725599999998</v>
      </c>
      <c r="X1056" s="3">
        <v>2.3330940419999999</v>
      </c>
      <c r="Y1056" s="3">
        <v>2.731514716</v>
      </c>
      <c r="Z1056" s="3">
        <v>9.1942633639999993</v>
      </c>
      <c r="AA1056" s="3">
        <v>0.25393258400000002</v>
      </c>
      <c r="AB1056" s="3">
        <v>12.190878700000001</v>
      </c>
      <c r="AC1056" s="3">
        <v>2.6812634599999998</v>
      </c>
      <c r="AD1056" s="3">
        <v>0.16786516900000001</v>
      </c>
      <c r="AE1056" s="3">
        <v>5.8634538149999997</v>
      </c>
      <c r="AF1056" s="4">
        <v>41319</v>
      </c>
      <c r="AG1056" s="5">
        <f>YEAR(AF1056)</f>
        <v>2013</v>
      </c>
      <c r="AH1056" s="5" t="str">
        <f>"Q"&amp;ROUNDUP(MONTH(AF1056)/3,0)</f>
        <v>Q1</v>
      </c>
      <c r="AI1056" s="5">
        <f>INDEX(RatingLookup!$B$2:$B$11,MATCH(A1056,RatingLookup!$A$2:$A$11,0))</f>
        <v>7</v>
      </c>
      <c r="AJ1056" s="5" t="str">
        <f>INDEX(RatingLookup!$C$2:$C$11,MATCH(A1056,RatingLookup!$A$2:$A$11,0))</f>
        <v>Investment Grade</v>
      </c>
    </row>
    <row r="1057" spans="1:36" x14ac:dyDescent="0.3">
      <c r="A1057" s="3" t="s">
        <v>36</v>
      </c>
      <c r="B1057" s="3" t="s">
        <v>1190</v>
      </c>
      <c r="C1057" s="3" t="s">
        <v>1191</v>
      </c>
      <c r="D1057" s="3" t="s">
        <v>39</v>
      </c>
      <c r="E1057" s="3" t="s">
        <v>372</v>
      </c>
      <c r="F1057" s="3" t="s">
        <v>232</v>
      </c>
      <c r="G1057" s="3">
        <v>1.23777403</v>
      </c>
      <c r="H1057" s="3">
        <v>1.0704047219999999</v>
      </c>
      <c r="I1057" s="3">
        <v>0.65008431700000002</v>
      </c>
      <c r="J1057" s="3">
        <v>73.29948718</v>
      </c>
      <c r="K1057" s="3">
        <v>0.28225641000000001</v>
      </c>
      <c r="L1057" s="3">
        <v>0.27610256399999999</v>
      </c>
      <c r="M1057" s="3">
        <v>0.675076923</v>
      </c>
      <c r="N1057" s="3">
        <v>0.28820512799999998</v>
      </c>
      <c r="O1057" s="3">
        <v>0.22702524299999999</v>
      </c>
      <c r="P1057" s="3">
        <v>0.36486852800000003</v>
      </c>
      <c r="Q1057" s="3">
        <v>1.057647963</v>
      </c>
      <c r="R1057" s="3">
        <v>0.80432271899999996</v>
      </c>
      <c r="S1057" s="3">
        <v>19.578313250000001</v>
      </c>
      <c r="T1057" s="3">
        <v>3.6587240579999998</v>
      </c>
      <c r="U1057" s="3">
        <v>0.78534895199999999</v>
      </c>
      <c r="V1057" s="3">
        <v>0.32912332799999999</v>
      </c>
      <c r="W1057" s="3">
        <v>0.85661764699999998</v>
      </c>
      <c r="X1057" s="3">
        <v>2.5464480869999999</v>
      </c>
      <c r="Y1057" s="3">
        <v>5.6830601090000004</v>
      </c>
      <c r="Z1057" s="3">
        <v>4.6587240579999998</v>
      </c>
      <c r="AA1057" s="3">
        <v>0.27610256399999999</v>
      </c>
      <c r="AB1057" s="3">
        <v>13.1844131</v>
      </c>
      <c r="AC1057" s="3">
        <v>2.972677596</v>
      </c>
      <c r="AD1057" s="3">
        <v>0.16738461499999999</v>
      </c>
      <c r="AE1057" s="3">
        <v>7.2328767120000004</v>
      </c>
      <c r="AF1057" s="4">
        <v>41779</v>
      </c>
      <c r="AG1057" s="5">
        <f>YEAR(AF1057)</f>
        <v>2014</v>
      </c>
      <c r="AH1057" s="5" t="str">
        <f>"Q"&amp;ROUNDUP(MONTH(AF1057)/3,0)</f>
        <v>Q2</v>
      </c>
      <c r="AI1057" s="5">
        <f>INDEX(RatingLookup!$B$2:$B$11,MATCH(A1057,RatingLookup!$A$2:$A$11,0))</f>
        <v>8</v>
      </c>
      <c r="AJ1057" s="5" t="str">
        <f>INDEX(RatingLookup!$C$2:$C$11,MATCH(A1057,RatingLookup!$A$2:$A$11,0))</f>
        <v>Investment Grade</v>
      </c>
    </row>
    <row r="1058" spans="1:36" x14ac:dyDescent="0.3">
      <c r="A1058" s="3" t="s">
        <v>42</v>
      </c>
      <c r="B1058" s="3" t="s">
        <v>1190</v>
      </c>
      <c r="C1058" s="3" t="s">
        <v>1191</v>
      </c>
      <c r="D1058" s="3" t="s">
        <v>44</v>
      </c>
      <c r="E1058" s="3" t="s">
        <v>271</v>
      </c>
      <c r="F1058" s="3" t="s">
        <v>232</v>
      </c>
      <c r="G1058" s="3">
        <v>1.4059747220000001</v>
      </c>
      <c r="H1058" s="3">
        <v>1.348908464</v>
      </c>
      <c r="I1058" s="3">
        <v>0.91612408999999995</v>
      </c>
      <c r="J1058" s="3">
        <v>72.342342340000002</v>
      </c>
      <c r="K1058" s="3">
        <v>0.372019078</v>
      </c>
      <c r="L1058" s="3">
        <v>0.563151387</v>
      </c>
      <c r="M1058" s="3">
        <v>0.68751103999999996</v>
      </c>
      <c r="N1058" s="3">
        <v>0.59512453600000004</v>
      </c>
      <c r="O1058" s="3">
        <v>0.242934595</v>
      </c>
      <c r="P1058" s="3">
        <v>0.52624628600000001</v>
      </c>
      <c r="Q1058" s="3">
        <v>3.24</v>
      </c>
      <c r="R1058" s="3">
        <v>0.653016496</v>
      </c>
      <c r="S1058" s="3">
        <v>20.889298889999999</v>
      </c>
      <c r="T1058" s="3">
        <v>12.33692308</v>
      </c>
      <c r="U1058" s="3">
        <v>0.92502018699999999</v>
      </c>
      <c r="V1058" s="3">
        <v>0.301129235</v>
      </c>
      <c r="W1058" s="3">
        <v>0.92144808700000003</v>
      </c>
      <c r="X1058" s="3">
        <v>5.1331811260000002</v>
      </c>
      <c r="Y1058" s="3">
        <v>9.1324200910000002</v>
      </c>
      <c r="Z1058" s="3">
        <v>13.33692308</v>
      </c>
      <c r="AA1058" s="3">
        <v>0.563151387</v>
      </c>
      <c r="AB1058" s="3">
        <v>9.2594185919999994</v>
      </c>
      <c r="AC1058" s="3">
        <v>5.5707762560000003</v>
      </c>
      <c r="AD1058" s="3">
        <v>0.25861155299999999</v>
      </c>
      <c r="AE1058" s="3">
        <v>9.6666666669999994</v>
      </c>
      <c r="AF1058" s="4">
        <v>42632</v>
      </c>
      <c r="AG1058" s="5">
        <f>YEAR(AF1058)</f>
        <v>2016</v>
      </c>
      <c r="AH1058" s="5" t="str">
        <f>"Q"&amp;ROUNDUP(MONTH(AF1058)/3,0)</f>
        <v>Q3</v>
      </c>
      <c r="AI1058" s="5">
        <f>INDEX(RatingLookup!$B$2:$B$11,MATCH(A1058,RatingLookup!$A$2:$A$11,0))</f>
        <v>7</v>
      </c>
      <c r="AJ1058" s="5" t="str">
        <f>INDEX(RatingLookup!$C$2:$C$11,MATCH(A1058,RatingLookup!$A$2:$A$11,0))</f>
        <v>Investment Grade</v>
      </c>
    </row>
    <row r="1059" spans="1:36" x14ac:dyDescent="0.3">
      <c r="A1059" s="3" t="s">
        <v>42</v>
      </c>
      <c r="B1059" s="3" t="s">
        <v>1193</v>
      </c>
      <c r="C1059" s="3" t="s">
        <v>1194</v>
      </c>
      <c r="D1059" s="3" t="s">
        <v>47</v>
      </c>
      <c r="E1059" s="3" t="s">
        <v>1195</v>
      </c>
      <c r="F1059" s="3" t="s">
        <v>174</v>
      </c>
      <c r="G1059" s="3">
        <v>0.68263473100000005</v>
      </c>
      <c r="H1059" s="3">
        <v>0.68263473100000005</v>
      </c>
      <c r="I1059" s="3">
        <v>0.68263473100000005</v>
      </c>
      <c r="J1059" s="3">
        <v>0</v>
      </c>
      <c r="K1059" s="3">
        <v>0.13672020900000001</v>
      </c>
      <c r="L1059" s="3">
        <v>0.14213671999999999</v>
      </c>
      <c r="M1059" s="3">
        <v>0.79286514799999996</v>
      </c>
      <c r="N1059" s="3">
        <v>0.13261113199999999</v>
      </c>
      <c r="O1059" s="3">
        <v>5.9965593999999997E-2</v>
      </c>
      <c r="P1059" s="3">
        <v>6.7916109000000002E-2</v>
      </c>
      <c r="Q1059" s="3">
        <v>9.9781896999999994E-2</v>
      </c>
      <c r="R1059" s="3">
        <v>0.43860080299999998</v>
      </c>
      <c r="S1059" s="3">
        <v>0.50628841599999996</v>
      </c>
      <c r="T1059" s="3">
        <v>0.66398582299999998</v>
      </c>
      <c r="U1059" s="3">
        <v>0.39903334200000001</v>
      </c>
      <c r="V1059" s="3">
        <v>1.8396846000000001E-2</v>
      </c>
      <c r="W1059" s="3">
        <v>0.71826087000000005</v>
      </c>
      <c r="X1059" s="3">
        <v>1.093460418</v>
      </c>
      <c r="Y1059" s="3">
        <v>0.90548054</v>
      </c>
      <c r="Z1059" s="3">
        <v>1.663985823</v>
      </c>
      <c r="AA1059" s="3">
        <v>0.14213671999999999</v>
      </c>
      <c r="AB1059" s="3">
        <v>12.554080839999999</v>
      </c>
      <c r="AC1059" s="3">
        <v>1.5223722529999999</v>
      </c>
      <c r="AD1059" s="3">
        <v>0.21479267799999999</v>
      </c>
      <c r="AE1059" s="3">
        <v>3.72147651</v>
      </c>
      <c r="AF1059" s="4">
        <v>42034</v>
      </c>
      <c r="AG1059" s="5">
        <f>YEAR(AF1059)</f>
        <v>2015</v>
      </c>
      <c r="AH1059" s="5" t="str">
        <f>"Q"&amp;ROUNDUP(MONTH(AF1059)/3,0)</f>
        <v>Q1</v>
      </c>
      <c r="AI1059" s="5">
        <f>INDEX(RatingLookup!$B$2:$B$11,MATCH(A1059,RatingLookup!$A$2:$A$11,0))</f>
        <v>7</v>
      </c>
      <c r="AJ1059" s="5" t="str">
        <f>INDEX(RatingLookup!$C$2:$C$11,MATCH(A1059,RatingLookup!$A$2:$A$11,0))</f>
        <v>Investment Grade</v>
      </c>
    </row>
    <row r="1060" spans="1:36" x14ac:dyDescent="0.3">
      <c r="A1060" s="3" t="s">
        <v>92</v>
      </c>
      <c r="B1060" s="3" t="s">
        <v>1193</v>
      </c>
      <c r="C1060" s="3" t="s">
        <v>1194</v>
      </c>
      <c r="D1060" s="3" t="s">
        <v>47</v>
      </c>
      <c r="E1060" s="3" t="s">
        <v>1196</v>
      </c>
      <c r="F1060" s="3" t="s">
        <v>174</v>
      </c>
      <c r="G1060" s="3">
        <v>2.828767123</v>
      </c>
      <c r="H1060" s="3">
        <v>2.828767123</v>
      </c>
      <c r="I1060" s="3">
        <v>2.828767123</v>
      </c>
      <c r="J1060" s="3">
        <v>0</v>
      </c>
      <c r="K1060" s="3">
        <v>-3.0011999999999999E-3</v>
      </c>
      <c r="L1060" s="3">
        <v>-2.4009600000000002E-3</v>
      </c>
      <c r="M1060" s="3">
        <v>0.78751500600000002</v>
      </c>
      <c r="N1060" s="3">
        <v>6.4825930000000004E-2</v>
      </c>
      <c r="O1060" s="3">
        <v>-1.147842E-3</v>
      </c>
      <c r="P1060" s="3">
        <v>-9.3926100000000005E-4</v>
      </c>
      <c r="Q1060" s="3">
        <v>-2.2465179999999999E-3</v>
      </c>
      <c r="R1060" s="3">
        <v>0.38246097299999998</v>
      </c>
      <c r="S1060" s="3">
        <v>0.43907581499999998</v>
      </c>
      <c r="T1060" s="3">
        <v>0.95716639199999998</v>
      </c>
      <c r="U1060" s="3">
        <v>0.48905723899999998</v>
      </c>
      <c r="V1060" s="3">
        <v>8.3333332999999996E-2</v>
      </c>
      <c r="W1060" s="3">
        <v>0.50529500800000005</v>
      </c>
      <c r="X1060" s="3">
        <v>0.48196248200000003</v>
      </c>
      <c r="Y1060" s="3">
        <v>1.1919191920000001</v>
      </c>
      <c r="Z1060" s="3">
        <v>1.957166392</v>
      </c>
      <c r="AA1060" s="3">
        <v>-2.4009600000000002E-3</v>
      </c>
      <c r="AB1060" s="3">
        <v>10.49382583</v>
      </c>
      <c r="AC1060" s="3">
        <v>0.95382395399999997</v>
      </c>
      <c r="AD1060" s="3">
        <v>0.13225290100000001</v>
      </c>
      <c r="AE1060" s="3">
        <v>6.0685714290000004</v>
      </c>
      <c r="AF1060" s="4">
        <v>40861</v>
      </c>
      <c r="AG1060" s="5">
        <f>YEAR(AF1060)</f>
        <v>2011</v>
      </c>
      <c r="AH1060" s="5" t="str">
        <f>"Q"&amp;ROUNDUP(MONTH(AF1060)/3,0)</f>
        <v>Q4</v>
      </c>
      <c r="AI1060" s="5">
        <f>INDEX(RatingLookup!$B$2:$B$11,MATCH(A1060,RatingLookup!$A$2:$A$11,0))</f>
        <v>6</v>
      </c>
      <c r="AJ1060" s="5" t="str">
        <f>INDEX(RatingLookup!$C$2:$C$11,MATCH(A1060,RatingLookup!$A$2:$A$11,0))</f>
        <v>Speculative Grade</v>
      </c>
    </row>
    <row r="1061" spans="1:36" x14ac:dyDescent="0.3">
      <c r="A1061" s="3" t="s">
        <v>42</v>
      </c>
      <c r="B1061" s="3" t="s">
        <v>1193</v>
      </c>
      <c r="C1061" s="3" t="s">
        <v>1194</v>
      </c>
      <c r="D1061" s="3" t="s">
        <v>47</v>
      </c>
      <c r="E1061" s="3" t="s">
        <v>845</v>
      </c>
      <c r="F1061" s="3" t="s">
        <v>174</v>
      </c>
      <c r="G1061" s="3">
        <v>0.25067385399999997</v>
      </c>
      <c r="H1061" s="3">
        <v>0.25067385399999997</v>
      </c>
      <c r="I1061" s="3">
        <v>0.25067385399999997</v>
      </c>
      <c r="J1061" s="3">
        <v>0</v>
      </c>
      <c r="K1061" s="3">
        <v>0.140331492</v>
      </c>
      <c r="L1061" s="3">
        <v>0.14935543300000001</v>
      </c>
      <c r="M1061" s="3">
        <v>0.794843462</v>
      </c>
      <c r="N1061" s="3">
        <v>0.12596685099999999</v>
      </c>
      <c r="O1061" s="3">
        <v>6.6795230999999997E-2</v>
      </c>
      <c r="P1061" s="3">
        <v>8.1721080000000001E-2</v>
      </c>
      <c r="Q1061" s="3">
        <v>0.108950529</v>
      </c>
      <c r="R1061" s="3">
        <v>0.475981767</v>
      </c>
      <c r="S1061" s="3">
        <v>0.53523903399999995</v>
      </c>
      <c r="T1061" s="3">
        <v>0.63111238199999997</v>
      </c>
      <c r="U1061" s="3">
        <v>0.38692145900000002</v>
      </c>
      <c r="V1061" s="3">
        <v>4.9321825E-2</v>
      </c>
      <c r="W1061" s="3">
        <v>0.77513430500000002</v>
      </c>
      <c r="X1061" s="3">
        <v>1.3593539699999999</v>
      </c>
      <c r="Y1061" s="3">
        <v>0.50067294799999995</v>
      </c>
      <c r="Z1061" s="3">
        <v>1.631112382</v>
      </c>
      <c r="AA1061" s="3">
        <v>0.14935543300000001</v>
      </c>
      <c r="AB1061" s="3">
        <v>10.861780919999999</v>
      </c>
      <c r="AC1061" s="3">
        <v>1.7537012110000001</v>
      </c>
      <c r="AD1061" s="3">
        <v>0.239963168</v>
      </c>
      <c r="AE1061" s="3">
        <v>4.007194245</v>
      </c>
      <c r="AF1061" s="4">
        <v>42720</v>
      </c>
      <c r="AG1061" s="5">
        <f>YEAR(AF1061)</f>
        <v>2016</v>
      </c>
      <c r="AH1061" s="5" t="str">
        <f>"Q"&amp;ROUNDUP(MONTH(AF1061)/3,0)</f>
        <v>Q4</v>
      </c>
      <c r="AI1061" s="5">
        <f>INDEX(RatingLookup!$B$2:$B$11,MATCH(A1061,RatingLookup!$A$2:$A$11,0))</f>
        <v>7</v>
      </c>
      <c r="AJ1061" s="5" t="str">
        <f>INDEX(RatingLookup!$C$2:$C$11,MATCH(A1061,RatingLookup!$A$2:$A$11,0))</f>
        <v>Investment Grade</v>
      </c>
    </row>
    <row r="1062" spans="1:36" x14ac:dyDescent="0.3">
      <c r="A1062" s="3" t="s">
        <v>42</v>
      </c>
      <c r="B1062" s="3" t="s">
        <v>1193</v>
      </c>
      <c r="C1062" s="3" t="s">
        <v>1194</v>
      </c>
      <c r="D1062" s="3" t="s">
        <v>47</v>
      </c>
      <c r="E1062" s="3" t="s">
        <v>740</v>
      </c>
      <c r="F1062" s="3" t="s">
        <v>174</v>
      </c>
      <c r="G1062" s="3">
        <v>0.155801825</v>
      </c>
      <c r="H1062" s="3">
        <v>0.155801825</v>
      </c>
      <c r="I1062" s="3">
        <v>0.155801825</v>
      </c>
      <c r="J1062" s="3">
        <v>0</v>
      </c>
      <c r="K1062" s="3">
        <v>0.103582699</v>
      </c>
      <c r="L1062" s="3">
        <v>0.107666605</v>
      </c>
      <c r="M1062" s="3">
        <v>0.79394839399999995</v>
      </c>
      <c r="N1062" s="3">
        <v>0.12066085</v>
      </c>
      <c r="O1062" s="3">
        <v>4.7352341999999999E-2</v>
      </c>
      <c r="P1062" s="3">
        <v>5.6585365999999998E-2</v>
      </c>
      <c r="Q1062" s="3">
        <v>7.8992071999999997E-2</v>
      </c>
      <c r="R1062" s="3">
        <v>0.45714528199999999</v>
      </c>
      <c r="S1062" s="3">
        <v>0.50529968999999997</v>
      </c>
      <c r="T1062" s="3">
        <v>0.66817667000000003</v>
      </c>
      <c r="U1062" s="3">
        <v>0.40054310900000001</v>
      </c>
      <c r="V1062" s="3">
        <v>1.5517240999999999E-2</v>
      </c>
      <c r="W1062" s="3">
        <v>0.66865926600000003</v>
      </c>
      <c r="X1062" s="3">
        <v>1.0406698560000001</v>
      </c>
      <c r="Y1062" s="3">
        <v>0.317650186</v>
      </c>
      <c r="Z1062" s="3">
        <v>1.66817667</v>
      </c>
      <c r="AA1062" s="3">
        <v>0.107666605</v>
      </c>
      <c r="AB1062" s="3">
        <v>9.2024080749999992</v>
      </c>
      <c r="AC1062" s="3">
        <v>1.556353004</v>
      </c>
      <c r="AD1062" s="3">
        <v>0.21737516200000001</v>
      </c>
      <c r="AE1062" s="3">
        <v>4.5679012349999999</v>
      </c>
      <c r="AF1062" s="4">
        <v>42314</v>
      </c>
      <c r="AG1062" s="5">
        <f>YEAR(AF1062)</f>
        <v>2015</v>
      </c>
      <c r="AH1062" s="5" t="str">
        <f>"Q"&amp;ROUNDUP(MONTH(AF1062)/3,0)</f>
        <v>Q4</v>
      </c>
      <c r="AI1062" s="5">
        <f>INDEX(RatingLookup!$B$2:$B$11,MATCH(A1062,RatingLookup!$A$2:$A$11,0))</f>
        <v>7</v>
      </c>
      <c r="AJ1062" s="5" t="str">
        <f>INDEX(RatingLookup!$C$2:$C$11,MATCH(A1062,RatingLookup!$A$2:$A$11,0))</f>
        <v>Investment Grade</v>
      </c>
    </row>
    <row r="1063" spans="1:36" x14ac:dyDescent="0.3">
      <c r="A1063" s="3" t="s">
        <v>42</v>
      </c>
      <c r="B1063" s="3" t="s">
        <v>1193</v>
      </c>
      <c r="C1063" s="3" t="s">
        <v>1194</v>
      </c>
      <c r="D1063" s="3" t="s">
        <v>47</v>
      </c>
      <c r="E1063" s="3" t="s">
        <v>687</v>
      </c>
      <c r="F1063" s="3" t="s">
        <v>174</v>
      </c>
      <c r="G1063" s="3">
        <v>0.43573667700000002</v>
      </c>
      <c r="H1063" s="3">
        <v>0.43573667700000002</v>
      </c>
      <c r="I1063" s="3">
        <v>0.43573667700000002</v>
      </c>
      <c r="J1063" s="3">
        <v>0</v>
      </c>
      <c r="K1063" s="3">
        <v>1.1539917E-2</v>
      </c>
      <c r="L1063" s="3">
        <v>8.3238740000000002E-3</v>
      </c>
      <c r="M1063" s="3">
        <v>0.79095724599999995</v>
      </c>
      <c r="N1063" s="3">
        <v>7.2455542999999997E-2</v>
      </c>
      <c r="O1063" s="3">
        <v>4.6944739999999997E-3</v>
      </c>
      <c r="P1063" s="3">
        <v>3.655396E-3</v>
      </c>
      <c r="Q1063" s="3">
        <v>8.9377290000000002E-3</v>
      </c>
      <c r="R1063" s="3">
        <v>0.40680314000000001</v>
      </c>
      <c r="S1063" s="3">
        <v>0.45616154599999997</v>
      </c>
      <c r="T1063" s="3">
        <v>0.90388278399999999</v>
      </c>
      <c r="U1063" s="3">
        <v>0.47475758000000001</v>
      </c>
      <c r="V1063" s="3">
        <v>0.70454545499999999</v>
      </c>
      <c r="W1063" s="3">
        <v>0.53196930899999995</v>
      </c>
      <c r="X1063" s="3">
        <v>0.57922584200000005</v>
      </c>
      <c r="Y1063" s="3">
        <v>0.58061821199999997</v>
      </c>
      <c r="Z1063" s="3">
        <v>1.9038827840000001</v>
      </c>
      <c r="AA1063" s="3">
        <v>8.3238740000000002E-3</v>
      </c>
      <c r="AB1063" s="3">
        <v>11.215126959999999</v>
      </c>
      <c r="AC1063" s="3">
        <v>1.088833194</v>
      </c>
      <c r="AD1063" s="3">
        <v>0.14793794900000001</v>
      </c>
      <c r="AE1063" s="3">
        <v>5.6958762890000001</v>
      </c>
      <c r="AF1063" s="4">
        <v>41326</v>
      </c>
      <c r="AG1063" s="5">
        <f>YEAR(AF1063)</f>
        <v>2013</v>
      </c>
      <c r="AH1063" s="5" t="str">
        <f>"Q"&amp;ROUNDUP(MONTH(AF1063)/3,0)</f>
        <v>Q1</v>
      </c>
      <c r="AI1063" s="5">
        <f>INDEX(RatingLookup!$B$2:$B$11,MATCH(A1063,RatingLookup!$A$2:$A$11,0))</f>
        <v>7</v>
      </c>
      <c r="AJ1063" s="5" t="str">
        <f>INDEX(RatingLookup!$C$2:$C$11,MATCH(A1063,RatingLookup!$A$2:$A$11,0))</f>
        <v>Investment Grade</v>
      </c>
    </row>
    <row r="1064" spans="1:36" x14ac:dyDescent="0.3">
      <c r="A1064" s="3" t="s">
        <v>42</v>
      </c>
      <c r="B1064" s="3" t="s">
        <v>1193</v>
      </c>
      <c r="C1064" s="3" t="s">
        <v>1194</v>
      </c>
      <c r="D1064" s="3" t="s">
        <v>47</v>
      </c>
      <c r="E1064" s="3" t="s">
        <v>1197</v>
      </c>
      <c r="F1064" s="3" t="s">
        <v>174</v>
      </c>
      <c r="G1064" s="3">
        <v>0.74224137899999998</v>
      </c>
      <c r="H1064" s="3">
        <v>0.74224137899999998</v>
      </c>
      <c r="I1064" s="3">
        <v>0.74224137899999998</v>
      </c>
      <c r="J1064" s="3">
        <v>0</v>
      </c>
      <c r="K1064" s="3">
        <v>6.1362755999999997E-2</v>
      </c>
      <c r="L1064" s="3">
        <v>4.4715446999999998E-2</v>
      </c>
      <c r="M1064" s="3">
        <v>0.78803716599999996</v>
      </c>
      <c r="N1064" s="3">
        <v>9.9109562999999998E-2</v>
      </c>
      <c r="O1064" s="3">
        <v>2.4738567E-2</v>
      </c>
      <c r="P1064" s="3">
        <v>1.9821521000000002E-2</v>
      </c>
      <c r="Q1064" s="3">
        <v>4.3857222000000001E-2</v>
      </c>
      <c r="R1064" s="3">
        <v>0.40315280199999998</v>
      </c>
      <c r="S1064" s="3">
        <v>0.46984993200000003</v>
      </c>
      <c r="T1064" s="3">
        <v>0.77282789200000002</v>
      </c>
      <c r="U1064" s="3">
        <v>0.435929452</v>
      </c>
      <c r="V1064" s="3">
        <v>9.0909090999999997E-2</v>
      </c>
      <c r="W1064" s="3">
        <v>0.70264965700000004</v>
      </c>
      <c r="X1064" s="3">
        <v>0.96184846899999998</v>
      </c>
      <c r="Y1064" s="3">
        <v>1.156636217</v>
      </c>
      <c r="Z1064" s="3">
        <v>1.772827892</v>
      </c>
      <c r="AA1064" s="3">
        <v>4.4715446999999998E-2</v>
      </c>
      <c r="AB1064" s="3">
        <v>11.79730868</v>
      </c>
      <c r="AC1064" s="3">
        <v>1.368887695</v>
      </c>
      <c r="AD1064" s="3">
        <v>0.19725125800000001</v>
      </c>
      <c r="AE1064" s="3">
        <v>5.11682243</v>
      </c>
      <c r="AF1064" s="4">
        <v>41662</v>
      </c>
      <c r="AG1064" s="5">
        <f>YEAR(AF1064)</f>
        <v>2014</v>
      </c>
      <c r="AH1064" s="5" t="str">
        <f>"Q"&amp;ROUNDUP(MONTH(AF1064)/3,0)</f>
        <v>Q1</v>
      </c>
      <c r="AI1064" s="5">
        <f>INDEX(RatingLookup!$B$2:$B$11,MATCH(A1064,RatingLookup!$A$2:$A$11,0))</f>
        <v>7</v>
      </c>
      <c r="AJ1064" s="5" t="str">
        <f>INDEX(RatingLookup!$C$2:$C$11,MATCH(A1064,RatingLookup!$A$2:$A$11,0))</f>
        <v>Investment Grade</v>
      </c>
    </row>
    <row r="1065" spans="1:36" x14ac:dyDescent="0.3">
      <c r="A1065" s="3" t="s">
        <v>109</v>
      </c>
      <c r="B1065" s="3" t="s">
        <v>1198</v>
      </c>
      <c r="C1065" s="3" t="s">
        <v>1199</v>
      </c>
      <c r="D1065" s="3" t="s">
        <v>60</v>
      </c>
      <c r="E1065" s="3" t="s">
        <v>740</v>
      </c>
      <c r="F1065" s="3" t="s">
        <v>219</v>
      </c>
      <c r="G1065" s="3">
        <v>2.720466133</v>
      </c>
      <c r="H1065" s="3">
        <v>0.80131099800000005</v>
      </c>
      <c r="I1065" s="3">
        <v>0.21820830299999999</v>
      </c>
      <c r="J1065" s="3">
        <v>39.28097107</v>
      </c>
      <c r="K1065" s="3">
        <v>-0.10159694599999999</v>
      </c>
      <c r="L1065" s="3">
        <v>-0.128508442</v>
      </c>
      <c r="M1065" s="3">
        <v>1.6211421E-2</v>
      </c>
      <c r="N1065" s="3">
        <v>-9.9311754000000002E-2</v>
      </c>
      <c r="O1065" s="3">
        <v>-6.5702313999999998E-2</v>
      </c>
      <c r="P1065" s="3">
        <v>-9.4369422999999994E-2</v>
      </c>
      <c r="Q1065" s="3">
        <v>-0.181438448</v>
      </c>
      <c r="R1065" s="3">
        <v>0.64669575999999995</v>
      </c>
      <c r="S1065" s="3">
        <v>1.270268424</v>
      </c>
      <c r="T1065" s="3">
        <v>1.76152295</v>
      </c>
      <c r="U1065" s="3">
        <v>0.63788097399999999</v>
      </c>
      <c r="V1065" s="3">
        <v>0.23451882800000001</v>
      </c>
      <c r="W1065" s="3">
        <v>-9.9695586000000003E-2</v>
      </c>
      <c r="X1065" s="3">
        <v>-0.122087605</v>
      </c>
      <c r="Y1065" s="3">
        <v>1.396085741</v>
      </c>
      <c r="Z1065" s="3">
        <v>2.7615229499999998</v>
      </c>
      <c r="AA1065" s="3">
        <v>-0.128508442</v>
      </c>
      <c r="AB1065" s="3">
        <v>-13.105147629999999</v>
      </c>
      <c r="AC1065" s="3">
        <v>1.224603914</v>
      </c>
      <c r="AD1065" s="3">
        <v>3.5326378999999998E-2</v>
      </c>
      <c r="AE1065" s="3">
        <v>9.6095063029999999</v>
      </c>
      <c r="AF1065" s="4">
        <v>42314</v>
      </c>
      <c r="AG1065" s="5">
        <f>YEAR(AF1065)</f>
        <v>2015</v>
      </c>
      <c r="AH1065" s="5" t="str">
        <f>"Q"&amp;ROUNDUP(MONTH(AF1065)/3,0)</f>
        <v>Q4</v>
      </c>
      <c r="AI1065" s="5">
        <f>INDEX(RatingLookup!$B$2:$B$11,MATCH(A1065,RatingLookup!$A$2:$A$11,0))</f>
        <v>5</v>
      </c>
      <c r="AJ1065" s="5" t="str">
        <f>INDEX(RatingLookup!$C$2:$C$11,MATCH(A1065,RatingLookup!$A$2:$A$11,0))</f>
        <v>Speculative Grade</v>
      </c>
    </row>
    <row r="1066" spans="1:36" x14ac:dyDescent="0.3">
      <c r="A1066" s="3" t="s">
        <v>42</v>
      </c>
      <c r="B1066" s="3" t="s">
        <v>1198</v>
      </c>
      <c r="C1066" s="3" t="s">
        <v>1199</v>
      </c>
      <c r="D1066" s="3" t="s">
        <v>60</v>
      </c>
      <c r="E1066" s="3" t="s">
        <v>46</v>
      </c>
      <c r="F1066" s="3" t="s">
        <v>219</v>
      </c>
      <c r="G1066" s="3">
        <v>2.9815502440000001</v>
      </c>
      <c r="H1066" s="3">
        <v>1.2644465069999999</v>
      </c>
      <c r="I1066" s="3">
        <v>0.44163379000000003</v>
      </c>
      <c r="J1066" s="3">
        <v>49.936619720000003</v>
      </c>
      <c r="K1066" s="3">
        <v>4.1346710000000002E-2</v>
      </c>
      <c r="L1066" s="3">
        <v>6.5483311000000002E-2</v>
      </c>
      <c r="M1066" s="3">
        <v>0.15689755</v>
      </c>
      <c r="N1066" s="3">
        <v>8.3175766999999998E-2</v>
      </c>
      <c r="O1066" s="3">
        <v>3.5439646999999998E-2</v>
      </c>
      <c r="P1066" s="3">
        <v>6.5456790000000001E-2</v>
      </c>
      <c r="Q1066" s="3">
        <v>8.6575365000000001E-2</v>
      </c>
      <c r="R1066" s="3">
        <v>0.85713340699999996</v>
      </c>
      <c r="S1066" s="3">
        <v>2.188027693</v>
      </c>
      <c r="T1066" s="3">
        <v>1.4428958110000001</v>
      </c>
      <c r="U1066" s="3">
        <v>0.59064975399999997</v>
      </c>
      <c r="V1066" s="3">
        <v>0.342663524</v>
      </c>
      <c r="W1066" s="3">
        <v>6.2668463999999993E-2</v>
      </c>
      <c r="X1066" s="3">
        <v>0.18146341499999999</v>
      </c>
      <c r="Y1066" s="3">
        <v>3.713170732</v>
      </c>
      <c r="Z1066" s="3">
        <v>2.4428958110000001</v>
      </c>
      <c r="AA1066" s="3">
        <v>6.5483311000000002E-2</v>
      </c>
      <c r="AB1066" s="3">
        <v>9.6459537569999991</v>
      </c>
      <c r="AC1066" s="3">
        <v>2.8956097559999998</v>
      </c>
      <c r="AD1066" s="3">
        <v>5.7264133000000002E-2</v>
      </c>
      <c r="AE1066" s="3">
        <v>8.9052374160000003</v>
      </c>
      <c r="AF1066" s="4">
        <v>41075</v>
      </c>
      <c r="AG1066" s="5">
        <f>YEAR(AF1066)</f>
        <v>2012</v>
      </c>
      <c r="AH1066" s="5" t="str">
        <f>"Q"&amp;ROUNDUP(MONTH(AF1066)/3,0)</f>
        <v>Q2</v>
      </c>
      <c r="AI1066" s="5">
        <f>INDEX(RatingLookup!$B$2:$B$11,MATCH(A1066,RatingLookup!$A$2:$A$11,0))</f>
        <v>7</v>
      </c>
      <c r="AJ1066" s="5" t="str">
        <f>INDEX(RatingLookup!$C$2:$C$11,MATCH(A1066,RatingLookup!$A$2:$A$11,0))</f>
        <v>Investment Grade</v>
      </c>
    </row>
    <row r="1067" spans="1:36" x14ac:dyDescent="0.3">
      <c r="A1067" s="3" t="s">
        <v>92</v>
      </c>
      <c r="B1067" s="3" t="s">
        <v>1198</v>
      </c>
      <c r="C1067" s="3" t="s">
        <v>1199</v>
      </c>
      <c r="D1067" s="3" t="s">
        <v>60</v>
      </c>
      <c r="E1067" s="3" t="s">
        <v>1200</v>
      </c>
      <c r="F1067" s="3" t="s">
        <v>219</v>
      </c>
      <c r="G1067" s="3">
        <v>2.5857901860000001</v>
      </c>
      <c r="H1067" s="3">
        <v>0.90957391399999998</v>
      </c>
      <c r="I1067" s="3">
        <v>0.28075841200000001</v>
      </c>
      <c r="J1067" s="3">
        <v>52.165080269999997</v>
      </c>
      <c r="K1067" s="3">
        <v>-6.1561799999999996E-4</v>
      </c>
      <c r="L1067" s="3">
        <v>3.5516399999999999E-4</v>
      </c>
      <c r="M1067" s="3">
        <v>8.9643415000000004E-2</v>
      </c>
      <c r="N1067" s="3">
        <v>2.5121939999999999E-2</v>
      </c>
      <c r="O1067" s="3">
        <v>-3.9498099999999998E-4</v>
      </c>
      <c r="P1067" s="3">
        <v>2.6677599999999998E-4</v>
      </c>
      <c r="Q1067" s="3">
        <v>-1.000616E-3</v>
      </c>
      <c r="R1067" s="3">
        <v>0.641600583</v>
      </c>
      <c r="S1067" s="3">
        <v>1.4259571879999999</v>
      </c>
      <c r="T1067" s="3">
        <v>1.5333282020000001</v>
      </c>
      <c r="U1067" s="3">
        <v>0.60526235799999994</v>
      </c>
      <c r="V1067" s="3">
        <v>-5.8</v>
      </c>
      <c r="W1067" s="3">
        <v>-3.037567084</v>
      </c>
      <c r="X1067" s="3">
        <v>-1.585434174</v>
      </c>
      <c r="Y1067" s="3">
        <v>2.5163398689999998</v>
      </c>
      <c r="Z1067" s="3">
        <v>2.5333282019999999</v>
      </c>
      <c r="AA1067" s="3">
        <v>3.5516399999999999E-4</v>
      </c>
      <c r="AB1067" s="3">
        <v>15.24553906</v>
      </c>
      <c r="AC1067" s="3">
        <v>0.52194211000000001</v>
      </c>
      <c r="AD1067" s="3">
        <v>1.3235782E-2</v>
      </c>
      <c r="AE1067" s="3">
        <v>6.9064127900000001</v>
      </c>
      <c r="AF1067" s="4">
        <v>41948</v>
      </c>
      <c r="AG1067" s="5">
        <f>YEAR(AF1067)</f>
        <v>2014</v>
      </c>
      <c r="AH1067" s="5" t="str">
        <f>"Q"&amp;ROUNDUP(MONTH(AF1067)/3,0)</f>
        <v>Q4</v>
      </c>
      <c r="AI1067" s="5">
        <f>INDEX(RatingLookup!$B$2:$B$11,MATCH(A1067,RatingLookup!$A$2:$A$11,0))</f>
        <v>6</v>
      </c>
      <c r="AJ1067" s="5" t="str">
        <f>INDEX(RatingLookup!$C$2:$C$11,MATCH(A1067,RatingLookup!$A$2:$A$11,0))</f>
        <v>Speculative Grade</v>
      </c>
    </row>
    <row r="1068" spans="1:36" x14ac:dyDescent="0.3">
      <c r="A1068" s="3" t="s">
        <v>42</v>
      </c>
      <c r="B1068" s="3" t="s">
        <v>1198</v>
      </c>
      <c r="C1068" s="3" t="s">
        <v>1199</v>
      </c>
      <c r="D1068" s="3" t="s">
        <v>60</v>
      </c>
      <c r="E1068" s="3" t="s">
        <v>1201</v>
      </c>
      <c r="F1068" s="3" t="s">
        <v>219</v>
      </c>
      <c r="G1068" s="3">
        <v>2.4366639139999999</v>
      </c>
      <c r="H1068" s="3">
        <v>1.2890999169999999</v>
      </c>
      <c r="I1068" s="3">
        <v>0.84789430200000004</v>
      </c>
      <c r="J1068" s="3">
        <v>47.679732899999998</v>
      </c>
      <c r="K1068" s="3">
        <v>3.8085817000000001E-2</v>
      </c>
      <c r="L1068" s="3">
        <v>-3.8283665000000001E-2</v>
      </c>
      <c r="M1068" s="3">
        <v>6.2470631999999998E-2</v>
      </c>
      <c r="N1068" s="3">
        <v>-2.2579447999999998E-2</v>
      </c>
      <c r="O1068" s="3">
        <v>2.2323694000000002E-2</v>
      </c>
      <c r="P1068" s="3">
        <v>-2.7217582000000001E-2</v>
      </c>
      <c r="Q1068" s="3">
        <v>5.3209868E-2</v>
      </c>
      <c r="R1068" s="3">
        <v>0.58614191500000001</v>
      </c>
      <c r="S1068" s="3">
        <v>1.4068751960000001</v>
      </c>
      <c r="T1068" s="3">
        <v>1.383560224</v>
      </c>
      <c r="U1068" s="3">
        <v>0.58045952000000001</v>
      </c>
      <c r="V1068" s="3">
        <v>0.41085271299999998</v>
      </c>
      <c r="W1068" s="3">
        <v>-0.66313789400000001</v>
      </c>
      <c r="X1068" s="3">
        <v>-2.2874531839999999</v>
      </c>
      <c r="Y1068" s="3">
        <v>9.6713483149999995</v>
      </c>
      <c r="Z1068" s="3">
        <v>2.383560224</v>
      </c>
      <c r="AA1068" s="3">
        <v>-3.8283665000000001E-2</v>
      </c>
      <c r="AB1068" s="3">
        <v>44.00778905</v>
      </c>
      <c r="AC1068" s="3">
        <v>3.4494382020000001</v>
      </c>
      <c r="AD1068" s="3">
        <v>9.1109187999999994E-2</v>
      </c>
      <c r="AE1068" s="3">
        <v>8.0349724459999994</v>
      </c>
      <c r="AF1068" s="4">
        <v>41464</v>
      </c>
      <c r="AG1068" s="5">
        <f>YEAR(AF1068)</f>
        <v>2013</v>
      </c>
      <c r="AH1068" s="5" t="str">
        <f>"Q"&amp;ROUNDUP(MONTH(AF1068)/3,0)</f>
        <v>Q3</v>
      </c>
      <c r="AI1068" s="5">
        <f>INDEX(RatingLookup!$B$2:$B$11,MATCH(A1068,RatingLookup!$A$2:$A$11,0))</f>
        <v>7</v>
      </c>
      <c r="AJ1068" s="5" t="str">
        <f>INDEX(RatingLookup!$C$2:$C$11,MATCH(A1068,RatingLookup!$A$2:$A$11,0))</f>
        <v>Investment Grade</v>
      </c>
    </row>
    <row r="1069" spans="1:36" x14ac:dyDescent="0.3">
      <c r="A1069" s="3" t="s">
        <v>92</v>
      </c>
      <c r="B1069" s="3" t="s">
        <v>1202</v>
      </c>
      <c r="C1069" s="3" t="s">
        <v>1203</v>
      </c>
      <c r="D1069" s="3" t="s">
        <v>60</v>
      </c>
      <c r="E1069" s="3" t="s">
        <v>46</v>
      </c>
      <c r="F1069" s="3" t="s">
        <v>219</v>
      </c>
      <c r="G1069" s="3">
        <v>1.955149085</v>
      </c>
      <c r="H1069" s="3">
        <v>1.487095966</v>
      </c>
      <c r="I1069" s="3">
        <v>0.76371836599999998</v>
      </c>
      <c r="J1069" s="3">
        <v>41.058079650000003</v>
      </c>
      <c r="K1069" s="3">
        <v>0.123247157</v>
      </c>
      <c r="L1069" s="3">
        <v>0.19346285199999999</v>
      </c>
      <c r="M1069" s="3">
        <v>0.197440212</v>
      </c>
      <c r="N1069" s="3">
        <v>0.114170619</v>
      </c>
      <c r="O1069" s="3">
        <v>9.866917E-2</v>
      </c>
      <c r="P1069" s="3">
        <v>0.185028042</v>
      </c>
      <c r="Q1069" s="3">
        <v>0.24518157800000001</v>
      </c>
      <c r="R1069" s="3">
        <v>0.80057968599999996</v>
      </c>
      <c r="S1069" s="3">
        <v>2.2149311049999998</v>
      </c>
      <c r="T1069" s="3">
        <v>1.4848853719999999</v>
      </c>
      <c r="U1069" s="3">
        <v>0.59756695000000004</v>
      </c>
      <c r="V1069" s="3">
        <v>0.36294148700000001</v>
      </c>
      <c r="W1069" s="3">
        <v>6.9476609999999994E-2</v>
      </c>
      <c r="X1069" s="3">
        <v>0.1875</v>
      </c>
      <c r="Y1069" s="3">
        <v>4.6612499999999999</v>
      </c>
      <c r="Z1069" s="3">
        <v>2.4848853719999999</v>
      </c>
      <c r="AA1069" s="3">
        <v>0.19346285199999999</v>
      </c>
      <c r="AB1069" s="3">
        <v>6.199257426</v>
      </c>
      <c r="AC1069" s="3">
        <v>2.69875</v>
      </c>
      <c r="AD1069" s="3">
        <v>0.110091275</v>
      </c>
      <c r="AE1069" s="3">
        <v>10.51369405</v>
      </c>
      <c r="AF1069" s="4">
        <v>41075</v>
      </c>
      <c r="AG1069" s="5">
        <f>YEAR(AF1069)</f>
        <v>2012</v>
      </c>
      <c r="AH1069" s="5" t="str">
        <f>"Q"&amp;ROUNDUP(MONTH(AF1069)/3,0)</f>
        <v>Q2</v>
      </c>
      <c r="AI1069" s="5">
        <f>INDEX(RatingLookup!$B$2:$B$11,MATCH(A1069,RatingLookup!$A$2:$A$11,0))</f>
        <v>6</v>
      </c>
      <c r="AJ1069" s="5" t="str">
        <f>INDEX(RatingLookup!$C$2:$C$11,MATCH(A1069,RatingLookup!$A$2:$A$11,0))</f>
        <v>Speculative Grade</v>
      </c>
    </row>
    <row r="1070" spans="1:36" x14ac:dyDescent="0.3">
      <c r="A1070" s="3" t="s">
        <v>42</v>
      </c>
      <c r="B1070" s="3" t="s">
        <v>1202</v>
      </c>
      <c r="C1070" s="3" t="s">
        <v>1203</v>
      </c>
      <c r="D1070" s="3" t="s">
        <v>39</v>
      </c>
      <c r="E1070" s="3" t="s">
        <v>642</v>
      </c>
      <c r="F1070" s="3" t="s">
        <v>219</v>
      </c>
      <c r="G1070" s="3">
        <v>2.0611042940000002</v>
      </c>
      <c r="H1070" s="3">
        <v>1.5710429450000001</v>
      </c>
      <c r="I1070" s="3">
        <v>0.75533742299999995</v>
      </c>
      <c r="J1070" s="3">
        <v>38.676938370000002</v>
      </c>
      <c r="K1070" s="3">
        <v>7.1013916999999996E-2</v>
      </c>
      <c r="L1070" s="3">
        <v>9.9403579000000006E-2</v>
      </c>
      <c r="M1070" s="3">
        <v>0.191371769</v>
      </c>
      <c r="N1070" s="3">
        <v>0.113916501</v>
      </c>
      <c r="O1070" s="3">
        <v>6.3721992000000005E-2</v>
      </c>
      <c r="P1070" s="3">
        <v>0.10437106</v>
      </c>
      <c r="Q1070" s="3">
        <v>0.162201435</v>
      </c>
      <c r="R1070" s="3">
        <v>0.89731696900000002</v>
      </c>
      <c r="S1070" s="3">
        <v>2.546061956</v>
      </c>
      <c r="T1070" s="3">
        <v>1.5454545449999999</v>
      </c>
      <c r="U1070" s="3">
        <v>0.60714285700000004</v>
      </c>
      <c r="V1070" s="3">
        <v>0.28560000000000002</v>
      </c>
      <c r="W1070" s="3">
        <v>0.71356466900000004</v>
      </c>
      <c r="X1070" s="3">
        <v>2.8310387979999998</v>
      </c>
      <c r="Y1070" s="3">
        <v>4.6770963700000001</v>
      </c>
      <c r="Z1070" s="3">
        <v>2.5454545450000001</v>
      </c>
      <c r="AA1070" s="3">
        <v>9.9403579000000006E-2</v>
      </c>
      <c r="AB1070" s="3">
        <v>5.7862138449999998</v>
      </c>
      <c r="AC1070" s="3">
        <v>3.967459324</v>
      </c>
      <c r="AD1070" s="3">
        <v>0.12604373799999999</v>
      </c>
      <c r="AE1070" s="3">
        <v>13.676529929999999</v>
      </c>
      <c r="AF1070" s="4">
        <v>41634</v>
      </c>
      <c r="AG1070" s="5">
        <f>YEAR(AF1070)</f>
        <v>2013</v>
      </c>
      <c r="AH1070" s="5" t="str">
        <f>"Q"&amp;ROUNDUP(MONTH(AF1070)/3,0)</f>
        <v>Q4</v>
      </c>
      <c r="AI1070" s="5">
        <f>INDEX(RatingLookup!$B$2:$B$11,MATCH(A1070,RatingLookup!$A$2:$A$11,0))</f>
        <v>7</v>
      </c>
      <c r="AJ1070" s="5" t="str">
        <f>INDEX(RatingLookup!$C$2:$C$11,MATCH(A1070,RatingLookup!$A$2:$A$11,0))</f>
        <v>Investment Grade</v>
      </c>
    </row>
    <row r="1071" spans="1:36" x14ac:dyDescent="0.3">
      <c r="A1071" s="3" t="s">
        <v>92</v>
      </c>
      <c r="B1071" s="3" t="s">
        <v>1202</v>
      </c>
      <c r="C1071" s="3" t="s">
        <v>1203</v>
      </c>
      <c r="D1071" s="3" t="s">
        <v>39</v>
      </c>
      <c r="E1071" s="3" t="s">
        <v>524</v>
      </c>
      <c r="F1071" s="3" t="s">
        <v>219</v>
      </c>
      <c r="G1071" s="3">
        <v>1.684586564</v>
      </c>
      <c r="H1071" s="3">
        <v>0.34155267099999997</v>
      </c>
      <c r="I1071" s="3">
        <v>0.34155267099999997</v>
      </c>
      <c r="J1071" s="3">
        <v>0</v>
      </c>
      <c r="K1071" s="3">
        <v>-4.9047100000000003E-4</v>
      </c>
      <c r="L1071" s="3">
        <v>2.3472530000000001E-3</v>
      </c>
      <c r="M1071" s="3">
        <v>0.12878363200000001</v>
      </c>
      <c r="N1071" s="3">
        <v>3.5278867999999998E-2</v>
      </c>
      <c r="O1071" s="3">
        <v>-1.5018599999999999E-4</v>
      </c>
      <c r="P1071" s="3">
        <v>8.1966199999999997E-4</v>
      </c>
      <c r="Q1071" s="3">
        <v>-5.7879899999999996E-4</v>
      </c>
      <c r="R1071" s="3">
        <v>0.30620695599999997</v>
      </c>
      <c r="S1071" s="3">
        <v>0.72201143300000004</v>
      </c>
      <c r="T1071" s="3">
        <v>2.8538944929999999</v>
      </c>
      <c r="U1071" s="3">
        <v>0.74052221699999998</v>
      </c>
      <c r="V1071" s="3">
        <v>1.2089552240000001</v>
      </c>
      <c r="W1071" s="3">
        <v>0.39705204999999999</v>
      </c>
      <c r="X1071" s="3">
        <v>0.83365570600000005</v>
      </c>
      <c r="Y1071" s="3">
        <v>3.791102515</v>
      </c>
      <c r="Z1071" s="3">
        <v>3.8538944929999999</v>
      </c>
      <c r="AA1071" s="3">
        <v>2.3472530000000001E-3</v>
      </c>
      <c r="AB1071" s="3">
        <v>15.901990290000001</v>
      </c>
      <c r="AC1071" s="3">
        <v>2.099613153</v>
      </c>
      <c r="AD1071" s="3">
        <v>7.6058016000000006E-2</v>
      </c>
      <c r="AE1071" s="3">
        <v>4.0887865830000001</v>
      </c>
      <c r="AF1071" s="4">
        <v>42325</v>
      </c>
      <c r="AG1071" s="5">
        <f>YEAR(AF1071)</f>
        <v>2015</v>
      </c>
      <c r="AH1071" s="5" t="str">
        <f>"Q"&amp;ROUNDUP(MONTH(AF1071)/3,0)</f>
        <v>Q4</v>
      </c>
      <c r="AI1071" s="5">
        <f>INDEX(RatingLookup!$B$2:$B$11,MATCH(A1071,RatingLookup!$A$2:$A$11,0))</f>
        <v>6</v>
      </c>
      <c r="AJ1071" s="5" t="str">
        <f>INDEX(RatingLookup!$C$2:$C$11,MATCH(A1071,RatingLookup!$A$2:$A$11,0))</f>
        <v>Speculative Grade</v>
      </c>
    </row>
    <row r="1072" spans="1:36" x14ac:dyDescent="0.3">
      <c r="A1072" s="3" t="s">
        <v>42</v>
      </c>
      <c r="B1072" s="3" t="s">
        <v>1202</v>
      </c>
      <c r="C1072" s="3" t="s">
        <v>1203</v>
      </c>
      <c r="D1072" s="3" t="s">
        <v>39</v>
      </c>
      <c r="E1072" s="3" t="s">
        <v>716</v>
      </c>
      <c r="F1072" s="3" t="s">
        <v>219</v>
      </c>
      <c r="G1072" s="3">
        <v>2.1607095580000002</v>
      </c>
      <c r="H1072" s="3">
        <v>1.577177654</v>
      </c>
      <c r="I1072" s="3">
        <v>0.67990468599999998</v>
      </c>
      <c r="J1072" s="3">
        <v>39.395636269999997</v>
      </c>
      <c r="K1072" s="3">
        <v>4.7162234999999997E-2</v>
      </c>
      <c r="L1072" s="3">
        <v>7.2595038000000001E-2</v>
      </c>
      <c r="M1072" s="3">
        <v>0.17312154199999999</v>
      </c>
      <c r="N1072" s="3">
        <v>9.0754952999999999E-2</v>
      </c>
      <c r="O1072" s="3">
        <v>3.9175715999999999E-2</v>
      </c>
      <c r="P1072" s="3">
        <v>7.0117220999999993E-2</v>
      </c>
      <c r="Q1072" s="3">
        <v>0.104312642</v>
      </c>
      <c r="R1072" s="3">
        <v>0.83065861200000002</v>
      </c>
      <c r="S1072" s="3">
        <v>2.407303974</v>
      </c>
      <c r="T1072" s="3">
        <v>1.662686273</v>
      </c>
      <c r="U1072" s="3">
        <v>0.62443941999999997</v>
      </c>
      <c r="V1072" s="3">
        <v>0.35464044300000003</v>
      </c>
      <c r="W1072" s="3">
        <v>0.54899497500000005</v>
      </c>
      <c r="X1072" s="3">
        <v>1.111959288</v>
      </c>
      <c r="Y1072" s="3">
        <v>4.5012722649999999</v>
      </c>
      <c r="Z1072" s="3">
        <v>2.6626862729999998</v>
      </c>
      <c r="AA1072" s="3">
        <v>7.2595038000000001E-2</v>
      </c>
      <c r="AB1072" s="3">
        <v>6.9746043799999997</v>
      </c>
      <c r="AC1072" s="3">
        <v>2.0254452930000002</v>
      </c>
      <c r="AD1072" s="3">
        <v>7.1033374999999996E-2</v>
      </c>
      <c r="AE1072" s="3">
        <v>12.6239782</v>
      </c>
      <c r="AF1072" s="4">
        <v>41978</v>
      </c>
      <c r="AG1072" s="5">
        <f>YEAR(AF1072)</f>
        <v>2014</v>
      </c>
      <c r="AH1072" s="5" t="str">
        <f>"Q"&amp;ROUNDUP(MONTH(AF1072)/3,0)</f>
        <v>Q4</v>
      </c>
      <c r="AI1072" s="5">
        <f>INDEX(RatingLookup!$B$2:$B$11,MATCH(A1072,RatingLookup!$A$2:$A$11,0))</f>
        <v>7</v>
      </c>
      <c r="AJ1072" s="5" t="str">
        <f>INDEX(RatingLookup!$C$2:$C$11,MATCH(A1072,RatingLookup!$A$2:$A$11,0))</f>
        <v>Investment Grade</v>
      </c>
    </row>
    <row r="1073" spans="1:36" x14ac:dyDescent="0.3">
      <c r="A1073" s="3" t="s">
        <v>92</v>
      </c>
      <c r="B1073" s="3" t="s">
        <v>1202</v>
      </c>
      <c r="C1073" s="3" t="s">
        <v>1203</v>
      </c>
      <c r="D1073" s="3" t="s">
        <v>60</v>
      </c>
      <c r="E1073" s="3" t="s">
        <v>1204</v>
      </c>
      <c r="F1073" s="3" t="s">
        <v>219</v>
      </c>
      <c r="G1073" s="3">
        <v>1.7260368660000001</v>
      </c>
      <c r="H1073" s="3">
        <v>1.2297235019999999</v>
      </c>
      <c r="I1073" s="3">
        <v>0.38064516100000001</v>
      </c>
      <c r="J1073" s="3">
        <v>46.646221449999999</v>
      </c>
      <c r="K1073" s="3">
        <v>6.8476221000000004E-2</v>
      </c>
      <c r="L1073" s="3">
        <v>0.103080514</v>
      </c>
      <c r="M1073" s="3">
        <v>0.19989014499999999</v>
      </c>
      <c r="N1073" s="3">
        <v>0.118505973</v>
      </c>
      <c r="O1073" s="3">
        <v>5.3857507999999998E-2</v>
      </c>
      <c r="P1073" s="3">
        <v>9.6087382999999998E-2</v>
      </c>
      <c r="Q1073" s="3">
        <v>0.149839744</v>
      </c>
      <c r="R1073" s="3">
        <v>0.78651402199999998</v>
      </c>
      <c r="S1073" s="3">
        <v>2.1122498310000002</v>
      </c>
      <c r="T1073" s="3">
        <v>1.782151442</v>
      </c>
      <c r="U1073" s="3">
        <v>0.640565936</v>
      </c>
      <c r="V1073" s="3">
        <v>0.33570159900000002</v>
      </c>
      <c r="W1073" s="3">
        <v>8.4169053999999993E-2</v>
      </c>
      <c r="X1073" s="3">
        <v>0.293383271</v>
      </c>
      <c r="Y1073" s="3">
        <v>3.1772784019999998</v>
      </c>
      <c r="Z1073" s="3">
        <v>2.782151442</v>
      </c>
      <c r="AA1073" s="3">
        <v>0.103080514</v>
      </c>
      <c r="AB1073" s="3">
        <v>6.3633126009999996</v>
      </c>
      <c r="AC1073" s="3">
        <v>3.485642946</v>
      </c>
      <c r="AD1073" s="3">
        <v>0.12779786700000001</v>
      </c>
      <c r="AE1073" s="3">
        <v>10.02868617</v>
      </c>
      <c r="AF1073" s="4">
        <v>41130</v>
      </c>
      <c r="AG1073" s="5">
        <f>YEAR(AF1073)</f>
        <v>2012</v>
      </c>
      <c r="AH1073" s="5" t="str">
        <f>"Q"&amp;ROUNDUP(MONTH(AF1073)/3,0)</f>
        <v>Q3</v>
      </c>
      <c r="AI1073" s="5">
        <f>INDEX(RatingLookup!$B$2:$B$11,MATCH(A1073,RatingLookup!$A$2:$A$11,0))</f>
        <v>6</v>
      </c>
      <c r="AJ1073" s="5" t="str">
        <f>INDEX(RatingLookup!$C$2:$C$11,MATCH(A1073,RatingLookup!$A$2:$A$11,0))</f>
        <v>Speculative Grade</v>
      </c>
    </row>
    <row r="1074" spans="1:36" x14ac:dyDescent="0.3">
      <c r="A1074" s="3" t="s">
        <v>42</v>
      </c>
      <c r="B1074" s="3" t="s">
        <v>1205</v>
      </c>
      <c r="C1074" s="3" t="s">
        <v>1206</v>
      </c>
      <c r="D1074" s="3" t="s">
        <v>39</v>
      </c>
      <c r="E1074" s="3" t="s">
        <v>1079</v>
      </c>
      <c r="F1074" s="3" t="s">
        <v>41</v>
      </c>
      <c r="G1074" s="3">
        <v>1.1528303769999999</v>
      </c>
      <c r="H1074" s="3">
        <v>0.49521626499999999</v>
      </c>
      <c r="I1074" s="3">
        <v>9.5375722999999996E-2</v>
      </c>
      <c r="J1074" s="3">
        <v>33.774212370000001</v>
      </c>
      <c r="K1074" s="3">
        <v>5.4842474000000002E-2</v>
      </c>
      <c r="L1074" s="3">
        <v>5.8109685000000001E-2</v>
      </c>
      <c r="M1074" s="3">
        <v>0.167292882</v>
      </c>
      <c r="N1074" s="3">
        <v>9.7852974999999995E-2</v>
      </c>
      <c r="O1074" s="3">
        <v>6.2078986000000003E-2</v>
      </c>
      <c r="P1074" s="3">
        <v>8.9500736999999997E-2</v>
      </c>
      <c r="Q1074" s="3">
        <v>0.45494143799999998</v>
      </c>
      <c r="R1074" s="3">
        <v>1.1319508650000001</v>
      </c>
      <c r="S1074" s="3">
        <v>3.5257333279999998</v>
      </c>
      <c r="T1074" s="3">
        <v>6.3284289999999999</v>
      </c>
      <c r="U1074" s="3">
        <v>0.86354510600000001</v>
      </c>
      <c r="V1074" s="3">
        <v>0.30100401599999999</v>
      </c>
      <c r="W1074" s="3">
        <v>0.61402469100000001</v>
      </c>
      <c r="X1074" s="3">
        <v>4.488549398</v>
      </c>
      <c r="Y1074" s="3">
        <v>1.4497357550000001</v>
      </c>
      <c r="Z1074" s="3">
        <v>7.3284289999999999</v>
      </c>
      <c r="AA1074" s="3">
        <v>5.8109685000000001E-2</v>
      </c>
      <c r="AB1074" s="3">
        <v>6.6196948280000001</v>
      </c>
      <c r="AC1074" s="3">
        <v>7.3100470729999998</v>
      </c>
      <c r="AD1074" s="3">
        <v>0.118144691</v>
      </c>
      <c r="AE1074" s="3">
        <v>5.1518656719999996</v>
      </c>
      <c r="AF1074" s="4">
        <v>42153</v>
      </c>
      <c r="AG1074" s="5">
        <f>YEAR(AF1074)</f>
        <v>2015</v>
      </c>
      <c r="AH1074" s="5" t="str">
        <f>"Q"&amp;ROUNDUP(MONTH(AF1074)/3,0)</f>
        <v>Q2</v>
      </c>
      <c r="AI1074" s="5">
        <f>INDEX(RatingLookup!$B$2:$B$11,MATCH(A1074,RatingLookup!$A$2:$A$11,0))</f>
        <v>7</v>
      </c>
      <c r="AJ1074" s="5" t="str">
        <f>INDEX(RatingLookup!$C$2:$C$11,MATCH(A1074,RatingLookup!$A$2:$A$11,0))</f>
        <v>Investment Grade</v>
      </c>
    </row>
    <row r="1075" spans="1:36" x14ac:dyDescent="0.3">
      <c r="A1075" s="3" t="s">
        <v>42</v>
      </c>
      <c r="B1075" s="3" t="s">
        <v>1205</v>
      </c>
      <c r="C1075" s="3" t="s">
        <v>1206</v>
      </c>
      <c r="D1075" s="3" t="s">
        <v>44</v>
      </c>
      <c r="E1075" s="3" t="s">
        <v>46</v>
      </c>
      <c r="F1075" s="3" t="s">
        <v>41</v>
      </c>
      <c r="G1075" s="3">
        <v>1.250956306</v>
      </c>
      <c r="H1075" s="3">
        <v>0.55244868300000005</v>
      </c>
      <c r="I1075" s="3">
        <v>8.9327084000000001E-2</v>
      </c>
      <c r="J1075" s="3">
        <v>35.54889988</v>
      </c>
      <c r="K1075" s="3">
        <v>5.1443071E-2</v>
      </c>
      <c r="L1075" s="3">
        <v>7.6446257000000004E-2</v>
      </c>
      <c r="M1075" s="3">
        <v>0.148431797</v>
      </c>
      <c r="N1075" s="3">
        <v>9.6965553999999995E-2</v>
      </c>
      <c r="O1075" s="3">
        <v>6.0950497999999999E-2</v>
      </c>
      <c r="P1075" s="3">
        <v>0.121543705</v>
      </c>
      <c r="Q1075" s="3">
        <v>0.36420310099999997</v>
      </c>
      <c r="R1075" s="3">
        <v>1.1848145400000001</v>
      </c>
      <c r="S1075" s="3">
        <v>3.8098790500000002</v>
      </c>
      <c r="T1075" s="3">
        <v>4.9753916819999997</v>
      </c>
      <c r="U1075" s="3">
        <v>0.83264695399999999</v>
      </c>
      <c r="V1075" s="3">
        <v>0.30509245200000001</v>
      </c>
      <c r="W1075" s="3">
        <v>0.53205398599999998</v>
      </c>
      <c r="X1075" s="3">
        <v>3.0530933290000002</v>
      </c>
      <c r="Y1075" s="3">
        <v>1.1181364389999999</v>
      </c>
      <c r="Z1075" s="3">
        <v>5.9753916819999997</v>
      </c>
      <c r="AA1075" s="3">
        <v>7.6446257000000004E-2</v>
      </c>
      <c r="AB1075" s="3">
        <v>5.3442330839999999</v>
      </c>
      <c r="AC1075" s="3">
        <v>5.7383149299999996</v>
      </c>
      <c r="AD1075" s="3">
        <v>0.109884253</v>
      </c>
      <c r="AE1075" s="3">
        <v>8.3573704709999994</v>
      </c>
      <c r="AF1075" s="4">
        <v>41075</v>
      </c>
      <c r="AG1075" s="5">
        <f>YEAR(AF1075)</f>
        <v>2012</v>
      </c>
      <c r="AH1075" s="5" t="str">
        <f>"Q"&amp;ROUNDUP(MONTH(AF1075)/3,0)</f>
        <v>Q2</v>
      </c>
      <c r="AI1075" s="5">
        <f>INDEX(RatingLookup!$B$2:$B$11,MATCH(A1075,RatingLookup!$A$2:$A$11,0))</f>
        <v>7</v>
      </c>
      <c r="AJ1075" s="5" t="str">
        <f>INDEX(RatingLookup!$C$2:$C$11,MATCH(A1075,RatingLookup!$A$2:$A$11,0))</f>
        <v>Investment Grade</v>
      </c>
    </row>
    <row r="1076" spans="1:36" x14ac:dyDescent="0.3">
      <c r="A1076" s="3" t="s">
        <v>92</v>
      </c>
      <c r="B1076" s="3" t="s">
        <v>1205</v>
      </c>
      <c r="C1076" s="3" t="s">
        <v>1206</v>
      </c>
      <c r="D1076" s="3" t="s">
        <v>47</v>
      </c>
      <c r="E1076" s="3" t="s">
        <v>315</v>
      </c>
      <c r="F1076" s="3" t="s">
        <v>41</v>
      </c>
      <c r="G1076" s="3">
        <v>1.019798282</v>
      </c>
      <c r="H1076" s="3">
        <v>0.46614680600000002</v>
      </c>
      <c r="I1076" s="3">
        <v>0.104594696</v>
      </c>
      <c r="J1076" s="3">
        <v>34.4095911</v>
      </c>
      <c r="K1076" s="3">
        <v>3.5125671999999997E-2</v>
      </c>
      <c r="L1076" s="3">
        <v>4.3203700999999997E-2</v>
      </c>
      <c r="M1076" s="3">
        <v>0.161935726</v>
      </c>
      <c r="N1076" s="3">
        <v>7.5678379000000004E-2</v>
      </c>
      <c r="O1076" s="3">
        <v>2.8730694000000001E-2</v>
      </c>
      <c r="P1076" s="3">
        <v>4.5249758000000001E-2</v>
      </c>
      <c r="Q1076" s="3">
        <v>0.22448653399999999</v>
      </c>
      <c r="R1076" s="3">
        <v>0.81794006299999999</v>
      </c>
      <c r="S1076" s="3">
        <v>2.9774004989999998</v>
      </c>
      <c r="T1076" s="3">
        <v>6.8134739870000001</v>
      </c>
      <c r="U1076" s="3">
        <v>0.87201595600000004</v>
      </c>
      <c r="V1076" s="3">
        <v>0.13603473199999999</v>
      </c>
      <c r="W1076" s="3">
        <v>0.47561339000000002</v>
      </c>
      <c r="X1076" s="3">
        <v>3.4872541880000001</v>
      </c>
      <c r="Y1076" s="3">
        <v>1.7800437</v>
      </c>
      <c r="Z1076" s="3">
        <v>7.8134739870000001</v>
      </c>
      <c r="AA1076" s="3">
        <v>4.3203700999999997E-2</v>
      </c>
      <c r="AB1076" s="3">
        <v>10.949664309999999</v>
      </c>
      <c r="AC1076" s="3">
        <v>7.3321194460000001</v>
      </c>
      <c r="AD1076" s="3">
        <v>0.12588470700000001</v>
      </c>
      <c r="AE1076" s="3">
        <v>4.3045708960000004</v>
      </c>
      <c r="AF1076" s="4">
        <v>42338</v>
      </c>
      <c r="AG1076" s="5">
        <f>YEAR(AF1076)</f>
        <v>2015</v>
      </c>
      <c r="AH1076" s="5" t="str">
        <f>"Q"&amp;ROUNDUP(MONTH(AF1076)/3,0)</f>
        <v>Q4</v>
      </c>
      <c r="AI1076" s="5">
        <f>INDEX(RatingLookup!$B$2:$B$11,MATCH(A1076,RatingLookup!$A$2:$A$11,0))</f>
        <v>6</v>
      </c>
      <c r="AJ1076" s="5" t="str">
        <f>INDEX(RatingLookup!$C$2:$C$11,MATCH(A1076,RatingLookup!$A$2:$A$11,0))</f>
        <v>Speculative Grade</v>
      </c>
    </row>
    <row r="1077" spans="1:36" x14ac:dyDescent="0.3">
      <c r="A1077" s="3" t="s">
        <v>92</v>
      </c>
      <c r="B1077" s="3" t="s">
        <v>1205</v>
      </c>
      <c r="C1077" s="3" t="s">
        <v>1206</v>
      </c>
      <c r="D1077" s="3" t="s">
        <v>39</v>
      </c>
      <c r="E1077" s="3" t="s">
        <v>1207</v>
      </c>
      <c r="F1077" s="3" t="s">
        <v>41</v>
      </c>
      <c r="G1077" s="3">
        <v>1.2792881599999999</v>
      </c>
      <c r="H1077" s="3">
        <v>0.63401473500000005</v>
      </c>
      <c r="I1077" s="3">
        <v>0.21583480299999999</v>
      </c>
      <c r="J1077" s="3">
        <v>34.434938180000003</v>
      </c>
      <c r="K1077" s="3">
        <v>4.8039111000000002E-2</v>
      </c>
      <c r="L1077" s="3">
        <v>5.1322020000000003E-2</v>
      </c>
      <c r="M1077" s="3">
        <v>0.15811102799999999</v>
      </c>
      <c r="N1077" s="3">
        <v>9.3928980999999995E-2</v>
      </c>
      <c r="O1077" s="3">
        <v>5.2021790999999998E-2</v>
      </c>
      <c r="P1077" s="3">
        <v>7.3756025000000003E-2</v>
      </c>
      <c r="Q1077" s="3">
        <v>0.33902825199999997</v>
      </c>
      <c r="R1077" s="3">
        <v>1.0829049340000001</v>
      </c>
      <c r="S1077" s="3">
        <v>3.569573831</v>
      </c>
      <c r="T1077" s="3">
        <v>5.5170430870000002</v>
      </c>
      <c r="U1077" s="3">
        <v>0.84655617800000005</v>
      </c>
      <c r="V1077" s="3">
        <v>0.34422457400000001</v>
      </c>
      <c r="W1077" s="3">
        <v>0.54910607899999997</v>
      </c>
      <c r="X1077" s="3">
        <v>3.1567118669999998</v>
      </c>
      <c r="Y1077" s="3">
        <v>2.8990770370000001</v>
      </c>
      <c r="Z1077" s="3">
        <v>6.5170430870000002</v>
      </c>
      <c r="AA1077" s="3">
        <v>5.1322020000000003E-2</v>
      </c>
      <c r="AB1077" s="3">
        <v>6.2051761159999996</v>
      </c>
      <c r="AC1077" s="3">
        <v>5.7488197449999996</v>
      </c>
      <c r="AD1077" s="3">
        <v>9.9077714999999997E-2</v>
      </c>
      <c r="AE1077" s="3">
        <v>6.8836603920000003</v>
      </c>
      <c r="AF1077" s="4">
        <v>41481</v>
      </c>
      <c r="AG1077" s="5">
        <f>YEAR(AF1077)</f>
        <v>2013</v>
      </c>
      <c r="AH1077" s="5" t="str">
        <f>"Q"&amp;ROUNDUP(MONTH(AF1077)/3,0)</f>
        <v>Q3</v>
      </c>
      <c r="AI1077" s="5">
        <f>INDEX(RatingLookup!$B$2:$B$11,MATCH(A1077,RatingLookup!$A$2:$A$11,0))</f>
        <v>6</v>
      </c>
      <c r="AJ1077" s="5" t="str">
        <f>INDEX(RatingLookup!$C$2:$C$11,MATCH(A1077,RatingLookup!$A$2:$A$11,0))</f>
        <v>Speculative Grade</v>
      </c>
    </row>
    <row r="1078" spans="1:36" x14ac:dyDescent="0.3">
      <c r="A1078" s="3" t="s">
        <v>42</v>
      </c>
      <c r="B1078" s="3" t="s">
        <v>1205</v>
      </c>
      <c r="C1078" s="3" t="s">
        <v>1206</v>
      </c>
      <c r="D1078" s="3" t="s">
        <v>47</v>
      </c>
      <c r="E1078" s="3" t="s">
        <v>435</v>
      </c>
      <c r="F1078" s="3" t="s">
        <v>41</v>
      </c>
      <c r="G1078" s="3">
        <v>1.2303805999999999</v>
      </c>
      <c r="H1078" s="3">
        <v>0.60458066700000002</v>
      </c>
      <c r="I1078" s="3">
        <v>0.201077804</v>
      </c>
      <c r="J1078" s="3">
        <v>46.64716919</v>
      </c>
      <c r="K1078" s="3">
        <v>2.9025493999999999E-2</v>
      </c>
      <c r="L1078" s="3">
        <v>1.3795386999999999E-2</v>
      </c>
      <c r="M1078" s="3">
        <v>0.15671559400000001</v>
      </c>
      <c r="N1078" s="3">
        <v>5.1098113000000001E-2</v>
      </c>
      <c r="O1078" s="3">
        <v>1.6261670999999998E-2</v>
      </c>
      <c r="P1078" s="3">
        <v>9.466828E-3</v>
      </c>
      <c r="Q1078" s="3">
        <v>7.6564774000000002E-2</v>
      </c>
      <c r="R1078" s="3">
        <v>0.56025474600000003</v>
      </c>
      <c r="S1078" s="3">
        <v>2.0654205609999998</v>
      </c>
      <c r="T1078" s="3">
        <v>3.7082969430000001</v>
      </c>
      <c r="U1078" s="3">
        <v>0.78760897799999996</v>
      </c>
      <c r="V1078" s="3">
        <v>-1.008</v>
      </c>
      <c r="W1078" s="3">
        <v>-2.1237113399999998</v>
      </c>
      <c r="X1078" s="3">
        <v>-2.6031300740000001</v>
      </c>
      <c r="Y1078" s="3">
        <v>4.0247423720000004</v>
      </c>
      <c r="Z1078" s="3">
        <v>4.7082969429999997</v>
      </c>
      <c r="AA1078" s="3">
        <v>1.3795386999999999E-2</v>
      </c>
      <c r="AB1078" s="3">
        <v>14.17825659</v>
      </c>
      <c r="AC1078" s="3">
        <v>1.225745715</v>
      </c>
      <c r="AD1078" s="3">
        <v>2.1410439999999999E-2</v>
      </c>
      <c r="AE1078" s="3">
        <v>3.588785047</v>
      </c>
      <c r="AF1078" s="4">
        <v>42556</v>
      </c>
      <c r="AG1078" s="5">
        <f>YEAR(AF1078)</f>
        <v>2016</v>
      </c>
      <c r="AH1078" s="5" t="str">
        <f>"Q"&amp;ROUNDUP(MONTH(AF1078)/3,0)</f>
        <v>Q3</v>
      </c>
      <c r="AI1078" s="5">
        <f>INDEX(RatingLookup!$B$2:$B$11,MATCH(A1078,RatingLookup!$A$2:$A$11,0))</f>
        <v>7</v>
      </c>
      <c r="AJ1078" s="5" t="str">
        <f>INDEX(RatingLookup!$C$2:$C$11,MATCH(A1078,RatingLookup!$A$2:$A$11,0))</f>
        <v>Investment Grade</v>
      </c>
    </row>
    <row r="1079" spans="1:36" x14ac:dyDescent="0.3">
      <c r="A1079" s="3" t="s">
        <v>42</v>
      </c>
      <c r="B1079" s="3" t="s">
        <v>1208</v>
      </c>
      <c r="C1079" s="3" t="s">
        <v>1209</v>
      </c>
      <c r="D1079" s="3" t="s">
        <v>47</v>
      </c>
      <c r="E1079" s="3" t="s">
        <v>1178</v>
      </c>
      <c r="F1079" s="3" t="s">
        <v>59</v>
      </c>
      <c r="G1079" s="3">
        <v>1.6469366560000001</v>
      </c>
      <c r="H1079" s="3">
        <v>0.116303219</v>
      </c>
      <c r="I1079" s="3">
        <v>0.116303219</v>
      </c>
      <c r="J1079" s="3">
        <v>0</v>
      </c>
      <c r="K1079" s="3">
        <v>6.9226704E-2</v>
      </c>
      <c r="L1079" s="3">
        <v>0.10392813100000001</v>
      </c>
      <c r="M1079" s="3">
        <v>0.24326228599999999</v>
      </c>
      <c r="N1079" s="3">
        <v>0.12312841300000001</v>
      </c>
      <c r="O1079" s="3">
        <v>5.0768634999999999E-2</v>
      </c>
      <c r="P1079" s="3">
        <v>8.7046325999999993E-2</v>
      </c>
      <c r="Q1079" s="3">
        <v>0.102104443</v>
      </c>
      <c r="R1079" s="3">
        <v>0.73336778199999997</v>
      </c>
      <c r="S1079" s="3">
        <v>1.824228792</v>
      </c>
      <c r="T1079" s="3">
        <v>1.0111717330000001</v>
      </c>
      <c r="U1079" s="3">
        <v>0.50277741899999995</v>
      </c>
      <c r="V1079" s="3">
        <v>0.318644068</v>
      </c>
      <c r="W1079" s="3">
        <v>0.56097560999999996</v>
      </c>
      <c r="X1079" s="3">
        <v>4.6241258739999997</v>
      </c>
      <c r="Y1079" s="3">
        <v>0.97902097899999996</v>
      </c>
      <c r="Z1079" s="3">
        <v>2.0111717329999999</v>
      </c>
      <c r="AA1079" s="3">
        <v>0.10392813100000001</v>
      </c>
      <c r="AB1079" s="3">
        <v>7.9844069099999997</v>
      </c>
      <c r="AC1079" s="3">
        <v>8.2430069929999998</v>
      </c>
      <c r="AD1079" s="3">
        <v>0.16610886</v>
      </c>
      <c r="AE1079" s="3">
        <v>4.4749999999999996</v>
      </c>
      <c r="AF1079" s="4">
        <v>42585</v>
      </c>
      <c r="AG1079" s="5">
        <f>YEAR(AF1079)</f>
        <v>2016</v>
      </c>
      <c r="AH1079" s="5" t="str">
        <f>"Q"&amp;ROUNDUP(MONTH(AF1079)/3,0)</f>
        <v>Q3</v>
      </c>
      <c r="AI1079" s="5">
        <f>INDEX(RatingLookup!$B$2:$B$11,MATCH(A1079,RatingLookup!$A$2:$A$11,0))</f>
        <v>7</v>
      </c>
      <c r="AJ1079" s="5" t="str">
        <f>INDEX(RatingLookup!$C$2:$C$11,MATCH(A1079,RatingLookup!$A$2:$A$11,0))</f>
        <v>Investment Grade</v>
      </c>
    </row>
    <row r="1080" spans="1:36" x14ac:dyDescent="0.3">
      <c r="A1080" s="3" t="s">
        <v>42</v>
      </c>
      <c r="B1080" s="3" t="s">
        <v>1208</v>
      </c>
      <c r="C1080" s="3" t="s">
        <v>1209</v>
      </c>
      <c r="D1080" s="3" t="s">
        <v>39</v>
      </c>
      <c r="E1080" s="3" t="s">
        <v>281</v>
      </c>
      <c r="F1080" s="3" t="s">
        <v>59</v>
      </c>
      <c r="G1080" s="3">
        <v>1.3769024169999999</v>
      </c>
      <c r="H1080" s="3">
        <v>8.5944493999999996E-2</v>
      </c>
      <c r="I1080" s="3">
        <v>8.5944493999999996E-2</v>
      </c>
      <c r="J1080" s="3">
        <v>0</v>
      </c>
      <c r="K1080" s="3">
        <v>6.1682242999999998E-2</v>
      </c>
      <c r="L1080" s="3">
        <v>8.4672896999999997E-2</v>
      </c>
      <c r="M1080" s="3">
        <v>0.215514019</v>
      </c>
      <c r="N1080" s="3">
        <v>8.4672896999999997E-2</v>
      </c>
      <c r="O1080" s="3">
        <v>4.4715446999999998E-2</v>
      </c>
      <c r="P1080" s="3">
        <v>7.2329555000000004E-2</v>
      </c>
      <c r="Q1080" s="3">
        <v>8.8258893000000005E-2</v>
      </c>
      <c r="R1080" s="3">
        <v>0.72493224899999997</v>
      </c>
      <c r="S1080" s="3">
        <v>1.809878214</v>
      </c>
      <c r="T1080" s="3">
        <v>0.97378978299999996</v>
      </c>
      <c r="U1080" s="3">
        <v>0.49336043400000001</v>
      </c>
      <c r="V1080" s="3">
        <v>0.26490066200000001</v>
      </c>
      <c r="W1080" s="3">
        <v>0.44609164400000001</v>
      </c>
      <c r="X1080" s="3">
        <v>2.824232082</v>
      </c>
      <c r="Y1080" s="3">
        <v>0.81911262799999995</v>
      </c>
      <c r="Z1080" s="3">
        <v>1.973789783</v>
      </c>
      <c r="AA1080" s="3">
        <v>8.4672896999999997E-2</v>
      </c>
      <c r="AB1080" s="3">
        <v>9.5384701199999995</v>
      </c>
      <c r="AC1080" s="3">
        <v>6.3310580200000004</v>
      </c>
      <c r="AD1080" s="3">
        <v>0.138691589</v>
      </c>
      <c r="AE1080" s="3">
        <v>4.4272151900000001</v>
      </c>
      <c r="AF1080" s="4">
        <v>42307</v>
      </c>
      <c r="AG1080" s="5">
        <f>YEAR(AF1080)</f>
        <v>2015</v>
      </c>
      <c r="AH1080" s="5" t="str">
        <f>"Q"&amp;ROUNDUP(MONTH(AF1080)/3,0)</f>
        <v>Q4</v>
      </c>
      <c r="AI1080" s="5">
        <f>INDEX(RatingLookup!$B$2:$B$11,MATCH(A1080,RatingLookup!$A$2:$A$11,0))</f>
        <v>7</v>
      </c>
      <c r="AJ1080" s="5" t="str">
        <f>INDEX(RatingLookup!$C$2:$C$11,MATCH(A1080,RatingLookup!$A$2:$A$11,0))</f>
        <v>Investment Grade</v>
      </c>
    </row>
    <row r="1081" spans="1:36" x14ac:dyDescent="0.3">
      <c r="A1081" s="3" t="s">
        <v>42</v>
      </c>
      <c r="B1081" s="3" t="s">
        <v>1208</v>
      </c>
      <c r="C1081" s="3" t="s">
        <v>1209</v>
      </c>
      <c r="D1081" s="3" t="s">
        <v>39</v>
      </c>
      <c r="E1081" s="3" t="s">
        <v>78</v>
      </c>
      <c r="F1081" s="3" t="s">
        <v>59</v>
      </c>
      <c r="G1081" s="3">
        <v>1.8382502540000001</v>
      </c>
      <c r="H1081" s="3">
        <v>6.8158698000000004E-2</v>
      </c>
      <c r="I1081" s="3">
        <v>6.8158698000000004E-2</v>
      </c>
      <c r="J1081" s="3">
        <v>0</v>
      </c>
      <c r="K1081" s="3">
        <v>4.2835481000000002E-2</v>
      </c>
      <c r="L1081" s="3">
        <v>4.3972707E-2</v>
      </c>
      <c r="M1081" s="3">
        <v>0.18498862799999999</v>
      </c>
      <c r="N1081" s="3">
        <v>4.3972707E-2</v>
      </c>
      <c r="O1081" s="3">
        <v>2.9913964000000001E-2</v>
      </c>
      <c r="P1081" s="3">
        <v>3.5301277999999998E-2</v>
      </c>
      <c r="Q1081" s="3">
        <v>6.1213433999999997E-2</v>
      </c>
      <c r="R1081" s="3">
        <v>0.698345467</v>
      </c>
      <c r="S1081" s="3">
        <v>1.8199379099999999</v>
      </c>
      <c r="T1081" s="3">
        <v>1.0463163600000001</v>
      </c>
      <c r="U1081" s="3">
        <v>0.51131700899999999</v>
      </c>
      <c r="V1081" s="3">
        <v>2.1551724000000001E-2</v>
      </c>
      <c r="W1081" s="3">
        <v>0.11337868500000001</v>
      </c>
      <c r="X1081" s="3">
        <v>0.42553191499999998</v>
      </c>
      <c r="Y1081" s="3">
        <v>0.57021276600000004</v>
      </c>
      <c r="Z1081" s="3">
        <v>2.0463163600000001</v>
      </c>
      <c r="AA1081" s="3">
        <v>4.3972707E-2</v>
      </c>
      <c r="AB1081" s="3">
        <v>12.374766790000001</v>
      </c>
      <c r="AC1081" s="3">
        <v>3.7531914890000002</v>
      </c>
      <c r="AD1081" s="3">
        <v>8.3586049999999995E-2</v>
      </c>
      <c r="AE1081" s="3">
        <v>4.5310853529999999</v>
      </c>
      <c r="AF1081" s="4">
        <v>41940</v>
      </c>
      <c r="AG1081" s="5">
        <f>YEAR(AF1081)</f>
        <v>2014</v>
      </c>
      <c r="AH1081" s="5" t="str">
        <f>"Q"&amp;ROUNDUP(MONTH(AF1081)/3,0)</f>
        <v>Q4</v>
      </c>
      <c r="AI1081" s="5">
        <f>INDEX(RatingLookup!$B$2:$B$11,MATCH(A1081,RatingLookup!$A$2:$A$11,0))</f>
        <v>7</v>
      </c>
      <c r="AJ1081" s="5" t="str">
        <f>INDEX(RatingLookup!$C$2:$C$11,MATCH(A1081,RatingLookup!$A$2:$A$11,0))</f>
        <v>Investment Grade</v>
      </c>
    </row>
    <row r="1082" spans="1:36" x14ac:dyDescent="0.3">
      <c r="A1082" s="3" t="s">
        <v>92</v>
      </c>
      <c r="B1082" s="3" t="s">
        <v>1208</v>
      </c>
      <c r="C1082" s="3" t="s">
        <v>1209</v>
      </c>
      <c r="D1082" s="3" t="s">
        <v>60</v>
      </c>
      <c r="E1082" s="3" t="s">
        <v>46</v>
      </c>
      <c r="F1082" s="3" t="s">
        <v>59</v>
      </c>
      <c r="G1082" s="3">
        <v>1.8017621150000001</v>
      </c>
      <c r="H1082" s="3">
        <v>6.7621145370000004</v>
      </c>
      <c r="I1082" s="3">
        <v>5.7268722000000001E-2</v>
      </c>
      <c r="J1082" s="3">
        <v>0</v>
      </c>
      <c r="K1082" s="3">
        <v>5.1733833E-2</v>
      </c>
      <c r="L1082" s="3">
        <v>6.6166823E-2</v>
      </c>
      <c r="M1082" s="3">
        <v>0.192689784</v>
      </c>
      <c r="N1082" s="3">
        <v>6.6166823E-2</v>
      </c>
      <c r="O1082" s="3">
        <v>3.6667995000000002E-2</v>
      </c>
      <c r="P1082" s="3">
        <v>5.3331319000000002E-2</v>
      </c>
      <c r="Q1082" s="3">
        <v>7.4574439000000006E-2</v>
      </c>
      <c r="R1082" s="3">
        <v>0.70878171899999998</v>
      </c>
      <c r="S1082" s="3">
        <v>1.837121212</v>
      </c>
      <c r="T1082" s="3">
        <v>1.033774655</v>
      </c>
      <c r="U1082" s="3">
        <v>0.50830344100000002</v>
      </c>
      <c r="V1082" s="3">
        <v>0.20963172799999999</v>
      </c>
      <c r="W1082" s="3">
        <v>-0.52941176499999998</v>
      </c>
      <c r="X1082" s="3">
        <v>-1.248979592</v>
      </c>
      <c r="Y1082" s="3">
        <v>50.122448980000001</v>
      </c>
      <c r="Z1082" s="3">
        <v>2.0337746550000002</v>
      </c>
      <c r="AA1082" s="3">
        <v>6.6166823E-2</v>
      </c>
      <c r="AB1082" s="3">
        <v>8.9808867360000004</v>
      </c>
      <c r="AC1082" s="3">
        <v>2.359183673</v>
      </c>
      <c r="AD1082" s="3">
        <v>5.4170572E-2</v>
      </c>
      <c r="AE1082" s="3">
        <v>4.9166666670000003</v>
      </c>
      <c r="AF1082" s="4">
        <v>41075</v>
      </c>
      <c r="AG1082" s="5">
        <f>YEAR(AF1082)</f>
        <v>2012</v>
      </c>
      <c r="AH1082" s="5" t="str">
        <f>"Q"&amp;ROUNDUP(MONTH(AF1082)/3,0)</f>
        <v>Q2</v>
      </c>
      <c r="AI1082" s="5">
        <f>INDEX(RatingLookup!$B$2:$B$11,MATCH(A1082,RatingLookup!$A$2:$A$11,0))</f>
        <v>6</v>
      </c>
      <c r="AJ1082" s="5" t="str">
        <f>INDEX(RatingLookup!$C$2:$C$11,MATCH(A1082,RatingLookup!$A$2:$A$11,0))</f>
        <v>Speculative Grade</v>
      </c>
    </row>
    <row r="1083" spans="1:36" x14ac:dyDescent="0.3">
      <c r="A1083" s="3" t="s">
        <v>42</v>
      </c>
      <c r="B1083" s="3" t="s">
        <v>1208</v>
      </c>
      <c r="C1083" s="3" t="s">
        <v>1209</v>
      </c>
      <c r="D1083" s="3" t="s">
        <v>47</v>
      </c>
      <c r="E1083" s="3" t="s">
        <v>889</v>
      </c>
      <c r="F1083" s="3" t="s">
        <v>59</v>
      </c>
      <c r="G1083" s="3">
        <v>1.862903226</v>
      </c>
      <c r="H1083" s="3">
        <v>5.7459677000000001E-2</v>
      </c>
      <c r="I1083" s="3">
        <v>5.7459677000000001E-2</v>
      </c>
      <c r="J1083" s="3">
        <v>0</v>
      </c>
      <c r="K1083" s="3">
        <v>3.8526912000000003E-2</v>
      </c>
      <c r="L1083" s="3">
        <v>5.1558074000000002E-2</v>
      </c>
      <c r="M1083" s="3">
        <v>0.18243626099999999</v>
      </c>
      <c r="N1083" s="3">
        <v>5.1558074000000002E-2</v>
      </c>
      <c r="O1083" s="3">
        <v>2.6677128000000001E-2</v>
      </c>
      <c r="P1083" s="3">
        <v>4.1021787999999997E-2</v>
      </c>
      <c r="Q1083" s="3">
        <v>5.3783285E-2</v>
      </c>
      <c r="R1083" s="3">
        <v>0.69242840299999997</v>
      </c>
      <c r="S1083" s="3">
        <v>1.805934516</v>
      </c>
      <c r="T1083" s="3">
        <v>1.0160822570000001</v>
      </c>
      <c r="U1083" s="3">
        <v>0.50398849199999995</v>
      </c>
      <c r="V1083" s="3">
        <v>0.24908424900000001</v>
      </c>
      <c r="W1083" s="3">
        <v>0.15550239199999999</v>
      </c>
      <c r="X1083" s="3">
        <v>0.549915398</v>
      </c>
      <c r="Y1083" s="3">
        <v>0.48223350300000001</v>
      </c>
      <c r="Z1083" s="3">
        <v>2.0160822569999999</v>
      </c>
      <c r="AA1083" s="3">
        <v>5.1558074000000002E-2</v>
      </c>
      <c r="AB1083" s="3">
        <v>10.67056198</v>
      </c>
      <c r="AC1083" s="3">
        <v>3.536379019</v>
      </c>
      <c r="AD1083" s="3">
        <v>7.8942397999999997E-2</v>
      </c>
      <c r="AE1083" s="3">
        <v>4.3815789470000004</v>
      </c>
      <c r="AF1083" s="4">
        <v>41502</v>
      </c>
      <c r="AG1083" s="5">
        <f>YEAR(AF1083)</f>
        <v>2013</v>
      </c>
      <c r="AH1083" s="5" t="str">
        <f>"Q"&amp;ROUNDUP(MONTH(AF1083)/3,0)</f>
        <v>Q3</v>
      </c>
      <c r="AI1083" s="5">
        <f>INDEX(RatingLookup!$B$2:$B$11,MATCH(A1083,RatingLookup!$A$2:$A$11,0))</f>
        <v>7</v>
      </c>
      <c r="AJ1083" s="5" t="str">
        <f>INDEX(RatingLookup!$C$2:$C$11,MATCH(A1083,RatingLookup!$A$2:$A$11,0))</f>
        <v>Investment Grade</v>
      </c>
    </row>
    <row r="1084" spans="1:36" x14ac:dyDescent="0.3">
      <c r="A1084" s="3" t="s">
        <v>42</v>
      </c>
      <c r="B1084" s="3" t="s">
        <v>1208</v>
      </c>
      <c r="C1084" s="3" t="s">
        <v>1209</v>
      </c>
      <c r="D1084" s="3" t="s">
        <v>47</v>
      </c>
      <c r="E1084" s="3" t="s">
        <v>1210</v>
      </c>
      <c r="F1084" s="3" t="s">
        <v>59</v>
      </c>
      <c r="G1084" s="3">
        <v>1.7792494480000001</v>
      </c>
      <c r="H1084" s="3">
        <v>6.0706402E-2</v>
      </c>
      <c r="I1084" s="3">
        <v>6.0706402E-2</v>
      </c>
      <c r="J1084" s="3">
        <v>0</v>
      </c>
      <c r="K1084" s="3">
        <v>-3.6736270000000001E-3</v>
      </c>
      <c r="L1084" s="3">
        <v>-7.7339519999999997E-3</v>
      </c>
      <c r="M1084" s="3">
        <v>0.15409899499999999</v>
      </c>
      <c r="N1084" s="3">
        <v>-7.7339519999999997E-3</v>
      </c>
      <c r="O1084" s="3">
        <v>-2.5105710000000001E-3</v>
      </c>
      <c r="P1084" s="3">
        <v>-6.0042029999999996E-3</v>
      </c>
      <c r="Q1084" s="3">
        <v>-5.3702660000000003E-3</v>
      </c>
      <c r="R1084" s="3">
        <v>0.68340380499999998</v>
      </c>
      <c r="S1084" s="3">
        <v>1.7816052360000001</v>
      </c>
      <c r="T1084" s="3">
        <v>1.1390616170000001</v>
      </c>
      <c r="U1084" s="3">
        <v>0.53250528500000005</v>
      </c>
      <c r="V1084" s="3">
        <v>0.7</v>
      </c>
      <c r="W1084" s="3">
        <v>-6.0606059999999996E-3</v>
      </c>
      <c r="X1084" s="3">
        <v>-1.6750418999999999E-2</v>
      </c>
      <c r="Y1084" s="3">
        <v>0.460636516</v>
      </c>
      <c r="Z1084" s="3">
        <v>2.1390616169999999</v>
      </c>
      <c r="AA1084" s="3">
        <v>-7.7339519999999997E-3</v>
      </c>
      <c r="AB1084" s="3">
        <v>22.66273786</v>
      </c>
      <c r="AC1084" s="3">
        <v>2.7638190950000001</v>
      </c>
      <c r="AD1084" s="3">
        <v>6.3805104000000001E-2</v>
      </c>
      <c r="AE1084" s="3">
        <v>4.8773690079999996</v>
      </c>
      <c r="AF1084" s="4">
        <v>41208</v>
      </c>
      <c r="AG1084" s="5">
        <f>YEAR(AF1084)</f>
        <v>2012</v>
      </c>
      <c r="AH1084" s="5" t="str">
        <f>"Q"&amp;ROUNDUP(MONTH(AF1084)/3,0)</f>
        <v>Q4</v>
      </c>
      <c r="AI1084" s="5">
        <f>INDEX(RatingLookup!$B$2:$B$11,MATCH(A1084,RatingLookup!$A$2:$A$11,0))</f>
        <v>7</v>
      </c>
      <c r="AJ1084" s="5" t="str">
        <f>INDEX(RatingLookup!$C$2:$C$11,MATCH(A1084,RatingLookup!$A$2:$A$11,0))</f>
        <v>Investment Grade</v>
      </c>
    </row>
    <row r="1085" spans="1:36" x14ac:dyDescent="0.3">
      <c r="A1085" s="3" t="s">
        <v>92</v>
      </c>
      <c r="B1085" s="3" t="s">
        <v>1211</v>
      </c>
      <c r="C1085" s="3" t="s">
        <v>1212</v>
      </c>
      <c r="D1085" s="3" t="s">
        <v>47</v>
      </c>
      <c r="E1085" s="3" t="s">
        <v>211</v>
      </c>
      <c r="F1085" s="3" t="s">
        <v>174</v>
      </c>
      <c r="G1085" s="3">
        <v>1.8511287599999999</v>
      </c>
      <c r="H1085" s="3">
        <v>1.600941927</v>
      </c>
      <c r="I1085" s="3">
        <v>1.2001763510000001</v>
      </c>
      <c r="J1085" s="3">
        <v>29.95000237</v>
      </c>
      <c r="K1085" s="3">
        <v>5.6861767000000001E-2</v>
      </c>
      <c r="L1085" s="3">
        <v>0.10320203999999999</v>
      </c>
      <c r="M1085" s="3">
        <v>0.94453383899999999</v>
      </c>
      <c r="N1085" s="3">
        <v>0.115521507</v>
      </c>
      <c r="O1085" s="3">
        <v>4.1847924000000002E-2</v>
      </c>
      <c r="P1085" s="3">
        <v>9.0873167000000005E-2</v>
      </c>
      <c r="Q1085" s="3">
        <v>9.6190919999999999E-2</v>
      </c>
      <c r="R1085" s="3">
        <v>0.735958903</v>
      </c>
      <c r="S1085" s="3">
        <v>10.354191309999999</v>
      </c>
      <c r="T1085" s="3">
        <v>1.2985828589999999</v>
      </c>
      <c r="U1085" s="3">
        <v>0.56494933599999997</v>
      </c>
      <c r="V1085" s="3">
        <v>0.412420173</v>
      </c>
      <c r="W1085" s="3">
        <v>0.85557940600000004</v>
      </c>
      <c r="X1085" s="3">
        <v>1.4487362779999999</v>
      </c>
      <c r="Y1085" s="3">
        <v>3.6804251859999999</v>
      </c>
      <c r="Z1085" s="3">
        <v>2.2985828590000001</v>
      </c>
      <c r="AA1085" s="3">
        <v>0.10320203999999999</v>
      </c>
      <c r="AB1085" s="3">
        <v>20.434890299999999</v>
      </c>
      <c r="AC1085" s="3">
        <v>1.693280914</v>
      </c>
      <c r="AD1085" s="3">
        <v>0.126574609</v>
      </c>
      <c r="AE1085" s="3">
        <v>1.5802123809999999</v>
      </c>
      <c r="AF1085" s="4">
        <v>41355</v>
      </c>
      <c r="AG1085" s="5">
        <f>YEAR(AF1085)</f>
        <v>2013</v>
      </c>
      <c r="AH1085" s="5" t="str">
        <f>"Q"&amp;ROUNDUP(MONTH(AF1085)/3,0)</f>
        <v>Q1</v>
      </c>
      <c r="AI1085" s="5">
        <f>INDEX(RatingLookup!$B$2:$B$11,MATCH(A1085,RatingLookup!$A$2:$A$11,0))</f>
        <v>6</v>
      </c>
      <c r="AJ1085" s="5" t="str">
        <f>INDEX(RatingLookup!$C$2:$C$11,MATCH(A1085,RatingLookup!$A$2:$A$11,0))</f>
        <v>Speculative Grade</v>
      </c>
    </row>
    <row r="1086" spans="1:36" x14ac:dyDescent="0.3">
      <c r="A1086" s="3" t="s">
        <v>92</v>
      </c>
      <c r="B1086" s="3" t="s">
        <v>1211</v>
      </c>
      <c r="C1086" s="3" t="s">
        <v>1212</v>
      </c>
      <c r="D1086" s="3" t="s">
        <v>47</v>
      </c>
      <c r="E1086" s="3" t="s">
        <v>1213</v>
      </c>
      <c r="F1086" s="3" t="s">
        <v>174</v>
      </c>
      <c r="G1086" s="3">
        <v>2.5138755179999999</v>
      </c>
      <c r="H1086" s="3">
        <v>2.238648349</v>
      </c>
      <c r="I1086" s="3">
        <v>1.8750206599999999</v>
      </c>
      <c r="J1086" s="3">
        <v>25.042754070000001</v>
      </c>
      <c r="K1086" s="3">
        <v>9.4536960000000003E-2</v>
      </c>
      <c r="L1086" s="3">
        <v>0.13771180599999999</v>
      </c>
      <c r="M1086" s="3">
        <v>0.96150463100000005</v>
      </c>
      <c r="N1086" s="3">
        <v>0.140987374</v>
      </c>
      <c r="O1086" s="3">
        <v>6.7486500000000005E-2</v>
      </c>
      <c r="P1086" s="3">
        <v>0.114124262</v>
      </c>
      <c r="Q1086" s="3">
        <v>0.16943018900000001</v>
      </c>
      <c r="R1086" s="3">
        <v>0.71386365500000004</v>
      </c>
      <c r="S1086" s="3">
        <v>10.28352791</v>
      </c>
      <c r="T1086" s="3">
        <v>1.510579012</v>
      </c>
      <c r="U1086" s="3">
        <v>0.60168550899999995</v>
      </c>
      <c r="V1086" s="3">
        <v>0.32308834199999997</v>
      </c>
      <c r="W1086" s="3">
        <v>0.80457756300000005</v>
      </c>
      <c r="X1086" s="3">
        <v>2.04103827</v>
      </c>
      <c r="Y1086" s="3">
        <v>6.8298887410000004</v>
      </c>
      <c r="Z1086" s="3">
        <v>2.510579012</v>
      </c>
      <c r="AA1086" s="3">
        <v>0.13771180599999999</v>
      </c>
      <c r="AB1086" s="3">
        <v>20.947047479999998</v>
      </c>
      <c r="AC1086" s="3">
        <v>2.5367824849999998</v>
      </c>
      <c r="AD1086" s="3">
        <v>0.135945341</v>
      </c>
      <c r="AE1086" s="3">
        <v>1.4986027580000001</v>
      </c>
      <c r="AF1086" s="4">
        <v>41695</v>
      </c>
      <c r="AG1086" s="5">
        <f>YEAR(AF1086)</f>
        <v>2014</v>
      </c>
      <c r="AH1086" s="5" t="str">
        <f>"Q"&amp;ROUNDUP(MONTH(AF1086)/3,0)</f>
        <v>Q1</v>
      </c>
      <c r="AI1086" s="5">
        <f>INDEX(RatingLookup!$B$2:$B$11,MATCH(A1086,RatingLookup!$A$2:$A$11,0))</f>
        <v>6</v>
      </c>
      <c r="AJ1086" s="5" t="str">
        <f>INDEX(RatingLookup!$C$2:$C$11,MATCH(A1086,RatingLookup!$A$2:$A$11,0))</f>
        <v>Speculative Grade</v>
      </c>
    </row>
    <row r="1087" spans="1:36" x14ac:dyDescent="0.3">
      <c r="A1087" s="3" t="s">
        <v>92</v>
      </c>
      <c r="B1087" s="3" t="s">
        <v>1211</v>
      </c>
      <c r="C1087" s="3" t="s">
        <v>1212</v>
      </c>
      <c r="D1087" s="3" t="s">
        <v>47</v>
      </c>
      <c r="E1087" s="3" t="s">
        <v>436</v>
      </c>
      <c r="F1087" s="3" t="s">
        <v>174</v>
      </c>
      <c r="G1087" s="3">
        <v>2.5307658879999999</v>
      </c>
      <c r="H1087" s="3">
        <v>2.303992214</v>
      </c>
      <c r="I1087" s="3">
        <v>1.9275970469999999</v>
      </c>
      <c r="J1087" s="3">
        <v>28.251314709999999</v>
      </c>
      <c r="K1087" s="3">
        <v>3.6977554000000003E-2</v>
      </c>
      <c r="L1087" s="3">
        <v>4.4220354000000003E-2</v>
      </c>
      <c r="M1087" s="3">
        <v>0.75915285200000004</v>
      </c>
      <c r="N1087" s="3">
        <v>5.5583944000000003E-2</v>
      </c>
      <c r="O1087" s="3">
        <v>2.2931506000000001E-2</v>
      </c>
      <c r="P1087" s="3">
        <v>3.2168430999999997E-2</v>
      </c>
      <c r="Q1087" s="3">
        <v>6.6206860000000006E-2</v>
      </c>
      <c r="R1087" s="3">
        <v>0.62014664200000003</v>
      </c>
      <c r="S1087" s="3">
        <v>10.669589220000001</v>
      </c>
      <c r="T1087" s="3">
        <v>1.8871570710000001</v>
      </c>
      <c r="U1087" s="3">
        <v>0.65363851900000003</v>
      </c>
      <c r="V1087" s="3">
        <v>0.20658906899999999</v>
      </c>
      <c r="W1087" s="3">
        <v>0.82241524899999996</v>
      </c>
      <c r="X1087" s="3">
        <v>2.4003424880000002</v>
      </c>
      <c r="Y1087" s="3">
        <v>12.702270370000001</v>
      </c>
      <c r="Z1087" s="3">
        <v>2.8871570709999999</v>
      </c>
      <c r="AA1087" s="3">
        <v>4.4220354000000003E-2</v>
      </c>
      <c r="AB1087" s="3">
        <v>17.091884480000001</v>
      </c>
      <c r="AC1087" s="3">
        <v>2.9186502700000001</v>
      </c>
      <c r="AD1087" s="3">
        <v>0.108143685</v>
      </c>
      <c r="AE1087" s="3">
        <v>8.9564241570000007</v>
      </c>
      <c r="AF1087" s="4">
        <v>42296</v>
      </c>
      <c r="AG1087" s="5">
        <f>YEAR(AF1087)</f>
        <v>2015</v>
      </c>
      <c r="AH1087" s="5" t="str">
        <f>"Q"&amp;ROUNDUP(MONTH(AF1087)/3,0)</f>
        <v>Q4</v>
      </c>
      <c r="AI1087" s="5">
        <f>INDEX(RatingLookup!$B$2:$B$11,MATCH(A1087,RatingLookup!$A$2:$A$11,0))</f>
        <v>6</v>
      </c>
      <c r="AJ1087" s="5" t="str">
        <f>INDEX(RatingLookup!$C$2:$C$11,MATCH(A1087,RatingLookup!$A$2:$A$11,0))</f>
        <v>Speculative Grade</v>
      </c>
    </row>
    <row r="1088" spans="1:36" x14ac:dyDescent="0.3">
      <c r="A1088" s="3" t="s">
        <v>92</v>
      </c>
      <c r="B1088" s="3" t="s">
        <v>1211</v>
      </c>
      <c r="C1088" s="3" t="s">
        <v>1212</v>
      </c>
      <c r="D1088" s="3" t="s">
        <v>47</v>
      </c>
      <c r="E1088" s="3" t="s">
        <v>704</v>
      </c>
      <c r="F1088" s="3" t="s">
        <v>174</v>
      </c>
      <c r="G1088" s="3">
        <v>2.3056187810000002</v>
      </c>
      <c r="H1088" s="3">
        <v>2.0582102039999999</v>
      </c>
      <c r="I1088" s="3">
        <v>1.469543915</v>
      </c>
      <c r="J1088" s="3">
        <v>27.711878930000001</v>
      </c>
      <c r="K1088" s="3">
        <v>0.13341911200000001</v>
      </c>
      <c r="L1088" s="3">
        <v>8.6806535000000004E-2</v>
      </c>
      <c r="M1088" s="3">
        <v>0.71597920900000001</v>
      </c>
      <c r="N1088" s="3">
        <v>0.12179491100000001</v>
      </c>
      <c r="O1088" s="3">
        <v>9.7049084999999993E-2</v>
      </c>
      <c r="P1088" s="3">
        <v>7.4961037999999994E-2</v>
      </c>
      <c r="Q1088" s="3">
        <v>0.20827449200000001</v>
      </c>
      <c r="R1088" s="3">
        <v>0.72740017400000001</v>
      </c>
      <c r="S1088" s="3">
        <v>10.280887659999999</v>
      </c>
      <c r="T1088" s="3">
        <v>1.146073728</v>
      </c>
      <c r="U1088" s="3">
        <v>0.53403278399999998</v>
      </c>
      <c r="V1088" s="3">
        <v>0.13104186700000001</v>
      </c>
      <c r="W1088" s="3">
        <v>0.865031789</v>
      </c>
      <c r="X1088" s="3">
        <v>3.460280859</v>
      </c>
      <c r="Y1088" s="3">
        <v>10.858243699999999</v>
      </c>
      <c r="Z1088" s="3">
        <v>2.1460737280000002</v>
      </c>
      <c r="AA1088" s="3">
        <v>8.6806535000000004E-2</v>
      </c>
      <c r="AB1088" s="3">
        <v>13.306771039999999</v>
      </c>
      <c r="AC1088" s="3">
        <v>4.0001776859999998</v>
      </c>
      <c r="AD1088" s="3">
        <v>0.13636970300000001</v>
      </c>
      <c r="AE1088" s="3">
        <v>10.881510049999999</v>
      </c>
      <c r="AF1088" s="4">
        <v>42048</v>
      </c>
      <c r="AG1088" s="5">
        <f>YEAR(AF1088)</f>
        <v>2015</v>
      </c>
      <c r="AH1088" s="5" t="str">
        <f>"Q"&amp;ROUNDUP(MONTH(AF1088)/3,0)</f>
        <v>Q1</v>
      </c>
      <c r="AI1088" s="5">
        <f>INDEX(RatingLookup!$B$2:$B$11,MATCH(A1088,RatingLookup!$A$2:$A$11,0))</f>
        <v>6</v>
      </c>
      <c r="AJ1088" s="5" t="str">
        <f>INDEX(RatingLookup!$C$2:$C$11,MATCH(A1088,RatingLookup!$A$2:$A$11,0))</f>
        <v>Speculative Grade</v>
      </c>
    </row>
    <row r="1089" spans="1:36" x14ac:dyDescent="0.3">
      <c r="A1089" s="3" t="s">
        <v>36</v>
      </c>
      <c r="B1089" s="3" t="s">
        <v>1214</v>
      </c>
      <c r="C1089" s="3" t="s">
        <v>1215</v>
      </c>
      <c r="D1089" s="3" t="s">
        <v>39</v>
      </c>
      <c r="E1089" s="3" t="s">
        <v>1216</v>
      </c>
      <c r="F1089" s="3" t="s">
        <v>53</v>
      </c>
      <c r="G1089" s="3">
        <v>1.2028549959999999</v>
      </c>
      <c r="H1089" s="3">
        <v>1.139894816</v>
      </c>
      <c r="I1089" s="3">
        <v>0.91149511599999999</v>
      </c>
      <c r="J1089" s="3">
        <v>53.361546599999997</v>
      </c>
      <c r="K1089" s="3">
        <v>-1.923632E-3</v>
      </c>
      <c r="L1089" s="3">
        <v>1.4331056999999999E-2</v>
      </c>
      <c r="M1089" s="3">
        <v>1</v>
      </c>
      <c r="N1089" s="3">
        <v>5.9728768000000002E-2</v>
      </c>
      <c r="O1089" s="3">
        <v>-4.66451E-4</v>
      </c>
      <c r="P1089" s="3">
        <v>4.1135219999999997E-3</v>
      </c>
      <c r="Q1089" s="3">
        <v>-9.75657E-4</v>
      </c>
      <c r="R1089" s="3">
        <v>0.24248431600000001</v>
      </c>
      <c r="S1089" s="3">
        <v>0.36548669499999997</v>
      </c>
      <c r="T1089" s="3">
        <v>1.091663008</v>
      </c>
      <c r="U1089" s="3">
        <v>0.52191151400000002</v>
      </c>
      <c r="V1089" s="3">
        <v>1.134228188</v>
      </c>
      <c r="W1089" s="3">
        <v>-0.24319352499999999</v>
      </c>
      <c r="X1089" s="3">
        <v>-3.2885572139999999</v>
      </c>
      <c r="Y1089" s="3">
        <v>15.08955224</v>
      </c>
      <c r="Z1089" s="3">
        <v>2.0916630079999998</v>
      </c>
      <c r="AA1089" s="3">
        <v>1.4331056999999999E-2</v>
      </c>
      <c r="AB1089" s="3">
        <v>8.8042752130000004</v>
      </c>
      <c r="AC1089" s="3">
        <v>13.522388060000001</v>
      </c>
      <c r="AD1089" s="3">
        <v>0.52284312799999999</v>
      </c>
      <c r="AE1089" s="3">
        <v>0</v>
      </c>
      <c r="AF1089" s="4">
        <v>41614</v>
      </c>
      <c r="AG1089" s="5">
        <f>YEAR(AF1089)</f>
        <v>2013</v>
      </c>
      <c r="AH1089" s="5" t="str">
        <f>"Q"&amp;ROUNDUP(MONTH(AF1089)/3,0)</f>
        <v>Q4</v>
      </c>
      <c r="AI1089" s="5">
        <f>INDEX(RatingLookup!$B$2:$B$11,MATCH(A1089,RatingLookup!$A$2:$A$11,0))</f>
        <v>8</v>
      </c>
      <c r="AJ1089" s="5" t="str">
        <f>INDEX(RatingLookup!$C$2:$C$11,MATCH(A1089,RatingLookup!$A$2:$A$11,0))</f>
        <v>Investment Grade</v>
      </c>
    </row>
    <row r="1090" spans="1:36" x14ac:dyDescent="0.3">
      <c r="A1090" s="3" t="s">
        <v>42</v>
      </c>
      <c r="B1090" s="3" t="s">
        <v>1214</v>
      </c>
      <c r="C1090" s="3" t="s">
        <v>1215</v>
      </c>
      <c r="D1090" s="3" t="s">
        <v>47</v>
      </c>
      <c r="E1090" s="3" t="s">
        <v>1217</v>
      </c>
      <c r="F1090" s="3" t="s">
        <v>53</v>
      </c>
      <c r="G1090" s="3">
        <v>1.22185129</v>
      </c>
      <c r="H1090" s="3">
        <v>1.0494688919999999</v>
      </c>
      <c r="I1090" s="3">
        <v>0.70106221499999999</v>
      </c>
      <c r="J1090" s="3">
        <v>30.682769109999999</v>
      </c>
      <c r="K1090" s="3">
        <v>-1.0995815900000001</v>
      </c>
      <c r="L1090" s="3">
        <v>-1.6179535949999999</v>
      </c>
      <c r="M1090" s="3">
        <v>1</v>
      </c>
      <c r="N1090" s="3">
        <v>-1.5767972610000001</v>
      </c>
      <c r="O1090" s="3">
        <v>-0.48943518899999999</v>
      </c>
      <c r="P1090" s="3">
        <v>-0.81061096899999996</v>
      </c>
      <c r="Q1090" s="3">
        <v>-2.050503618</v>
      </c>
      <c r="R1090" s="3">
        <v>0.445110389</v>
      </c>
      <c r="S1090" s="3">
        <v>0.689374869</v>
      </c>
      <c r="T1090" s="3">
        <v>3.18953043</v>
      </c>
      <c r="U1090" s="3">
        <v>0.761309766</v>
      </c>
      <c r="V1090" s="3">
        <v>0.28517020900000001</v>
      </c>
      <c r="W1090" s="3">
        <v>1.3932751E-2</v>
      </c>
      <c r="X1090" s="3">
        <v>0.18427518400000001</v>
      </c>
      <c r="Y1090" s="3">
        <v>5.7813267809999997</v>
      </c>
      <c r="Z1090" s="3">
        <v>4.1895304299999996</v>
      </c>
      <c r="AA1090" s="3">
        <v>-1.6179535949999999</v>
      </c>
      <c r="AB1090" s="3">
        <v>-1.2591374019999999</v>
      </c>
      <c r="AC1090" s="3">
        <v>13.226044229999999</v>
      </c>
      <c r="AD1090" s="3">
        <v>0.40950931899999998</v>
      </c>
      <c r="AE1090" s="3">
        <v>0</v>
      </c>
      <c r="AF1090" s="4">
        <v>42447</v>
      </c>
      <c r="AG1090" s="5">
        <f>YEAR(AF1090)</f>
        <v>2016</v>
      </c>
      <c r="AH1090" s="5" t="str">
        <f>"Q"&amp;ROUNDUP(MONTH(AF1090)/3,0)</f>
        <v>Q1</v>
      </c>
      <c r="AI1090" s="5">
        <f>INDEX(RatingLookup!$B$2:$B$11,MATCH(A1090,RatingLookup!$A$2:$A$11,0))</f>
        <v>7</v>
      </c>
      <c r="AJ1090" s="5" t="str">
        <f>INDEX(RatingLookup!$C$2:$C$11,MATCH(A1090,RatingLookup!$A$2:$A$11,0))</f>
        <v>Investment Grade</v>
      </c>
    </row>
    <row r="1091" spans="1:36" x14ac:dyDescent="0.3">
      <c r="A1091" s="3" t="s">
        <v>42</v>
      </c>
      <c r="B1091" s="3" t="s">
        <v>1214</v>
      </c>
      <c r="C1091" s="3" t="s">
        <v>1215</v>
      </c>
      <c r="D1091" s="3" t="s">
        <v>47</v>
      </c>
      <c r="E1091" s="3" t="s">
        <v>1218</v>
      </c>
      <c r="F1091" s="3" t="s">
        <v>53</v>
      </c>
      <c r="G1091" s="3">
        <v>1.212088152</v>
      </c>
      <c r="H1091" s="3">
        <v>0.88762819100000001</v>
      </c>
      <c r="I1091" s="3">
        <v>0.62535457100000003</v>
      </c>
      <c r="J1091" s="3">
        <v>44.137826959999998</v>
      </c>
      <c r="K1091" s="3">
        <v>0.45774647899999998</v>
      </c>
      <c r="L1091" s="3">
        <v>0.35895372199999998</v>
      </c>
      <c r="M1091" s="3">
        <v>1</v>
      </c>
      <c r="N1091" s="3">
        <v>0.35895372199999998</v>
      </c>
      <c r="O1091" s="3">
        <v>0.138184469</v>
      </c>
      <c r="P1091" s="3">
        <v>0.12588202100000001</v>
      </c>
      <c r="Q1091" s="3">
        <v>0.236326806</v>
      </c>
      <c r="R1091" s="3">
        <v>0.30187991600000003</v>
      </c>
      <c r="S1091" s="3">
        <v>0.50580093599999998</v>
      </c>
      <c r="T1091" s="3">
        <v>0.71022697800000001</v>
      </c>
      <c r="U1091" s="3">
        <v>0.41528229100000003</v>
      </c>
      <c r="V1091" s="3">
        <v>0.34613228699999998</v>
      </c>
      <c r="W1091" s="3">
        <v>-0.182183279</v>
      </c>
      <c r="X1091" s="3">
        <v>-2.2942528740000001</v>
      </c>
      <c r="Y1091" s="3">
        <v>6.5885057470000001</v>
      </c>
      <c r="Z1091" s="3">
        <v>1.7102269779999999</v>
      </c>
      <c r="AA1091" s="3">
        <v>0.35895372199999998</v>
      </c>
      <c r="AB1091" s="3">
        <v>7.2381866129999999</v>
      </c>
      <c r="AC1091" s="3">
        <v>12.593103449999999</v>
      </c>
      <c r="AD1091" s="3">
        <v>0.55110663999999998</v>
      </c>
      <c r="AE1091" s="3">
        <v>0</v>
      </c>
      <c r="AF1091" s="4">
        <v>40631</v>
      </c>
      <c r="AG1091" s="5">
        <f>YEAR(AF1091)</f>
        <v>2011</v>
      </c>
      <c r="AH1091" s="5" t="str">
        <f>"Q"&amp;ROUNDUP(MONTH(AF1091)/3,0)</f>
        <v>Q1</v>
      </c>
      <c r="AI1091" s="5">
        <f>INDEX(RatingLookup!$B$2:$B$11,MATCH(A1091,RatingLookup!$A$2:$A$11,0))</f>
        <v>7</v>
      </c>
      <c r="AJ1091" s="5" t="str">
        <f>INDEX(RatingLookup!$C$2:$C$11,MATCH(A1091,RatingLookup!$A$2:$A$11,0))</f>
        <v>Investment Grade</v>
      </c>
    </row>
    <row r="1092" spans="1:36" x14ac:dyDescent="0.3">
      <c r="A1092" s="3" t="s">
        <v>36</v>
      </c>
      <c r="B1092" s="3" t="s">
        <v>1214</v>
      </c>
      <c r="C1092" s="3" t="s">
        <v>1215</v>
      </c>
      <c r="D1092" s="3" t="s">
        <v>39</v>
      </c>
      <c r="E1092" s="3" t="s">
        <v>1219</v>
      </c>
      <c r="F1092" s="3" t="s">
        <v>53</v>
      </c>
      <c r="G1092" s="3">
        <v>1.094860994</v>
      </c>
      <c r="H1092" s="3">
        <v>0.91524852599999995</v>
      </c>
      <c r="I1092" s="3">
        <v>0.24936815500000001</v>
      </c>
      <c r="J1092" s="3">
        <v>36.544771539999999</v>
      </c>
      <c r="K1092" s="3">
        <v>8.2132269999999993E-2</v>
      </c>
      <c r="L1092" s="3">
        <v>0.20745170199999999</v>
      </c>
      <c r="M1092" s="3">
        <v>1</v>
      </c>
      <c r="N1092" s="3">
        <v>0.240110396</v>
      </c>
      <c r="O1092" s="3">
        <v>3.1735686999999999E-2</v>
      </c>
      <c r="P1092" s="3">
        <v>9.0801305999999998E-2</v>
      </c>
      <c r="Q1092" s="3">
        <v>7.4608849000000005E-2</v>
      </c>
      <c r="R1092" s="3">
        <v>0.386397298</v>
      </c>
      <c r="S1092" s="3">
        <v>0.539067666</v>
      </c>
      <c r="T1092" s="3">
        <v>1.350944798</v>
      </c>
      <c r="U1092" s="3">
        <v>0.57463909800000001</v>
      </c>
      <c r="V1092" s="3">
        <v>0.58339492500000001</v>
      </c>
      <c r="W1092" s="3">
        <v>-0.16836649400000001</v>
      </c>
      <c r="X1092" s="3">
        <v>-2.4864197529999998</v>
      </c>
      <c r="Y1092" s="3">
        <v>8.5753086419999995</v>
      </c>
      <c r="Z1092" s="3">
        <v>2.350944798</v>
      </c>
      <c r="AA1092" s="3">
        <v>0.20745170199999999</v>
      </c>
      <c r="AB1092" s="3">
        <v>4.2648559309999996</v>
      </c>
      <c r="AC1092" s="3">
        <v>14.76790123</v>
      </c>
      <c r="AD1092" s="3">
        <v>0.30568332799999998</v>
      </c>
      <c r="AE1092" s="3">
        <v>0</v>
      </c>
      <c r="AF1092" s="4">
        <v>41877</v>
      </c>
      <c r="AG1092" s="5">
        <f>YEAR(AF1092)</f>
        <v>2014</v>
      </c>
      <c r="AH1092" s="5" t="str">
        <f>"Q"&amp;ROUNDUP(MONTH(AF1092)/3,0)</f>
        <v>Q3</v>
      </c>
      <c r="AI1092" s="5">
        <f>INDEX(RatingLookup!$B$2:$B$11,MATCH(A1092,RatingLookup!$A$2:$A$11,0))</f>
        <v>8</v>
      </c>
      <c r="AJ1092" s="5" t="str">
        <f>INDEX(RatingLookup!$C$2:$C$11,MATCH(A1092,RatingLookup!$A$2:$A$11,0))</f>
        <v>Investment Grade</v>
      </c>
    </row>
    <row r="1093" spans="1:36" x14ac:dyDescent="0.3">
      <c r="A1093" s="3" t="s">
        <v>42</v>
      </c>
      <c r="B1093" s="3" t="s">
        <v>1214</v>
      </c>
      <c r="C1093" s="3" t="s">
        <v>1215</v>
      </c>
      <c r="D1093" s="3" t="s">
        <v>60</v>
      </c>
      <c r="E1093" s="3" t="s">
        <v>46</v>
      </c>
      <c r="F1093" s="3" t="s">
        <v>53</v>
      </c>
      <c r="G1093" s="3">
        <v>1.3809735830000001</v>
      </c>
      <c r="H1093" s="3">
        <v>1.252151974</v>
      </c>
      <c r="I1093" s="3">
        <v>0.824428614</v>
      </c>
      <c r="J1093" s="3">
        <v>43.944037020000003</v>
      </c>
      <c r="K1093" s="3">
        <v>0.41068622300000002</v>
      </c>
      <c r="L1093" s="3">
        <v>0.37454164499999998</v>
      </c>
      <c r="M1093" s="3">
        <v>1</v>
      </c>
      <c r="N1093" s="3">
        <v>0.37454164499999998</v>
      </c>
      <c r="O1093" s="3">
        <v>0.11440523399999999</v>
      </c>
      <c r="P1093" s="3">
        <v>0.12478548</v>
      </c>
      <c r="Q1093" s="3">
        <v>0.21950536600000001</v>
      </c>
      <c r="R1093" s="3">
        <v>0.27857090699999998</v>
      </c>
      <c r="S1093" s="3">
        <v>0.46233954999999999</v>
      </c>
      <c r="T1093" s="3">
        <v>0.91866542200000001</v>
      </c>
      <c r="U1093" s="3">
        <v>0.478804387</v>
      </c>
      <c r="V1093" s="3">
        <v>-3.3333333E-2</v>
      </c>
      <c r="W1093" s="3">
        <v>-0.210475578</v>
      </c>
      <c r="X1093" s="3">
        <v>-3.17961165</v>
      </c>
      <c r="Y1093" s="3">
        <v>17.131067959999999</v>
      </c>
      <c r="Z1093" s="3">
        <v>1.9186654219999999</v>
      </c>
      <c r="AA1093" s="3">
        <v>0.37454164499999998</v>
      </c>
      <c r="AB1093" s="3">
        <v>4.7176996019999997</v>
      </c>
      <c r="AC1093" s="3">
        <v>15.10679612</v>
      </c>
      <c r="AD1093" s="3">
        <v>0.54339095500000001</v>
      </c>
      <c r="AE1093" s="3">
        <v>0</v>
      </c>
      <c r="AF1093" s="4">
        <v>41075</v>
      </c>
      <c r="AG1093" s="5">
        <f>YEAR(AF1093)</f>
        <v>2012</v>
      </c>
      <c r="AH1093" s="5" t="str">
        <f>"Q"&amp;ROUNDUP(MONTH(AF1093)/3,0)</f>
        <v>Q2</v>
      </c>
      <c r="AI1093" s="5">
        <f>INDEX(RatingLookup!$B$2:$B$11,MATCH(A1093,RatingLookup!$A$2:$A$11,0))</f>
        <v>7</v>
      </c>
      <c r="AJ1093" s="5" t="str">
        <f>INDEX(RatingLookup!$C$2:$C$11,MATCH(A1093,RatingLookup!$A$2:$A$11,0))</f>
        <v>Investment Grade</v>
      </c>
    </row>
    <row r="1094" spans="1:36" x14ac:dyDescent="0.3">
      <c r="A1094" s="3" t="s">
        <v>36</v>
      </c>
      <c r="B1094" s="3" t="s">
        <v>1214</v>
      </c>
      <c r="C1094" s="3" t="s">
        <v>1215</v>
      </c>
      <c r="D1094" s="3" t="s">
        <v>39</v>
      </c>
      <c r="E1094" s="3" t="s">
        <v>678</v>
      </c>
      <c r="F1094" s="3" t="s">
        <v>53</v>
      </c>
      <c r="G1094" s="3">
        <v>1.494419457</v>
      </c>
      <c r="H1094" s="3">
        <v>1.370148259</v>
      </c>
      <c r="I1094" s="3">
        <v>0.77244710999999999</v>
      </c>
      <c r="J1094" s="3">
        <v>47.824142289999998</v>
      </c>
      <c r="K1094" s="3">
        <v>-2.1679646E-2</v>
      </c>
      <c r="L1094" s="3">
        <v>-3.3361398E-2</v>
      </c>
      <c r="M1094" s="3">
        <v>1</v>
      </c>
      <c r="N1094" s="3">
        <v>-3.3361398E-2</v>
      </c>
      <c r="O1094" s="3">
        <v>-4.7546510000000004E-3</v>
      </c>
      <c r="P1094" s="3">
        <v>-8.4934220000000005E-3</v>
      </c>
      <c r="Q1094" s="3">
        <v>-9.6813609999999994E-3</v>
      </c>
      <c r="R1094" s="3">
        <v>0.21931403799999999</v>
      </c>
      <c r="S1094" s="3">
        <v>0.34785473700000002</v>
      </c>
      <c r="T1094" s="3">
        <v>1.036187612</v>
      </c>
      <c r="U1094" s="3">
        <v>0.50888611900000003</v>
      </c>
      <c r="V1094" s="3">
        <v>-0.16403785500000001</v>
      </c>
      <c r="W1094" s="3">
        <v>-0.65960452000000003</v>
      </c>
      <c r="X1094" s="3">
        <v>-8.1724999999999994</v>
      </c>
      <c r="Y1094" s="3">
        <v>17.45</v>
      </c>
      <c r="Z1094" s="3">
        <v>2.036187612</v>
      </c>
      <c r="AA1094" s="3">
        <v>-3.3361398E-2</v>
      </c>
      <c r="AB1094" s="3">
        <v>12.07177225</v>
      </c>
      <c r="AC1094" s="3">
        <v>12.39</v>
      </c>
      <c r="AD1094" s="3">
        <v>0.52157440499999996</v>
      </c>
      <c r="AE1094" s="3">
        <v>0</v>
      </c>
      <c r="AF1094" s="4">
        <v>41444</v>
      </c>
      <c r="AG1094" s="5">
        <f>YEAR(AF1094)</f>
        <v>2013</v>
      </c>
      <c r="AH1094" s="5" t="str">
        <f>"Q"&amp;ROUNDUP(MONTH(AF1094)/3,0)</f>
        <v>Q2</v>
      </c>
      <c r="AI1094" s="5">
        <f>INDEX(RatingLookup!$B$2:$B$11,MATCH(A1094,RatingLookup!$A$2:$A$11,0))</f>
        <v>8</v>
      </c>
      <c r="AJ1094" s="5" t="str">
        <f>INDEX(RatingLookup!$C$2:$C$11,MATCH(A1094,RatingLookup!$A$2:$A$11,0))</f>
        <v>Investment Grade</v>
      </c>
    </row>
    <row r="1095" spans="1:36" x14ac:dyDescent="0.3">
      <c r="A1095" s="3" t="s">
        <v>92</v>
      </c>
      <c r="B1095" s="3" t="s">
        <v>1220</v>
      </c>
      <c r="C1095" s="3" t="s">
        <v>1221</v>
      </c>
      <c r="D1095" s="3" t="s">
        <v>39</v>
      </c>
      <c r="E1095" s="3" t="s">
        <v>398</v>
      </c>
      <c r="F1095" s="3" t="s">
        <v>219</v>
      </c>
      <c r="G1095" s="3">
        <v>2.02224592</v>
      </c>
      <c r="H1095" s="3">
        <v>0.80792308400000001</v>
      </c>
      <c r="I1095" s="3">
        <v>0.55089024200000003</v>
      </c>
      <c r="J1095" s="3">
        <v>14.39648905</v>
      </c>
      <c r="K1095" s="3">
        <v>5.8255595E-2</v>
      </c>
      <c r="L1095" s="3">
        <v>6.7060684999999995E-2</v>
      </c>
      <c r="M1095" s="3">
        <v>0.104842878</v>
      </c>
      <c r="N1095" s="3">
        <v>7.2903645000000003E-2</v>
      </c>
      <c r="O1095" s="3">
        <v>5.5855037000000003E-2</v>
      </c>
      <c r="P1095" s="3">
        <v>7.5389283000000001E-2</v>
      </c>
      <c r="Q1095" s="3">
        <v>0.103097016</v>
      </c>
      <c r="R1095" s="3">
        <v>0.95879267199999996</v>
      </c>
      <c r="S1095" s="3">
        <v>1.4955197339999999</v>
      </c>
      <c r="T1095" s="3">
        <v>0.84579621299999996</v>
      </c>
      <c r="U1095" s="3">
        <v>0.45822838199999999</v>
      </c>
      <c r="V1095" s="3">
        <v>0.141377793</v>
      </c>
      <c r="W1095" s="3">
        <v>0.78840798099999998</v>
      </c>
      <c r="X1095" s="3">
        <v>1.596781343</v>
      </c>
      <c r="Y1095" s="3">
        <v>1.6832961790000001</v>
      </c>
      <c r="Z1095" s="3">
        <v>1.8457962130000001</v>
      </c>
      <c r="AA1095" s="3">
        <v>6.7060684999999995E-2</v>
      </c>
      <c r="AB1095" s="3">
        <v>10.79574167</v>
      </c>
      <c r="AC1095" s="3">
        <v>2.0253236659999998</v>
      </c>
      <c r="AD1095" s="3">
        <v>0.101712443</v>
      </c>
      <c r="AE1095" s="3">
        <v>11.414103000000001</v>
      </c>
      <c r="AF1095" s="4">
        <v>42094</v>
      </c>
      <c r="AG1095" s="5">
        <f>YEAR(AF1095)</f>
        <v>2015</v>
      </c>
      <c r="AH1095" s="5" t="str">
        <f>"Q"&amp;ROUNDUP(MONTH(AF1095)/3,0)</f>
        <v>Q1</v>
      </c>
      <c r="AI1095" s="5">
        <f>INDEX(RatingLookup!$B$2:$B$11,MATCH(A1095,RatingLookup!$A$2:$A$11,0))</f>
        <v>6</v>
      </c>
      <c r="AJ1095" s="5" t="str">
        <f>INDEX(RatingLookup!$C$2:$C$11,MATCH(A1095,RatingLookup!$A$2:$A$11,0))</f>
        <v>Speculative Grade</v>
      </c>
    </row>
    <row r="1096" spans="1:36" x14ac:dyDescent="0.3">
      <c r="A1096" s="3" t="s">
        <v>109</v>
      </c>
      <c r="B1096" s="3" t="s">
        <v>1220</v>
      </c>
      <c r="C1096" s="3" t="s">
        <v>1221</v>
      </c>
      <c r="D1096" s="3" t="s">
        <v>39</v>
      </c>
      <c r="E1096" s="3" t="s">
        <v>1222</v>
      </c>
      <c r="F1096" s="3" t="s">
        <v>219</v>
      </c>
      <c r="G1096" s="3">
        <v>1.9012564430000001</v>
      </c>
      <c r="H1096" s="3">
        <v>0.56671900200000003</v>
      </c>
      <c r="I1096" s="3">
        <v>0.33938885099999999</v>
      </c>
      <c r="J1096" s="3">
        <v>14.100925999999999</v>
      </c>
      <c r="K1096" s="3">
        <v>-2.7719616999999998E-2</v>
      </c>
      <c r="L1096" s="3">
        <v>1.3096906E-2</v>
      </c>
      <c r="M1096" s="3">
        <v>2.7176406E-2</v>
      </c>
      <c r="N1096" s="3">
        <v>-2.5136267E-2</v>
      </c>
      <c r="O1096" s="3">
        <v>-2.2269964E-2</v>
      </c>
      <c r="P1096" s="3">
        <v>1.2190603E-2</v>
      </c>
      <c r="Q1096" s="3">
        <v>-4.0199958000000001E-2</v>
      </c>
      <c r="R1096" s="3">
        <v>0.80340084700000003</v>
      </c>
      <c r="S1096" s="3">
        <v>1.16563153</v>
      </c>
      <c r="T1096" s="3">
        <v>0.80512000299999997</v>
      </c>
      <c r="U1096" s="3">
        <v>0.44602020999999997</v>
      </c>
      <c r="V1096" s="3">
        <v>0.164382842</v>
      </c>
      <c r="W1096" s="3">
        <v>-1.3599249419999999</v>
      </c>
      <c r="X1096" s="3">
        <v>-0.29932652100000001</v>
      </c>
      <c r="Y1096" s="3">
        <v>0.94020787800000005</v>
      </c>
      <c r="Z1096" s="3">
        <v>1.8051200030000001</v>
      </c>
      <c r="AA1096" s="3">
        <v>1.3096906E-2</v>
      </c>
      <c r="AB1096" s="3">
        <v>-3749.9213370000002</v>
      </c>
      <c r="AC1096" s="3">
        <v>0.22010517800000001</v>
      </c>
      <c r="AD1096" s="3">
        <v>1.3558292E-2</v>
      </c>
      <c r="AE1096" s="3">
        <v>13.04074108</v>
      </c>
      <c r="AF1096" s="4">
        <v>41522</v>
      </c>
      <c r="AG1096" s="5">
        <f>YEAR(AF1096)</f>
        <v>2013</v>
      </c>
      <c r="AH1096" s="5" t="str">
        <f>"Q"&amp;ROUNDUP(MONTH(AF1096)/3,0)</f>
        <v>Q3</v>
      </c>
      <c r="AI1096" s="5">
        <f>INDEX(RatingLookup!$B$2:$B$11,MATCH(A1096,RatingLookup!$A$2:$A$11,0))</f>
        <v>5</v>
      </c>
      <c r="AJ1096" s="5" t="str">
        <f>INDEX(RatingLookup!$C$2:$C$11,MATCH(A1096,RatingLookup!$A$2:$A$11,0))</f>
        <v>Speculative Grade</v>
      </c>
    </row>
    <row r="1097" spans="1:36" x14ac:dyDescent="0.3">
      <c r="A1097" s="3" t="s">
        <v>109</v>
      </c>
      <c r="B1097" s="3" t="s">
        <v>1220</v>
      </c>
      <c r="C1097" s="3" t="s">
        <v>1221</v>
      </c>
      <c r="D1097" s="3" t="s">
        <v>39</v>
      </c>
      <c r="E1097" s="3" t="s">
        <v>162</v>
      </c>
      <c r="F1097" s="3" t="s">
        <v>219</v>
      </c>
      <c r="G1097" s="3">
        <v>2.6778608529999999</v>
      </c>
      <c r="H1097" s="3">
        <v>0.74628703299999999</v>
      </c>
      <c r="I1097" s="3">
        <v>0.68965867599999997</v>
      </c>
      <c r="J1097" s="3">
        <v>1.773655709</v>
      </c>
      <c r="K1097" s="3">
        <v>-3.0417614999999999E-2</v>
      </c>
      <c r="L1097" s="3">
        <v>-2.1089752E-2</v>
      </c>
      <c r="M1097" s="3">
        <v>2.1187708E-2</v>
      </c>
      <c r="N1097" s="3">
        <v>-2.0046597999999999E-2</v>
      </c>
      <c r="O1097" s="3">
        <v>-3.3843698999999998E-2</v>
      </c>
      <c r="P1097" s="3">
        <v>-2.5942040999999999E-2</v>
      </c>
      <c r="Q1097" s="3">
        <v>-5.8268738E-2</v>
      </c>
      <c r="R1097" s="3">
        <v>1.1126348669999999</v>
      </c>
      <c r="S1097" s="3">
        <v>1.5823473370000001</v>
      </c>
      <c r="T1097" s="3">
        <v>0.72170120000000004</v>
      </c>
      <c r="U1097" s="3">
        <v>0.41917912299999999</v>
      </c>
      <c r="V1097" s="3">
        <v>-0.22557268599999999</v>
      </c>
      <c r="W1097" s="3">
        <v>-0.716563108</v>
      </c>
      <c r="X1097" s="3">
        <v>-0.26179598799999998</v>
      </c>
      <c r="Y1097" s="3">
        <v>1.323001858</v>
      </c>
      <c r="Z1097" s="3">
        <v>1.7217012</v>
      </c>
      <c r="AA1097" s="3">
        <v>-2.1089752E-2</v>
      </c>
      <c r="AB1097" s="3">
        <v>13.49316765</v>
      </c>
      <c r="AC1097" s="3">
        <v>0.36534951999999998</v>
      </c>
      <c r="AD1097" s="3">
        <v>1.6342737E-2</v>
      </c>
      <c r="AE1097" s="3">
        <v>21.091447580000001</v>
      </c>
      <c r="AF1097" s="4">
        <v>42342</v>
      </c>
      <c r="AG1097" s="5">
        <f>YEAR(AF1097)</f>
        <v>2015</v>
      </c>
      <c r="AH1097" s="5" t="str">
        <f>"Q"&amp;ROUNDUP(MONTH(AF1097)/3,0)</f>
        <v>Q4</v>
      </c>
      <c r="AI1097" s="5">
        <f>INDEX(RatingLookup!$B$2:$B$11,MATCH(A1097,RatingLookup!$A$2:$A$11,0))</f>
        <v>5</v>
      </c>
      <c r="AJ1097" s="5" t="str">
        <f>INDEX(RatingLookup!$C$2:$C$11,MATCH(A1097,RatingLookup!$A$2:$A$11,0))</f>
        <v>Speculative Grade</v>
      </c>
    </row>
    <row r="1098" spans="1:36" x14ac:dyDescent="0.3">
      <c r="A1098" s="3" t="s">
        <v>116</v>
      </c>
      <c r="B1098" s="3" t="s">
        <v>1220</v>
      </c>
      <c r="C1098" s="3" t="s">
        <v>1221</v>
      </c>
      <c r="D1098" s="3" t="s">
        <v>60</v>
      </c>
      <c r="E1098" s="3" t="s">
        <v>46</v>
      </c>
      <c r="F1098" s="3" t="s">
        <v>219</v>
      </c>
      <c r="G1098" s="3">
        <v>2.5253794639999998</v>
      </c>
      <c r="H1098" s="3">
        <v>1.2155560729999999</v>
      </c>
      <c r="I1098" s="3">
        <v>0.94847050899999996</v>
      </c>
      <c r="J1098" s="3">
        <v>12.82132652</v>
      </c>
      <c r="K1098" s="3">
        <v>8.3491590000000001E-3</v>
      </c>
      <c r="L1098" s="3">
        <v>-5.4029566000000001E-2</v>
      </c>
      <c r="M1098" s="3">
        <v>6.5998536999999996E-2</v>
      </c>
      <c r="N1098" s="3">
        <v>3.4868152999999999E-2</v>
      </c>
      <c r="O1098" s="3">
        <v>6.2531269999999998E-3</v>
      </c>
      <c r="P1098" s="3">
        <v>-4.5302396000000002E-2</v>
      </c>
      <c r="Q1098" s="3">
        <v>1.0907494E-2</v>
      </c>
      <c r="R1098" s="3">
        <v>0.74895284299999998</v>
      </c>
      <c r="S1098" s="3">
        <v>1.1134429189999999</v>
      </c>
      <c r="T1098" s="3">
        <v>0.74432641799999999</v>
      </c>
      <c r="U1098" s="3">
        <v>0.42671280499999997</v>
      </c>
      <c r="V1098" s="3">
        <v>-0.19592833700000001</v>
      </c>
      <c r="W1098" s="3">
        <v>7.8460490460000001</v>
      </c>
      <c r="X1098" s="3">
        <v>-223.75041279999999</v>
      </c>
      <c r="Y1098" s="3">
        <v>1820.220681</v>
      </c>
      <c r="Z1098" s="3">
        <v>1.744326418</v>
      </c>
      <c r="AA1098" s="3">
        <v>-5.4029566000000001E-2</v>
      </c>
      <c r="AB1098" s="3">
        <v>0.979895026</v>
      </c>
      <c r="AC1098" s="3">
        <v>-28.517590380000001</v>
      </c>
      <c r="AD1098" s="3">
        <v>-2.1645150000000001E-3</v>
      </c>
      <c r="AE1098" s="3">
        <v>14.70201458</v>
      </c>
      <c r="AF1098" s="4">
        <v>41075</v>
      </c>
      <c r="AG1098" s="5">
        <f>YEAR(AF1098)</f>
        <v>2012</v>
      </c>
      <c r="AH1098" s="5" t="str">
        <f>"Q"&amp;ROUNDUP(MONTH(AF1098)/3,0)</f>
        <v>Q2</v>
      </c>
      <c r="AI1098" s="5">
        <f>INDEX(RatingLookup!$B$2:$B$11,MATCH(A1098,RatingLookup!$A$2:$A$11,0))</f>
        <v>4</v>
      </c>
      <c r="AJ1098" s="5" t="str">
        <f>INDEX(RatingLookup!$C$2:$C$11,MATCH(A1098,RatingLookup!$A$2:$A$11,0))</f>
        <v>Speculative Grade</v>
      </c>
    </row>
    <row r="1099" spans="1:36" x14ac:dyDescent="0.3">
      <c r="A1099" s="3" t="s">
        <v>42</v>
      </c>
      <c r="B1099" s="3" t="s">
        <v>1223</v>
      </c>
      <c r="C1099" s="3" t="s">
        <v>1224</v>
      </c>
      <c r="D1099" s="3" t="s">
        <v>39</v>
      </c>
      <c r="E1099" s="3" t="s">
        <v>400</v>
      </c>
      <c r="F1099" s="3" t="s">
        <v>59</v>
      </c>
      <c r="G1099" s="3">
        <v>1.38432233</v>
      </c>
      <c r="H1099" s="3">
        <v>0.72447134300000005</v>
      </c>
      <c r="I1099" s="3">
        <v>0.109010682</v>
      </c>
      <c r="J1099" s="3">
        <v>54.751936290000003</v>
      </c>
      <c r="K1099" s="3">
        <v>0.11643698399999999</v>
      </c>
      <c r="L1099" s="3">
        <v>0.114138187</v>
      </c>
      <c r="M1099" s="3">
        <v>0.55298430899999995</v>
      </c>
      <c r="N1099" s="3">
        <v>0.13770379699999999</v>
      </c>
      <c r="O1099" s="3">
        <v>4.8311281999999997E-2</v>
      </c>
      <c r="P1099" s="3">
        <v>5.2703058999999997E-2</v>
      </c>
      <c r="Q1099" s="3">
        <v>9.2523723000000002E-2</v>
      </c>
      <c r="R1099" s="3">
        <v>0.41491354600000002</v>
      </c>
      <c r="S1099" s="3">
        <v>6.9280463900000004</v>
      </c>
      <c r="T1099" s="3">
        <v>0.91515770299999999</v>
      </c>
      <c r="U1099" s="3">
        <v>0.477849788</v>
      </c>
      <c r="V1099" s="3">
        <v>-2.2670935999999999E-2</v>
      </c>
      <c r="W1099" s="3">
        <v>0.84987042499999998</v>
      </c>
      <c r="X1099" s="3">
        <v>6.0045146730000001</v>
      </c>
      <c r="Y1099" s="3">
        <v>1.152997241</v>
      </c>
      <c r="Z1099" s="3">
        <v>1.915157703</v>
      </c>
      <c r="AA1099" s="3">
        <v>0.114138187</v>
      </c>
      <c r="AB1099" s="3">
        <v>16.083620419999999</v>
      </c>
      <c r="AC1099" s="3">
        <v>7.0652119390000001</v>
      </c>
      <c r="AD1099" s="3">
        <v>0.166037936</v>
      </c>
      <c r="AE1099" s="3">
        <v>9.2237898319999996</v>
      </c>
      <c r="AF1099" s="4">
        <v>42215</v>
      </c>
      <c r="AG1099" s="5">
        <f>YEAR(AF1099)</f>
        <v>2015</v>
      </c>
      <c r="AH1099" s="5" t="str">
        <f>"Q"&amp;ROUNDUP(MONTH(AF1099)/3,0)</f>
        <v>Q3</v>
      </c>
      <c r="AI1099" s="5">
        <f>INDEX(RatingLookup!$B$2:$B$11,MATCH(A1099,RatingLookup!$A$2:$A$11,0))</f>
        <v>7</v>
      </c>
      <c r="AJ1099" s="5" t="str">
        <f>INDEX(RatingLookup!$C$2:$C$11,MATCH(A1099,RatingLookup!$A$2:$A$11,0))</f>
        <v>Investment Grade</v>
      </c>
    </row>
    <row r="1100" spans="1:36" x14ac:dyDescent="0.3">
      <c r="A1100" s="3" t="s">
        <v>42</v>
      </c>
      <c r="B1100" s="3" t="s">
        <v>1223</v>
      </c>
      <c r="C1100" s="3" t="s">
        <v>1224</v>
      </c>
      <c r="D1100" s="3" t="s">
        <v>39</v>
      </c>
      <c r="E1100" s="3" t="s">
        <v>903</v>
      </c>
      <c r="F1100" s="3" t="s">
        <v>59</v>
      </c>
      <c r="G1100" s="3">
        <v>1.2224382220000001</v>
      </c>
      <c r="H1100" s="3">
        <v>0.71512953800000001</v>
      </c>
      <c r="I1100" s="3">
        <v>0.25113088300000003</v>
      </c>
      <c r="J1100" s="3">
        <v>53.456801820000003</v>
      </c>
      <c r="K1100" s="3">
        <v>0.11216369800000001</v>
      </c>
      <c r="L1100" s="3">
        <v>0.123579007</v>
      </c>
      <c r="M1100" s="3">
        <v>0.530202018</v>
      </c>
      <c r="N1100" s="3">
        <v>0.14819770700000001</v>
      </c>
      <c r="O1100" s="3">
        <v>4.4207867999999997E-2</v>
      </c>
      <c r="P1100" s="3">
        <v>5.5655253000000002E-2</v>
      </c>
      <c r="Q1100" s="3">
        <v>9.2193439000000002E-2</v>
      </c>
      <c r="R1100" s="3">
        <v>0.39413704300000002</v>
      </c>
      <c r="S1100" s="3">
        <v>6.9604780550000003</v>
      </c>
      <c r="T1100" s="3">
        <v>1.085453156</v>
      </c>
      <c r="U1100" s="3">
        <v>0.52048791100000003</v>
      </c>
      <c r="V1100" s="3">
        <v>9.1845535000000006E-2</v>
      </c>
      <c r="W1100" s="3">
        <v>0.836768972</v>
      </c>
      <c r="X1100" s="3">
        <v>5.5047714719999998</v>
      </c>
      <c r="Y1100" s="3">
        <v>3.3957810149999998</v>
      </c>
      <c r="Z1100" s="3">
        <v>2.0854531559999998</v>
      </c>
      <c r="AA1100" s="3">
        <v>0.123579007</v>
      </c>
      <c r="AB1100" s="3">
        <v>15.062591810000001</v>
      </c>
      <c r="AC1100" s="3">
        <v>6.578603717</v>
      </c>
      <c r="AD1100" s="3">
        <v>0.15510136399999999</v>
      </c>
      <c r="AE1100" s="3">
        <v>9.6682100650000002</v>
      </c>
      <c r="AF1100" s="4">
        <v>42039</v>
      </c>
      <c r="AG1100" s="5">
        <f>YEAR(AF1100)</f>
        <v>2015</v>
      </c>
      <c r="AH1100" s="5" t="str">
        <f>"Q"&amp;ROUNDUP(MONTH(AF1100)/3,0)</f>
        <v>Q1</v>
      </c>
      <c r="AI1100" s="5">
        <f>INDEX(RatingLookup!$B$2:$B$11,MATCH(A1100,RatingLookup!$A$2:$A$11,0))</f>
        <v>7</v>
      </c>
      <c r="AJ1100" s="5" t="str">
        <f>INDEX(RatingLookup!$C$2:$C$11,MATCH(A1100,RatingLookup!$A$2:$A$11,0))</f>
        <v>Investment Grade</v>
      </c>
    </row>
    <row r="1101" spans="1:36" x14ac:dyDescent="0.3">
      <c r="A1101" s="3" t="s">
        <v>42</v>
      </c>
      <c r="B1101" s="3" t="s">
        <v>1223</v>
      </c>
      <c r="C1101" s="3" t="s">
        <v>1224</v>
      </c>
      <c r="D1101" s="3" t="s">
        <v>39</v>
      </c>
      <c r="E1101" s="3" t="s">
        <v>709</v>
      </c>
      <c r="F1101" s="3" t="s">
        <v>59</v>
      </c>
      <c r="G1101" s="3">
        <v>3.1608125399999998</v>
      </c>
      <c r="H1101" s="3">
        <v>2.4865003200000002</v>
      </c>
      <c r="I1101" s="3">
        <v>1.8637236079999999</v>
      </c>
      <c r="J1101" s="3">
        <v>54.157620530000003</v>
      </c>
      <c r="K1101" s="3">
        <v>9.7270497999999997E-2</v>
      </c>
      <c r="L1101" s="3">
        <v>0.10079982899999999</v>
      </c>
      <c r="M1101" s="3">
        <v>0.51799424000000005</v>
      </c>
      <c r="N1101" s="3">
        <v>0.12296127699999999</v>
      </c>
      <c r="O1101" s="3">
        <v>3.9961208999999998E-2</v>
      </c>
      <c r="P1101" s="3">
        <v>4.5915774999999999E-2</v>
      </c>
      <c r="Q1101" s="3">
        <v>7.5539418999999997E-2</v>
      </c>
      <c r="R1101" s="3">
        <v>0.41082558699999999</v>
      </c>
      <c r="S1101" s="3">
        <v>7.4065293649999999</v>
      </c>
      <c r="T1101" s="3">
        <v>0.890318638</v>
      </c>
      <c r="U1101" s="3">
        <v>0.470988658</v>
      </c>
      <c r="V1101" s="3">
        <v>3.0617657999999999E-2</v>
      </c>
      <c r="W1101" s="3">
        <v>0.85955139999999997</v>
      </c>
      <c r="X1101" s="3">
        <v>4.7968359700000001</v>
      </c>
      <c r="Y1101" s="3">
        <v>16.182348040000001</v>
      </c>
      <c r="Z1101" s="3">
        <v>1.8903186380000001</v>
      </c>
      <c r="AA1101" s="3">
        <v>0.10079982899999999</v>
      </c>
      <c r="AB1101" s="3">
        <v>17.663229350000002</v>
      </c>
      <c r="AC1101" s="3">
        <v>5.5806272549999996</v>
      </c>
      <c r="AD1101" s="3">
        <v>0.153602286</v>
      </c>
      <c r="AE1101" s="3">
        <v>9.1245119310000007</v>
      </c>
      <c r="AF1101" s="4">
        <v>41681</v>
      </c>
      <c r="AG1101" s="5">
        <f>YEAR(AF1101)</f>
        <v>2014</v>
      </c>
      <c r="AH1101" s="5" t="str">
        <f>"Q"&amp;ROUNDUP(MONTH(AF1101)/3,0)</f>
        <v>Q1</v>
      </c>
      <c r="AI1101" s="5">
        <f>INDEX(RatingLookup!$B$2:$B$11,MATCH(A1101,RatingLookup!$A$2:$A$11,0))</f>
        <v>7</v>
      </c>
      <c r="AJ1101" s="5" t="str">
        <f>INDEX(RatingLookup!$C$2:$C$11,MATCH(A1101,RatingLookup!$A$2:$A$11,0))</f>
        <v>Investment Grade</v>
      </c>
    </row>
    <row r="1102" spans="1:36" x14ac:dyDescent="0.3">
      <c r="A1102" s="3" t="s">
        <v>42</v>
      </c>
      <c r="B1102" s="3" t="s">
        <v>1223</v>
      </c>
      <c r="C1102" s="3" t="s">
        <v>1224</v>
      </c>
      <c r="D1102" s="3" t="s">
        <v>60</v>
      </c>
      <c r="E1102" s="3" t="s">
        <v>772</v>
      </c>
      <c r="F1102" s="3" t="s">
        <v>59</v>
      </c>
      <c r="G1102" s="3">
        <v>1.442928193</v>
      </c>
      <c r="H1102" s="3">
        <v>0.79127789900000001</v>
      </c>
      <c r="I1102" s="3">
        <v>0.16157671900000001</v>
      </c>
      <c r="J1102" s="3">
        <v>60.889592370000003</v>
      </c>
      <c r="K1102" s="3">
        <v>0.11063746000000001</v>
      </c>
      <c r="L1102" s="3">
        <v>0.110752376</v>
      </c>
      <c r="M1102" s="3">
        <v>0.550516852</v>
      </c>
      <c r="N1102" s="3">
        <v>0.134025752</v>
      </c>
      <c r="O1102" s="3">
        <v>4.4040733999999998E-2</v>
      </c>
      <c r="P1102" s="3">
        <v>4.9313258999999998E-2</v>
      </c>
      <c r="Q1102" s="3">
        <v>9.3865632000000004E-2</v>
      </c>
      <c r="R1102" s="3">
        <v>0.39806349699999999</v>
      </c>
      <c r="S1102" s="3">
        <v>7.0890294049999998</v>
      </c>
      <c r="T1102" s="3">
        <v>1.1313366730000001</v>
      </c>
      <c r="U1102" s="3">
        <v>0.53081087000000005</v>
      </c>
      <c r="V1102" s="3">
        <v>-6.9173399999999995E-4</v>
      </c>
      <c r="W1102" s="3">
        <v>0.85920222999999996</v>
      </c>
      <c r="X1102" s="3">
        <v>6.8690476189999998</v>
      </c>
      <c r="Y1102" s="3">
        <v>2.0306484299999998</v>
      </c>
      <c r="Z1102" s="3">
        <v>2.1313366729999998</v>
      </c>
      <c r="AA1102" s="3">
        <v>0.110752376</v>
      </c>
      <c r="AB1102" s="3">
        <v>17.21158775</v>
      </c>
      <c r="AC1102" s="3">
        <v>7.994680851</v>
      </c>
      <c r="AD1102" s="3">
        <v>0.17271986</v>
      </c>
      <c r="AE1102" s="3">
        <v>8.8683869570000002</v>
      </c>
      <c r="AF1102" s="4">
        <v>42586</v>
      </c>
      <c r="AG1102" s="5">
        <f>YEAR(AF1102)</f>
        <v>2016</v>
      </c>
      <c r="AH1102" s="5" t="str">
        <f>"Q"&amp;ROUNDUP(MONTH(AF1102)/3,0)</f>
        <v>Q3</v>
      </c>
      <c r="AI1102" s="5">
        <f>INDEX(RatingLookup!$B$2:$B$11,MATCH(A1102,RatingLookup!$A$2:$A$11,0))</f>
        <v>7</v>
      </c>
      <c r="AJ1102" s="5" t="str">
        <f>INDEX(RatingLookup!$C$2:$C$11,MATCH(A1102,RatingLookup!$A$2:$A$11,0))</f>
        <v>Investment Grade</v>
      </c>
    </row>
    <row r="1103" spans="1:36" x14ac:dyDescent="0.3">
      <c r="A1103" s="3" t="s">
        <v>42</v>
      </c>
      <c r="B1103" s="3" t="s">
        <v>1223</v>
      </c>
      <c r="C1103" s="3" t="s">
        <v>1224</v>
      </c>
      <c r="D1103" s="3" t="s">
        <v>44</v>
      </c>
      <c r="E1103" s="3" t="s">
        <v>1225</v>
      </c>
      <c r="F1103" s="3" t="s">
        <v>59</v>
      </c>
      <c r="G1103" s="3">
        <v>2.3096546120000001</v>
      </c>
      <c r="H1103" s="3">
        <v>1.270816414</v>
      </c>
      <c r="I1103" s="3">
        <v>0.40653513600000002</v>
      </c>
      <c r="J1103" s="3">
        <v>52.661372190000002</v>
      </c>
      <c r="K1103" s="3">
        <v>9.4157427000000002E-2</v>
      </c>
      <c r="L1103" s="3">
        <v>0.101471634</v>
      </c>
      <c r="M1103" s="3">
        <v>0.51228227199999998</v>
      </c>
      <c r="N1103" s="3">
        <v>0.118474168</v>
      </c>
      <c r="O1103" s="3">
        <v>4.2919190000000003E-2</v>
      </c>
      <c r="P1103" s="3">
        <v>5.0072382999999998E-2</v>
      </c>
      <c r="Q1103" s="3">
        <v>7.6167013000000006E-2</v>
      </c>
      <c r="R1103" s="3">
        <v>0.45582373199999998</v>
      </c>
      <c r="S1103" s="3">
        <v>7.2462349399999999</v>
      </c>
      <c r="T1103" s="3">
        <v>0.77466100199999999</v>
      </c>
      <c r="U1103" s="3">
        <v>0.43651210099999999</v>
      </c>
      <c r="V1103" s="3">
        <v>8.6655110000000007E-3</v>
      </c>
      <c r="W1103" s="3">
        <v>0.84550134799999999</v>
      </c>
      <c r="X1103" s="3">
        <v>4.7399670150000004</v>
      </c>
      <c r="Y1103" s="3">
        <v>2.3510170420000001</v>
      </c>
      <c r="Z1103" s="3">
        <v>1.774661002</v>
      </c>
      <c r="AA1103" s="3">
        <v>0.101471634</v>
      </c>
      <c r="AB1103" s="3">
        <v>12.929346260000001</v>
      </c>
      <c r="AC1103" s="3">
        <v>5.6061022539999996</v>
      </c>
      <c r="AD1103" s="3">
        <v>0.16303087999999999</v>
      </c>
      <c r="AE1103" s="3">
        <v>9.5124727159999996</v>
      </c>
      <c r="AF1103" s="4">
        <v>41106</v>
      </c>
      <c r="AG1103" s="5">
        <f>YEAR(AF1103)</f>
        <v>2012</v>
      </c>
      <c r="AH1103" s="5" t="str">
        <f>"Q"&amp;ROUNDUP(MONTH(AF1103)/3,0)</f>
        <v>Q3</v>
      </c>
      <c r="AI1103" s="5">
        <f>INDEX(RatingLookup!$B$2:$B$11,MATCH(A1103,RatingLookup!$A$2:$A$11,0))</f>
        <v>7</v>
      </c>
      <c r="AJ1103" s="5" t="str">
        <f>INDEX(RatingLookup!$C$2:$C$11,MATCH(A1103,RatingLookup!$A$2:$A$11,0))</f>
        <v>Investment Grade</v>
      </c>
    </row>
    <row r="1104" spans="1:36" x14ac:dyDescent="0.3">
      <c r="A1104" s="3" t="s">
        <v>36</v>
      </c>
      <c r="B1104" s="3" t="s">
        <v>1223</v>
      </c>
      <c r="C1104" s="3" t="s">
        <v>1224</v>
      </c>
      <c r="D1104" s="3" t="s">
        <v>44</v>
      </c>
      <c r="E1104" s="3" t="s">
        <v>46</v>
      </c>
      <c r="F1104" s="3" t="s">
        <v>59</v>
      </c>
      <c r="G1104" s="3">
        <v>1.548906235</v>
      </c>
      <c r="H1104" s="3">
        <v>0.92200700300000005</v>
      </c>
      <c r="I1104" s="3">
        <v>0.32645915599999997</v>
      </c>
      <c r="J1104" s="3">
        <v>56.468714550000001</v>
      </c>
      <c r="K1104" s="3">
        <v>0.113415601</v>
      </c>
      <c r="L1104" s="3">
        <v>9.6077913000000001E-2</v>
      </c>
      <c r="M1104" s="3">
        <v>0.49927084500000002</v>
      </c>
      <c r="N1104" s="3">
        <v>0.106192275</v>
      </c>
      <c r="O1104" s="3">
        <v>4.9560813000000002E-2</v>
      </c>
      <c r="P1104" s="3">
        <v>4.7494583E-2</v>
      </c>
      <c r="Q1104" s="3">
        <v>8.8435373999999997E-2</v>
      </c>
      <c r="R1104" s="3">
        <v>0.43698409100000002</v>
      </c>
      <c r="S1104" s="3">
        <v>7.080002415</v>
      </c>
      <c r="T1104" s="3">
        <v>0.78438100600000005</v>
      </c>
      <c r="U1104" s="3">
        <v>0.439581571</v>
      </c>
      <c r="V1104" s="3">
        <v>9.4976034000000001E-2</v>
      </c>
      <c r="W1104" s="3">
        <v>0.84240094600000004</v>
      </c>
      <c r="X1104" s="3">
        <v>3.7408088240000001</v>
      </c>
      <c r="Y1104" s="3">
        <v>2.7736344540000002</v>
      </c>
      <c r="Z1104" s="3">
        <v>1.784381006</v>
      </c>
      <c r="AA1104" s="3">
        <v>9.6077913000000001E-2</v>
      </c>
      <c r="AB1104" s="3">
        <v>12.31442112</v>
      </c>
      <c r="AC1104" s="3">
        <v>4.4406512610000002</v>
      </c>
      <c r="AD1104" s="3">
        <v>0.14421067900000001</v>
      </c>
      <c r="AE1104" s="3">
        <v>9.3391124540000003</v>
      </c>
      <c r="AF1104" s="4">
        <v>41075</v>
      </c>
      <c r="AG1104" s="5">
        <f>YEAR(AF1104)</f>
        <v>2012</v>
      </c>
      <c r="AH1104" s="5" t="str">
        <f>"Q"&amp;ROUNDUP(MONTH(AF1104)/3,0)</f>
        <v>Q2</v>
      </c>
      <c r="AI1104" s="5">
        <f>INDEX(RatingLookup!$B$2:$B$11,MATCH(A1104,RatingLookup!$A$2:$A$11,0))</f>
        <v>8</v>
      </c>
      <c r="AJ1104" s="5" t="str">
        <f>INDEX(RatingLookup!$C$2:$C$11,MATCH(A1104,RatingLookup!$A$2:$A$11,0))</f>
        <v>Investment Grade</v>
      </c>
    </row>
    <row r="1105" spans="1:36" x14ac:dyDescent="0.3">
      <c r="A1105" s="3" t="s">
        <v>36</v>
      </c>
      <c r="B1105" s="3" t="s">
        <v>1226</v>
      </c>
      <c r="C1105" s="3" t="s">
        <v>1227</v>
      </c>
      <c r="D1105" s="3" t="s">
        <v>39</v>
      </c>
      <c r="E1105" s="3" t="s">
        <v>960</v>
      </c>
      <c r="F1105" s="3" t="s">
        <v>59</v>
      </c>
      <c r="G1105" s="3">
        <v>2.5107632089999998</v>
      </c>
      <c r="H1105" s="3">
        <v>1.3170254400000001</v>
      </c>
      <c r="I1105" s="3">
        <v>0.30416550199999998</v>
      </c>
      <c r="J1105" s="3">
        <v>63.48241453</v>
      </c>
      <c r="K1105" s="3">
        <v>0.114608212</v>
      </c>
      <c r="L1105" s="3">
        <v>0.172157697</v>
      </c>
      <c r="M1105" s="3">
        <v>0.48189105199999999</v>
      </c>
      <c r="N1105" s="3">
        <v>0.19178799299999999</v>
      </c>
      <c r="O1105" s="3">
        <v>8.5231143999999995E-2</v>
      </c>
      <c r="P1105" s="3">
        <v>0.15501090000000001</v>
      </c>
      <c r="Q1105" s="3">
        <v>0.16576755600000001</v>
      </c>
      <c r="R1105" s="3">
        <v>0.74367396600000002</v>
      </c>
      <c r="S1105" s="3">
        <v>7.7872611459999996</v>
      </c>
      <c r="T1105" s="3">
        <v>0.94491765999999999</v>
      </c>
      <c r="U1105" s="3">
        <v>0.48583941600000002</v>
      </c>
      <c r="V1105" s="3">
        <v>0.31679969600000002</v>
      </c>
      <c r="W1105" s="3">
        <v>1</v>
      </c>
      <c r="X1105" s="3">
        <v>6.7457044670000004</v>
      </c>
      <c r="Y1105" s="3">
        <v>7.054982818</v>
      </c>
      <c r="Z1105" s="3">
        <v>1.94491766</v>
      </c>
      <c r="AA1105" s="3">
        <v>0.172157697</v>
      </c>
      <c r="AB1105" s="3">
        <v>9.8667129280000001</v>
      </c>
      <c r="AC1105" s="3">
        <v>6.7457044670000004</v>
      </c>
      <c r="AD1105" s="3">
        <v>0.12844757100000001</v>
      </c>
      <c r="AE1105" s="3">
        <v>10.177377890000001</v>
      </c>
      <c r="AF1105" s="4">
        <v>41765</v>
      </c>
      <c r="AG1105" s="5">
        <f>YEAR(AF1105)</f>
        <v>2014</v>
      </c>
      <c r="AH1105" s="5" t="str">
        <f>"Q"&amp;ROUNDUP(MONTH(AF1105)/3,0)</f>
        <v>Q2</v>
      </c>
      <c r="AI1105" s="5">
        <f>INDEX(RatingLookup!$B$2:$B$11,MATCH(A1105,RatingLookup!$A$2:$A$11,0))</f>
        <v>8</v>
      </c>
      <c r="AJ1105" s="5" t="str">
        <f>INDEX(RatingLookup!$C$2:$C$11,MATCH(A1105,RatingLookup!$A$2:$A$11,0))</f>
        <v>Investment Grade</v>
      </c>
    </row>
    <row r="1106" spans="1:36" x14ac:dyDescent="0.3">
      <c r="A1106" s="3" t="s">
        <v>36</v>
      </c>
      <c r="B1106" s="3" t="s">
        <v>1226</v>
      </c>
      <c r="C1106" s="3" t="s">
        <v>1227</v>
      </c>
      <c r="D1106" s="3" t="s">
        <v>39</v>
      </c>
      <c r="E1106" s="3" t="s">
        <v>340</v>
      </c>
      <c r="F1106" s="3" t="s">
        <v>59</v>
      </c>
      <c r="G1106" s="3">
        <v>2.586058161</v>
      </c>
      <c r="H1106" s="3">
        <v>1.2546264090000001</v>
      </c>
      <c r="I1106" s="3">
        <v>0.184917212</v>
      </c>
      <c r="J1106" s="3">
        <v>61.3363029</v>
      </c>
      <c r="K1106" s="3">
        <v>0.128718309</v>
      </c>
      <c r="L1106" s="3">
        <v>0.19248253300000001</v>
      </c>
      <c r="M1106" s="3">
        <v>0.48335723200000003</v>
      </c>
      <c r="N1106" s="3">
        <v>0.20889648199999999</v>
      </c>
      <c r="O1106" s="3">
        <v>9.7886360000000006E-2</v>
      </c>
      <c r="P1106" s="3">
        <v>0.17566965500000001</v>
      </c>
      <c r="Q1106" s="3">
        <v>0.19109520799999999</v>
      </c>
      <c r="R1106" s="3">
        <v>0.760469595</v>
      </c>
      <c r="S1106" s="3">
        <v>8.1030902349999998</v>
      </c>
      <c r="T1106" s="3">
        <v>0.95221487500000002</v>
      </c>
      <c r="U1106" s="3">
        <v>0.48776130499999998</v>
      </c>
      <c r="V1106" s="3">
        <v>0.31621493099999998</v>
      </c>
      <c r="W1106" s="3">
        <v>1</v>
      </c>
      <c r="X1106" s="3">
        <v>6.8485370049999998</v>
      </c>
      <c r="Y1106" s="3">
        <v>6.0395869190000004</v>
      </c>
      <c r="Z1106" s="3">
        <v>1.9522148749999999</v>
      </c>
      <c r="AA1106" s="3">
        <v>0.19248253300000001</v>
      </c>
      <c r="AB1106" s="3">
        <v>11.02662915</v>
      </c>
      <c r="AC1106" s="3">
        <v>6.8485370049999998</v>
      </c>
      <c r="AD1106" s="3">
        <v>0.12139610100000001</v>
      </c>
      <c r="AE1106" s="3">
        <v>11.678620690000001</v>
      </c>
      <c r="AF1106" s="4">
        <v>42306</v>
      </c>
      <c r="AG1106" s="5">
        <f>YEAR(AF1106)</f>
        <v>2015</v>
      </c>
      <c r="AH1106" s="5" t="str">
        <f>"Q"&amp;ROUNDUP(MONTH(AF1106)/3,0)</f>
        <v>Q4</v>
      </c>
      <c r="AI1106" s="5">
        <f>INDEX(RatingLookup!$B$2:$B$11,MATCH(A1106,RatingLookup!$A$2:$A$11,0))</f>
        <v>8</v>
      </c>
      <c r="AJ1106" s="5" t="str">
        <f>INDEX(RatingLookup!$C$2:$C$11,MATCH(A1106,RatingLookup!$A$2:$A$11,0))</f>
        <v>Investment Grade</v>
      </c>
    </row>
    <row r="1107" spans="1:36" x14ac:dyDescent="0.3">
      <c r="A1107" s="3" t="s">
        <v>42</v>
      </c>
      <c r="B1107" s="3" t="s">
        <v>1226</v>
      </c>
      <c r="C1107" s="3" t="s">
        <v>1227</v>
      </c>
      <c r="D1107" s="3" t="s">
        <v>60</v>
      </c>
      <c r="E1107" s="3" t="s">
        <v>46</v>
      </c>
      <c r="F1107" s="3" t="s">
        <v>59</v>
      </c>
      <c r="G1107" s="3">
        <v>2.621959575</v>
      </c>
      <c r="H1107" s="3">
        <v>1.3550873590000001</v>
      </c>
      <c r="I1107" s="3">
        <v>0.31791709499999998</v>
      </c>
      <c r="J1107" s="3">
        <v>59.273176370000002</v>
      </c>
      <c r="K1107" s="3">
        <v>9.6804709000000003E-2</v>
      </c>
      <c r="L1107" s="3">
        <v>0.14466400400000001</v>
      </c>
      <c r="M1107" s="3">
        <v>0.46874780999999999</v>
      </c>
      <c r="N1107" s="3">
        <v>0.16645645000000001</v>
      </c>
      <c r="O1107" s="3">
        <v>7.5226660000000001E-2</v>
      </c>
      <c r="P1107" s="3">
        <v>0.133663527</v>
      </c>
      <c r="Q1107" s="3">
        <v>0.18048206899999999</v>
      </c>
      <c r="R1107" s="3">
        <v>0.77709711699999995</v>
      </c>
      <c r="S1107" s="3">
        <v>8.0878435819999996</v>
      </c>
      <c r="T1107" s="3">
        <v>1.3991769549999999</v>
      </c>
      <c r="U1107" s="3">
        <v>0.58319039500000003</v>
      </c>
      <c r="V1107" s="3">
        <v>0.32380721699999998</v>
      </c>
      <c r="W1107" s="3">
        <v>1</v>
      </c>
      <c r="X1107" s="3">
        <v>2.2079037800000001</v>
      </c>
      <c r="Y1107" s="3">
        <v>5.6288659790000004</v>
      </c>
      <c r="Z1107" s="3">
        <v>2.3991769550000002</v>
      </c>
      <c r="AA1107" s="3">
        <v>0.14466400400000001</v>
      </c>
      <c r="AB1107" s="3">
        <v>7.4028379119999999</v>
      </c>
      <c r="AC1107" s="3">
        <v>2.2079037800000001</v>
      </c>
      <c r="AD1107" s="3">
        <v>4.5021371999999997E-2</v>
      </c>
      <c r="AE1107" s="3">
        <v>12.16934189</v>
      </c>
      <c r="AF1107" s="4">
        <v>41075</v>
      </c>
      <c r="AG1107" s="5">
        <f>YEAR(AF1107)</f>
        <v>2012</v>
      </c>
      <c r="AH1107" s="5" t="str">
        <f>"Q"&amp;ROUNDUP(MONTH(AF1107)/3,0)</f>
        <v>Q2</v>
      </c>
      <c r="AI1107" s="5">
        <f>INDEX(RatingLookup!$B$2:$B$11,MATCH(A1107,RatingLookup!$A$2:$A$11,0))</f>
        <v>7</v>
      </c>
      <c r="AJ1107" s="5" t="str">
        <f>INDEX(RatingLookup!$C$2:$C$11,MATCH(A1107,RatingLookup!$A$2:$A$11,0))</f>
        <v>Investment Grade</v>
      </c>
    </row>
    <row r="1108" spans="1:36" x14ac:dyDescent="0.3">
      <c r="A1108" s="3" t="s">
        <v>36</v>
      </c>
      <c r="B1108" s="3" t="s">
        <v>1228</v>
      </c>
      <c r="C1108" s="3" t="s">
        <v>1229</v>
      </c>
      <c r="D1108" s="3" t="s">
        <v>39</v>
      </c>
      <c r="E1108" s="3" t="s">
        <v>1070</v>
      </c>
      <c r="F1108" s="3" t="s">
        <v>59</v>
      </c>
      <c r="G1108" s="3">
        <v>1.723967961</v>
      </c>
      <c r="H1108" s="3">
        <v>0.82809611800000005</v>
      </c>
      <c r="I1108" s="3">
        <v>0.57855822599999995</v>
      </c>
      <c r="J1108" s="3">
        <v>0</v>
      </c>
      <c r="K1108" s="3">
        <v>8.7547068000000006E-2</v>
      </c>
      <c r="L1108" s="3">
        <v>0.116863905</v>
      </c>
      <c r="M1108" s="3">
        <v>0.209386767</v>
      </c>
      <c r="N1108" s="3">
        <v>0.11498117300000001</v>
      </c>
      <c r="O1108" s="3">
        <v>9.4115946000000006E-2</v>
      </c>
      <c r="P1108" s="3">
        <v>0.164148092</v>
      </c>
      <c r="Q1108" s="3">
        <v>0.18286516899999999</v>
      </c>
      <c r="R1108" s="3">
        <v>1.075032529</v>
      </c>
      <c r="S1108" s="3">
        <v>3.8349664780000001</v>
      </c>
      <c r="T1108" s="3">
        <v>1.9429775279999999</v>
      </c>
      <c r="U1108" s="3">
        <v>1</v>
      </c>
      <c r="V1108" s="3">
        <v>0.250863061</v>
      </c>
      <c r="W1108" s="3">
        <v>1</v>
      </c>
      <c r="X1108" s="3">
        <v>3.1491228069999999</v>
      </c>
      <c r="Y1108" s="3">
        <v>5.8947368420000004</v>
      </c>
      <c r="Z1108" s="3">
        <v>1.9429775279999999</v>
      </c>
      <c r="AA1108" s="3">
        <v>0.116863905</v>
      </c>
      <c r="AB1108" s="3">
        <v>11.22019521</v>
      </c>
      <c r="AC1108" s="3">
        <v>3.1491228069999999</v>
      </c>
      <c r="AD1108" s="3">
        <v>9.6557289000000004E-2</v>
      </c>
      <c r="AE1108" s="3">
        <v>4.2509038319999997</v>
      </c>
      <c r="AF1108" s="4">
        <v>41649</v>
      </c>
      <c r="AG1108" s="5">
        <f>YEAR(AF1108)</f>
        <v>2014</v>
      </c>
      <c r="AH1108" s="5" t="str">
        <f>"Q"&amp;ROUNDUP(MONTH(AF1108)/3,0)</f>
        <v>Q1</v>
      </c>
      <c r="AI1108" s="5">
        <f>INDEX(RatingLookup!$B$2:$B$11,MATCH(A1108,RatingLookup!$A$2:$A$11,0))</f>
        <v>8</v>
      </c>
      <c r="AJ1108" s="5" t="str">
        <f>INDEX(RatingLookup!$C$2:$C$11,MATCH(A1108,RatingLookup!$A$2:$A$11,0))</f>
        <v>Investment Grade</v>
      </c>
    </row>
    <row r="1109" spans="1:36" x14ac:dyDescent="0.3">
      <c r="A1109" s="3" t="s">
        <v>36</v>
      </c>
      <c r="B1109" s="3" t="s">
        <v>1228</v>
      </c>
      <c r="C1109" s="3" t="s">
        <v>1229</v>
      </c>
      <c r="D1109" s="3" t="s">
        <v>39</v>
      </c>
      <c r="E1109" s="3" t="s">
        <v>1120</v>
      </c>
      <c r="F1109" s="3" t="s">
        <v>59</v>
      </c>
      <c r="G1109" s="3">
        <v>1.369926199</v>
      </c>
      <c r="H1109" s="3">
        <v>0.55350553499999999</v>
      </c>
      <c r="I1109" s="3">
        <v>0.36761992599999999</v>
      </c>
      <c r="J1109" s="3">
        <v>0</v>
      </c>
      <c r="K1109" s="3">
        <v>8.2841661999999996E-2</v>
      </c>
      <c r="L1109" s="3">
        <v>0.118001204</v>
      </c>
      <c r="M1109" s="3">
        <v>0.21143889199999999</v>
      </c>
      <c r="N1109" s="3">
        <v>0.115954244</v>
      </c>
      <c r="O1109" s="3">
        <v>9.5185389999999995E-2</v>
      </c>
      <c r="P1109" s="3">
        <v>0.19367588899999999</v>
      </c>
      <c r="Q1109" s="3">
        <v>0.19026548700000001</v>
      </c>
      <c r="R1109" s="3">
        <v>1.1490038739999999</v>
      </c>
      <c r="S1109" s="3">
        <v>3.9679885330000002</v>
      </c>
      <c r="T1109" s="3">
        <v>1.998893805</v>
      </c>
      <c r="U1109" s="3">
        <v>1</v>
      </c>
      <c r="V1109" s="3">
        <v>0.29795918399999999</v>
      </c>
      <c r="W1109" s="3">
        <v>1</v>
      </c>
      <c r="X1109" s="3">
        <v>3.5263042040000001</v>
      </c>
      <c r="Y1109" s="3">
        <v>5.28285274</v>
      </c>
      <c r="Z1109" s="3">
        <v>1.998893805</v>
      </c>
      <c r="AA1109" s="3">
        <v>0.118001204</v>
      </c>
      <c r="AB1109" s="3">
        <v>10.118776860000001</v>
      </c>
      <c r="AC1109" s="3">
        <v>3.5263042040000001</v>
      </c>
      <c r="AD1109" s="3">
        <v>9.6447923000000005E-2</v>
      </c>
      <c r="AE1109" s="3">
        <v>4.2797385620000004</v>
      </c>
      <c r="AF1109" s="4">
        <v>41859</v>
      </c>
      <c r="AG1109" s="5">
        <f>YEAR(AF1109)</f>
        <v>2014</v>
      </c>
      <c r="AH1109" s="5" t="str">
        <f>"Q"&amp;ROUNDUP(MONTH(AF1109)/3,0)</f>
        <v>Q3</v>
      </c>
      <c r="AI1109" s="5">
        <f>INDEX(RatingLookup!$B$2:$B$11,MATCH(A1109,RatingLookup!$A$2:$A$11,0))</f>
        <v>8</v>
      </c>
      <c r="AJ1109" s="5" t="str">
        <f>INDEX(RatingLookup!$C$2:$C$11,MATCH(A1109,RatingLookup!$A$2:$A$11,0))</f>
        <v>Investment Grade</v>
      </c>
    </row>
    <row r="1110" spans="1:36" x14ac:dyDescent="0.3">
      <c r="A1110" s="3" t="s">
        <v>42</v>
      </c>
      <c r="B1110" s="3" t="s">
        <v>1228</v>
      </c>
      <c r="C1110" s="3" t="s">
        <v>1229</v>
      </c>
      <c r="D1110" s="3" t="s">
        <v>60</v>
      </c>
      <c r="E1110" s="3" t="s">
        <v>46</v>
      </c>
      <c r="F1110" s="3" t="s">
        <v>59</v>
      </c>
      <c r="G1110" s="3">
        <v>1.121784777</v>
      </c>
      <c r="H1110" s="3">
        <v>0.36955380599999998</v>
      </c>
      <c r="I1110" s="3">
        <v>0.188451444</v>
      </c>
      <c r="J1110" s="3">
        <v>0</v>
      </c>
      <c r="K1110" s="3">
        <v>8.0123700000000006E-2</v>
      </c>
      <c r="L1110" s="3">
        <v>0.107534439</v>
      </c>
      <c r="M1110" s="3">
        <v>0.19820073099999999</v>
      </c>
      <c r="N1110" s="3">
        <v>0.112032612</v>
      </c>
      <c r="O1110" s="3">
        <v>9.5669688000000003E-2</v>
      </c>
      <c r="P1110" s="3">
        <v>0.18874907499999999</v>
      </c>
      <c r="Q1110" s="3">
        <v>0.23879346500000001</v>
      </c>
      <c r="R1110" s="3">
        <v>1.1940248410000001</v>
      </c>
      <c r="S1110" s="3">
        <v>4.275240385</v>
      </c>
      <c r="T1110" s="3">
        <v>2.4960201089999998</v>
      </c>
      <c r="U1110" s="3">
        <v>1</v>
      </c>
      <c r="V1110" s="3">
        <v>0.25490196100000001</v>
      </c>
      <c r="W1110" s="3">
        <v>1</v>
      </c>
      <c r="X1110" s="3">
        <v>6.4954128439999996</v>
      </c>
      <c r="Y1110" s="3">
        <v>6.4587155960000002</v>
      </c>
      <c r="Z1110" s="3">
        <v>2.4960201089999998</v>
      </c>
      <c r="AA1110" s="3">
        <v>0.107534439</v>
      </c>
      <c r="AB1110" s="3">
        <v>4.1178932320000001</v>
      </c>
      <c r="AC1110" s="3">
        <v>6.4954128439999996</v>
      </c>
      <c r="AD1110" s="3">
        <v>9.9522069000000005E-2</v>
      </c>
      <c r="AE1110" s="3">
        <v>4.3978411719999997</v>
      </c>
      <c r="AF1110" s="4">
        <v>41075</v>
      </c>
      <c r="AG1110" s="5">
        <f>YEAR(AF1110)</f>
        <v>2012</v>
      </c>
      <c r="AH1110" s="5" t="str">
        <f>"Q"&amp;ROUNDUP(MONTH(AF1110)/3,0)</f>
        <v>Q2</v>
      </c>
      <c r="AI1110" s="5">
        <f>INDEX(RatingLookup!$B$2:$B$11,MATCH(A1110,RatingLookup!$A$2:$A$11,0))</f>
        <v>7</v>
      </c>
      <c r="AJ1110" s="5" t="str">
        <f>INDEX(RatingLookup!$C$2:$C$11,MATCH(A1110,RatingLookup!$A$2:$A$11,0))</f>
        <v>Investment Grade</v>
      </c>
    </row>
    <row r="1111" spans="1:36" x14ac:dyDescent="0.3">
      <c r="A1111" s="3" t="s">
        <v>36</v>
      </c>
      <c r="B1111" s="3" t="s">
        <v>1228</v>
      </c>
      <c r="C1111" s="3" t="s">
        <v>1229</v>
      </c>
      <c r="D1111" s="3" t="s">
        <v>39</v>
      </c>
      <c r="E1111" s="3" t="s">
        <v>740</v>
      </c>
      <c r="F1111" s="3" t="s">
        <v>59</v>
      </c>
      <c r="G1111" s="3">
        <v>1.3300806110000001</v>
      </c>
      <c r="H1111" s="3">
        <v>0.43996605900000002</v>
      </c>
      <c r="I1111" s="3">
        <v>0.244802715</v>
      </c>
      <c r="J1111" s="3">
        <v>0</v>
      </c>
      <c r="K1111" s="3">
        <v>8.0518509000000002E-2</v>
      </c>
      <c r="L1111" s="3">
        <v>0.115418173</v>
      </c>
      <c r="M1111" s="3">
        <v>0.21226473900000001</v>
      </c>
      <c r="N1111" s="3">
        <v>0.117038514</v>
      </c>
      <c r="O1111" s="3">
        <v>7.3068656999999995E-2</v>
      </c>
      <c r="P1111" s="3">
        <v>0.14281307800000001</v>
      </c>
      <c r="Q1111" s="3">
        <v>0.18181818199999999</v>
      </c>
      <c r="R1111" s="3">
        <v>0.90747652999999995</v>
      </c>
      <c r="S1111" s="3">
        <v>3.2773692809999999</v>
      </c>
      <c r="T1111" s="3">
        <v>2.4883197300000002</v>
      </c>
      <c r="U1111" s="3">
        <v>1</v>
      </c>
      <c r="V1111" s="3">
        <v>0.30237581000000002</v>
      </c>
      <c r="W1111" s="3">
        <v>1</v>
      </c>
      <c r="X1111" s="3">
        <v>3.8633953320000001</v>
      </c>
      <c r="Y1111" s="3">
        <v>4.6209238279999996</v>
      </c>
      <c r="Z1111" s="3">
        <v>2.4883197300000002</v>
      </c>
      <c r="AA1111" s="3">
        <v>0.115418173</v>
      </c>
      <c r="AB1111" s="3">
        <v>6.812386847</v>
      </c>
      <c r="AC1111" s="3">
        <v>3.8633953320000001</v>
      </c>
      <c r="AD1111" s="3">
        <v>0.10806431499999999</v>
      </c>
      <c r="AE1111" s="3">
        <v>3.3869239009999998</v>
      </c>
      <c r="AF1111" s="4">
        <v>42314</v>
      </c>
      <c r="AG1111" s="5">
        <f>YEAR(AF1111)</f>
        <v>2015</v>
      </c>
      <c r="AH1111" s="5" t="str">
        <f>"Q"&amp;ROUNDUP(MONTH(AF1111)/3,0)</f>
        <v>Q4</v>
      </c>
      <c r="AI1111" s="5">
        <f>INDEX(RatingLookup!$B$2:$B$11,MATCH(A1111,RatingLookup!$A$2:$A$11,0))</f>
        <v>8</v>
      </c>
      <c r="AJ1111" s="5" t="str">
        <f>INDEX(RatingLookup!$C$2:$C$11,MATCH(A1111,RatingLookup!$A$2:$A$11,0))</f>
        <v>Investment Grade</v>
      </c>
    </row>
    <row r="1112" spans="1:36" x14ac:dyDescent="0.3">
      <c r="A1112" s="3" t="s">
        <v>36</v>
      </c>
      <c r="B1112" s="3" t="s">
        <v>1230</v>
      </c>
      <c r="C1112" s="3" t="s">
        <v>1231</v>
      </c>
      <c r="D1112" s="3" t="s">
        <v>44</v>
      </c>
      <c r="E1112" s="3" t="s">
        <v>84</v>
      </c>
      <c r="F1112" s="3" t="s">
        <v>113</v>
      </c>
      <c r="G1112" s="3">
        <v>1.0867544060000001</v>
      </c>
      <c r="H1112" s="3">
        <v>0.71930403700000001</v>
      </c>
      <c r="I1112" s="3">
        <v>0.34544724500000001</v>
      </c>
      <c r="J1112" s="3">
        <v>60.188268520000001</v>
      </c>
      <c r="K1112" s="3">
        <v>0.121867289</v>
      </c>
      <c r="L1112" s="3">
        <v>0.15295479100000001</v>
      </c>
      <c r="M1112" s="3">
        <v>0.74854197700000003</v>
      </c>
      <c r="N1112" s="3">
        <v>0.15295479100000001</v>
      </c>
      <c r="O1112" s="3">
        <v>6.4298433000000002E-2</v>
      </c>
      <c r="P1112" s="3">
        <v>0.115526343</v>
      </c>
      <c r="Q1112" s="3">
        <v>0.15549787900000001</v>
      </c>
      <c r="R1112" s="3">
        <v>0.52761026600000005</v>
      </c>
      <c r="S1112" s="3">
        <v>2.4630645790000001</v>
      </c>
      <c r="T1112" s="3">
        <v>1.4183774360000001</v>
      </c>
      <c r="U1112" s="3">
        <v>0.58649961500000003</v>
      </c>
      <c r="V1112" s="3">
        <v>0.203246342</v>
      </c>
      <c r="W1112" s="3">
        <v>0.92940395200000003</v>
      </c>
      <c r="X1112" s="3">
        <v>3.7935121110000001</v>
      </c>
      <c r="Y1112" s="3">
        <v>4.511501666</v>
      </c>
      <c r="Z1112" s="3">
        <v>2.4183774360000001</v>
      </c>
      <c r="AA1112" s="3">
        <v>0.15295479100000001</v>
      </c>
      <c r="AB1112" s="3">
        <v>18.5463211</v>
      </c>
      <c r="AC1112" s="3">
        <v>4.0816612640000001</v>
      </c>
      <c r="AD1112" s="3">
        <v>0.22263402600000001</v>
      </c>
      <c r="AE1112" s="3">
        <v>4.3723960640000001</v>
      </c>
      <c r="AF1112" s="4">
        <v>42150</v>
      </c>
      <c r="AG1112" s="5">
        <f>YEAR(AF1112)</f>
        <v>2015</v>
      </c>
      <c r="AH1112" s="5" t="str">
        <f>"Q"&amp;ROUNDUP(MONTH(AF1112)/3,0)</f>
        <v>Q2</v>
      </c>
      <c r="AI1112" s="5">
        <f>INDEX(RatingLookup!$B$2:$B$11,MATCH(A1112,RatingLookup!$A$2:$A$11,0))</f>
        <v>8</v>
      </c>
      <c r="AJ1112" s="5" t="str">
        <f>INDEX(RatingLookup!$C$2:$C$11,MATCH(A1112,RatingLookup!$A$2:$A$11,0))</f>
        <v>Investment Grade</v>
      </c>
    </row>
    <row r="1113" spans="1:36" x14ac:dyDescent="0.3">
      <c r="A1113" s="3" t="s">
        <v>49</v>
      </c>
      <c r="B1113" s="3" t="s">
        <v>1230</v>
      </c>
      <c r="C1113" s="3" t="s">
        <v>1231</v>
      </c>
      <c r="D1113" s="3" t="s">
        <v>39</v>
      </c>
      <c r="E1113" s="3" t="s">
        <v>549</v>
      </c>
      <c r="F1113" s="3" t="s">
        <v>113</v>
      </c>
      <c r="G1113" s="3">
        <v>1.46969697</v>
      </c>
      <c r="H1113" s="3">
        <v>0.95873987800000005</v>
      </c>
      <c r="I1113" s="3">
        <v>0.42955835199999998</v>
      </c>
      <c r="J1113" s="3">
        <v>54.235736439999997</v>
      </c>
      <c r="K1113" s="3">
        <v>0.20269024899999999</v>
      </c>
      <c r="L1113" s="3">
        <v>0.25480355300000002</v>
      </c>
      <c r="M1113" s="3">
        <v>0.78764856299999997</v>
      </c>
      <c r="N1113" s="3">
        <v>0.20269024899999999</v>
      </c>
      <c r="O1113" s="3">
        <v>0.13290702900000001</v>
      </c>
      <c r="P1113" s="3">
        <v>0.223654779</v>
      </c>
      <c r="Q1113" s="3">
        <v>0.26570777099999998</v>
      </c>
      <c r="R1113" s="3">
        <v>0.65571496299999998</v>
      </c>
      <c r="S1113" s="3">
        <v>2.8980126639999999</v>
      </c>
      <c r="T1113" s="3">
        <v>0.99920028999999999</v>
      </c>
      <c r="U1113" s="3">
        <v>0.499799993</v>
      </c>
      <c r="V1113" s="3">
        <v>0.20452345799999999</v>
      </c>
      <c r="W1113" s="3">
        <v>0.99579773299999996</v>
      </c>
      <c r="X1113" s="3">
        <v>5.2835945730000002</v>
      </c>
      <c r="Y1113" s="3">
        <v>4.7316338440000001</v>
      </c>
      <c r="Z1113" s="3">
        <v>1.9992002900000001</v>
      </c>
      <c r="AA1113" s="3">
        <v>0.25480355300000002</v>
      </c>
      <c r="AB1113" s="3">
        <v>9.6177831759999997</v>
      </c>
      <c r="AC1113" s="3">
        <v>5.3058913429999999</v>
      </c>
      <c r="AD1113" s="3">
        <v>0.24812768499999999</v>
      </c>
      <c r="AE1113" s="3">
        <v>4.3849727510000003</v>
      </c>
      <c r="AF1113" s="4">
        <v>41491</v>
      </c>
      <c r="AG1113" s="5">
        <f>YEAR(AF1113)</f>
        <v>2013</v>
      </c>
      <c r="AH1113" s="5" t="str">
        <f>"Q"&amp;ROUNDUP(MONTH(AF1113)/3,0)</f>
        <v>Q3</v>
      </c>
      <c r="AI1113" s="5">
        <f>INDEX(RatingLookup!$B$2:$B$11,MATCH(A1113,RatingLookup!$A$2:$A$11,0))</f>
        <v>9</v>
      </c>
      <c r="AJ1113" s="5" t="str">
        <f>INDEX(RatingLookup!$C$2:$C$11,MATCH(A1113,RatingLookup!$A$2:$A$11,0))</f>
        <v>Investment Grade</v>
      </c>
    </row>
    <row r="1114" spans="1:36" x14ac:dyDescent="0.3">
      <c r="A1114" s="3" t="s">
        <v>36</v>
      </c>
      <c r="B1114" s="3" t="s">
        <v>1230</v>
      </c>
      <c r="C1114" s="3" t="s">
        <v>1231</v>
      </c>
      <c r="D1114" s="3" t="s">
        <v>39</v>
      </c>
      <c r="E1114" s="3" t="s">
        <v>204</v>
      </c>
      <c r="F1114" s="3" t="s">
        <v>113</v>
      </c>
      <c r="G1114" s="3">
        <v>1.527850685</v>
      </c>
      <c r="H1114" s="3">
        <v>0.96782346699999999</v>
      </c>
      <c r="I1114" s="3">
        <v>0.44551375500000001</v>
      </c>
      <c r="J1114" s="3">
        <v>64.244915750000004</v>
      </c>
      <c r="K1114" s="3">
        <v>0.120669182</v>
      </c>
      <c r="L1114" s="3">
        <v>0.13978866400000001</v>
      </c>
      <c r="M1114" s="3">
        <v>0.74761883299999998</v>
      </c>
      <c r="N1114" s="3">
        <v>0.13978866400000001</v>
      </c>
      <c r="O1114" s="3">
        <v>6.7710836999999996E-2</v>
      </c>
      <c r="P1114" s="3">
        <v>0.102050894</v>
      </c>
      <c r="Q1114" s="3">
        <v>0.165283811</v>
      </c>
      <c r="R1114" s="3">
        <v>0.56112783899999996</v>
      </c>
      <c r="S1114" s="3">
        <v>2.4782641089999999</v>
      </c>
      <c r="T1114" s="3">
        <v>1.4410244800000001</v>
      </c>
      <c r="U1114" s="3">
        <v>0.59033594</v>
      </c>
      <c r="V1114" s="3">
        <v>0.13677419399999999</v>
      </c>
      <c r="W1114" s="3">
        <v>1</v>
      </c>
      <c r="X1114" s="3">
        <v>2.6111366939999998</v>
      </c>
      <c r="Y1114" s="3">
        <v>4.1922455039999997</v>
      </c>
      <c r="Z1114" s="3">
        <v>2.4410244799999998</v>
      </c>
      <c r="AA1114" s="3">
        <v>0.13978866400000001</v>
      </c>
      <c r="AB1114" s="3">
        <v>20.93781405</v>
      </c>
      <c r="AC1114" s="3">
        <v>2.6111366939999998</v>
      </c>
      <c r="AD1114" s="3">
        <v>0.138926884</v>
      </c>
      <c r="AE1114" s="3">
        <v>3.7641608130000002</v>
      </c>
      <c r="AF1114" s="4">
        <v>42305</v>
      </c>
      <c r="AG1114" s="5">
        <f>YEAR(AF1114)</f>
        <v>2015</v>
      </c>
      <c r="AH1114" s="5" t="str">
        <f>"Q"&amp;ROUNDUP(MONTH(AF1114)/3,0)</f>
        <v>Q4</v>
      </c>
      <c r="AI1114" s="5">
        <f>INDEX(RatingLookup!$B$2:$B$11,MATCH(A1114,RatingLookup!$A$2:$A$11,0))</f>
        <v>8</v>
      </c>
      <c r="AJ1114" s="5" t="str">
        <f>INDEX(RatingLookup!$C$2:$C$11,MATCH(A1114,RatingLookup!$A$2:$A$11,0))</f>
        <v>Investment Grade</v>
      </c>
    </row>
    <row r="1115" spans="1:36" x14ac:dyDescent="0.3">
      <c r="A1115" s="3" t="s">
        <v>42</v>
      </c>
      <c r="B1115" s="3" t="s">
        <v>1232</v>
      </c>
      <c r="C1115" s="3" t="s">
        <v>1233</v>
      </c>
      <c r="D1115" s="3" t="s">
        <v>39</v>
      </c>
      <c r="E1115" s="3" t="s">
        <v>440</v>
      </c>
      <c r="F1115" s="3" t="s">
        <v>53</v>
      </c>
      <c r="G1115" s="3">
        <v>3.0772739160000002</v>
      </c>
      <c r="H1115" s="3">
        <v>2.7116877129999999</v>
      </c>
      <c r="I1115" s="3">
        <v>2.111988228</v>
      </c>
      <c r="J1115" s="3">
        <v>44.604825339999998</v>
      </c>
      <c r="K1115" s="3">
        <v>0.17616939300000001</v>
      </c>
      <c r="L1115" s="3">
        <v>0.23665860999999999</v>
      </c>
      <c r="M1115" s="3">
        <v>0.310738505</v>
      </c>
      <c r="N1115" s="3">
        <v>0.23642196800000001</v>
      </c>
      <c r="O1115" s="3">
        <v>7.2220959000000001E-2</v>
      </c>
      <c r="P1115" s="3">
        <v>0.113077733</v>
      </c>
      <c r="Q1115" s="3">
        <v>0.11796194</v>
      </c>
      <c r="R1115" s="3">
        <v>0.40995179799999998</v>
      </c>
      <c r="S1115" s="3">
        <v>0.637989056</v>
      </c>
      <c r="T1115" s="3">
        <v>0.63334772699999997</v>
      </c>
      <c r="U1115" s="3">
        <v>0.38776049699999998</v>
      </c>
      <c r="V1115" s="3">
        <v>0.25559694399999999</v>
      </c>
      <c r="W1115" s="3">
        <v>6.2792606000000001E-2</v>
      </c>
      <c r="X1115" s="3">
        <v>0.21388510099999999</v>
      </c>
      <c r="Y1115" s="3">
        <v>4.5148867890000002</v>
      </c>
      <c r="Z1115" s="3">
        <v>1.6333477270000001</v>
      </c>
      <c r="AA1115" s="3">
        <v>0.25278912799999997</v>
      </c>
      <c r="AB1115" s="3">
        <v>5.2818899070000001</v>
      </c>
      <c r="AC1115" s="3">
        <v>3.4062147469999999</v>
      </c>
      <c r="AD1115" s="3">
        <v>0.32469227499999997</v>
      </c>
      <c r="AE1115" s="3">
        <v>9.1497907749999996</v>
      </c>
      <c r="AF1115" s="4">
        <v>41843</v>
      </c>
      <c r="AG1115" s="5">
        <f>YEAR(AF1115)</f>
        <v>2014</v>
      </c>
      <c r="AH1115" s="5" t="str">
        <f>"Q"&amp;ROUNDUP(MONTH(AF1115)/3,0)</f>
        <v>Q3</v>
      </c>
      <c r="AI1115" s="5">
        <f>INDEX(RatingLookup!$B$2:$B$11,MATCH(A1115,RatingLookup!$A$2:$A$11,0))</f>
        <v>7</v>
      </c>
      <c r="AJ1115" s="5" t="str">
        <f>INDEX(RatingLookup!$C$2:$C$11,MATCH(A1115,RatingLookup!$A$2:$A$11,0))</f>
        <v>Investment Grade</v>
      </c>
    </row>
    <row r="1116" spans="1:36" x14ac:dyDescent="0.3">
      <c r="A1116" s="3" t="s">
        <v>109</v>
      </c>
      <c r="B1116" s="3" t="s">
        <v>1232</v>
      </c>
      <c r="C1116" s="3" t="s">
        <v>1233</v>
      </c>
      <c r="D1116" s="3" t="s">
        <v>39</v>
      </c>
      <c r="E1116" s="3" t="s">
        <v>1006</v>
      </c>
      <c r="F1116" s="3" t="s">
        <v>53</v>
      </c>
      <c r="G1116" s="3">
        <v>3.9094049000000002</v>
      </c>
      <c r="H1116" s="3">
        <v>3.4820996740000001</v>
      </c>
      <c r="I1116" s="3">
        <v>2.5139312380000001</v>
      </c>
      <c r="J1116" s="3">
        <v>76.686305919999995</v>
      </c>
      <c r="K1116" s="3">
        <v>0.12540142700000001</v>
      </c>
      <c r="L1116" s="3">
        <v>0.16146508900000001</v>
      </c>
      <c r="M1116" s="3">
        <v>0.29739516100000002</v>
      </c>
      <c r="N1116" s="3">
        <v>0.22034633100000001</v>
      </c>
      <c r="O1116" s="3">
        <v>4.3203577999999999E-2</v>
      </c>
      <c r="P1116" s="3">
        <v>7.4098365999999999E-2</v>
      </c>
      <c r="Q1116" s="3">
        <v>7.3327724999999996E-2</v>
      </c>
      <c r="R1116" s="3">
        <v>0.34452222199999999</v>
      </c>
      <c r="S1116" s="3">
        <v>0.57208672100000002</v>
      </c>
      <c r="T1116" s="3">
        <v>0.68054389100000001</v>
      </c>
      <c r="U1116" s="3">
        <v>0.40096608900000003</v>
      </c>
      <c r="V1116" s="3">
        <v>0.22335269299999999</v>
      </c>
      <c r="W1116" s="3">
        <v>-2.093867119</v>
      </c>
      <c r="X1116" s="3">
        <v>-2.0752590739999999</v>
      </c>
      <c r="Y1116" s="3">
        <v>4.5197954559999998</v>
      </c>
      <c r="Z1116" s="3">
        <v>1.697260467</v>
      </c>
      <c r="AA1116" s="3">
        <v>0.198995849</v>
      </c>
      <c r="AB1116" s="3">
        <v>8.3415937499999995</v>
      </c>
      <c r="AC1116" s="3">
        <v>0.99111307299999996</v>
      </c>
      <c r="AD1116" s="3">
        <v>0.119627727</v>
      </c>
      <c r="AE1116" s="3">
        <v>8.4829068070000009</v>
      </c>
      <c r="AF1116" s="4">
        <v>41484</v>
      </c>
      <c r="AG1116" s="5">
        <f>YEAR(AF1116)</f>
        <v>2013</v>
      </c>
      <c r="AH1116" s="5" t="str">
        <f>"Q"&amp;ROUNDUP(MONTH(AF1116)/3,0)</f>
        <v>Q3</v>
      </c>
      <c r="AI1116" s="5">
        <f>INDEX(RatingLookup!$B$2:$B$11,MATCH(A1116,RatingLookup!$A$2:$A$11,0))</f>
        <v>5</v>
      </c>
      <c r="AJ1116" s="5" t="str">
        <f>INDEX(RatingLookup!$C$2:$C$11,MATCH(A1116,RatingLookup!$A$2:$A$11,0))</f>
        <v>Speculative Grade</v>
      </c>
    </row>
    <row r="1117" spans="1:36" x14ac:dyDescent="0.3">
      <c r="A1117" s="3" t="s">
        <v>92</v>
      </c>
      <c r="B1117" s="3" t="s">
        <v>1232</v>
      </c>
      <c r="C1117" s="3" t="s">
        <v>1233</v>
      </c>
      <c r="D1117" s="3" t="s">
        <v>39</v>
      </c>
      <c r="E1117" s="3" t="s">
        <v>1234</v>
      </c>
      <c r="F1117" s="3" t="s">
        <v>53</v>
      </c>
      <c r="G1117" s="3">
        <v>3.2432246619999998</v>
      </c>
      <c r="H1117" s="3">
        <v>2.8290424440000002</v>
      </c>
      <c r="I1117" s="3">
        <v>2.3431194049999999</v>
      </c>
      <c r="J1117" s="3">
        <v>40.018216389999999</v>
      </c>
      <c r="K1117" s="3">
        <v>-0.54179206199999996</v>
      </c>
      <c r="L1117" s="3">
        <v>-0.68722136499999997</v>
      </c>
      <c r="M1117" s="3">
        <v>-0.33597776400000001</v>
      </c>
      <c r="N1117" s="3">
        <v>-0.44173486099999998</v>
      </c>
      <c r="O1117" s="3">
        <v>-0.15629664300000001</v>
      </c>
      <c r="P1117" s="3">
        <v>-0.217247301</v>
      </c>
      <c r="Q1117" s="3">
        <v>-0.29475442200000002</v>
      </c>
      <c r="R1117" s="3">
        <v>0.28848086499999998</v>
      </c>
      <c r="S1117" s="3">
        <v>0.43405994599999997</v>
      </c>
      <c r="T1117" s="3">
        <v>0.885865346</v>
      </c>
      <c r="U1117" s="3">
        <v>0.469739448</v>
      </c>
      <c r="V1117" s="3">
        <v>0.21161929900000001</v>
      </c>
      <c r="W1117" s="3">
        <v>-1.8907630520000001</v>
      </c>
      <c r="X1117" s="3">
        <v>-1.987421264</v>
      </c>
      <c r="Y1117" s="3">
        <v>4.9365561209999997</v>
      </c>
      <c r="Z1117" s="3">
        <v>1.8858653460000001</v>
      </c>
      <c r="AA1117" s="3">
        <v>-0.68722136499999997</v>
      </c>
      <c r="AB1117" s="3">
        <v>-3.9464490300000001</v>
      </c>
      <c r="AC1117" s="3">
        <v>1.0511212720000001</v>
      </c>
      <c r="AD1117" s="3">
        <v>0.159247889</v>
      </c>
      <c r="AE1117" s="3">
        <v>14.22022334</v>
      </c>
      <c r="AF1117" s="4">
        <v>42207</v>
      </c>
      <c r="AG1117" s="5">
        <f>YEAR(AF1117)</f>
        <v>2015</v>
      </c>
      <c r="AH1117" s="5" t="str">
        <f>"Q"&amp;ROUNDUP(MONTH(AF1117)/3,0)</f>
        <v>Q3</v>
      </c>
      <c r="AI1117" s="5">
        <f>INDEX(RatingLookup!$B$2:$B$11,MATCH(A1117,RatingLookup!$A$2:$A$11,0))</f>
        <v>6</v>
      </c>
      <c r="AJ1117" s="5" t="str">
        <f>INDEX(RatingLookup!$C$2:$C$11,MATCH(A1117,RatingLookup!$A$2:$A$11,0))</f>
        <v>Speculative Grade</v>
      </c>
    </row>
    <row r="1118" spans="1:36" x14ac:dyDescent="0.3">
      <c r="A1118" s="3" t="s">
        <v>109</v>
      </c>
      <c r="B1118" s="3" t="s">
        <v>1235</v>
      </c>
      <c r="C1118" s="3" t="s">
        <v>1236</v>
      </c>
      <c r="D1118" s="3" t="s">
        <v>47</v>
      </c>
      <c r="E1118" s="3" t="s">
        <v>1237</v>
      </c>
      <c r="F1118" s="3" t="s">
        <v>41</v>
      </c>
      <c r="G1118" s="3">
        <v>1.0282721779999999</v>
      </c>
      <c r="H1118" s="3">
        <v>0.27535048600000001</v>
      </c>
      <c r="I1118" s="3">
        <v>1.4555973E-2</v>
      </c>
      <c r="J1118" s="3">
        <v>14.800698990000001</v>
      </c>
      <c r="K1118" s="3">
        <v>1.6909602999999999E-2</v>
      </c>
      <c r="L1118" s="3">
        <v>2.5507003E-2</v>
      </c>
      <c r="M1118" s="3">
        <v>0.148691463</v>
      </c>
      <c r="N1118" s="3">
        <v>2.9375314E-2</v>
      </c>
      <c r="O1118" s="3">
        <v>4.0647164E-2</v>
      </c>
      <c r="P1118" s="3">
        <v>0.13167193099999999</v>
      </c>
      <c r="Q1118" s="3">
        <v>0.18215841799999999</v>
      </c>
      <c r="R1118" s="3">
        <v>2.403791741</v>
      </c>
      <c r="S1118" s="3">
        <v>12.68659957</v>
      </c>
      <c r="T1118" s="3">
        <v>3.4814545859999999</v>
      </c>
      <c r="U1118" s="3">
        <v>0.77685816500000004</v>
      </c>
      <c r="V1118" s="3">
        <v>0.321203497</v>
      </c>
      <c r="W1118" s="3">
        <v>0.49042145599999998</v>
      </c>
      <c r="X1118" s="3">
        <v>2.1390463460000002</v>
      </c>
      <c r="Y1118" s="3">
        <v>4.4385211680000003</v>
      </c>
      <c r="Z1118" s="3">
        <v>4.4814545859999999</v>
      </c>
      <c r="AA1118" s="3">
        <v>2.5507003E-2</v>
      </c>
      <c r="AB1118" s="3">
        <v>6.2647935879999999</v>
      </c>
      <c r="AC1118" s="3">
        <v>4.3616491899999996</v>
      </c>
      <c r="AD1118" s="3">
        <v>2.0300856999999999E-2</v>
      </c>
      <c r="AE1118" s="3">
        <v>33.247063590000003</v>
      </c>
      <c r="AF1118" s="4">
        <v>42501</v>
      </c>
      <c r="AG1118" s="5">
        <f>YEAR(AF1118)</f>
        <v>2016</v>
      </c>
      <c r="AH1118" s="5" t="str">
        <f>"Q"&amp;ROUNDUP(MONTH(AF1118)/3,0)</f>
        <v>Q2</v>
      </c>
      <c r="AI1118" s="5">
        <f>INDEX(RatingLookup!$B$2:$B$11,MATCH(A1118,RatingLookup!$A$2:$A$11,0))</f>
        <v>5</v>
      </c>
      <c r="AJ1118" s="5" t="str">
        <f>INDEX(RatingLookup!$C$2:$C$11,MATCH(A1118,RatingLookup!$A$2:$A$11,0))</f>
        <v>Speculative Grade</v>
      </c>
    </row>
    <row r="1119" spans="1:36" x14ac:dyDescent="0.3">
      <c r="A1119" s="3" t="s">
        <v>109</v>
      </c>
      <c r="B1119" s="3" t="s">
        <v>1235</v>
      </c>
      <c r="C1119" s="3" t="s">
        <v>1236</v>
      </c>
      <c r="D1119" s="3" t="s">
        <v>47</v>
      </c>
      <c r="E1119" s="3" t="s">
        <v>1219</v>
      </c>
      <c r="F1119" s="3" t="s">
        <v>41</v>
      </c>
      <c r="G1119" s="3">
        <v>1.0653940449999999</v>
      </c>
      <c r="H1119" s="3">
        <v>0.30005784600000002</v>
      </c>
      <c r="I1119" s="3">
        <v>9.9991739999999996E-3</v>
      </c>
      <c r="J1119" s="3">
        <v>14.89561745</v>
      </c>
      <c r="K1119" s="3">
        <v>1.6690730000000001E-2</v>
      </c>
      <c r="L1119" s="3">
        <v>2.6896118E-2</v>
      </c>
      <c r="M1119" s="3">
        <v>0.14983233600000001</v>
      </c>
      <c r="N1119" s="3">
        <v>2.9347041000000001E-2</v>
      </c>
      <c r="O1119" s="3">
        <v>3.9664092999999997E-2</v>
      </c>
      <c r="P1119" s="3">
        <v>0.12840823800000001</v>
      </c>
      <c r="Q1119" s="3">
        <v>0.173463214</v>
      </c>
      <c r="R1119" s="3">
        <v>2.3764145980000002</v>
      </c>
      <c r="S1119" s="3">
        <v>12.92685129</v>
      </c>
      <c r="T1119" s="3">
        <v>3.373305905</v>
      </c>
      <c r="U1119" s="3">
        <v>0.77134002899999998</v>
      </c>
      <c r="V1119" s="3">
        <v>0.33160173199999998</v>
      </c>
      <c r="W1119" s="3">
        <v>0.52279552299999998</v>
      </c>
      <c r="X1119" s="3">
        <v>2.1202664040000001</v>
      </c>
      <c r="Y1119" s="3">
        <v>4.2992138110000004</v>
      </c>
      <c r="Z1119" s="3">
        <v>4.3733059049999996</v>
      </c>
      <c r="AA1119" s="3">
        <v>2.6896118E-2</v>
      </c>
      <c r="AB1119" s="3">
        <v>9.8993483120000008</v>
      </c>
      <c r="AC1119" s="3">
        <v>4.0556322920000003</v>
      </c>
      <c r="AD1119" s="3">
        <v>2.1324778999999999E-2</v>
      </c>
      <c r="AE1119" s="3">
        <v>34.970067049999997</v>
      </c>
      <c r="AF1119" s="4">
        <v>41877</v>
      </c>
      <c r="AG1119" s="5">
        <f>YEAR(AF1119)</f>
        <v>2014</v>
      </c>
      <c r="AH1119" s="5" t="str">
        <f>"Q"&amp;ROUNDUP(MONTH(AF1119)/3,0)</f>
        <v>Q3</v>
      </c>
      <c r="AI1119" s="5">
        <f>INDEX(RatingLookup!$B$2:$B$11,MATCH(A1119,RatingLookup!$A$2:$A$11,0))</f>
        <v>5</v>
      </c>
      <c r="AJ1119" s="5" t="str">
        <f>INDEX(RatingLookup!$C$2:$C$11,MATCH(A1119,RatingLookup!$A$2:$A$11,0))</f>
        <v>Speculative Grade</v>
      </c>
    </row>
    <row r="1120" spans="1:36" x14ac:dyDescent="0.3">
      <c r="A1120" s="3" t="s">
        <v>109</v>
      </c>
      <c r="B1120" s="3" t="s">
        <v>1235</v>
      </c>
      <c r="C1120" s="3" t="s">
        <v>1236</v>
      </c>
      <c r="D1120" s="3" t="s">
        <v>47</v>
      </c>
      <c r="E1120" s="3" t="s">
        <v>752</v>
      </c>
      <c r="F1120" s="3" t="s">
        <v>41</v>
      </c>
      <c r="G1120" s="3">
        <v>1.0453707210000001</v>
      </c>
      <c r="H1120" s="3">
        <v>0.42462644199999999</v>
      </c>
      <c r="I1120" s="3">
        <v>5.6742950000000002E-3</v>
      </c>
      <c r="J1120" s="3">
        <v>15.94726247</v>
      </c>
      <c r="K1120" s="3">
        <v>1.7044014E-2</v>
      </c>
      <c r="L1120" s="3">
        <v>2.5255362E-2</v>
      </c>
      <c r="M1120" s="3">
        <v>0.147456321</v>
      </c>
      <c r="N1120" s="3">
        <v>2.8575689000000001E-2</v>
      </c>
      <c r="O1120" s="3">
        <v>3.8697227000000001E-2</v>
      </c>
      <c r="P1120" s="3">
        <v>0.109705279</v>
      </c>
      <c r="Q1120" s="3">
        <v>0.195842138</v>
      </c>
      <c r="R1120" s="3">
        <v>2.2704291790000002</v>
      </c>
      <c r="S1120" s="3">
        <v>11.13672848</v>
      </c>
      <c r="T1120" s="3">
        <v>4.0608829740000001</v>
      </c>
      <c r="U1120" s="3">
        <v>0.802406022</v>
      </c>
      <c r="V1120" s="3">
        <v>0.316276324</v>
      </c>
      <c r="W1120" s="3">
        <v>0.44432284500000002</v>
      </c>
      <c r="X1120" s="3">
        <v>1.888355537</v>
      </c>
      <c r="Y1120" s="3">
        <v>10.662697209999999</v>
      </c>
      <c r="Z1120" s="3">
        <v>5.0608829740000001</v>
      </c>
      <c r="AA1120" s="3">
        <v>2.5255362E-2</v>
      </c>
      <c r="AB1120" s="3">
        <v>9.8187194780000002</v>
      </c>
      <c r="AC1120" s="3">
        <v>4.2499627389999999</v>
      </c>
      <c r="AD1120" s="3">
        <v>1.8167358000000002E-2</v>
      </c>
      <c r="AE1120" s="3">
        <v>34.483112179999999</v>
      </c>
      <c r="AF1120" s="4">
        <v>42594</v>
      </c>
      <c r="AG1120" s="5">
        <f>YEAR(AF1120)</f>
        <v>2016</v>
      </c>
      <c r="AH1120" s="5" t="str">
        <f>"Q"&amp;ROUNDUP(MONTH(AF1120)/3,0)</f>
        <v>Q3</v>
      </c>
      <c r="AI1120" s="5">
        <f>INDEX(RatingLookup!$B$2:$B$11,MATCH(A1120,RatingLookup!$A$2:$A$11,0))</f>
        <v>5</v>
      </c>
      <c r="AJ1120" s="5" t="str">
        <f>INDEX(RatingLookup!$C$2:$C$11,MATCH(A1120,RatingLookup!$A$2:$A$11,0))</f>
        <v>Speculative Grade</v>
      </c>
    </row>
    <row r="1121" spans="1:36" x14ac:dyDescent="0.3">
      <c r="A1121" s="3" t="s">
        <v>109</v>
      </c>
      <c r="B1121" s="3" t="s">
        <v>1235</v>
      </c>
      <c r="C1121" s="3" t="s">
        <v>1236</v>
      </c>
      <c r="D1121" s="3" t="s">
        <v>47</v>
      </c>
      <c r="E1121" s="3" t="s">
        <v>1238</v>
      </c>
      <c r="F1121" s="3" t="s">
        <v>41</v>
      </c>
      <c r="G1121" s="3">
        <v>1.029524911</v>
      </c>
      <c r="H1121" s="3">
        <v>0.33404948699999998</v>
      </c>
      <c r="I1121" s="3">
        <v>1.6243582999999999E-2</v>
      </c>
      <c r="J1121" s="3">
        <v>15.330007930000001</v>
      </c>
      <c r="K1121" s="3">
        <v>1.4095017E-2</v>
      </c>
      <c r="L1121" s="3">
        <v>2.1953706999999999E-2</v>
      </c>
      <c r="M1121" s="3">
        <v>0.15291870699999999</v>
      </c>
      <c r="N1121" s="3">
        <v>2.7717365000000001E-2</v>
      </c>
      <c r="O1121" s="3">
        <v>3.4493464000000001E-2</v>
      </c>
      <c r="P1121" s="3">
        <v>0.10761314600000001</v>
      </c>
      <c r="Q1121" s="3">
        <v>0.14226182000000001</v>
      </c>
      <c r="R1121" s="3">
        <v>2.4472097920000002</v>
      </c>
      <c r="S1121" s="3">
        <v>12.85774692</v>
      </c>
      <c r="T1121" s="3">
        <v>3.1243123260000001</v>
      </c>
      <c r="U1121" s="3">
        <v>0.75753533699999998</v>
      </c>
      <c r="V1121" s="3">
        <v>0.32641493799999999</v>
      </c>
      <c r="W1121" s="3">
        <v>0.50817092600000002</v>
      </c>
      <c r="X1121" s="3">
        <v>1.8450917870000001</v>
      </c>
      <c r="Y1121" s="3">
        <v>3.8410172939999998</v>
      </c>
      <c r="Z1121" s="3">
        <v>4.1243123260000001</v>
      </c>
      <c r="AA1121" s="3">
        <v>2.1953706999999999E-2</v>
      </c>
      <c r="AB1121" s="3">
        <v>8.9672066810000004</v>
      </c>
      <c r="AC1121" s="3">
        <v>3.6308487789999999</v>
      </c>
      <c r="AD1121" s="3">
        <v>2.4912111000000001E-2</v>
      </c>
      <c r="AE1121" s="3">
        <v>42.341413869999997</v>
      </c>
      <c r="AF1121" s="4">
        <v>41452</v>
      </c>
      <c r="AG1121" s="5">
        <f>YEAR(AF1121)</f>
        <v>2013</v>
      </c>
      <c r="AH1121" s="5" t="str">
        <f>"Q"&amp;ROUNDUP(MONTH(AF1121)/3,0)</f>
        <v>Q2</v>
      </c>
      <c r="AI1121" s="5">
        <f>INDEX(RatingLookup!$B$2:$B$11,MATCH(A1121,RatingLookup!$A$2:$A$11,0))</f>
        <v>5</v>
      </c>
      <c r="AJ1121" s="5" t="str">
        <f>INDEX(RatingLookup!$C$2:$C$11,MATCH(A1121,RatingLookup!$A$2:$A$11,0))</f>
        <v>Speculative Grade</v>
      </c>
    </row>
    <row r="1122" spans="1:36" x14ac:dyDescent="0.3">
      <c r="A1122" s="3" t="s">
        <v>92</v>
      </c>
      <c r="B1122" s="3" t="s">
        <v>1239</v>
      </c>
      <c r="C1122" s="3" t="s">
        <v>1240</v>
      </c>
      <c r="D1122" s="3" t="s">
        <v>47</v>
      </c>
      <c r="E1122" s="3" t="s">
        <v>1241</v>
      </c>
      <c r="F1122" s="3" t="s">
        <v>59</v>
      </c>
      <c r="G1122" s="3">
        <v>1.895531163</v>
      </c>
      <c r="H1122" s="3">
        <v>1.2612368190000001</v>
      </c>
      <c r="I1122" s="3">
        <v>0.37141238999999998</v>
      </c>
      <c r="J1122" s="3">
        <v>57.849214070000002</v>
      </c>
      <c r="K1122" s="3">
        <v>2.2527243999999998E-2</v>
      </c>
      <c r="L1122" s="3">
        <v>3.5643157000000002E-2</v>
      </c>
      <c r="M1122" s="3">
        <v>0.179633827</v>
      </c>
      <c r="N1122" s="3">
        <v>4.6196797999999997E-2</v>
      </c>
      <c r="O1122" s="3">
        <v>2.6352818E-2</v>
      </c>
      <c r="P1122" s="3">
        <v>5.2670658000000002E-2</v>
      </c>
      <c r="Q1122" s="3">
        <v>5.717825E-2</v>
      </c>
      <c r="R1122" s="3">
        <v>1.1698199090000001</v>
      </c>
      <c r="S1122" s="3">
        <v>8.7518329799999997</v>
      </c>
      <c r="T1122" s="3">
        <v>1.169720498</v>
      </c>
      <c r="U1122" s="3">
        <v>0.53911114299999996</v>
      </c>
      <c r="V1122" s="3">
        <v>0.36722371999999998</v>
      </c>
      <c r="W1122" s="3">
        <v>0.85726316300000005</v>
      </c>
      <c r="X1122" s="3">
        <v>2.3792463100000001</v>
      </c>
      <c r="Y1122" s="3">
        <v>2.2046553329999998</v>
      </c>
      <c r="Z1122" s="3">
        <v>2.1697204980000002</v>
      </c>
      <c r="AA1122" s="3">
        <v>3.5643157000000002E-2</v>
      </c>
      <c r="AB1122" s="3">
        <v>9.2247027100000007</v>
      </c>
      <c r="AC1122" s="3">
        <v>2.7753978159999999</v>
      </c>
      <c r="AD1122" s="3">
        <v>8.3280092999999999E-2</v>
      </c>
      <c r="AE1122" s="3">
        <v>9.5724070670000003</v>
      </c>
      <c r="AF1122" s="4">
        <v>42395</v>
      </c>
      <c r="AG1122" s="5">
        <f>YEAR(AF1122)</f>
        <v>2016</v>
      </c>
      <c r="AH1122" s="5" t="str">
        <f>"Q"&amp;ROUNDUP(MONTH(AF1122)/3,0)</f>
        <v>Q1</v>
      </c>
      <c r="AI1122" s="5">
        <f>INDEX(RatingLookup!$B$2:$B$11,MATCH(A1122,RatingLookup!$A$2:$A$11,0))</f>
        <v>6</v>
      </c>
      <c r="AJ1122" s="5" t="str">
        <f>INDEX(RatingLookup!$C$2:$C$11,MATCH(A1122,RatingLookup!$A$2:$A$11,0))</f>
        <v>Speculative Grade</v>
      </c>
    </row>
    <row r="1123" spans="1:36" x14ac:dyDescent="0.3">
      <c r="A1123" s="3" t="s">
        <v>92</v>
      </c>
      <c r="B1123" s="3" t="s">
        <v>1239</v>
      </c>
      <c r="C1123" s="3" t="s">
        <v>1240</v>
      </c>
      <c r="D1123" s="3" t="s">
        <v>47</v>
      </c>
      <c r="E1123" s="3" t="s">
        <v>605</v>
      </c>
      <c r="F1123" s="3" t="s">
        <v>59</v>
      </c>
      <c r="G1123" s="3">
        <v>2.688615913</v>
      </c>
      <c r="H1123" s="3">
        <v>7.0034941999999996</v>
      </c>
      <c r="I1123" s="3">
        <v>0.80924503599999997</v>
      </c>
      <c r="J1123" s="3">
        <v>39.7308375</v>
      </c>
      <c r="K1123" s="3">
        <v>-6.8066999999999997E-3</v>
      </c>
      <c r="L1123" s="3">
        <v>-1.0053569999999999E-3</v>
      </c>
      <c r="M1123" s="3">
        <v>0.19103830899999999</v>
      </c>
      <c r="N1123" s="3">
        <v>2.5955602000000001E-2</v>
      </c>
      <c r="O1123" s="3">
        <v>-6.299753E-3</v>
      </c>
      <c r="P1123" s="3">
        <v>-1.0745900000000001E-3</v>
      </c>
      <c r="Q1123" s="3">
        <v>-1.1940671999999999E-2</v>
      </c>
      <c r="R1123" s="3">
        <v>0.92552244400000006</v>
      </c>
      <c r="S1123" s="3">
        <v>6.2812481020000002</v>
      </c>
      <c r="T1123" s="3">
        <v>0.89541896200000004</v>
      </c>
      <c r="U1123" s="3">
        <v>0.47241215800000003</v>
      </c>
      <c r="V1123" s="3">
        <v>-5.765625</v>
      </c>
      <c r="W1123" s="3">
        <v>0.75221826000000003</v>
      </c>
      <c r="X1123" s="3">
        <v>1.466375687</v>
      </c>
      <c r="Y1123" s="3">
        <v>24.239508570000002</v>
      </c>
      <c r="Z1123" s="3">
        <v>1.8954189619999999</v>
      </c>
      <c r="AA1123" s="3">
        <v>-1.0053569999999999E-3</v>
      </c>
      <c r="AB1123" s="3">
        <v>13.594127500000001</v>
      </c>
      <c r="AC1123" s="3">
        <v>1.949401875</v>
      </c>
      <c r="AD1123" s="3">
        <v>7.2858148999999997E-2</v>
      </c>
      <c r="AE1123" s="3">
        <v>9.6153680430000001</v>
      </c>
      <c r="AF1123" s="4">
        <v>41663</v>
      </c>
      <c r="AG1123" s="5">
        <f>YEAR(AF1123)</f>
        <v>2014</v>
      </c>
      <c r="AH1123" s="5" t="str">
        <f>"Q"&amp;ROUNDUP(MONTH(AF1123)/3,0)</f>
        <v>Q1</v>
      </c>
      <c r="AI1123" s="5">
        <f>INDEX(RatingLookup!$B$2:$B$11,MATCH(A1123,RatingLookup!$A$2:$A$11,0))</f>
        <v>6</v>
      </c>
      <c r="AJ1123" s="5" t="str">
        <f>INDEX(RatingLookup!$C$2:$C$11,MATCH(A1123,RatingLookup!$A$2:$A$11,0))</f>
        <v>Speculative Grade</v>
      </c>
    </row>
    <row r="1124" spans="1:36" x14ac:dyDescent="0.3">
      <c r="A1124" s="3" t="s">
        <v>92</v>
      </c>
      <c r="B1124" s="3" t="s">
        <v>1239</v>
      </c>
      <c r="C1124" s="3" t="s">
        <v>1240</v>
      </c>
      <c r="D1124" s="3" t="s">
        <v>47</v>
      </c>
      <c r="E1124" s="3" t="s">
        <v>1242</v>
      </c>
      <c r="F1124" s="3" t="s">
        <v>59</v>
      </c>
      <c r="G1124" s="3">
        <v>2.272721861</v>
      </c>
      <c r="H1124" s="3">
        <v>7.024288812</v>
      </c>
      <c r="I1124" s="3">
        <v>0.40845345900000002</v>
      </c>
      <c r="J1124" s="3">
        <v>41.335756359999998</v>
      </c>
      <c r="K1124" s="3">
        <v>1.6005154000000001E-2</v>
      </c>
      <c r="L1124" s="3">
        <v>2.8057433999999999E-2</v>
      </c>
      <c r="M1124" s="3">
        <v>0.18930255800000001</v>
      </c>
      <c r="N1124" s="3">
        <v>5.0959549999999999E-2</v>
      </c>
      <c r="O1124" s="3">
        <v>1.4309575999999999E-2</v>
      </c>
      <c r="P1124" s="3">
        <v>2.8935280000000001E-2</v>
      </c>
      <c r="Q1124" s="3">
        <v>2.6519330000000001E-2</v>
      </c>
      <c r="R1124" s="3">
        <v>0.89406047899999996</v>
      </c>
      <c r="S1124" s="3">
        <v>5.2110175249999999</v>
      </c>
      <c r="T1124" s="3">
        <v>0.85325761</v>
      </c>
      <c r="U1124" s="3">
        <v>0.46040960800000003</v>
      </c>
      <c r="V1124" s="3">
        <v>0.42933188999999999</v>
      </c>
      <c r="W1124" s="3">
        <v>0.77334717799999997</v>
      </c>
      <c r="X1124" s="3">
        <v>1.259430281</v>
      </c>
      <c r="Y1124" s="3">
        <v>23.948946410000001</v>
      </c>
      <c r="Z1124" s="3">
        <v>1.85325761</v>
      </c>
      <c r="AA1124" s="3">
        <v>2.8057433999999999E-2</v>
      </c>
      <c r="AB1124" s="3">
        <v>44.1783523</v>
      </c>
      <c r="AC1124" s="3">
        <v>1.6285444849999999</v>
      </c>
      <c r="AD1124" s="3">
        <v>6.3389017000000006E-2</v>
      </c>
      <c r="AE1124" s="3">
        <v>9.2745149149999992</v>
      </c>
      <c r="AF1124" s="4">
        <v>41290</v>
      </c>
      <c r="AG1124" s="5">
        <f>YEAR(AF1124)</f>
        <v>2013</v>
      </c>
      <c r="AH1124" s="5" t="str">
        <f>"Q"&amp;ROUNDUP(MONTH(AF1124)/3,0)</f>
        <v>Q1</v>
      </c>
      <c r="AI1124" s="5">
        <f>INDEX(RatingLookup!$B$2:$B$11,MATCH(A1124,RatingLookup!$A$2:$A$11,0))</f>
        <v>6</v>
      </c>
      <c r="AJ1124" s="5" t="str">
        <f>INDEX(RatingLookup!$C$2:$C$11,MATCH(A1124,RatingLookup!$A$2:$A$11,0))</f>
        <v>Speculative Grade</v>
      </c>
    </row>
    <row r="1125" spans="1:36" x14ac:dyDescent="0.3">
      <c r="A1125" s="3" t="s">
        <v>92</v>
      </c>
      <c r="B1125" s="3" t="s">
        <v>1239</v>
      </c>
      <c r="C1125" s="3" t="s">
        <v>1240</v>
      </c>
      <c r="D1125" s="3" t="s">
        <v>47</v>
      </c>
      <c r="E1125" s="3" t="s">
        <v>546</v>
      </c>
      <c r="F1125" s="3" t="s">
        <v>59</v>
      </c>
      <c r="G1125" s="3">
        <v>2.6880784580000001</v>
      </c>
      <c r="H1125" s="3">
        <v>1.579229593</v>
      </c>
      <c r="I1125" s="3">
        <v>0.82492448799999996</v>
      </c>
      <c r="J1125" s="3">
        <v>42.822203559999998</v>
      </c>
      <c r="K1125" s="3">
        <v>-9.4913854000000006E-2</v>
      </c>
      <c r="L1125" s="3">
        <v>-9.8307942999999995E-2</v>
      </c>
      <c r="M1125" s="3">
        <v>0.162448802</v>
      </c>
      <c r="N1125" s="3">
        <v>-8.1682010999999999E-2</v>
      </c>
      <c r="O1125" s="3">
        <v>-0.10050112999999999</v>
      </c>
      <c r="P1125" s="3">
        <v>-0.12461860800000001</v>
      </c>
      <c r="Q1125" s="3">
        <v>-0.21130648799999999</v>
      </c>
      <c r="R1125" s="3">
        <v>1.0588668080000001</v>
      </c>
      <c r="S1125" s="3">
        <v>6.6531892729999997</v>
      </c>
      <c r="T1125" s="3">
        <v>1.102528478</v>
      </c>
      <c r="U1125" s="3">
        <v>0.524382185</v>
      </c>
      <c r="V1125" s="3">
        <v>3.4902654999999998E-2</v>
      </c>
      <c r="W1125" s="3">
        <v>0.28427877800000001</v>
      </c>
      <c r="X1125" s="3">
        <v>0.29778536</v>
      </c>
      <c r="Y1125" s="3">
        <v>3.5604841309999999</v>
      </c>
      <c r="Z1125" s="3">
        <v>2.102528478</v>
      </c>
      <c r="AA1125" s="3">
        <v>-9.8307942999999995E-2</v>
      </c>
      <c r="AB1125" s="3">
        <v>-13.03821072</v>
      </c>
      <c r="AC1125" s="3">
        <v>1.0475117490000001</v>
      </c>
      <c r="AD1125" s="3">
        <v>3.7747929999999999E-2</v>
      </c>
      <c r="AE1125" s="3">
        <v>8.8871082880000003</v>
      </c>
      <c r="AF1125" s="4">
        <v>42032</v>
      </c>
      <c r="AG1125" s="5">
        <f>YEAR(AF1125)</f>
        <v>2015</v>
      </c>
      <c r="AH1125" s="5" t="str">
        <f>"Q"&amp;ROUNDUP(MONTH(AF1125)/3,0)</f>
        <v>Q1</v>
      </c>
      <c r="AI1125" s="5">
        <f>INDEX(RatingLookup!$B$2:$B$11,MATCH(A1125,RatingLookup!$A$2:$A$11,0))</f>
        <v>6</v>
      </c>
      <c r="AJ1125" s="5" t="str">
        <f>INDEX(RatingLookup!$C$2:$C$11,MATCH(A1125,RatingLookup!$A$2:$A$11,0))</f>
        <v>Speculative Grade</v>
      </c>
    </row>
    <row r="1126" spans="1:36" x14ac:dyDescent="0.3">
      <c r="A1126" s="3" t="s">
        <v>42</v>
      </c>
      <c r="B1126" s="3" t="s">
        <v>1243</v>
      </c>
      <c r="C1126" s="3" t="s">
        <v>1244</v>
      </c>
      <c r="D1126" s="3" t="s">
        <v>47</v>
      </c>
      <c r="E1126" s="3" t="s">
        <v>245</v>
      </c>
      <c r="F1126" s="3" t="s">
        <v>79</v>
      </c>
      <c r="G1126" s="3">
        <v>0.52639537400000003</v>
      </c>
      <c r="H1126" s="3">
        <v>0.39726420600000001</v>
      </c>
      <c r="I1126" s="3">
        <v>0.18662624999999999</v>
      </c>
      <c r="J1126" s="3">
        <v>62.282992360000001</v>
      </c>
      <c r="K1126" s="3">
        <v>0.199555126</v>
      </c>
      <c r="L1126" s="3">
        <v>0.25843064900000001</v>
      </c>
      <c r="M1126" s="3">
        <v>0.77217783200000001</v>
      </c>
      <c r="N1126" s="3">
        <v>0.23635671799999999</v>
      </c>
      <c r="O1126" s="3">
        <v>7.8137498999999999E-2</v>
      </c>
      <c r="P1126" s="3">
        <v>0.16857841900000001</v>
      </c>
      <c r="Q1126" s="3">
        <v>0.25372123499999999</v>
      </c>
      <c r="R1126" s="3">
        <v>0.39155846399999999</v>
      </c>
      <c r="S1126" s="3">
        <v>0.88983977800000003</v>
      </c>
      <c r="T1126" s="3">
        <v>2.2448498109999999</v>
      </c>
      <c r="U1126" s="3">
        <v>0.69133728299999997</v>
      </c>
      <c r="V1126" s="3">
        <v>0.22781942999999999</v>
      </c>
      <c r="W1126" s="3">
        <v>0.56220114099999996</v>
      </c>
      <c r="X1126" s="3">
        <v>202.4338391</v>
      </c>
      <c r="Y1126" s="3">
        <v>127.7309065</v>
      </c>
      <c r="Z1126" s="3">
        <v>3.247112322</v>
      </c>
      <c r="AA1126" s="3">
        <v>0.28957180900000001</v>
      </c>
      <c r="AB1126" s="3">
        <v>1.4355959030000001</v>
      </c>
      <c r="AC1126" s="3">
        <v>360.07368930000001</v>
      </c>
      <c r="AD1126" s="3">
        <v>0.45538677700000002</v>
      </c>
      <c r="AE1126" s="3">
        <v>0.92682113700000002</v>
      </c>
      <c r="AF1126" s="4">
        <v>41891</v>
      </c>
      <c r="AG1126" s="5">
        <f>YEAR(AF1126)</f>
        <v>2014</v>
      </c>
      <c r="AH1126" s="5" t="str">
        <f>"Q"&amp;ROUNDUP(MONTH(AF1126)/3,0)</f>
        <v>Q3</v>
      </c>
      <c r="AI1126" s="5">
        <f>INDEX(RatingLookup!$B$2:$B$11,MATCH(A1126,RatingLookup!$A$2:$A$11,0))</f>
        <v>7</v>
      </c>
      <c r="AJ1126" s="5" t="str">
        <f>INDEX(RatingLookup!$C$2:$C$11,MATCH(A1126,RatingLookup!$A$2:$A$11,0))</f>
        <v>Investment Grade</v>
      </c>
    </row>
    <row r="1127" spans="1:36" x14ac:dyDescent="0.3">
      <c r="A1127" s="3" t="s">
        <v>42</v>
      </c>
      <c r="B1127" s="3" t="s">
        <v>1243</v>
      </c>
      <c r="C1127" s="3" t="s">
        <v>1244</v>
      </c>
      <c r="D1127" s="3" t="s">
        <v>47</v>
      </c>
      <c r="E1127" s="3" t="s">
        <v>1093</v>
      </c>
      <c r="F1127" s="3" t="s">
        <v>79</v>
      </c>
      <c r="G1127" s="3">
        <v>0.52432834500000003</v>
      </c>
      <c r="H1127" s="3">
        <v>0.38890481799999999</v>
      </c>
      <c r="I1127" s="3">
        <v>0.247235503</v>
      </c>
      <c r="J1127" s="3">
        <v>38.112014080000002</v>
      </c>
      <c r="K1127" s="3">
        <v>0.21056886899999999</v>
      </c>
      <c r="L1127" s="3">
        <v>0.25960252299999997</v>
      </c>
      <c r="M1127" s="3">
        <v>0.78881880500000001</v>
      </c>
      <c r="N1127" s="3">
        <v>0.25382406600000001</v>
      </c>
      <c r="O1127" s="3">
        <v>8.8630210000000001E-2</v>
      </c>
      <c r="P1127" s="3">
        <v>0.185730494</v>
      </c>
      <c r="Q1127" s="3">
        <v>0.258263032</v>
      </c>
      <c r="R1127" s="3">
        <v>0.420908422</v>
      </c>
      <c r="S1127" s="3">
        <v>0.87307502699999995</v>
      </c>
      <c r="T1127" s="3">
        <v>1.9126338890000001</v>
      </c>
      <c r="U1127" s="3">
        <v>0.65637401799999995</v>
      </c>
      <c r="V1127" s="3">
        <v>0.188879729</v>
      </c>
      <c r="W1127" s="3">
        <v>0.68506364099999995</v>
      </c>
      <c r="X1127" s="3">
        <v>270.53662420000001</v>
      </c>
      <c r="Y1127" s="3">
        <v>150.99341820000001</v>
      </c>
      <c r="Z1127" s="3">
        <v>2.913939058</v>
      </c>
      <c r="AA1127" s="3">
        <v>0.29877356399999999</v>
      </c>
      <c r="AB1127" s="3">
        <v>1.0458834960000001</v>
      </c>
      <c r="AC1127" s="3">
        <v>394.90728719999998</v>
      </c>
      <c r="AD1127" s="3">
        <v>0.50723198800000002</v>
      </c>
      <c r="AE1127" s="3">
        <v>0.99187468599999995</v>
      </c>
      <c r="AF1127" s="4">
        <v>41628</v>
      </c>
      <c r="AG1127" s="5">
        <f>YEAR(AF1127)</f>
        <v>2013</v>
      </c>
      <c r="AH1127" s="5" t="str">
        <f>"Q"&amp;ROUNDUP(MONTH(AF1127)/3,0)</f>
        <v>Q4</v>
      </c>
      <c r="AI1127" s="5">
        <f>INDEX(RatingLookup!$B$2:$B$11,MATCH(A1127,RatingLookup!$A$2:$A$11,0))</f>
        <v>7</v>
      </c>
      <c r="AJ1127" s="5" t="str">
        <f>INDEX(RatingLookup!$C$2:$C$11,MATCH(A1127,RatingLookup!$A$2:$A$11,0))</f>
        <v>Investment Grade</v>
      </c>
    </row>
    <row r="1128" spans="1:36" x14ac:dyDescent="0.3">
      <c r="A1128" s="3" t="s">
        <v>42</v>
      </c>
      <c r="B1128" s="3" t="s">
        <v>1243</v>
      </c>
      <c r="C1128" s="3" t="s">
        <v>1244</v>
      </c>
      <c r="D1128" s="3" t="s">
        <v>44</v>
      </c>
      <c r="E1128" s="3" t="s">
        <v>1147</v>
      </c>
      <c r="F1128" s="3" t="s">
        <v>79</v>
      </c>
      <c r="G1128" s="3">
        <v>0.69298518200000003</v>
      </c>
      <c r="H1128" s="3">
        <v>0.44375388399999999</v>
      </c>
      <c r="I1128" s="3">
        <v>0.303890942</v>
      </c>
      <c r="J1128" s="3">
        <v>36.669477960000002</v>
      </c>
      <c r="K1128" s="3">
        <v>0.22172198300000001</v>
      </c>
      <c r="L1128" s="3">
        <v>0.271098489</v>
      </c>
      <c r="M1128" s="3">
        <v>0.80092373900000002</v>
      </c>
      <c r="N1128" s="3">
        <v>0.24844050000000001</v>
      </c>
      <c r="O1128" s="3">
        <v>8.9075071000000006E-2</v>
      </c>
      <c r="P1128" s="3">
        <v>0.180135505</v>
      </c>
      <c r="Q1128" s="3">
        <v>0.248354517</v>
      </c>
      <c r="R1128" s="3">
        <v>0.40174217299999998</v>
      </c>
      <c r="S1128" s="3">
        <v>0.81484721000000004</v>
      </c>
      <c r="T1128" s="3">
        <v>1.786884232</v>
      </c>
      <c r="U1128" s="3">
        <v>0.64088562500000001</v>
      </c>
      <c r="V1128" s="3">
        <v>0.182134938</v>
      </c>
      <c r="W1128" s="3">
        <v>0.61122286599999998</v>
      </c>
      <c r="X1128" s="3">
        <v>257.89006569999998</v>
      </c>
      <c r="Y1128" s="3">
        <v>176.6724858</v>
      </c>
      <c r="Z1128" s="3">
        <v>2.7881484030000001</v>
      </c>
      <c r="AA1128" s="3">
        <v>0.313274</v>
      </c>
      <c r="AB1128" s="3">
        <v>1.080824886</v>
      </c>
      <c r="AC1128" s="3">
        <v>421.92476779999998</v>
      </c>
      <c r="AD1128" s="3">
        <v>0.55495513200000002</v>
      </c>
      <c r="AE1128" s="3">
        <v>1.0376622550000001</v>
      </c>
      <c r="AF1128" s="4">
        <v>41361</v>
      </c>
      <c r="AG1128" s="5">
        <f>YEAR(AF1128)</f>
        <v>2013</v>
      </c>
      <c r="AH1128" s="5" t="str">
        <f>"Q"&amp;ROUNDUP(MONTH(AF1128)/3,0)</f>
        <v>Q1</v>
      </c>
      <c r="AI1128" s="5">
        <f>INDEX(RatingLookup!$B$2:$B$11,MATCH(A1128,RatingLookup!$A$2:$A$11,0))</f>
        <v>7</v>
      </c>
      <c r="AJ1128" s="5" t="str">
        <f>INDEX(RatingLookup!$C$2:$C$11,MATCH(A1128,RatingLookup!$A$2:$A$11,0))</f>
        <v>Investment Grade</v>
      </c>
    </row>
    <row r="1129" spans="1:36" x14ac:dyDescent="0.3">
      <c r="A1129" s="3" t="s">
        <v>92</v>
      </c>
      <c r="B1129" s="3" t="s">
        <v>1243</v>
      </c>
      <c r="C1129" s="3" t="s">
        <v>1244</v>
      </c>
      <c r="D1129" s="3" t="s">
        <v>47</v>
      </c>
      <c r="E1129" s="3" t="s">
        <v>1245</v>
      </c>
      <c r="F1129" s="3" t="s">
        <v>79</v>
      </c>
      <c r="G1129" s="3">
        <v>0.60814737399999996</v>
      </c>
      <c r="H1129" s="3">
        <v>0.52036843399999999</v>
      </c>
      <c r="I1129" s="3">
        <v>0.37911052200000001</v>
      </c>
      <c r="J1129" s="3">
        <v>39.93443517</v>
      </c>
      <c r="K1129" s="3">
        <v>0.21065605200000001</v>
      </c>
      <c r="L1129" s="3">
        <v>0.28294910400000001</v>
      </c>
      <c r="M1129" s="3">
        <v>0.81086887699999999</v>
      </c>
      <c r="N1129" s="3">
        <v>0.28323870699999998</v>
      </c>
      <c r="O1129" s="3">
        <v>7.7846249000000006E-2</v>
      </c>
      <c r="P1129" s="3">
        <v>0.17290451500000001</v>
      </c>
      <c r="Q1129" s="3">
        <v>0.20328870399999999</v>
      </c>
      <c r="R1129" s="3">
        <v>0.36954195200000001</v>
      </c>
      <c r="S1129" s="3">
        <v>0.74186827399999999</v>
      </c>
      <c r="T1129" s="3">
        <v>1.6089041989999999</v>
      </c>
      <c r="U1129" s="3">
        <v>0.61610485000000004</v>
      </c>
      <c r="V1129" s="3">
        <v>0.25549842900000003</v>
      </c>
      <c r="W1129" s="3">
        <v>0.66915612000000002</v>
      </c>
      <c r="X1129" s="3">
        <v>325.27928170000001</v>
      </c>
      <c r="Y1129" s="3">
        <v>251.52011089999999</v>
      </c>
      <c r="Z1129" s="3">
        <v>2.6114129730000002</v>
      </c>
      <c r="AA1129" s="3">
        <v>0.32641652999999998</v>
      </c>
      <c r="AB1129" s="3">
        <v>1.0645133280000001</v>
      </c>
      <c r="AC1129" s="3">
        <v>486.103724</v>
      </c>
      <c r="AD1129" s="3">
        <v>0.61141979700000004</v>
      </c>
      <c r="AE1129" s="3">
        <v>0.87382145200000005</v>
      </c>
      <c r="AF1129" s="4">
        <v>40893</v>
      </c>
      <c r="AG1129" s="5">
        <f>YEAR(AF1129)</f>
        <v>2011</v>
      </c>
      <c r="AH1129" s="5" t="str">
        <f>"Q"&amp;ROUNDUP(MONTH(AF1129)/3,0)</f>
        <v>Q4</v>
      </c>
      <c r="AI1129" s="5">
        <f>INDEX(RatingLookup!$B$2:$B$11,MATCH(A1129,RatingLookup!$A$2:$A$11,0))</f>
        <v>6</v>
      </c>
      <c r="AJ1129" s="5" t="str">
        <f>INDEX(RatingLookup!$C$2:$C$11,MATCH(A1129,RatingLookup!$A$2:$A$11,0))</f>
        <v>Speculative Grade</v>
      </c>
    </row>
    <row r="1130" spans="1:36" x14ac:dyDescent="0.3">
      <c r="A1130" s="3" t="s">
        <v>92</v>
      </c>
      <c r="B1130" s="3" t="s">
        <v>1243</v>
      </c>
      <c r="C1130" s="3" t="s">
        <v>1244</v>
      </c>
      <c r="D1130" s="3" t="s">
        <v>47</v>
      </c>
      <c r="E1130" s="3" t="s">
        <v>1246</v>
      </c>
      <c r="F1130" s="3" t="s">
        <v>79</v>
      </c>
      <c r="G1130" s="3">
        <v>0.74923067600000004</v>
      </c>
      <c r="H1130" s="3">
        <v>0.654077723</v>
      </c>
      <c r="I1130" s="3">
        <v>0.44612297000000001</v>
      </c>
      <c r="J1130" s="3">
        <v>39.759040939999998</v>
      </c>
      <c r="K1130" s="3">
        <v>0.26666622499999998</v>
      </c>
      <c r="L1130" s="3">
        <v>0.35611415400000002</v>
      </c>
      <c r="M1130" s="3">
        <v>0.81575980999999997</v>
      </c>
      <c r="N1130" s="3">
        <v>0.37223334699999999</v>
      </c>
      <c r="O1130" s="3">
        <v>0.14476180199999999</v>
      </c>
      <c r="P1130" s="3">
        <v>0.30796012299999997</v>
      </c>
      <c r="Q1130" s="3">
        <v>0.41431352999999999</v>
      </c>
      <c r="R1130" s="3">
        <v>0.54285765699999999</v>
      </c>
      <c r="S1130" s="3">
        <v>0.92419600000000002</v>
      </c>
      <c r="T1130" s="3">
        <v>1.8587808669999999</v>
      </c>
      <c r="U1130" s="3">
        <v>0.64946097199999997</v>
      </c>
      <c r="V1130" s="3">
        <v>0.25117768600000001</v>
      </c>
      <c r="W1130" s="3">
        <v>0.69729995300000003</v>
      </c>
      <c r="X1130" s="3">
        <v>334.29818669999997</v>
      </c>
      <c r="Y1130" s="3">
        <v>199.9332924</v>
      </c>
      <c r="Z1130" s="3">
        <v>2.8620362830000001</v>
      </c>
      <c r="AA1130" s="3">
        <v>0.39941252100000002</v>
      </c>
      <c r="AB1130" s="3">
        <v>0.72894173699999998</v>
      </c>
      <c r="AC1130" s="3">
        <v>479.41805410000001</v>
      </c>
      <c r="AD1130" s="3">
        <v>0.59380428900000004</v>
      </c>
      <c r="AE1130" s="3">
        <v>0.99627106499999996</v>
      </c>
      <c r="AF1130" s="4">
        <v>40617</v>
      </c>
      <c r="AG1130" s="5">
        <f>YEAR(AF1130)</f>
        <v>2011</v>
      </c>
      <c r="AH1130" s="5" t="str">
        <f>"Q"&amp;ROUNDUP(MONTH(AF1130)/3,0)</f>
        <v>Q1</v>
      </c>
      <c r="AI1130" s="5">
        <f>INDEX(RatingLookup!$B$2:$B$11,MATCH(A1130,RatingLookup!$A$2:$A$11,0))</f>
        <v>6</v>
      </c>
      <c r="AJ1130" s="5" t="str">
        <f>INDEX(RatingLookup!$C$2:$C$11,MATCH(A1130,RatingLookup!$A$2:$A$11,0))</f>
        <v>Speculative Grade</v>
      </c>
    </row>
    <row r="1131" spans="1:36" x14ac:dyDescent="0.3">
      <c r="A1131" s="3" t="s">
        <v>42</v>
      </c>
      <c r="B1131" s="3" t="s">
        <v>1243</v>
      </c>
      <c r="C1131" s="3" t="s">
        <v>1244</v>
      </c>
      <c r="D1131" s="3" t="s">
        <v>47</v>
      </c>
      <c r="E1131" s="3" t="s">
        <v>1247</v>
      </c>
      <c r="F1131" s="3" t="s">
        <v>79</v>
      </c>
      <c r="G1131" s="3">
        <v>0.472295935</v>
      </c>
      <c r="H1131" s="3">
        <v>0.36383115500000002</v>
      </c>
      <c r="I1131" s="3">
        <v>0.21274304599999999</v>
      </c>
      <c r="J1131" s="3">
        <v>53.969696599999999</v>
      </c>
      <c r="K1131" s="3">
        <v>0.121056262</v>
      </c>
      <c r="L1131" s="3">
        <v>0.13260761700000001</v>
      </c>
      <c r="M1131" s="3">
        <v>0.83138289499999996</v>
      </c>
      <c r="N1131" s="3">
        <v>0.14947779899999999</v>
      </c>
      <c r="O1131" s="3">
        <v>4.2107345999999997E-2</v>
      </c>
      <c r="P1131" s="3">
        <v>7.4768172999999993E-2</v>
      </c>
      <c r="Q1131" s="3">
        <v>0.18494106799999999</v>
      </c>
      <c r="R1131" s="3">
        <v>0.34783285899999999</v>
      </c>
      <c r="S1131" s="3">
        <v>0.81334527599999995</v>
      </c>
      <c r="T1131" s="3">
        <v>3.3887866880000002</v>
      </c>
      <c r="U1131" s="3">
        <v>0.77155828299999996</v>
      </c>
      <c r="V1131" s="3">
        <v>8.7109285999999994E-2</v>
      </c>
      <c r="W1131" s="3">
        <v>0.27823957399999999</v>
      </c>
      <c r="X1131" s="3">
        <v>72.041582779999999</v>
      </c>
      <c r="Y1131" s="3">
        <v>193.4037635</v>
      </c>
      <c r="Z1131" s="3">
        <v>4.3921331180000003</v>
      </c>
      <c r="AA1131" s="3">
        <v>0.13260761700000001</v>
      </c>
      <c r="AB1131" s="3">
        <v>2.6522016220000002</v>
      </c>
      <c r="AC1131" s="3">
        <v>258.91925359999999</v>
      </c>
      <c r="AD1131" s="3">
        <v>0.33849886800000001</v>
      </c>
      <c r="AE1131" s="3">
        <v>0.52627006600000004</v>
      </c>
      <c r="AF1131" s="4">
        <v>42723</v>
      </c>
      <c r="AG1131" s="5">
        <f>YEAR(AF1131)</f>
        <v>2016</v>
      </c>
      <c r="AH1131" s="5" t="str">
        <f>"Q"&amp;ROUNDUP(MONTH(AF1131)/3,0)</f>
        <v>Q4</v>
      </c>
      <c r="AI1131" s="5">
        <f>INDEX(RatingLookup!$B$2:$B$11,MATCH(A1131,RatingLookup!$A$2:$A$11,0))</f>
        <v>7</v>
      </c>
      <c r="AJ1131" s="5" t="str">
        <f>INDEX(RatingLookup!$C$2:$C$11,MATCH(A1131,RatingLookup!$A$2:$A$11,0))</f>
        <v>Investment Grade</v>
      </c>
    </row>
    <row r="1132" spans="1:36" x14ac:dyDescent="0.3">
      <c r="A1132" s="3" t="s">
        <v>42</v>
      </c>
      <c r="B1132" s="3" t="s">
        <v>1243</v>
      </c>
      <c r="C1132" s="3" t="s">
        <v>1244</v>
      </c>
      <c r="D1132" s="3" t="s">
        <v>47</v>
      </c>
      <c r="E1132" s="3" t="s">
        <v>542</v>
      </c>
      <c r="F1132" s="3" t="s">
        <v>79</v>
      </c>
      <c r="G1132" s="3">
        <v>0.57631124499999997</v>
      </c>
      <c r="H1132" s="3">
        <v>0.45903344099999999</v>
      </c>
      <c r="I1132" s="3">
        <v>0.29278484399999999</v>
      </c>
      <c r="J1132" s="3">
        <v>53.112861840000001</v>
      </c>
      <c r="K1132" s="3">
        <v>0.12895741199999999</v>
      </c>
      <c r="L1132" s="3">
        <v>0.155625559</v>
      </c>
      <c r="M1132" s="3">
        <v>0.83770009899999998</v>
      </c>
      <c r="N1132" s="3">
        <v>0.186057521</v>
      </c>
      <c r="O1132" s="3">
        <v>4.8484381999999999E-2</v>
      </c>
      <c r="P1132" s="3">
        <v>8.9829268000000004E-2</v>
      </c>
      <c r="Q1132" s="3">
        <v>0.194220477</v>
      </c>
      <c r="R1132" s="3">
        <v>0.37597205</v>
      </c>
      <c r="S1132" s="3">
        <v>0.87394653200000005</v>
      </c>
      <c r="T1132" s="3">
        <v>3.0032832190000001</v>
      </c>
      <c r="U1132" s="3">
        <v>0.74972698000000004</v>
      </c>
      <c r="V1132" s="3">
        <v>0.171360973</v>
      </c>
      <c r="W1132" s="3">
        <v>0.45760525200000002</v>
      </c>
      <c r="X1132" s="3">
        <v>165.81366550000001</v>
      </c>
      <c r="Y1132" s="3">
        <v>221.86400710000001</v>
      </c>
      <c r="Z1132" s="3">
        <v>4.0058358570000001</v>
      </c>
      <c r="AA1132" s="3">
        <v>0.155625559</v>
      </c>
      <c r="AB1132" s="3">
        <v>2.0965278770000002</v>
      </c>
      <c r="AC1132" s="3">
        <v>362.35087909999999</v>
      </c>
      <c r="AD1132" s="3">
        <v>0.457548962</v>
      </c>
      <c r="AE1132" s="3">
        <v>0.51292944200000001</v>
      </c>
      <c r="AF1132" s="4">
        <v>42522</v>
      </c>
      <c r="AG1132" s="5">
        <f>YEAR(AF1132)</f>
        <v>2016</v>
      </c>
      <c r="AH1132" s="5" t="str">
        <f>"Q"&amp;ROUNDUP(MONTH(AF1132)/3,0)</f>
        <v>Q2</v>
      </c>
      <c r="AI1132" s="5">
        <f>INDEX(RatingLookup!$B$2:$B$11,MATCH(A1132,RatingLookup!$A$2:$A$11,0))</f>
        <v>7</v>
      </c>
      <c r="AJ1132" s="5" t="str">
        <f>INDEX(RatingLookup!$C$2:$C$11,MATCH(A1132,RatingLookup!$A$2:$A$11,0))</f>
        <v>Investment Grade</v>
      </c>
    </row>
    <row r="1133" spans="1:36" x14ac:dyDescent="0.3">
      <c r="A1133" s="3" t="s">
        <v>109</v>
      </c>
      <c r="B1133" s="3" t="s">
        <v>1248</v>
      </c>
      <c r="C1133" s="3" t="s">
        <v>1249</v>
      </c>
      <c r="D1133" s="3" t="s">
        <v>60</v>
      </c>
      <c r="E1133" s="3" t="s">
        <v>1250</v>
      </c>
      <c r="F1133" s="3" t="s">
        <v>53</v>
      </c>
      <c r="G1133" s="3">
        <v>1.292284368</v>
      </c>
      <c r="H1133" s="3">
        <v>0.90505068</v>
      </c>
      <c r="I1133" s="3">
        <v>3.6084963999999997E-2</v>
      </c>
      <c r="J1133" s="3">
        <v>24.296373490000001</v>
      </c>
      <c r="K1133" s="3">
        <v>2.3665271000000002E-2</v>
      </c>
      <c r="L1133" s="3">
        <v>2.1403630999999999E-2</v>
      </c>
      <c r="M1133" s="3">
        <v>1</v>
      </c>
      <c r="N1133" s="3">
        <v>2.793327E-2</v>
      </c>
      <c r="O1133" s="3">
        <v>4.5656085999999999E-2</v>
      </c>
      <c r="P1133" s="3">
        <v>4.8477112000000003E-2</v>
      </c>
      <c r="Q1133" s="3">
        <v>0.105094954</v>
      </c>
      <c r="R1133" s="3">
        <v>1.929244183</v>
      </c>
      <c r="S1133" s="3">
        <v>7.2000597930000003</v>
      </c>
      <c r="T1133" s="3">
        <v>1.3018827159999999</v>
      </c>
      <c r="U1133" s="3">
        <v>0.56557300099999996</v>
      </c>
      <c r="V1133" s="3">
        <v>-0.10566613900000001</v>
      </c>
      <c r="W1133" s="3">
        <v>0.226344927</v>
      </c>
      <c r="X1133" s="3">
        <v>0.54678866299999995</v>
      </c>
      <c r="Y1133" s="3">
        <v>0.15364393900000001</v>
      </c>
      <c r="Z1133" s="3">
        <v>2.3018827160000002</v>
      </c>
      <c r="AA1133" s="3">
        <v>2.1403630999999999E-2</v>
      </c>
      <c r="AB1133" s="3">
        <v>25.189061840000001</v>
      </c>
      <c r="AC1133" s="3">
        <v>2.4157319140000002</v>
      </c>
      <c r="AD1133" s="3">
        <v>4.6511388000000001E-2</v>
      </c>
      <c r="AE1133" s="3">
        <v>13.72449458</v>
      </c>
      <c r="AF1133" s="4">
        <v>41310</v>
      </c>
      <c r="AG1133" s="5">
        <f>YEAR(AF1133)</f>
        <v>2013</v>
      </c>
      <c r="AH1133" s="5" t="str">
        <f>"Q"&amp;ROUNDUP(MONTH(AF1133)/3,0)</f>
        <v>Q1</v>
      </c>
      <c r="AI1133" s="5">
        <f>INDEX(RatingLookup!$B$2:$B$11,MATCH(A1133,RatingLookup!$A$2:$A$11,0))</f>
        <v>5</v>
      </c>
      <c r="AJ1133" s="5" t="str">
        <f>INDEX(RatingLookup!$C$2:$C$11,MATCH(A1133,RatingLookup!$A$2:$A$11,0))</f>
        <v>Speculative Grade</v>
      </c>
    </row>
    <row r="1134" spans="1:36" x14ac:dyDescent="0.3">
      <c r="A1134" s="3" t="s">
        <v>92</v>
      </c>
      <c r="B1134" s="3" t="s">
        <v>1248</v>
      </c>
      <c r="C1134" s="3" t="s">
        <v>1249</v>
      </c>
      <c r="D1134" s="3" t="s">
        <v>47</v>
      </c>
      <c r="E1134" s="3" t="s">
        <v>292</v>
      </c>
      <c r="F1134" s="3" t="s">
        <v>53</v>
      </c>
      <c r="G1134" s="3">
        <v>1.1985654560000001</v>
      </c>
      <c r="H1134" s="3">
        <v>1.184186424</v>
      </c>
      <c r="I1134" s="3">
        <v>1.9854305999999999E-2</v>
      </c>
      <c r="J1134" s="3">
        <v>32.487924530000001</v>
      </c>
      <c r="K1134" s="3">
        <v>2.0825282000000001E-2</v>
      </c>
      <c r="L1134" s="3">
        <v>2.0520553E-2</v>
      </c>
      <c r="M1134" s="3">
        <v>1</v>
      </c>
      <c r="N1134" s="3">
        <v>2.6786349000000001E-2</v>
      </c>
      <c r="O1134" s="3">
        <v>3.0084878999999998E-2</v>
      </c>
      <c r="P1134" s="3">
        <v>3.5124721999999997E-2</v>
      </c>
      <c r="Q1134" s="3">
        <v>7.8442286E-2</v>
      </c>
      <c r="R1134" s="3">
        <v>1.444632489</v>
      </c>
      <c r="S1134" s="3">
        <v>3.663213271</v>
      </c>
      <c r="T1134" s="3">
        <v>1.607365881</v>
      </c>
      <c r="U1134" s="3">
        <v>0.61647116499999999</v>
      </c>
      <c r="V1134" s="3">
        <v>9.9588679999999992E-3</v>
      </c>
      <c r="W1134" s="3">
        <v>-1.479434336</v>
      </c>
      <c r="X1134" s="3">
        <v>-2.4385459219999999</v>
      </c>
      <c r="Y1134" s="3">
        <v>1.9148969119999999</v>
      </c>
      <c r="Z1134" s="3">
        <v>2.6073658810000002</v>
      </c>
      <c r="AA1134" s="3">
        <v>2.0520553E-2</v>
      </c>
      <c r="AB1134" s="3">
        <v>34.978338100000002</v>
      </c>
      <c r="AC1134" s="3">
        <v>1.6482961519999999</v>
      </c>
      <c r="AD1134" s="3">
        <v>3.3468365E-2</v>
      </c>
      <c r="AE1134" s="3">
        <v>0</v>
      </c>
      <c r="AF1134" s="4">
        <v>41506</v>
      </c>
      <c r="AG1134" s="5">
        <f>YEAR(AF1134)</f>
        <v>2013</v>
      </c>
      <c r="AH1134" s="5" t="str">
        <f>"Q"&amp;ROUNDUP(MONTH(AF1134)/3,0)</f>
        <v>Q3</v>
      </c>
      <c r="AI1134" s="5">
        <f>INDEX(RatingLookup!$B$2:$B$11,MATCH(A1134,RatingLookup!$A$2:$A$11,0))</f>
        <v>6</v>
      </c>
      <c r="AJ1134" s="5" t="str">
        <f>INDEX(RatingLookup!$C$2:$C$11,MATCH(A1134,RatingLookup!$A$2:$A$11,0))</f>
        <v>Speculative Grade</v>
      </c>
    </row>
    <row r="1135" spans="1:36" x14ac:dyDescent="0.3">
      <c r="A1135" s="3" t="s">
        <v>109</v>
      </c>
      <c r="B1135" s="3" t="s">
        <v>1248</v>
      </c>
      <c r="C1135" s="3" t="s">
        <v>1249</v>
      </c>
      <c r="D1135" s="3" t="s">
        <v>60</v>
      </c>
      <c r="E1135" s="3" t="s">
        <v>1251</v>
      </c>
      <c r="F1135" s="3" t="s">
        <v>53</v>
      </c>
      <c r="G1135" s="3">
        <v>0.97857880500000005</v>
      </c>
      <c r="H1135" s="3">
        <v>1.1757011660000001</v>
      </c>
      <c r="I1135" s="3">
        <v>2.6055708E-2</v>
      </c>
      <c r="J1135" s="3">
        <v>25.768034069999999</v>
      </c>
      <c r="K1135" s="3">
        <v>2.7612446999999998E-2</v>
      </c>
      <c r="L1135" s="3">
        <v>2.8352144999999999E-2</v>
      </c>
      <c r="M1135" s="3">
        <v>1</v>
      </c>
      <c r="N1135" s="3">
        <v>3.4463169000000002E-2</v>
      </c>
      <c r="O1135" s="3">
        <v>3.2876069000000001E-2</v>
      </c>
      <c r="P1135" s="3">
        <v>3.8032191E-2</v>
      </c>
      <c r="Q1135" s="3">
        <v>4.6583052999999999E-2</v>
      </c>
      <c r="R1135" s="3">
        <v>1.190624986</v>
      </c>
      <c r="S1135" s="3">
        <v>2.3581616439999999</v>
      </c>
      <c r="T1135" s="3">
        <v>0.416928892</v>
      </c>
      <c r="U1135" s="3">
        <v>0.29424828200000003</v>
      </c>
      <c r="V1135" s="3">
        <v>2.6089668E-2</v>
      </c>
      <c r="W1135" s="3">
        <v>-0.523710377</v>
      </c>
      <c r="X1135" s="3">
        <v>-1.6925161</v>
      </c>
      <c r="Y1135" s="3">
        <v>1.7257495</v>
      </c>
      <c r="Z1135" s="3">
        <v>1.4169288920000001</v>
      </c>
      <c r="AA1135" s="3">
        <v>2.8352144999999999E-2</v>
      </c>
      <c r="AB1135" s="3">
        <v>23.495270489999999</v>
      </c>
      <c r="AC1135" s="3">
        <v>3.2317788140000001</v>
      </c>
      <c r="AD1135" s="3">
        <v>7.5673840000000006E-2</v>
      </c>
      <c r="AE1135" s="3">
        <v>0</v>
      </c>
      <c r="AF1135" s="4">
        <v>42138</v>
      </c>
      <c r="AG1135" s="5">
        <f>YEAR(AF1135)</f>
        <v>2015</v>
      </c>
      <c r="AH1135" s="5" t="str">
        <f>"Q"&amp;ROUNDUP(MONTH(AF1135)/3,0)</f>
        <v>Q2</v>
      </c>
      <c r="AI1135" s="5">
        <f>INDEX(RatingLookup!$B$2:$B$11,MATCH(A1135,RatingLookup!$A$2:$A$11,0))</f>
        <v>5</v>
      </c>
      <c r="AJ1135" s="5" t="str">
        <f>INDEX(RatingLookup!$C$2:$C$11,MATCH(A1135,RatingLookup!$A$2:$A$11,0))</f>
        <v>Speculative Grade</v>
      </c>
    </row>
    <row r="1136" spans="1:36" x14ac:dyDescent="0.3">
      <c r="A1136" s="3" t="s">
        <v>109</v>
      </c>
      <c r="B1136" s="3" t="s">
        <v>1248</v>
      </c>
      <c r="C1136" s="3" t="s">
        <v>1249</v>
      </c>
      <c r="D1136" s="3" t="s">
        <v>60</v>
      </c>
      <c r="E1136" s="3" t="s">
        <v>1252</v>
      </c>
      <c r="F1136" s="3" t="s">
        <v>53</v>
      </c>
      <c r="G1136" s="3">
        <v>1.0138348290000001</v>
      </c>
      <c r="H1136" s="3">
        <v>1.2251270949999999</v>
      </c>
      <c r="I1136" s="3">
        <v>3.6059920000000002E-2</v>
      </c>
      <c r="J1136" s="3">
        <v>35.66799271</v>
      </c>
      <c r="K1136" s="3">
        <v>0.188080368</v>
      </c>
      <c r="L1136" s="3">
        <v>0.189435347</v>
      </c>
      <c r="M1136" s="3">
        <v>1</v>
      </c>
      <c r="N1136" s="3">
        <v>6.9826386000000004E-2</v>
      </c>
      <c r="O1136" s="3">
        <v>7.7391764000000002E-2</v>
      </c>
      <c r="P1136" s="3">
        <v>8.2515764000000005E-2</v>
      </c>
      <c r="Q1136" s="3">
        <v>0.110383888</v>
      </c>
      <c r="R1136" s="3">
        <v>0.41148241800000002</v>
      </c>
      <c r="S1136" s="3">
        <v>0.57134816799999999</v>
      </c>
      <c r="T1136" s="3">
        <v>0.42630019000000002</v>
      </c>
      <c r="U1136" s="3">
        <v>0.29888532099999998</v>
      </c>
      <c r="V1136" s="3">
        <v>9.3685669999999995E-3</v>
      </c>
      <c r="W1136" s="3">
        <v>-0.71230520600000002</v>
      </c>
      <c r="X1136" s="3">
        <v>-2.0022329230000002</v>
      </c>
      <c r="Y1136" s="3">
        <v>1.462302435</v>
      </c>
      <c r="Z1136" s="3">
        <v>1.4263001900000001</v>
      </c>
      <c r="AA1136" s="3">
        <v>0.189435347</v>
      </c>
      <c r="AB1136" s="3">
        <v>16.940660990000001</v>
      </c>
      <c r="AC1136" s="3">
        <v>2.810919964</v>
      </c>
      <c r="AD1136" s="3">
        <v>0.12888148799999999</v>
      </c>
      <c r="AE1136" s="3">
        <v>0</v>
      </c>
      <c r="AF1136" s="4">
        <v>42201</v>
      </c>
      <c r="AG1136" s="5">
        <f>YEAR(AF1136)</f>
        <v>2015</v>
      </c>
      <c r="AH1136" s="5" t="str">
        <f>"Q"&amp;ROUNDUP(MONTH(AF1136)/3,0)</f>
        <v>Q3</v>
      </c>
      <c r="AI1136" s="5">
        <f>INDEX(RatingLookup!$B$2:$B$11,MATCH(A1136,RatingLookup!$A$2:$A$11,0))</f>
        <v>5</v>
      </c>
      <c r="AJ1136" s="5" t="str">
        <f>INDEX(RatingLookup!$C$2:$C$11,MATCH(A1136,RatingLookup!$A$2:$A$11,0))</f>
        <v>Speculative Grade</v>
      </c>
    </row>
    <row r="1137" spans="1:36" x14ac:dyDescent="0.3">
      <c r="A1137" s="3" t="s">
        <v>109</v>
      </c>
      <c r="B1137" s="3" t="s">
        <v>1248</v>
      </c>
      <c r="C1137" s="3" t="s">
        <v>1249</v>
      </c>
      <c r="D1137" s="3" t="s">
        <v>60</v>
      </c>
      <c r="E1137" s="3" t="s">
        <v>46</v>
      </c>
      <c r="F1137" s="3" t="s">
        <v>53</v>
      </c>
      <c r="G1137" s="3">
        <v>1.5078659969999999</v>
      </c>
      <c r="H1137" s="3">
        <v>2.2243132289999998</v>
      </c>
      <c r="I1137" s="3">
        <v>4.3367224000000003E-2</v>
      </c>
      <c r="J1137" s="3">
        <v>28.114980930000002</v>
      </c>
      <c r="K1137" s="3">
        <v>1.6587213999999999E-2</v>
      </c>
      <c r="L1137" s="3">
        <v>1.6193320000000001E-2</v>
      </c>
      <c r="M1137" s="3">
        <v>1</v>
      </c>
      <c r="N1137" s="3">
        <v>2.6686353999999999E-2</v>
      </c>
      <c r="O1137" s="3">
        <v>2.9609254000000002E-2</v>
      </c>
      <c r="P1137" s="3">
        <v>3.3773092999999997E-2</v>
      </c>
      <c r="Q1137" s="3">
        <v>6.4656248999999999E-2</v>
      </c>
      <c r="R1137" s="3">
        <v>1.785064974</v>
      </c>
      <c r="S1137" s="3">
        <v>7.4106110210000002</v>
      </c>
      <c r="T1137" s="3">
        <v>1.183650039</v>
      </c>
      <c r="U1137" s="3">
        <v>0.54205116099999995</v>
      </c>
      <c r="V1137" s="3">
        <v>-2.4324432E-2</v>
      </c>
      <c r="W1137" s="3">
        <v>0.51992042100000002</v>
      </c>
      <c r="X1137" s="3">
        <v>0.44621566699999998</v>
      </c>
      <c r="Y1137" s="3">
        <v>4.6633253850000003</v>
      </c>
      <c r="Z1137" s="3">
        <v>2.1836500390000002</v>
      </c>
      <c r="AA1137" s="3">
        <v>1.6193320000000001E-2</v>
      </c>
      <c r="AB1137" s="3">
        <v>20.849202729999998</v>
      </c>
      <c r="AC1137" s="3">
        <v>0.85823839400000002</v>
      </c>
      <c r="AD1137" s="3">
        <v>1.8871600999999998E-2</v>
      </c>
      <c r="AE1137" s="3">
        <v>13.261069340000001</v>
      </c>
      <c r="AF1137" s="4">
        <v>41075</v>
      </c>
      <c r="AG1137" s="5">
        <f>YEAR(AF1137)</f>
        <v>2012</v>
      </c>
      <c r="AH1137" s="5" t="str">
        <f>"Q"&amp;ROUNDUP(MONTH(AF1137)/3,0)</f>
        <v>Q2</v>
      </c>
      <c r="AI1137" s="5">
        <f>INDEX(RatingLookup!$B$2:$B$11,MATCH(A1137,RatingLookup!$A$2:$A$11,0))</f>
        <v>5</v>
      </c>
      <c r="AJ1137" s="5" t="str">
        <f>INDEX(RatingLookup!$C$2:$C$11,MATCH(A1137,RatingLookup!$A$2:$A$11,0))</f>
        <v>Speculative Grade</v>
      </c>
    </row>
    <row r="1138" spans="1:36" x14ac:dyDescent="0.3">
      <c r="A1138" s="3" t="s">
        <v>36</v>
      </c>
      <c r="B1138" s="3" t="s">
        <v>1253</v>
      </c>
      <c r="C1138" s="3" t="s">
        <v>1254</v>
      </c>
      <c r="D1138" s="3" t="s">
        <v>47</v>
      </c>
      <c r="E1138" s="3" t="s">
        <v>1110</v>
      </c>
      <c r="F1138" s="3" t="s">
        <v>59</v>
      </c>
      <c r="G1138" s="3">
        <v>2.0665288770000001</v>
      </c>
      <c r="H1138" s="3">
        <v>1.3510509690000001</v>
      </c>
      <c r="I1138" s="3">
        <v>0.78633545199999999</v>
      </c>
      <c r="J1138" s="3">
        <v>0</v>
      </c>
      <c r="K1138" s="3">
        <v>8.9395189E-2</v>
      </c>
      <c r="L1138" s="3">
        <v>0.130252803</v>
      </c>
      <c r="M1138" s="3">
        <v>0.14773056600000001</v>
      </c>
      <c r="N1138" s="3">
        <v>0.130252803</v>
      </c>
      <c r="O1138" s="3">
        <v>7.5983666000000005E-2</v>
      </c>
      <c r="P1138" s="3">
        <v>0.12601978899999999</v>
      </c>
      <c r="Q1138" s="3">
        <v>0.231110599</v>
      </c>
      <c r="R1138" s="3">
        <v>0.84997489299999995</v>
      </c>
      <c r="S1138" s="3">
        <v>8.2442565699999992</v>
      </c>
      <c r="T1138" s="3">
        <v>2.0415826180000001</v>
      </c>
      <c r="U1138" s="3">
        <v>0.67122379200000004</v>
      </c>
      <c r="V1138" s="3">
        <v>0.31367934600000003</v>
      </c>
      <c r="W1138" s="3">
        <v>0.88783255100000003</v>
      </c>
      <c r="X1138" s="3">
        <v>6.3996051889999999</v>
      </c>
      <c r="Y1138" s="3">
        <v>9.7701635650000007</v>
      </c>
      <c r="Z1138" s="3">
        <v>3.0415826180000001</v>
      </c>
      <c r="AA1138" s="3">
        <v>0.130252803</v>
      </c>
      <c r="AB1138" s="3">
        <v>7.3900567170000002</v>
      </c>
      <c r="AC1138" s="3">
        <v>7.2081218270000003</v>
      </c>
      <c r="AD1138" s="3">
        <v>0.142452683</v>
      </c>
      <c r="AE1138" s="3">
        <v>7.3814258820000003</v>
      </c>
      <c r="AF1138" s="4">
        <v>42356</v>
      </c>
      <c r="AG1138" s="5">
        <f>YEAR(AF1138)</f>
        <v>2015</v>
      </c>
      <c r="AH1138" s="5" t="str">
        <f>"Q"&amp;ROUNDUP(MONTH(AF1138)/3,0)</f>
        <v>Q4</v>
      </c>
      <c r="AI1138" s="5">
        <f>INDEX(RatingLookup!$B$2:$B$11,MATCH(A1138,RatingLookup!$A$2:$A$11,0))</f>
        <v>8</v>
      </c>
      <c r="AJ1138" s="5" t="str">
        <f>INDEX(RatingLookup!$C$2:$C$11,MATCH(A1138,RatingLookup!$A$2:$A$11,0))</f>
        <v>Investment Grade</v>
      </c>
    </row>
    <row r="1139" spans="1:36" x14ac:dyDescent="0.3">
      <c r="A1139" s="3" t="s">
        <v>36</v>
      </c>
      <c r="B1139" s="3" t="s">
        <v>1253</v>
      </c>
      <c r="C1139" s="3" t="s">
        <v>1254</v>
      </c>
      <c r="D1139" s="3" t="s">
        <v>39</v>
      </c>
      <c r="E1139" s="3" t="s">
        <v>1255</v>
      </c>
      <c r="F1139" s="3" t="s">
        <v>59</v>
      </c>
      <c r="G1139" s="3">
        <v>1.9309779709999999</v>
      </c>
      <c r="H1139" s="3">
        <v>1.150087659</v>
      </c>
      <c r="I1139" s="3">
        <v>0.66700968100000002</v>
      </c>
      <c r="J1139" s="3">
        <v>0</v>
      </c>
      <c r="K1139" s="3">
        <v>6.8401873000000002E-2</v>
      </c>
      <c r="L1139" s="3">
        <v>9.8985037999999997E-2</v>
      </c>
      <c r="M1139" s="3">
        <v>0.18822340800000001</v>
      </c>
      <c r="N1139" s="3">
        <v>9.8985037999999997E-2</v>
      </c>
      <c r="O1139" s="3">
        <v>5.6514921000000003E-2</v>
      </c>
      <c r="P1139" s="3">
        <v>9.3637613999999994E-2</v>
      </c>
      <c r="Q1139" s="3">
        <v>0.17655216100000001</v>
      </c>
      <c r="R1139" s="3">
        <v>0.82621890899999995</v>
      </c>
      <c r="S1139" s="3">
        <v>6.8132733859999997</v>
      </c>
      <c r="T1139" s="3">
        <v>2.1239919810000001</v>
      </c>
      <c r="U1139" s="3">
        <v>0.67989674600000005</v>
      </c>
      <c r="V1139" s="3">
        <v>0.30896755199999998</v>
      </c>
      <c r="W1139" s="3">
        <v>0.78507387299999998</v>
      </c>
      <c r="X1139" s="3">
        <v>5.2656691130000004</v>
      </c>
      <c r="Y1139" s="3">
        <v>8.519480519</v>
      </c>
      <c r="Z1139" s="3">
        <v>3.1239919810000001</v>
      </c>
      <c r="AA1139" s="3">
        <v>9.8985037999999997E-2</v>
      </c>
      <c r="AB1139" s="3">
        <v>9.7832900990000002</v>
      </c>
      <c r="AC1139" s="3">
        <v>6.7072275550000002</v>
      </c>
      <c r="AD1139" s="3">
        <v>0.138736729</v>
      </c>
      <c r="AE1139" s="3">
        <v>6.4504408350000002</v>
      </c>
      <c r="AF1139" s="4">
        <v>41493</v>
      </c>
      <c r="AG1139" s="5">
        <f>YEAR(AF1139)</f>
        <v>2013</v>
      </c>
      <c r="AH1139" s="5" t="str">
        <f>"Q"&amp;ROUNDUP(MONTH(AF1139)/3,0)</f>
        <v>Q3</v>
      </c>
      <c r="AI1139" s="5">
        <f>INDEX(RatingLookup!$B$2:$B$11,MATCH(A1139,RatingLookup!$A$2:$A$11,0))</f>
        <v>8</v>
      </c>
      <c r="AJ1139" s="5" t="str">
        <f>INDEX(RatingLookup!$C$2:$C$11,MATCH(A1139,RatingLookup!$A$2:$A$11,0))</f>
        <v>Investment Grade</v>
      </c>
    </row>
    <row r="1140" spans="1:36" x14ac:dyDescent="0.3">
      <c r="A1140" s="3" t="s">
        <v>36</v>
      </c>
      <c r="B1140" s="3" t="s">
        <v>1253</v>
      </c>
      <c r="C1140" s="3" t="s">
        <v>1254</v>
      </c>
      <c r="D1140" s="3" t="s">
        <v>47</v>
      </c>
      <c r="E1140" s="3" t="s">
        <v>1256</v>
      </c>
      <c r="F1140" s="3" t="s">
        <v>59</v>
      </c>
      <c r="G1140" s="3">
        <v>1.961230955</v>
      </c>
      <c r="H1140" s="3">
        <v>1.135012822</v>
      </c>
      <c r="I1140" s="3">
        <v>0.65530245899999995</v>
      </c>
      <c r="J1140" s="3">
        <v>0</v>
      </c>
      <c r="K1140" s="3">
        <v>8.8634347000000002E-2</v>
      </c>
      <c r="L1140" s="3">
        <v>0.131607786</v>
      </c>
      <c r="M1140" s="3">
        <v>-9.8627560000000003E-3</v>
      </c>
      <c r="N1140" s="3">
        <v>0.131607786</v>
      </c>
      <c r="O1140" s="3">
        <v>6.5901022000000004E-2</v>
      </c>
      <c r="P1140" s="3">
        <v>0.112293513</v>
      </c>
      <c r="Q1140" s="3">
        <v>0.201208316</v>
      </c>
      <c r="R1140" s="3">
        <v>0.74351562699999996</v>
      </c>
      <c r="S1140" s="3">
        <v>6.6270695540000002</v>
      </c>
      <c r="T1140" s="3">
        <v>2.053189599</v>
      </c>
      <c r="U1140" s="3">
        <v>0.67247366500000005</v>
      </c>
      <c r="V1140" s="3">
        <v>0.32652656600000002</v>
      </c>
      <c r="W1140" s="3">
        <v>0.85957807500000005</v>
      </c>
      <c r="X1140" s="3">
        <v>5.1419718310000002</v>
      </c>
      <c r="Y1140" s="3">
        <v>8.4777464790000003</v>
      </c>
      <c r="Z1140" s="3">
        <v>3.053189599</v>
      </c>
      <c r="AA1140" s="3">
        <v>0.131607786</v>
      </c>
      <c r="AB1140" s="3">
        <v>9.4815351069999991</v>
      </c>
      <c r="AC1140" s="3">
        <v>5.9819718310000001</v>
      </c>
      <c r="AD1140" s="3">
        <v>0.13852215200000001</v>
      </c>
      <c r="AE1140" s="3">
        <v>6.7393348419999999</v>
      </c>
      <c r="AF1140" s="4">
        <v>42144</v>
      </c>
      <c r="AG1140" s="5">
        <f>YEAR(AF1140)</f>
        <v>2015</v>
      </c>
      <c r="AH1140" s="5" t="str">
        <f>"Q"&amp;ROUNDUP(MONTH(AF1140)/3,0)</f>
        <v>Q2</v>
      </c>
      <c r="AI1140" s="5">
        <f>INDEX(RatingLookup!$B$2:$B$11,MATCH(A1140,RatingLookup!$A$2:$A$11,0))</f>
        <v>8</v>
      </c>
      <c r="AJ1140" s="5" t="str">
        <f>INDEX(RatingLookup!$C$2:$C$11,MATCH(A1140,RatingLookup!$A$2:$A$11,0))</f>
        <v>Investment Grade</v>
      </c>
    </row>
    <row r="1141" spans="1:36" x14ac:dyDescent="0.3">
      <c r="A1141" s="3" t="s">
        <v>36</v>
      </c>
      <c r="B1141" s="3" t="s">
        <v>1253</v>
      </c>
      <c r="C1141" s="3" t="s">
        <v>1254</v>
      </c>
      <c r="D1141" s="3" t="s">
        <v>60</v>
      </c>
      <c r="E1141" s="3" t="s">
        <v>46</v>
      </c>
      <c r="F1141" s="3" t="s">
        <v>59</v>
      </c>
      <c r="G1141" s="3">
        <v>1.841153861</v>
      </c>
      <c r="H1141" s="3">
        <v>1.148076264</v>
      </c>
      <c r="I1141" s="3">
        <v>0.80172774700000005</v>
      </c>
      <c r="J1141" s="3">
        <v>0</v>
      </c>
      <c r="K1141" s="3">
        <v>6.3728966999999997E-2</v>
      </c>
      <c r="L1141" s="3">
        <v>9.2135834E-2</v>
      </c>
      <c r="M1141" s="3">
        <v>0.18424721199999999</v>
      </c>
      <c r="N1141" s="3">
        <v>9.2135834E-2</v>
      </c>
      <c r="O1141" s="3">
        <v>6.0695172999999998E-2</v>
      </c>
      <c r="P1141" s="3">
        <v>0.103602613</v>
      </c>
      <c r="Q1141" s="3">
        <v>0.19429945600000001</v>
      </c>
      <c r="R1141" s="3">
        <v>0.95239537200000002</v>
      </c>
      <c r="S1141" s="3">
        <v>8.2882481119999998</v>
      </c>
      <c r="T1141" s="3">
        <v>2.2012340620000002</v>
      </c>
      <c r="U1141" s="3">
        <v>0.68762046700000001</v>
      </c>
      <c r="V1141" s="3">
        <v>0.30831508400000002</v>
      </c>
      <c r="W1141" s="3">
        <v>0.78607308799999998</v>
      </c>
      <c r="X1141" s="3">
        <v>3.445912469</v>
      </c>
      <c r="Y1141" s="3">
        <v>8.3038810900000009</v>
      </c>
      <c r="Z1141" s="3">
        <v>3.2012340620000002</v>
      </c>
      <c r="AA1141" s="3">
        <v>9.2135834E-2</v>
      </c>
      <c r="AB1141" s="3">
        <v>8.2555573899999999</v>
      </c>
      <c r="AC1141" s="3">
        <v>4.3837049270000001</v>
      </c>
      <c r="AD1141" s="3">
        <v>9.7375758000000007E-2</v>
      </c>
      <c r="AE1141" s="3">
        <v>36.713813979999998</v>
      </c>
      <c r="AF1141" s="4">
        <v>41075</v>
      </c>
      <c r="AG1141" s="5">
        <f>YEAR(AF1141)</f>
        <v>2012</v>
      </c>
      <c r="AH1141" s="5" t="str">
        <f>"Q"&amp;ROUNDUP(MONTH(AF1141)/3,0)</f>
        <v>Q2</v>
      </c>
      <c r="AI1141" s="5">
        <f>INDEX(RatingLookup!$B$2:$B$11,MATCH(A1141,RatingLookup!$A$2:$A$11,0))</f>
        <v>8</v>
      </c>
      <c r="AJ1141" s="5" t="str">
        <f>INDEX(RatingLookup!$C$2:$C$11,MATCH(A1141,RatingLookup!$A$2:$A$11,0))</f>
        <v>Investment Grade</v>
      </c>
    </row>
    <row r="1142" spans="1:36" x14ac:dyDescent="0.3">
      <c r="A1142" s="3" t="s">
        <v>36</v>
      </c>
      <c r="B1142" s="3" t="s">
        <v>1253</v>
      </c>
      <c r="C1142" s="3" t="s">
        <v>1254</v>
      </c>
      <c r="D1142" s="3" t="s">
        <v>47</v>
      </c>
      <c r="E1142" s="3" t="s">
        <v>1257</v>
      </c>
      <c r="F1142" s="3" t="s">
        <v>59</v>
      </c>
      <c r="G1142" s="3">
        <v>2.034819905</v>
      </c>
      <c r="H1142" s="3">
        <v>1.1368814279999999</v>
      </c>
      <c r="I1142" s="3">
        <v>0.58681916700000003</v>
      </c>
      <c r="J1142" s="3">
        <v>0</v>
      </c>
      <c r="K1142" s="3">
        <v>6.5194568999999994E-2</v>
      </c>
      <c r="L1142" s="3">
        <v>9.5533855000000001E-2</v>
      </c>
      <c r="M1142" s="3">
        <v>0.184287851</v>
      </c>
      <c r="N1142" s="3">
        <v>9.5533855000000001E-2</v>
      </c>
      <c r="O1142" s="3">
        <v>5.9674249999999998E-2</v>
      </c>
      <c r="P1142" s="3">
        <v>9.8964124000000001E-2</v>
      </c>
      <c r="Q1142" s="3">
        <v>0.19011784000000001</v>
      </c>
      <c r="R1142" s="3">
        <v>0.915325481</v>
      </c>
      <c r="S1142" s="3">
        <v>7.3719140469999997</v>
      </c>
      <c r="T1142" s="3">
        <v>2.185927586</v>
      </c>
      <c r="U1142" s="3">
        <v>0.68611967100000004</v>
      </c>
      <c r="V1142" s="3">
        <v>0.31757627799999999</v>
      </c>
      <c r="W1142" s="3">
        <v>0.66069782799999999</v>
      </c>
      <c r="X1142" s="3">
        <v>2.8262461280000002</v>
      </c>
      <c r="Y1142" s="3">
        <v>6.9419881720000003</v>
      </c>
      <c r="Z1142" s="3">
        <v>3.185927586</v>
      </c>
      <c r="AA1142" s="3">
        <v>9.5533855000000001E-2</v>
      </c>
      <c r="AB1142" s="3">
        <v>8.3859837749999997</v>
      </c>
      <c r="AC1142" s="3">
        <v>4.2776682619999997</v>
      </c>
      <c r="AD1142" s="3">
        <v>8.9088296999999997E-2</v>
      </c>
      <c r="AE1142" s="3">
        <v>6.4143799289999999</v>
      </c>
      <c r="AF1142" s="4">
        <v>41408</v>
      </c>
      <c r="AG1142" s="5">
        <f>YEAR(AF1142)</f>
        <v>2013</v>
      </c>
      <c r="AH1142" s="5" t="str">
        <f>"Q"&amp;ROUNDUP(MONTH(AF1142)/3,0)</f>
        <v>Q2</v>
      </c>
      <c r="AI1142" s="5">
        <f>INDEX(RatingLookup!$B$2:$B$11,MATCH(A1142,RatingLookup!$A$2:$A$11,0))</f>
        <v>8</v>
      </c>
      <c r="AJ1142" s="5" t="str">
        <f>INDEX(RatingLookup!$C$2:$C$11,MATCH(A1142,RatingLookup!$A$2:$A$11,0))</f>
        <v>Investment Grade</v>
      </c>
    </row>
    <row r="1143" spans="1:36" x14ac:dyDescent="0.3">
      <c r="A1143" s="3" t="s">
        <v>36</v>
      </c>
      <c r="B1143" s="3" t="s">
        <v>1253</v>
      </c>
      <c r="C1143" s="3" t="s">
        <v>1254</v>
      </c>
      <c r="D1143" s="3" t="s">
        <v>47</v>
      </c>
      <c r="E1143" s="3" t="s">
        <v>580</v>
      </c>
      <c r="F1143" s="3" t="s">
        <v>59</v>
      </c>
      <c r="G1143" s="3">
        <v>2.232647059</v>
      </c>
      <c r="H1143" s="3">
        <v>1.4654705880000001</v>
      </c>
      <c r="I1143" s="3">
        <v>1.2004705879999999</v>
      </c>
      <c r="J1143" s="3">
        <v>0</v>
      </c>
      <c r="K1143" s="3">
        <v>4.4457829999999997E-2</v>
      </c>
      <c r="L1143" s="3">
        <v>6.4151017000000005E-2</v>
      </c>
      <c r="M1143" s="3">
        <v>0.20345092200000001</v>
      </c>
      <c r="N1143" s="3">
        <v>6.4151017000000005E-2</v>
      </c>
      <c r="O1143" s="3">
        <v>3.2148151E-2</v>
      </c>
      <c r="P1143" s="3">
        <v>5.2680287999999999E-2</v>
      </c>
      <c r="Q1143" s="3">
        <v>8.5408189999999995E-2</v>
      </c>
      <c r="R1143" s="3">
        <v>0.72311561700000004</v>
      </c>
      <c r="S1143" s="3">
        <v>6.1497878950000002</v>
      </c>
      <c r="T1143" s="3">
        <v>1.6567061110000001</v>
      </c>
      <c r="U1143" s="3">
        <v>0.62359404500000004</v>
      </c>
      <c r="V1143" s="3">
        <v>0.30698167500000001</v>
      </c>
      <c r="W1143" s="3">
        <v>0.89145288099999997</v>
      </c>
      <c r="X1143" s="3">
        <v>3.7890410960000001</v>
      </c>
      <c r="Y1143" s="3">
        <v>6.8254794519999997</v>
      </c>
      <c r="Z1143" s="3">
        <v>2.6567061110000001</v>
      </c>
      <c r="AA1143" s="3">
        <v>6.4151017000000005E-2</v>
      </c>
      <c r="AB1143" s="3">
        <v>14.13478769</v>
      </c>
      <c r="AC1143" s="3">
        <v>4.2504109589999999</v>
      </c>
      <c r="AD1143" s="3">
        <v>0.150725257</v>
      </c>
      <c r="AE1143" s="3">
        <v>29.716563969999999</v>
      </c>
      <c r="AF1143" s="4">
        <v>40694</v>
      </c>
      <c r="AG1143" s="5">
        <f>YEAR(AF1143)</f>
        <v>2011</v>
      </c>
      <c r="AH1143" s="5" t="str">
        <f>"Q"&amp;ROUNDUP(MONTH(AF1143)/3,0)</f>
        <v>Q2</v>
      </c>
      <c r="AI1143" s="5">
        <f>INDEX(RatingLookup!$B$2:$B$11,MATCH(A1143,RatingLookup!$A$2:$A$11,0))</f>
        <v>8</v>
      </c>
      <c r="AJ1143" s="5" t="str">
        <f>INDEX(RatingLookup!$C$2:$C$11,MATCH(A1143,RatingLookup!$A$2:$A$11,0))</f>
        <v>Investment Grade</v>
      </c>
    </row>
    <row r="1144" spans="1:36" x14ac:dyDescent="0.3">
      <c r="A1144" s="3" t="s">
        <v>42</v>
      </c>
      <c r="B1144" s="3" t="s">
        <v>1258</v>
      </c>
      <c r="C1144" s="3" t="s">
        <v>1259</v>
      </c>
      <c r="D1144" s="3" t="s">
        <v>47</v>
      </c>
      <c r="E1144" s="3" t="s">
        <v>1260</v>
      </c>
      <c r="F1144" s="3" t="s">
        <v>66</v>
      </c>
      <c r="G1144" s="3">
        <v>1.8275804410000001</v>
      </c>
      <c r="H1144" s="3">
        <v>1.035332476</v>
      </c>
      <c r="I1144" s="3">
        <v>0.62773928599999995</v>
      </c>
      <c r="J1144" s="3">
        <v>38.436814820000002</v>
      </c>
      <c r="K1144" s="3">
        <v>7.6706152E-2</v>
      </c>
      <c r="L1144" s="3">
        <v>8.8861921999999996E-2</v>
      </c>
      <c r="M1144" s="3">
        <v>0.293358799</v>
      </c>
      <c r="N1144" s="3">
        <v>0.11903071</v>
      </c>
      <c r="O1144" s="3">
        <v>6.1628032999999999E-2</v>
      </c>
      <c r="P1144" s="3">
        <v>0.19405229399999999</v>
      </c>
      <c r="Q1144" s="3">
        <v>0.14271602999999999</v>
      </c>
      <c r="R1144" s="3">
        <v>0.80343011900000005</v>
      </c>
      <c r="S1144" s="3">
        <v>2.8835803680000001</v>
      </c>
      <c r="T1144" s="3">
        <v>1.309382697</v>
      </c>
      <c r="U1144" s="3">
        <v>0.565421273</v>
      </c>
      <c r="V1144" s="3">
        <v>0.13679391699999999</v>
      </c>
      <c r="W1144" s="3">
        <v>0.72651845299999995</v>
      </c>
      <c r="X1144" s="3">
        <v>4.1650560000000003E-3</v>
      </c>
      <c r="Y1144" s="3">
        <v>7.8542236470000004</v>
      </c>
      <c r="Z1144" s="3">
        <v>2.31576483</v>
      </c>
      <c r="AA1144" s="3">
        <v>0.17751354899999999</v>
      </c>
      <c r="AB1144" s="3">
        <v>5.5589084340000001</v>
      </c>
      <c r="AC1144" s="3">
        <v>5.7328980000000002E-3</v>
      </c>
      <c r="AD1144" s="3">
        <v>1.72435E-4</v>
      </c>
      <c r="AE1144" s="3">
        <v>5.81948782</v>
      </c>
      <c r="AF1144" s="4">
        <v>42143</v>
      </c>
      <c r="AG1144" s="5">
        <f>YEAR(AF1144)</f>
        <v>2015</v>
      </c>
      <c r="AH1144" s="5" t="str">
        <f>"Q"&amp;ROUNDUP(MONTH(AF1144)/3,0)</f>
        <v>Q2</v>
      </c>
      <c r="AI1144" s="5">
        <f>INDEX(RatingLookup!$B$2:$B$11,MATCH(A1144,RatingLookup!$A$2:$A$11,0))</f>
        <v>7</v>
      </c>
      <c r="AJ1144" s="5" t="str">
        <f>INDEX(RatingLookup!$C$2:$C$11,MATCH(A1144,RatingLookup!$A$2:$A$11,0))</f>
        <v>Investment Grade</v>
      </c>
    </row>
    <row r="1145" spans="1:36" x14ac:dyDescent="0.3">
      <c r="A1145" s="3" t="s">
        <v>42</v>
      </c>
      <c r="B1145" s="3" t="s">
        <v>1258</v>
      </c>
      <c r="C1145" s="3" t="s">
        <v>1259</v>
      </c>
      <c r="D1145" s="3" t="s">
        <v>47</v>
      </c>
      <c r="E1145" s="3" t="s">
        <v>1261</v>
      </c>
      <c r="F1145" s="3" t="s">
        <v>66</v>
      </c>
      <c r="G1145" s="3">
        <v>1.5491338750000001</v>
      </c>
      <c r="H1145" s="3">
        <v>0.765625</v>
      </c>
      <c r="I1145" s="3">
        <v>0.25805977299999999</v>
      </c>
      <c r="J1145" s="3">
        <v>44.156194900000003</v>
      </c>
      <c r="K1145" s="3">
        <v>2.9644344999999999E-2</v>
      </c>
      <c r="L1145" s="3">
        <v>2.9055307999999998E-2</v>
      </c>
      <c r="M1145" s="3">
        <v>0.22724122799999999</v>
      </c>
      <c r="N1145" s="3">
        <v>5.1496462E-2</v>
      </c>
      <c r="O1145" s="3">
        <v>2.5028035000000001E-2</v>
      </c>
      <c r="P1145" s="3">
        <v>8.1193443000000004E-2</v>
      </c>
      <c r="Q1145" s="3">
        <v>5.2914780000000002E-2</v>
      </c>
      <c r="R1145" s="3">
        <v>0.84427686899999999</v>
      </c>
      <c r="S1145" s="3">
        <v>2.4341983190000001</v>
      </c>
      <c r="T1145" s="3">
        <v>1.1116433130000001</v>
      </c>
      <c r="U1145" s="3">
        <v>0.52579350199999997</v>
      </c>
      <c r="V1145" s="3">
        <v>-2.0272956000000002E-2</v>
      </c>
      <c r="W1145" s="3">
        <v>0.12174660299999999</v>
      </c>
      <c r="X1145" s="3">
        <v>0.342168841</v>
      </c>
      <c r="Y1145" s="3">
        <v>2.974051051</v>
      </c>
      <c r="Z1145" s="3">
        <v>2.1142203319999999</v>
      </c>
      <c r="AA1145" s="3">
        <v>7.2782641999999995E-2</v>
      </c>
      <c r="AB1145" s="3">
        <v>8.3594946379999993</v>
      </c>
      <c r="AC1145" s="3">
        <v>2.8105000960000002</v>
      </c>
      <c r="AD1145" s="3">
        <v>9.4076520999999996E-2</v>
      </c>
      <c r="AE1145" s="3">
        <v>5.9363835319999998</v>
      </c>
      <c r="AF1145" s="4">
        <v>41428</v>
      </c>
      <c r="AG1145" s="5">
        <f>YEAR(AF1145)</f>
        <v>2013</v>
      </c>
      <c r="AH1145" s="5" t="str">
        <f>"Q"&amp;ROUNDUP(MONTH(AF1145)/3,0)</f>
        <v>Q2</v>
      </c>
      <c r="AI1145" s="5">
        <f>INDEX(RatingLookup!$B$2:$B$11,MATCH(A1145,RatingLookup!$A$2:$A$11,0))</f>
        <v>7</v>
      </c>
      <c r="AJ1145" s="5" t="str">
        <f>INDEX(RatingLookup!$C$2:$C$11,MATCH(A1145,RatingLookup!$A$2:$A$11,0))</f>
        <v>Investment Grade</v>
      </c>
    </row>
    <row r="1146" spans="1:36" x14ac:dyDescent="0.3">
      <c r="A1146" s="3" t="s">
        <v>42</v>
      </c>
      <c r="B1146" s="3" t="s">
        <v>1258</v>
      </c>
      <c r="C1146" s="3" t="s">
        <v>1259</v>
      </c>
      <c r="D1146" s="3" t="s">
        <v>47</v>
      </c>
      <c r="E1146" s="3" t="s">
        <v>1163</v>
      </c>
      <c r="F1146" s="3" t="s">
        <v>66</v>
      </c>
      <c r="G1146" s="3">
        <v>1.56976055</v>
      </c>
      <c r="H1146" s="3">
        <v>0.82326932200000003</v>
      </c>
      <c r="I1146" s="3">
        <v>0.37075628300000002</v>
      </c>
      <c r="J1146" s="3">
        <v>43.953684209999999</v>
      </c>
      <c r="K1146" s="3">
        <v>3.8233018000000001E-2</v>
      </c>
      <c r="L1146" s="3">
        <v>4.2878991999999998E-2</v>
      </c>
      <c r="M1146" s="3">
        <v>0.248669366</v>
      </c>
      <c r="N1146" s="3">
        <v>6.7782276000000002E-2</v>
      </c>
      <c r="O1146" s="3">
        <v>3.2815849000000001E-2</v>
      </c>
      <c r="P1146" s="3">
        <v>0.115140401</v>
      </c>
      <c r="Q1146" s="3">
        <v>7.2493534999999998E-2</v>
      </c>
      <c r="R1146" s="3">
        <v>0.85831176300000001</v>
      </c>
      <c r="S1146" s="3">
        <v>2.5677811039999998</v>
      </c>
      <c r="T1146" s="3">
        <v>1.2062967840000001</v>
      </c>
      <c r="U1146" s="3">
        <v>0.54605771199999997</v>
      </c>
      <c r="V1146" s="3">
        <v>0.108350818</v>
      </c>
      <c r="W1146" s="3">
        <v>0.55669388600000003</v>
      </c>
      <c r="X1146" s="3">
        <v>2.1175434420000001</v>
      </c>
      <c r="Y1146" s="3">
        <v>4.1249402389999998</v>
      </c>
      <c r="Z1146" s="3">
        <v>2.209101269</v>
      </c>
      <c r="AA1146" s="3">
        <v>9.9192083E-2</v>
      </c>
      <c r="AB1146" s="3">
        <v>6.7600289780000002</v>
      </c>
      <c r="AC1146" s="3">
        <v>3.80378426</v>
      </c>
      <c r="AD1146" s="3">
        <v>0.11943139899999999</v>
      </c>
      <c r="AE1146" s="3">
        <v>5.6814433830000004</v>
      </c>
      <c r="AF1146" s="4">
        <v>41774</v>
      </c>
      <c r="AG1146" s="5">
        <f>YEAR(AF1146)</f>
        <v>2014</v>
      </c>
      <c r="AH1146" s="5" t="str">
        <f>"Q"&amp;ROUNDUP(MONTH(AF1146)/3,0)</f>
        <v>Q2</v>
      </c>
      <c r="AI1146" s="5">
        <f>INDEX(RatingLookup!$B$2:$B$11,MATCH(A1146,RatingLookup!$A$2:$A$11,0))</f>
        <v>7</v>
      </c>
      <c r="AJ1146" s="5" t="str">
        <f>INDEX(RatingLookup!$C$2:$C$11,MATCH(A1146,RatingLookup!$A$2:$A$11,0))</f>
        <v>Investment Grade</v>
      </c>
    </row>
    <row r="1147" spans="1:36" x14ac:dyDescent="0.3">
      <c r="A1147" s="3" t="s">
        <v>42</v>
      </c>
      <c r="B1147" s="3" t="s">
        <v>1258</v>
      </c>
      <c r="C1147" s="3" t="s">
        <v>1259</v>
      </c>
      <c r="D1147" s="3" t="s">
        <v>47</v>
      </c>
      <c r="E1147" s="3" t="s">
        <v>1262</v>
      </c>
      <c r="F1147" s="3" t="s">
        <v>66</v>
      </c>
      <c r="G1147" s="3">
        <v>1.3925987129999999</v>
      </c>
      <c r="H1147" s="3">
        <v>0.74779037999999998</v>
      </c>
      <c r="I1147" s="3">
        <v>0.17111094399999999</v>
      </c>
      <c r="J1147" s="3">
        <v>45.581338350000003</v>
      </c>
      <c r="K1147" s="3">
        <v>5.3193392999999999E-2</v>
      </c>
      <c r="L1147" s="3">
        <v>5.9281418000000002E-2</v>
      </c>
      <c r="M1147" s="3">
        <v>0.25905034599999999</v>
      </c>
      <c r="N1147" s="3">
        <v>7.7494922999999993E-2</v>
      </c>
      <c r="O1147" s="3">
        <v>4.5605082999999998E-2</v>
      </c>
      <c r="P1147" s="3">
        <v>0.12953440899999999</v>
      </c>
      <c r="Q1147" s="3">
        <v>9.7182738000000005E-2</v>
      </c>
      <c r="R1147" s="3">
        <v>0.85734487299999995</v>
      </c>
      <c r="S1147" s="3">
        <v>2.6235099609999999</v>
      </c>
      <c r="T1147" s="3">
        <v>1.1281484530000001</v>
      </c>
      <c r="U1147" s="3">
        <v>0.52940784100000005</v>
      </c>
      <c r="V1147" s="3">
        <v>0.102697027</v>
      </c>
      <c r="W1147" s="3">
        <v>-0.45032997600000002</v>
      </c>
      <c r="X1147" s="3">
        <v>-0.59493485800000001</v>
      </c>
      <c r="Y1147" s="3">
        <v>3.1696972849999998</v>
      </c>
      <c r="Z1147" s="3">
        <v>2.130962872</v>
      </c>
      <c r="AA1147" s="3">
        <v>0.11083707399999999</v>
      </c>
      <c r="AB1147" s="3">
        <v>6.6066121979999997</v>
      </c>
      <c r="AC1147" s="3">
        <v>1.32110872</v>
      </c>
      <c r="AD1147" s="3">
        <v>4.4798531000000003E-2</v>
      </c>
      <c r="AE1147" s="3">
        <v>7.1036437550000002</v>
      </c>
      <c r="AF1147" s="4">
        <v>41060</v>
      </c>
      <c r="AG1147" s="5">
        <f>YEAR(AF1147)</f>
        <v>2012</v>
      </c>
      <c r="AH1147" s="5" t="str">
        <f>"Q"&amp;ROUNDUP(MONTH(AF1147)/3,0)</f>
        <v>Q2</v>
      </c>
      <c r="AI1147" s="5">
        <f>INDEX(RatingLookup!$B$2:$B$11,MATCH(A1147,RatingLookup!$A$2:$A$11,0))</f>
        <v>7</v>
      </c>
      <c r="AJ1147" s="5" t="str">
        <f>INDEX(RatingLookup!$C$2:$C$11,MATCH(A1147,RatingLookup!$A$2:$A$11,0))</f>
        <v>Investment Grade</v>
      </c>
    </row>
    <row r="1148" spans="1:36" x14ac:dyDescent="0.3">
      <c r="A1148" s="3" t="s">
        <v>42</v>
      </c>
      <c r="B1148" s="3" t="s">
        <v>1263</v>
      </c>
      <c r="C1148" s="3" t="s">
        <v>1264</v>
      </c>
      <c r="D1148" s="3" t="s">
        <v>39</v>
      </c>
      <c r="E1148" s="3" t="s">
        <v>601</v>
      </c>
      <c r="F1148" s="3" t="s">
        <v>219</v>
      </c>
      <c r="G1148" s="3">
        <v>3.068332206</v>
      </c>
      <c r="H1148" s="3">
        <v>2.0422853970000001</v>
      </c>
      <c r="I1148" s="3">
        <v>0.80361209600000005</v>
      </c>
      <c r="J1148" s="3">
        <v>42.373490769999997</v>
      </c>
      <c r="K1148" s="3">
        <v>6.4630420999999993E-2</v>
      </c>
      <c r="L1148" s="3">
        <v>9.5803524000000001E-2</v>
      </c>
      <c r="M1148" s="3">
        <v>0.250580843</v>
      </c>
      <c r="N1148" s="3">
        <v>0.160651351</v>
      </c>
      <c r="O1148" s="3">
        <v>2.6642592999999999E-2</v>
      </c>
      <c r="P1148" s="3">
        <v>4.1249458000000003E-2</v>
      </c>
      <c r="Q1148" s="3">
        <v>4.9655963999999997E-2</v>
      </c>
      <c r="R1148" s="3">
        <v>0.41222990900000001</v>
      </c>
      <c r="S1148" s="3">
        <v>1.084241625</v>
      </c>
      <c r="T1148" s="3">
        <v>0.86378123200000001</v>
      </c>
      <c r="U1148" s="3">
        <v>0.46345634200000002</v>
      </c>
      <c r="V1148" s="3">
        <v>0.28958661899999999</v>
      </c>
      <c r="W1148" s="3">
        <v>0.42535827900000001</v>
      </c>
      <c r="X1148" s="3">
        <v>1.607356805</v>
      </c>
      <c r="Y1148" s="3">
        <v>2.4368891220000002</v>
      </c>
      <c r="Z1148" s="3">
        <v>1.863781232</v>
      </c>
      <c r="AA1148" s="3">
        <v>9.5803524000000001E-2</v>
      </c>
      <c r="AB1148" s="3">
        <v>16.305493200000001</v>
      </c>
      <c r="AC1148" s="3">
        <v>3.7788304180000001</v>
      </c>
      <c r="AD1148" s="3">
        <v>0.147092746</v>
      </c>
      <c r="AE1148" s="3">
        <v>14.594335600000001</v>
      </c>
      <c r="AF1148" s="4">
        <v>42265</v>
      </c>
      <c r="AG1148" s="5">
        <f>YEAR(AF1148)</f>
        <v>2015</v>
      </c>
      <c r="AH1148" s="5" t="str">
        <f>"Q"&amp;ROUNDUP(MONTH(AF1148)/3,0)</f>
        <v>Q3</v>
      </c>
      <c r="AI1148" s="5">
        <f>INDEX(RatingLookup!$B$2:$B$11,MATCH(A1148,RatingLookup!$A$2:$A$11,0))</f>
        <v>7</v>
      </c>
      <c r="AJ1148" s="5" t="str">
        <f>INDEX(RatingLookup!$C$2:$C$11,MATCH(A1148,RatingLookup!$A$2:$A$11,0))</f>
        <v>Investment Grade</v>
      </c>
    </row>
    <row r="1149" spans="1:36" x14ac:dyDescent="0.3">
      <c r="A1149" s="3" t="s">
        <v>109</v>
      </c>
      <c r="B1149" s="3" t="s">
        <v>1263</v>
      </c>
      <c r="C1149" s="3" t="s">
        <v>1264</v>
      </c>
      <c r="D1149" s="3" t="s">
        <v>39</v>
      </c>
      <c r="E1149" s="3" t="s">
        <v>972</v>
      </c>
      <c r="F1149" s="3" t="s">
        <v>219</v>
      </c>
      <c r="G1149" s="3">
        <v>3.1808247110000001</v>
      </c>
      <c r="H1149" s="3">
        <v>1.8703729090000001</v>
      </c>
      <c r="I1149" s="3">
        <v>0.64766075499999998</v>
      </c>
      <c r="J1149" s="3">
        <v>42.599091059999999</v>
      </c>
      <c r="K1149" s="3">
        <v>8.7999140000000007E-3</v>
      </c>
      <c r="L1149" s="3">
        <v>-1.336481E-3</v>
      </c>
      <c r="M1149" s="3">
        <v>0.154068868</v>
      </c>
      <c r="N1149" s="3">
        <v>6.8720317000000003E-2</v>
      </c>
      <c r="O1149" s="3">
        <v>2.9521220000000002E-3</v>
      </c>
      <c r="P1149" s="3">
        <v>-4.6520099999999999E-4</v>
      </c>
      <c r="Q1149" s="3">
        <v>6.1913009999999997E-3</v>
      </c>
      <c r="R1149" s="3">
        <v>0.335471731</v>
      </c>
      <c r="S1149" s="3">
        <v>0.83656243299999999</v>
      </c>
      <c r="T1149" s="3">
        <v>1.0972373520000001</v>
      </c>
      <c r="U1149" s="3">
        <v>0.52318224800000002</v>
      </c>
      <c r="V1149" s="3">
        <v>6.6051849850000002</v>
      </c>
      <c r="W1149" s="3">
        <v>0.227543415</v>
      </c>
      <c r="X1149" s="3">
        <v>0.62268944999999998</v>
      </c>
      <c r="Y1149" s="3">
        <v>1.812553734</v>
      </c>
      <c r="Z1149" s="3">
        <v>2.0972373520000001</v>
      </c>
      <c r="AA1149" s="3">
        <v>-1.336481E-3</v>
      </c>
      <c r="AB1149" s="3">
        <v>20.83136077</v>
      </c>
      <c r="AC1149" s="3">
        <v>2.7365742449999999</v>
      </c>
      <c r="AD1149" s="3">
        <v>0.128667067</v>
      </c>
      <c r="AE1149" s="3">
        <v>16.82033083</v>
      </c>
      <c r="AF1149" s="4">
        <v>41635</v>
      </c>
      <c r="AG1149" s="5">
        <f>YEAR(AF1149)</f>
        <v>2013</v>
      </c>
      <c r="AH1149" s="5" t="str">
        <f>"Q"&amp;ROUNDUP(MONTH(AF1149)/3,0)</f>
        <v>Q4</v>
      </c>
      <c r="AI1149" s="5">
        <f>INDEX(RatingLookup!$B$2:$B$11,MATCH(A1149,RatingLookup!$A$2:$A$11,0))</f>
        <v>5</v>
      </c>
      <c r="AJ1149" s="5" t="str">
        <f>INDEX(RatingLookup!$C$2:$C$11,MATCH(A1149,RatingLookup!$A$2:$A$11,0))</f>
        <v>Speculative Grade</v>
      </c>
    </row>
    <row r="1150" spans="1:36" x14ac:dyDescent="0.3">
      <c r="A1150" s="3" t="s">
        <v>92</v>
      </c>
      <c r="B1150" s="3" t="s">
        <v>1263</v>
      </c>
      <c r="C1150" s="3" t="s">
        <v>1264</v>
      </c>
      <c r="D1150" s="3" t="s">
        <v>39</v>
      </c>
      <c r="E1150" s="3" t="s">
        <v>881</v>
      </c>
      <c r="F1150" s="3" t="s">
        <v>219</v>
      </c>
      <c r="G1150" s="3">
        <v>2.0369856469999998</v>
      </c>
      <c r="H1150" s="3">
        <v>1.190272596</v>
      </c>
      <c r="I1150" s="3">
        <v>0.31263526899999999</v>
      </c>
      <c r="J1150" s="3">
        <v>43.267856620000003</v>
      </c>
      <c r="K1150" s="3">
        <v>6.8440692999999997E-2</v>
      </c>
      <c r="L1150" s="3">
        <v>9.9806658000000006E-2</v>
      </c>
      <c r="M1150" s="3">
        <v>0.196242096</v>
      </c>
      <c r="N1150" s="3">
        <v>0.17972866600000001</v>
      </c>
      <c r="O1150" s="3">
        <v>2.5418692E-2</v>
      </c>
      <c r="P1150" s="3">
        <v>3.9268996E-2</v>
      </c>
      <c r="Q1150" s="3">
        <v>4.9063387E-2</v>
      </c>
      <c r="R1150" s="3">
        <v>0.37139734499999999</v>
      </c>
      <c r="S1150" s="3">
        <v>0.97478179300000001</v>
      </c>
      <c r="T1150" s="3">
        <v>0.93020899999999995</v>
      </c>
      <c r="U1150" s="3">
        <v>0.48192138800000001</v>
      </c>
      <c r="V1150" s="3">
        <v>0.306828449</v>
      </c>
      <c r="W1150" s="3">
        <v>0.13630078100000001</v>
      </c>
      <c r="X1150" s="3">
        <v>0.269920357</v>
      </c>
      <c r="Y1150" s="3">
        <v>1.3914621069999999</v>
      </c>
      <c r="Z1150" s="3">
        <v>1.9302090000000001</v>
      </c>
      <c r="AA1150" s="3">
        <v>9.9806658000000006E-2</v>
      </c>
      <c r="AB1150" s="3">
        <v>13.61686585</v>
      </c>
      <c r="AC1150" s="3">
        <v>1.980328767</v>
      </c>
      <c r="AD1150" s="3">
        <v>8.6947663999999994E-2</v>
      </c>
      <c r="AE1150" s="3">
        <v>16.580228460000001</v>
      </c>
      <c r="AF1150" s="4">
        <v>41977</v>
      </c>
      <c r="AG1150" s="5">
        <f>YEAR(AF1150)</f>
        <v>2014</v>
      </c>
      <c r="AH1150" s="5" t="str">
        <f>"Q"&amp;ROUNDUP(MONTH(AF1150)/3,0)</f>
        <v>Q4</v>
      </c>
      <c r="AI1150" s="5">
        <f>INDEX(RatingLookup!$B$2:$B$11,MATCH(A1150,RatingLookup!$A$2:$A$11,0))</f>
        <v>6</v>
      </c>
      <c r="AJ1150" s="5" t="str">
        <f>INDEX(RatingLookup!$C$2:$C$11,MATCH(A1150,RatingLookup!$A$2:$A$11,0))</f>
        <v>Speculative Grade</v>
      </c>
    </row>
    <row r="1151" spans="1:36" x14ac:dyDescent="0.3">
      <c r="A1151" s="3" t="s">
        <v>92</v>
      </c>
      <c r="B1151" s="3" t="s">
        <v>1263</v>
      </c>
      <c r="C1151" s="3" t="s">
        <v>1264</v>
      </c>
      <c r="D1151" s="3" t="s">
        <v>60</v>
      </c>
      <c r="E1151" s="3" t="s">
        <v>1265</v>
      </c>
      <c r="F1151" s="3" t="s">
        <v>219</v>
      </c>
      <c r="G1151" s="3">
        <v>2.256982523</v>
      </c>
      <c r="H1151" s="3">
        <v>1.363618241</v>
      </c>
      <c r="I1151" s="3">
        <v>0.63123523500000001</v>
      </c>
      <c r="J1151" s="3">
        <v>39.458318239999997</v>
      </c>
      <c r="K1151" s="3">
        <v>-2.0485645E-2</v>
      </c>
      <c r="L1151" s="3">
        <v>-4.6904346999999999E-2</v>
      </c>
      <c r="M1151" s="3">
        <v>0.13010738899999999</v>
      </c>
      <c r="N1151" s="3">
        <v>3.3023281000000002E-2</v>
      </c>
      <c r="O1151" s="3">
        <v>-6.4717109999999998E-3</v>
      </c>
      <c r="P1151" s="3">
        <v>-1.5658655E-2</v>
      </c>
      <c r="Q1151" s="3">
        <v>-1.3983550000000001E-2</v>
      </c>
      <c r="R1151" s="3">
        <v>0.31591444299999999</v>
      </c>
      <c r="S1151" s="3">
        <v>0.81264946500000002</v>
      </c>
      <c r="T1151" s="3">
        <v>1.160719233</v>
      </c>
      <c r="U1151" s="3">
        <v>0.53719114199999995</v>
      </c>
      <c r="V1151" s="3">
        <v>0.552176585</v>
      </c>
      <c r="W1151" s="3">
        <v>0.60852500300000001</v>
      </c>
      <c r="X1151" s="3">
        <v>1.118486262</v>
      </c>
      <c r="Y1151" s="3">
        <v>2.447562526</v>
      </c>
      <c r="Z1151" s="3">
        <v>2.160719233</v>
      </c>
      <c r="AA1151" s="3">
        <v>-4.6904346999999999E-2</v>
      </c>
      <c r="AB1151" s="3">
        <v>23.455711829999998</v>
      </c>
      <c r="AC1151" s="3">
        <v>1.83802844</v>
      </c>
      <c r="AD1151" s="3">
        <v>9.2889054999999998E-2</v>
      </c>
      <c r="AE1151" s="3">
        <v>19.70480955</v>
      </c>
      <c r="AF1151" s="4">
        <v>41102</v>
      </c>
      <c r="AG1151" s="5">
        <f>YEAR(AF1151)</f>
        <v>2012</v>
      </c>
      <c r="AH1151" s="5" t="str">
        <f>"Q"&amp;ROUNDUP(MONTH(AF1151)/3,0)</f>
        <v>Q3</v>
      </c>
      <c r="AI1151" s="5">
        <f>INDEX(RatingLookup!$B$2:$B$11,MATCH(A1151,RatingLookup!$A$2:$A$11,0))</f>
        <v>6</v>
      </c>
      <c r="AJ1151" s="5" t="str">
        <f>INDEX(RatingLookup!$C$2:$C$11,MATCH(A1151,RatingLookup!$A$2:$A$11,0))</f>
        <v>Speculative Grade</v>
      </c>
    </row>
    <row r="1152" spans="1:36" x14ac:dyDescent="0.3">
      <c r="A1152" s="3" t="s">
        <v>36</v>
      </c>
      <c r="B1152" s="3" t="s">
        <v>1266</v>
      </c>
      <c r="C1152" s="3" t="s">
        <v>1267</v>
      </c>
      <c r="D1152" s="3" t="s">
        <v>39</v>
      </c>
      <c r="E1152" s="3" t="s">
        <v>1268</v>
      </c>
      <c r="F1152" s="3" t="s">
        <v>96</v>
      </c>
      <c r="G1152" s="3">
        <v>2.2049203240000002</v>
      </c>
      <c r="H1152" s="3">
        <v>1.523343584</v>
      </c>
      <c r="I1152" s="3">
        <v>0.93066815800000002</v>
      </c>
      <c r="J1152" s="3">
        <v>63.255129570000001</v>
      </c>
      <c r="K1152" s="3">
        <v>0.19782555399999999</v>
      </c>
      <c r="L1152" s="3">
        <v>0.12875010200000001</v>
      </c>
      <c r="M1152" s="3">
        <v>0.33409629699999999</v>
      </c>
      <c r="N1152" s="3">
        <v>0.142973923</v>
      </c>
      <c r="O1152" s="3">
        <v>0.117430124</v>
      </c>
      <c r="P1152" s="3">
        <v>9.2478422000000005E-2</v>
      </c>
      <c r="Q1152" s="3">
        <v>0.25247783000000001</v>
      </c>
      <c r="R1152" s="3">
        <v>0.59360442499999999</v>
      </c>
      <c r="S1152" s="3">
        <v>4.1893835619999997</v>
      </c>
      <c r="T1152" s="3">
        <v>1.1500260819999999</v>
      </c>
      <c r="U1152" s="3">
        <v>0.53488936300000001</v>
      </c>
      <c r="V1152" s="3">
        <v>0.213968254</v>
      </c>
      <c r="W1152" s="3">
        <v>0.68635650800000003</v>
      </c>
      <c r="X1152" s="3">
        <v>3.2419753089999999</v>
      </c>
      <c r="Y1152" s="3">
        <v>8.2197530860000008</v>
      </c>
      <c r="Z1152" s="3">
        <v>2.1500260820000001</v>
      </c>
      <c r="AA1152" s="3">
        <v>0.12875010200000001</v>
      </c>
      <c r="AB1152" s="3">
        <v>11.17856237</v>
      </c>
      <c r="AC1152" s="3">
        <v>4.7234567900000002</v>
      </c>
      <c r="AD1152" s="3">
        <v>0.15638028300000001</v>
      </c>
      <c r="AE1152" s="3">
        <v>7.1268591429999999</v>
      </c>
      <c r="AF1152" s="4">
        <v>42310</v>
      </c>
      <c r="AG1152" s="5">
        <f>YEAR(AF1152)</f>
        <v>2015</v>
      </c>
      <c r="AH1152" s="5" t="str">
        <f>"Q"&amp;ROUNDUP(MONTH(AF1152)/3,0)</f>
        <v>Q4</v>
      </c>
      <c r="AI1152" s="5">
        <f>INDEX(RatingLookup!$B$2:$B$11,MATCH(A1152,RatingLookup!$A$2:$A$11,0))</f>
        <v>8</v>
      </c>
      <c r="AJ1152" s="5" t="str">
        <f>INDEX(RatingLookup!$C$2:$C$11,MATCH(A1152,RatingLookup!$A$2:$A$11,0))</f>
        <v>Investment Grade</v>
      </c>
    </row>
    <row r="1153" spans="1:36" x14ac:dyDescent="0.3">
      <c r="A1153" s="3" t="s">
        <v>36</v>
      </c>
      <c r="B1153" s="3" t="s">
        <v>1266</v>
      </c>
      <c r="C1153" s="3" t="s">
        <v>1267</v>
      </c>
      <c r="D1153" s="3" t="s">
        <v>39</v>
      </c>
      <c r="E1153" s="3" t="s">
        <v>1269</v>
      </c>
      <c r="F1153" s="3" t="s">
        <v>96</v>
      </c>
      <c r="G1153" s="3">
        <v>1.6077981649999999</v>
      </c>
      <c r="H1153" s="3">
        <v>0.94954128400000004</v>
      </c>
      <c r="I1153" s="3">
        <v>0.35754332300000002</v>
      </c>
      <c r="J1153" s="3">
        <v>63.847515059999999</v>
      </c>
      <c r="K1153" s="3">
        <v>9.6084337000000006E-2</v>
      </c>
      <c r="L1153" s="3">
        <v>9.3975903999999999E-2</v>
      </c>
      <c r="M1153" s="3">
        <v>0.32597891600000001</v>
      </c>
      <c r="N1153" s="3">
        <v>0.117168675</v>
      </c>
      <c r="O1153" s="3">
        <v>6.9118683E-2</v>
      </c>
      <c r="P1153" s="3">
        <v>8.5849900000000007E-2</v>
      </c>
      <c r="Q1153" s="3">
        <v>0.15226730299999999</v>
      </c>
      <c r="R1153" s="3">
        <v>0.71935431500000002</v>
      </c>
      <c r="S1153" s="3">
        <v>4.194567277</v>
      </c>
      <c r="T1153" s="3">
        <v>1.202983294</v>
      </c>
      <c r="U1153" s="3">
        <v>0.54607009399999995</v>
      </c>
      <c r="V1153" s="3">
        <v>-2.3237179E-2</v>
      </c>
      <c r="W1153" s="3">
        <v>0.69941348999999997</v>
      </c>
      <c r="X1153" s="3">
        <v>3.4234449759999999</v>
      </c>
      <c r="Y1153" s="3">
        <v>3.3564593299999999</v>
      </c>
      <c r="Z1153" s="3">
        <v>2.202983294</v>
      </c>
      <c r="AA1153" s="3">
        <v>9.3975903999999999E-2</v>
      </c>
      <c r="AB1153" s="3">
        <v>11.10300509</v>
      </c>
      <c r="AC1153" s="3">
        <v>4.8947368420000004</v>
      </c>
      <c r="AD1153" s="3">
        <v>0.15406626500000001</v>
      </c>
      <c r="AE1153" s="3">
        <v>6.4721619669999999</v>
      </c>
      <c r="AF1153" s="4">
        <v>41760</v>
      </c>
      <c r="AG1153" s="5">
        <f>YEAR(AF1153)</f>
        <v>2014</v>
      </c>
      <c r="AH1153" s="5" t="str">
        <f>"Q"&amp;ROUNDUP(MONTH(AF1153)/3,0)</f>
        <v>Q2</v>
      </c>
      <c r="AI1153" s="5">
        <f>INDEX(RatingLookup!$B$2:$B$11,MATCH(A1153,RatingLookup!$A$2:$A$11,0))</f>
        <v>8</v>
      </c>
      <c r="AJ1153" s="5" t="str">
        <f>INDEX(RatingLookup!$C$2:$C$11,MATCH(A1153,RatingLookup!$A$2:$A$11,0))</f>
        <v>Investment Grade</v>
      </c>
    </row>
    <row r="1154" spans="1:36" x14ac:dyDescent="0.3">
      <c r="A1154" s="3" t="s">
        <v>36</v>
      </c>
      <c r="B1154" s="3" t="s">
        <v>1266</v>
      </c>
      <c r="C1154" s="3" t="s">
        <v>1267</v>
      </c>
      <c r="D1154" s="3" t="s">
        <v>39</v>
      </c>
      <c r="E1154" s="3" t="s">
        <v>488</v>
      </c>
      <c r="F1154" s="3" t="s">
        <v>96</v>
      </c>
      <c r="G1154" s="3">
        <v>1.9079413249999999</v>
      </c>
      <c r="H1154" s="3">
        <v>1.2382397570000001</v>
      </c>
      <c r="I1154" s="3">
        <v>0.62139605499999995</v>
      </c>
      <c r="J1154" s="3">
        <v>63.990439909999999</v>
      </c>
      <c r="K1154" s="3">
        <v>0.12801897600000001</v>
      </c>
      <c r="L1154" s="3">
        <v>0.14347325999999999</v>
      </c>
      <c r="M1154" s="3">
        <v>0.337262795</v>
      </c>
      <c r="N1154" s="3">
        <v>0.1469954</v>
      </c>
      <c r="O1154" s="3">
        <v>8.8378324999999994E-2</v>
      </c>
      <c r="P1154" s="3">
        <v>0.12322509</v>
      </c>
      <c r="Q1154" s="3">
        <v>0.197735095</v>
      </c>
      <c r="R1154" s="3">
        <v>0.69035331499999997</v>
      </c>
      <c r="S1154" s="3">
        <v>4.4504158670000002</v>
      </c>
      <c r="T1154" s="3">
        <v>1.2373709340000001</v>
      </c>
      <c r="U1154" s="3">
        <v>0.55304684400000004</v>
      </c>
      <c r="V1154" s="3">
        <v>0.103707415</v>
      </c>
      <c r="W1154" s="3">
        <v>0.67690830499999999</v>
      </c>
      <c r="X1154" s="3">
        <v>3.4390243900000002</v>
      </c>
      <c r="Y1154" s="3">
        <v>5.9926829269999997</v>
      </c>
      <c r="Z1154" s="3">
        <v>2.2373709339999999</v>
      </c>
      <c r="AA1154" s="3">
        <v>0.14347325999999999</v>
      </c>
      <c r="AB1154" s="3">
        <v>9.2267843729999992</v>
      </c>
      <c r="AC1154" s="3">
        <v>5.0804878049999997</v>
      </c>
      <c r="AD1154" s="3">
        <v>0.14972685499999999</v>
      </c>
      <c r="AE1154" s="3">
        <v>6.6283249460000002</v>
      </c>
      <c r="AF1154" s="4">
        <v>42053</v>
      </c>
      <c r="AG1154" s="5">
        <f>YEAR(AF1154)</f>
        <v>2015</v>
      </c>
      <c r="AH1154" s="5" t="str">
        <f>"Q"&amp;ROUNDUP(MONTH(AF1154)/3,0)</f>
        <v>Q1</v>
      </c>
      <c r="AI1154" s="5">
        <f>INDEX(RatingLookup!$B$2:$B$11,MATCH(A1154,RatingLookup!$A$2:$A$11,0))</f>
        <v>8</v>
      </c>
      <c r="AJ1154" s="5" t="str">
        <f>INDEX(RatingLookup!$C$2:$C$11,MATCH(A1154,RatingLookup!$A$2:$A$11,0))</f>
        <v>Investment Grade</v>
      </c>
    </row>
    <row r="1155" spans="1:36" x14ac:dyDescent="0.3">
      <c r="A1155" s="3" t="s">
        <v>36</v>
      </c>
      <c r="B1155" s="3" t="s">
        <v>1270</v>
      </c>
      <c r="C1155" s="3" t="s">
        <v>1271</v>
      </c>
      <c r="D1155" s="3" t="s">
        <v>60</v>
      </c>
      <c r="E1155" s="3" t="s">
        <v>762</v>
      </c>
      <c r="F1155" s="3" t="s">
        <v>96</v>
      </c>
      <c r="G1155" s="3">
        <v>3.2480516129999999</v>
      </c>
      <c r="H1155" s="3">
        <v>3.0257895320000001</v>
      </c>
      <c r="I1155" s="3">
        <v>0.68338280699999998</v>
      </c>
      <c r="J1155" s="3">
        <v>27.267292019999999</v>
      </c>
      <c r="K1155" s="3">
        <v>0.24959842800000001</v>
      </c>
      <c r="L1155" s="3">
        <v>0.29508390000000001</v>
      </c>
      <c r="M1155" s="3">
        <v>0.61499387999999999</v>
      </c>
      <c r="N1155" s="3">
        <v>0.29508390000000001</v>
      </c>
      <c r="O1155" s="3">
        <v>0.122849668</v>
      </c>
      <c r="P1155" s="3">
        <v>0.18232050499999999</v>
      </c>
      <c r="Q1155" s="3">
        <v>0.23761732299999999</v>
      </c>
      <c r="R1155" s="3">
        <v>0.49218926899999998</v>
      </c>
      <c r="S1155" s="3">
        <v>5.6347236379999996</v>
      </c>
      <c r="T1155" s="3">
        <v>0.87637769899999995</v>
      </c>
      <c r="U1155" s="3">
        <v>0.45309284599999999</v>
      </c>
      <c r="V1155" s="3">
        <v>0</v>
      </c>
      <c r="W1155" s="3">
        <v>1</v>
      </c>
      <c r="X1155" s="3">
        <v>82.45138833</v>
      </c>
      <c r="Y1155" s="3">
        <v>265.09373299999999</v>
      </c>
      <c r="Z1155" s="3">
        <v>1.934212174</v>
      </c>
      <c r="AA1155" s="3">
        <v>0.29508390000000001</v>
      </c>
      <c r="AB1155" s="3">
        <v>3.3058431509999999</v>
      </c>
      <c r="AC1155" s="3">
        <v>82.45138833</v>
      </c>
      <c r="AD1155" s="3">
        <v>0.36567448800000002</v>
      </c>
      <c r="AE1155" s="3">
        <v>1.456659817</v>
      </c>
      <c r="AF1155" s="4">
        <v>42177</v>
      </c>
      <c r="AG1155" s="5">
        <f>YEAR(AF1155)</f>
        <v>2015</v>
      </c>
      <c r="AH1155" s="5" t="str">
        <f>"Q"&amp;ROUNDUP(MONTH(AF1155)/3,0)</f>
        <v>Q2</v>
      </c>
      <c r="AI1155" s="5">
        <f>INDEX(RatingLookup!$B$2:$B$11,MATCH(A1155,RatingLookup!$A$2:$A$11,0))</f>
        <v>8</v>
      </c>
      <c r="AJ1155" s="5" t="str">
        <f>INDEX(RatingLookup!$C$2:$C$11,MATCH(A1155,RatingLookup!$A$2:$A$11,0))</f>
        <v>Investment Grade</v>
      </c>
    </row>
    <row r="1156" spans="1:36" x14ac:dyDescent="0.3">
      <c r="A1156" s="3" t="s">
        <v>36</v>
      </c>
      <c r="B1156" s="3" t="s">
        <v>1270</v>
      </c>
      <c r="C1156" s="3" t="s">
        <v>1271</v>
      </c>
      <c r="D1156" s="3" t="s">
        <v>60</v>
      </c>
      <c r="E1156" s="3" t="s">
        <v>1272</v>
      </c>
      <c r="F1156" s="3" t="s">
        <v>96</v>
      </c>
      <c r="G1156" s="3">
        <v>3.9001016740000001</v>
      </c>
      <c r="H1156" s="3">
        <v>3.6842243020000001</v>
      </c>
      <c r="I1156" s="3">
        <v>0.87845111099999995</v>
      </c>
      <c r="J1156" s="3">
        <v>25.37602051</v>
      </c>
      <c r="K1156" s="3">
        <v>0.32419571899999999</v>
      </c>
      <c r="L1156" s="3">
        <v>0.32419571899999999</v>
      </c>
      <c r="M1156" s="3">
        <v>0.64087565099999999</v>
      </c>
      <c r="N1156" s="3">
        <v>0.32419571899999999</v>
      </c>
      <c r="O1156" s="3">
        <v>0.14588953299999999</v>
      </c>
      <c r="P1156" s="3">
        <v>0.17273681299999999</v>
      </c>
      <c r="Q1156" s="3">
        <v>0.26951481900000002</v>
      </c>
      <c r="R1156" s="3">
        <v>0.450004503</v>
      </c>
      <c r="S1156" s="3">
        <v>5.948292479</v>
      </c>
      <c r="T1156" s="3">
        <v>0.78908544899999999</v>
      </c>
      <c r="U1156" s="3">
        <v>0.42713535400000002</v>
      </c>
      <c r="V1156" s="3">
        <v>0</v>
      </c>
      <c r="W1156" s="3">
        <v>1</v>
      </c>
      <c r="X1156" s="3">
        <v>65.123853879999999</v>
      </c>
      <c r="Y1156" s="3">
        <v>181.43181939999999</v>
      </c>
      <c r="Z1156" s="3">
        <v>1.8473896869999999</v>
      </c>
      <c r="AA1156" s="3">
        <v>0.32419571899999999</v>
      </c>
      <c r="AB1156" s="3">
        <v>3.2744575089999999</v>
      </c>
      <c r="AC1156" s="3">
        <v>65.123853879999999</v>
      </c>
      <c r="AD1156" s="3">
        <v>0.43178730900000001</v>
      </c>
      <c r="AE1156" s="3">
        <v>1.5582207299999999</v>
      </c>
      <c r="AF1156" s="4">
        <v>41485</v>
      </c>
      <c r="AG1156" s="5">
        <f>YEAR(AF1156)</f>
        <v>2013</v>
      </c>
      <c r="AH1156" s="5" t="str">
        <f>"Q"&amp;ROUNDUP(MONTH(AF1156)/3,0)</f>
        <v>Q3</v>
      </c>
      <c r="AI1156" s="5">
        <f>INDEX(RatingLookup!$B$2:$B$11,MATCH(A1156,RatingLookup!$A$2:$A$11,0))</f>
        <v>8</v>
      </c>
      <c r="AJ1156" s="5" t="str">
        <f>INDEX(RatingLookup!$C$2:$C$11,MATCH(A1156,RatingLookup!$A$2:$A$11,0))</f>
        <v>Investment Grade</v>
      </c>
    </row>
    <row r="1157" spans="1:36" x14ac:dyDescent="0.3">
      <c r="A1157" s="3" t="s">
        <v>36</v>
      </c>
      <c r="B1157" s="3" t="s">
        <v>1270</v>
      </c>
      <c r="C1157" s="3" t="s">
        <v>1271</v>
      </c>
      <c r="D1157" s="3" t="s">
        <v>60</v>
      </c>
      <c r="E1157" s="3" t="s">
        <v>1273</v>
      </c>
      <c r="F1157" s="3" t="s">
        <v>96</v>
      </c>
      <c r="G1157" s="3">
        <v>4.2097971870000004</v>
      </c>
      <c r="H1157" s="3">
        <v>3.9440014890000001</v>
      </c>
      <c r="I1157" s="3">
        <v>1.4424330949999999</v>
      </c>
      <c r="J1157" s="3">
        <v>0</v>
      </c>
      <c r="K1157" s="3">
        <v>0.46585067899999999</v>
      </c>
      <c r="L1157" s="3">
        <v>0.53642171599999999</v>
      </c>
      <c r="M1157" s="3">
        <v>0.71090565100000003</v>
      </c>
      <c r="N1157" s="3">
        <v>0.53642171599999999</v>
      </c>
      <c r="O1157" s="3">
        <v>0.22753520999999999</v>
      </c>
      <c r="P1157" s="3">
        <v>0.319654938</v>
      </c>
      <c r="Q1157" s="3">
        <v>0.39881730799999998</v>
      </c>
      <c r="R1157" s="3">
        <v>0.48842949099999999</v>
      </c>
      <c r="S1157" s="3">
        <v>5.7373306819999996</v>
      </c>
      <c r="T1157" s="3">
        <v>0.708255054</v>
      </c>
      <c r="U1157" s="3">
        <v>0.40407715300000002</v>
      </c>
      <c r="V1157" s="3">
        <v>0</v>
      </c>
      <c r="W1157" s="3">
        <v>1</v>
      </c>
      <c r="X1157" s="3">
        <v>55.108784419999999</v>
      </c>
      <c r="Y1157" s="3">
        <v>149.23306170000001</v>
      </c>
      <c r="Z1157" s="3">
        <v>1.7527718379999999</v>
      </c>
      <c r="AA1157" s="3">
        <v>0.53642171599999999</v>
      </c>
      <c r="AB1157" s="3">
        <v>1.598779612</v>
      </c>
      <c r="AC1157" s="3">
        <v>55.108784419999999</v>
      </c>
      <c r="AD1157" s="3">
        <v>0.53779224699999995</v>
      </c>
      <c r="AE1157" s="3">
        <v>1.6939393389999999</v>
      </c>
      <c r="AF1157" s="4">
        <v>41218</v>
      </c>
      <c r="AG1157" s="5">
        <f>YEAR(AF1157)</f>
        <v>2012</v>
      </c>
      <c r="AH1157" s="5" t="str">
        <f>"Q"&amp;ROUNDUP(MONTH(AF1157)/3,0)</f>
        <v>Q4</v>
      </c>
      <c r="AI1157" s="5">
        <f>INDEX(RatingLookup!$B$2:$B$11,MATCH(A1157,RatingLookup!$A$2:$A$11,0))</f>
        <v>8</v>
      </c>
      <c r="AJ1157" s="5" t="str">
        <f>INDEX(RatingLookup!$C$2:$C$11,MATCH(A1157,RatingLookup!$A$2:$A$11,0))</f>
        <v>Investment Grade</v>
      </c>
    </row>
    <row r="1158" spans="1:36" x14ac:dyDescent="0.3">
      <c r="A1158" s="3" t="s">
        <v>92</v>
      </c>
      <c r="B1158" s="3" t="s">
        <v>1274</v>
      </c>
      <c r="C1158" s="3" t="s">
        <v>1275</v>
      </c>
      <c r="D1158" s="3" t="s">
        <v>47</v>
      </c>
      <c r="E1158" s="3" t="s">
        <v>393</v>
      </c>
      <c r="F1158" s="3" t="s">
        <v>96</v>
      </c>
      <c r="G1158" s="3">
        <v>0.77613305700000002</v>
      </c>
      <c r="H1158" s="3">
        <v>0.74881023999999996</v>
      </c>
      <c r="I1158" s="3">
        <v>9.9766941999999997E-2</v>
      </c>
      <c r="J1158" s="3">
        <v>4.8593578759999998</v>
      </c>
      <c r="K1158" s="3">
        <v>0.35170183300000002</v>
      </c>
      <c r="L1158" s="3">
        <v>0.47847031600000001</v>
      </c>
      <c r="M1158" s="3">
        <v>0.81346220300000005</v>
      </c>
      <c r="N1158" s="3">
        <v>0.55877388500000003</v>
      </c>
      <c r="O1158" s="3">
        <v>0.16486461499999999</v>
      </c>
      <c r="P1158" s="3">
        <v>2.062760613</v>
      </c>
      <c r="Q1158" s="3">
        <v>-0.40212073799999998</v>
      </c>
      <c r="R1158" s="3">
        <v>0.46876245700000002</v>
      </c>
      <c r="S1158" s="3">
        <v>3.166233058</v>
      </c>
      <c r="T1158" s="3">
        <v>-3.4390966939999998</v>
      </c>
      <c r="U1158" s="3">
        <v>1.4099878459999999</v>
      </c>
      <c r="V1158" s="3">
        <v>0.26494534600000003</v>
      </c>
      <c r="W1158" s="3">
        <v>0.93455850699999998</v>
      </c>
      <c r="X1158" s="3">
        <v>4.4323415669999999</v>
      </c>
      <c r="Y1158" s="3">
        <v>11.24365875</v>
      </c>
      <c r="Z1158" s="3">
        <v>-2.4390966939999998</v>
      </c>
      <c r="AA1158" s="3">
        <v>0.47847031600000001</v>
      </c>
      <c r="AB1158" s="3">
        <v>11.69008767</v>
      </c>
      <c r="AC1158" s="3">
        <v>4.7427117040000004</v>
      </c>
      <c r="AD1158" s="3">
        <v>0.59493009200000002</v>
      </c>
      <c r="AE1158" s="3">
        <v>0.99026161700000004</v>
      </c>
      <c r="AF1158" s="4">
        <v>42086</v>
      </c>
      <c r="AG1158" s="5">
        <f>YEAR(AF1158)</f>
        <v>2015</v>
      </c>
      <c r="AH1158" s="5" t="str">
        <f>"Q"&amp;ROUNDUP(MONTH(AF1158)/3,0)</f>
        <v>Q1</v>
      </c>
      <c r="AI1158" s="5">
        <f>INDEX(RatingLookup!$B$2:$B$11,MATCH(A1158,RatingLookup!$A$2:$A$11,0))</f>
        <v>6</v>
      </c>
      <c r="AJ1158" s="5" t="str">
        <f>INDEX(RatingLookup!$C$2:$C$11,MATCH(A1158,RatingLookup!$A$2:$A$11,0))</f>
        <v>Speculative Grade</v>
      </c>
    </row>
    <row r="1159" spans="1:36" x14ac:dyDescent="0.3">
      <c r="A1159" s="3" t="s">
        <v>92</v>
      </c>
      <c r="B1159" s="3" t="s">
        <v>1274</v>
      </c>
      <c r="C1159" s="3" t="s">
        <v>1275</v>
      </c>
      <c r="D1159" s="3" t="s">
        <v>47</v>
      </c>
      <c r="E1159" s="3" t="s">
        <v>1171</v>
      </c>
      <c r="F1159" s="3" t="s">
        <v>96</v>
      </c>
      <c r="G1159" s="3">
        <v>2.3646351609999998</v>
      </c>
      <c r="H1159" s="3">
        <v>2.2559315010000001</v>
      </c>
      <c r="I1159" s="3">
        <v>0.18810448099999999</v>
      </c>
      <c r="J1159" s="3">
        <v>4.7952648379999996</v>
      </c>
      <c r="K1159" s="3">
        <v>0.36634035100000001</v>
      </c>
      <c r="L1159" s="3">
        <v>0.47241160599999998</v>
      </c>
      <c r="M1159" s="3">
        <v>0.80814842600000003</v>
      </c>
      <c r="N1159" s="3">
        <v>0.52350181799999995</v>
      </c>
      <c r="O1159" s="3">
        <v>0.155168836</v>
      </c>
      <c r="P1159" s="3">
        <v>0.30179720300000001</v>
      </c>
      <c r="Q1159" s="3">
        <v>-34.327147910000001</v>
      </c>
      <c r="R1159" s="3">
        <v>0.42356468600000002</v>
      </c>
      <c r="S1159" s="3">
        <v>2.6166338690000002</v>
      </c>
      <c r="T1159" s="3">
        <v>-222.2244986</v>
      </c>
      <c r="U1159" s="3">
        <v>1.0045202950000001</v>
      </c>
      <c r="V1159" s="3">
        <v>0.242818546</v>
      </c>
      <c r="W1159" s="3">
        <v>0.90137641099999999</v>
      </c>
      <c r="X1159" s="3">
        <v>3.087593101</v>
      </c>
      <c r="Y1159" s="3">
        <v>9.9165737509999996</v>
      </c>
      <c r="Z1159" s="3">
        <v>-221.2244986</v>
      </c>
      <c r="AA1159" s="3">
        <v>0.47241160599999998</v>
      </c>
      <c r="AB1159" s="3">
        <v>13.16992617</v>
      </c>
      <c r="AC1159" s="3">
        <v>3.4254203489999999</v>
      </c>
      <c r="AD1159" s="3">
        <v>0.61542459199999999</v>
      </c>
      <c r="AE1159" s="3">
        <v>1.285364787</v>
      </c>
      <c r="AF1159" s="4">
        <v>41372</v>
      </c>
      <c r="AG1159" s="5">
        <f>YEAR(AF1159)</f>
        <v>2013</v>
      </c>
      <c r="AH1159" s="5" t="str">
        <f>"Q"&amp;ROUNDUP(MONTH(AF1159)/3,0)</f>
        <v>Q2</v>
      </c>
      <c r="AI1159" s="5">
        <f>INDEX(RatingLookup!$B$2:$B$11,MATCH(A1159,RatingLookup!$A$2:$A$11,0))</f>
        <v>6</v>
      </c>
      <c r="AJ1159" s="5" t="str">
        <f>INDEX(RatingLookup!$C$2:$C$11,MATCH(A1159,RatingLookup!$A$2:$A$11,0))</f>
        <v>Speculative Grade</v>
      </c>
    </row>
    <row r="1160" spans="1:36" x14ac:dyDescent="0.3">
      <c r="A1160" s="3" t="s">
        <v>92</v>
      </c>
      <c r="B1160" s="3" t="s">
        <v>1274</v>
      </c>
      <c r="C1160" s="3" t="s">
        <v>1275</v>
      </c>
      <c r="D1160" s="3" t="s">
        <v>47</v>
      </c>
      <c r="E1160" s="3" t="s">
        <v>1276</v>
      </c>
      <c r="F1160" s="3" t="s">
        <v>96</v>
      </c>
      <c r="G1160" s="3">
        <v>0.88863169799999997</v>
      </c>
      <c r="H1160" s="3">
        <v>0.85596687500000002</v>
      </c>
      <c r="I1160" s="3">
        <v>0.16717196000000001</v>
      </c>
      <c r="J1160" s="3">
        <v>5.1553020610000004</v>
      </c>
      <c r="K1160" s="3">
        <v>0.56414602999999997</v>
      </c>
      <c r="L1160" s="3">
        <v>0.56414602999999997</v>
      </c>
      <c r="M1160" s="3">
        <v>0.806221615</v>
      </c>
      <c r="N1160" s="3">
        <v>0.54734132800000002</v>
      </c>
      <c r="O1160" s="3">
        <v>0.20462144900000001</v>
      </c>
      <c r="P1160" s="3">
        <v>0.86204303199999999</v>
      </c>
      <c r="Q1160" s="3">
        <v>-1.2854201789999999</v>
      </c>
      <c r="R1160" s="3">
        <v>0.36271007599999999</v>
      </c>
      <c r="S1160" s="3">
        <v>2.841391067</v>
      </c>
      <c r="T1160" s="3">
        <v>-7.2819424970000002</v>
      </c>
      <c r="U1160" s="3">
        <v>1.1591864300000001</v>
      </c>
      <c r="V1160" s="3">
        <v>-0.16104141799999999</v>
      </c>
      <c r="W1160" s="3">
        <v>0.88678919599999995</v>
      </c>
      <c r="X1160" s="3">
        <v>3.553492264</v>
      </c>
      <c r="Y1160" s="3">
        <v>11.91834208</v>
      </c>
      <c r="Z1160" s="3">
        <v>-6.2819424970000002</v>
      </c>
      <c r="AA1160" s="3">
        <v>0.56414602999999997</v>
      </c>
      <c r="AB1160" s="3">
        <v>15.07814239</v>
      </c>
      <c r="AC1160" s="3">
        <v>4.0071442900000003</v>
      </c>
      <c r="AD1160" s="3">
        <v>0.60035727299999997</v>
      </c>
      <c r="AE1160" s="3">
        <v>1.2528001820000001</v>
      </c>
      <c r="AF1160" s="4">
        <v>41745</v>
      </c>
      <c r="AG1160" s="5">
        <f>YEAR(AF1160)</f>
        <v>2014</v>
      </c>
      <c r="AH1160" s="5" t="str">
        <f>"Q"&amp;ROUNDUP(MONTH(AF1160)/3,0)</f>
        <v>Q2</v>
      </c>
      <c r="AI1160" s="5">
        <f>INDEX(RatingLookup!$B$2:$B$11,MATCH(A1160,RatingLookup!$A$2:$A$11,0))</f>
        <v>6</v>
      </c>
      <c r="AJ1160" s="5" t="str">
        <f>INDEX(RatingLookup!$C$2:$C$11,MATCH(A1160,RatingLookup!$A$2:$A$11,0))</f>
        <v>Speculative Grade</v>
      </c>
    </row>
    <row r="1161" spans="1:36" x14ac:dyDescent="0.3">
      <c r="A1161" s="3" t="s">
        <v>92</v>
      </c>
      <c r="B1161" s="3" t="s">
        <v>1274</v>
      </c>
      <c r="C1161" s="3" t="s">
        <v>1275</v>
      </c>
      <c r="D1161" s="3" t="s">
        <v>47</v>
      </c>
      <c r="E1161" s="3" t="s">
        <v>1188</v>
      </c>
      <c r="F1161" s="3" t="s">
        <v>96</v>
      </c>
      <c r="G1161" s="3">
        <v>1.309348095</v>
      </c>
      <c r="H1161" s="3">
        <v>1.282830111</v>
      </c>
      <c r="I1161" s="3">
        <v>0.152137088</v>
      </c>
      <c r="J1161" s="3">
        <v>4.3543685559999998</v>
      </c>
      <c r="K1161" s="3">
        <v>0.35420808300000001</v>
      </c>
      <c r="L1161" s="3">
        <v>0.460322495</v>
      </c>
      <c r="M1161" s="3">
        <v>0.81801568099999999</v>
      </c>
      <c r="N1161" s="3">
        <v>0.57198928400000004</v>
      </c>
      <c r="O1161" s="3">
        <v>0.159150915</v>
      </c>
      <c r="P1161" s="3">
        <v>0.57051302299999995</v>
      </c>
      <c r="Q1161" s="3">
        <v>-0.35054140900000003</v>
      </c>
      <c r="R1161" s="3">
        <v>0.44931474500000002</v>
      </c>
      <c r="S1161" s="3">
        <v>3.5841458880000001</v>
      </c>
      <c r="T1161" s="3">
        <v>-3.2025723830000001</v>
      </c>
      <c r="U1161" s="3">
        <v>1.454014591</v>
      </c>
      <c r="V1161" s="3">
        <v>0.23052189100000001</v>
      </c>
      <c r="W1161" s="3">
        <v>0.93759459199999995</v>
      </c>
      <c r="X1161" s="3">
        <v>5.3508475320000004</v>
      </c>
      <c r="Y1161" s="3">
        <v>16.779203710000001</v>
      </c>
      <c r="Z1161" s="3">
        <v>-2.2025723830000001</v>
      </c>
      <c r="AA1161" s="3">
        <v>0.460322495</v>
      </c>
      <c r="AB1161" s="3">
        <v>13.293216859999999</v>
      </c>
      <c r="AC1161" s="3">
        <v>5.7069948750000004</v>
      </c>
      <c r="AD1161" s="3">
        <v>0.61497348399999996</v>
      </c>
      <c r="AE1161" s="3">
        <v>1.0245361930000001</v>
      </c>
      <c r="AF1161" s="4">
        <v>42474</v>
      </c>
      <c r="AG1161" s="5">
        <f>YEAR(AF1161)</f>
        <v>2016</v>
      </c>
      <c r="AH1161" s="5" t="str">
        <f>"Q"&amp;ROUNDUP(MONTH(AF1161)/3,0)</f>
        <v>Q2</v>
      </c>
      <c r="AI1161" s="5">
        <f>INDEX(RatingLookup!$B$2:$B$11,MATCH(A1161,RatingLookup!$A$2:$A$11,0))</f>
        <v>6</v>
      </c>
      <c r="AJ1161" s="5" t="str">
        <f>INDEX(RatingLookup!$C$2:$C$11,MATCH(A1161,RatingLookup!$A$2:$A$11,0))</f>
        <v>Speculative Grade</v>
      </c>
    </row>
    <row r="1162" spans="1:36" x14ac:dyDescent="0.3">
      <c r="A1162" s="3" t="s">
        <v>116</v>
      </c>
      <c r="B1162" s="3" t="s">
        <v>1277</v>
      </c>
      <c r="C1162" s="3" t="s">
        <v>1278</v>
      </c>
      <c r="D1162" s="3" t="s">
        <v>47</v>
      </c>
      <c r="E1162" s="3" t="s">
        <v>1279</v>
      </c>
      <c r="F1162" s="3" t="s">
        <v>59</v>
      </c>
      <c r="G1162" s="3">
        <v>1725.505005</v>
      </c>
      <c r="H1162" s="3">
        <v>152.13313310000001</v>
      </c>
      <c r="I1162" s="3">
        <v>125.91741740000001</v>
      </c>
      <c r="J1162" s="3">
        <v>121.8768567</v>
      </c>
      <c r="K1162" s="3">
        <v>2.193553734</v>
      </c>
      <c r="L1162" s="3">
        <v>0.140438336</v>
      </c>
      <c r="M1162" s="3">
        <v>1.736794462</v>
      </c>
      <c r="N1162" s="3">
        <v>0.32886030100000002</v>
      </c>
      <c r="O1162" s="3">
        <v>0.14211695599999999</v>
      </c>
      <c r="P1162" s="3">
        <v>9.1062969999999993E-3</v>
      </c>
      <c r="Q1162" s="3">
        <v>0.54581447699999996</v>
      </c>
      <c r="R1162" s="3">
        <v>6.4788453999999995E-2</v>
      </c>
      <c r="S1162" s="3">
        <v>7.0565002249999997</v>
      </c>
      <c r="T1162" s="3">
        <v>2.8406006760000002</v>
      </c>
      <c r="U1162" s="3">
        <v>0.73962406300000005</v>
      </c>
      <c r="V1162" s="3">
        <v>-14.73304585</v>
      </c>
      <c r="W1162" s="3">
        <v>1.196967267</v>
      </c>
      <c r="X1162" s="3">
        <v>-3.5114014770000002</v>
      </c>
      <c r="Y1162" s="3">
        <v>9.1060880270000002</v>
      </c>
      <c r="Z1162" s="3">
        <v>3.8406006760000002</v>
      </c>
      <c r="AA1162" s="3">
        <v>0.140438336</v>
      </c>
      <c r="AB1162" s="3">
        <v>25.723753869999999</v>
      </c>
      <c r="AC1162" s="3">
        <v>-2.9335818730000001</v>
      </c>
      <c r="AD1162" s="3">
        <v>-0.51667665399999996</v>
      </c>
      <c r="AE1162" s="3">
        <v>-1.0179585870000001</v>
      </c>
      <c r="AF1162" s="4">
        <v>42440</v>
      </c>
      <c r="AG1162" s="5">
        <f>YEAR(AF1162)</f>
        <v>2016</v>
      </c>
      <c r="AH1162" s="5" t="str">
        <f>"Q"&amp;ROUNDUP(MONTH(AF1162)/3,0)</f>
        <v>Q1</v>
      </c>
      <c r="AI1162" s="5">
        <f>INDEX(RatingLookup!$B$2:$B$11,MATCH(A1162,RatingLookup!$A$2:$A$11,0))</f>
        <v>4</v>
      </c>
      <c r="AJ1162" s="5" t="str">
        <f>INDEX(RatingLookup!$C$2:$C$11,MATCH(A1162,RatingLookup!$A$2:$A$11,0))</f>
        <v>Speculative Grade</v>
      </c>
    </row>
    <row r="1163" spans="1:36" x14ac:dyDescent="0.3">
      <c r="A1163" s="3" t="s">
        <v>116</v>
      </c>
      <c r="B1163" s="3" t="s">
        <v>1277</v>
      </c>
      <c r="C1163" s="3" t="s">
        <v>1278</v>
      </c>
      <c r="D1163" s="3" t="s">
        <v>47</v>
      </c>
      <c r="E1163" s="3" t="s">
        <v>1280</v>
      </c>
      <c r="F1163" s="3" t="s">
        <v>59</v>
      </c>
      <c r="G1163" s="3">
        <v>32.263862369999998</v>
      </c>
      <c r="H1163" s="3">
        <v>10.666217380000001</v>
      </c>
      <c r="I1163" s="3">
        <v>10.055056349999999</v>
      </c>
      <c r="J1163" s="3">
        <v>359.27744439999998</v>
      </c>
      <c r="K1163" s="3">
        <v>-0.124611813</v>
      </c>
      <c r="L1163" s="3">
        <v>-0.57183344899999999</v>
      </c>
      <c r="M1163" s="3">
        <v>0.12753640699999999</v>
      </c>
      <c r="N1163" s="3">
        <v>-0.124611813</v>
      </c>
      <c r="O1163" s="3">
        <v>-2.1719460000000001E-3</v>
      </c>
      <c r="P1163" s="3">
        <v>-1.0254752000000001E-2</v>
      </c>
      <c r="Q1163" s="3">
        <v>-1.0407931E-2</v>
      </c>
      <c r="R1163" s="3">
        <v>1.7429693999999999E-2</v>
      </c>
      <c r="S1163" s="3">
        <v>1.3822463009999999</v>
      </c>
      <c r="T1163" s="3">
        <v>3.7919849110000001</v>
      </c>
      <c r="U1163" s="3">
        <v>0.79131820799999997</v>
      </c>
      <c r="V1163" s="3">
        <v>0.78208372900000001</v>
      </c>
      <c r="W1163" s="3">
        <v>1</v>
      </c>
      <c r="X1163" s="3">
        <v>1.265182738</v>
      </c>
      <c r="Y1163" s="3">
        <v>9.7518291910000006</v>
      </c>
      <c r="Z1163" s="3">
        <v>4.7919849110000001</v>
      </c>
      <c r="AA1163" s="3">
        <v>-0.57183344899999999</v>
      </c>
      <c r="AB1163" s="3">
        <v>62.659911559999998</v>
      </c>
      <c r="AC1163" s="3">
        <v>1.265182738</v>
      </c>
      <c r="AD1163" s="3">
        <v>2.1010341600000002</v>
      </c>
      <c r="AE1163" s="3">
        <v>0.54170878700000002</v>
      </c>
      <c r="AF1163" s="4">
        <v>40687</v>
      </c>
      <c r="AG1163" s="5">
        <f>YEAR(AF1163)</f>
        <v>2011</v>
      </c>
      <c r="AH1163" s="5" t="str">
        <f>"Q"&amp;ROUNDUP(MONTH(AF1163)/3,0)</f>
        <v>Q2</v>
      </c>
      <c r="AI1163" s="5">
        <f>INDEX(RatingLookup!$B$2:$B$11,MATCH(A1163,RatingLookup!$A$2:$A$11,0))</f>
        <v>4</v>
      </c>
      <c r="AJ1163" s="5" t="str">
        <f>INDEX(RatingLookup!$C$2:$C$11,MATCH(A1163,RatingLookup!$A$2:$A$11,0))</f>
        <v>Speculative Grade</v>
      </c>
    </row>
    <row r="1164" spans="1:36" x14ac:dyDescent="0.3">
      <c r="A1164" s="3" t="s">
        <v>116</v>
      </c>
      <c r="B1164" s="3" t="s">
        <v>1277</v>
      </c>
      <c r="C1164" s="3" t="s">
        <v>1278</v>
      </c>
      <c r="D1164" s="3" t="s">
        <v>47</v>
      </c>
      <c r="E1164" s="3" t="s">
        <v>1281</v>
      </c>
      <c r="F1164" s="3" t="s">
        <v>59</v>
      </c>
      <c r="G1164" s="3">
        <v>124.2562559</v>
      </c>
      <c r="H1164" s="3">
        <v>14.9860416</v>
      </c>
      <c r="I1164" s="3">
        <v>12.674147639999999</v>
      </c>
      <c r="J1164" s="3">
        <v>86.414012909999997</v>
      </c>
      <c r="K1164" s="3">
        <v>0.23643440199999999</v>
      </c>
      <c r="L1164" s="3">
        <v>-4.7269000999999998E-2</v>
      </c>
      <c r="M1164" s="3">
        <v>1.8116735319999999</v>
      </c>
      <c r="N1164" s="3">
        <v>0.38294492600000002</v>
      </c>
      <c r="O1164" s="3">
        <v>1.6640532E-2</v>
      </c>
      <c r="P1164" s="3">
        <v>-3.3685439999999998E-3</v>
      </c>
      <c r="Q1164" s="3">
        <v>0.12318446</v>
      </c>
      <c r="R1164" s="3">
        <v>7.0381179000000002E-2</v>
      </c>
      <c r="S1164" s="3">
        <v>7.7878755420000001</v>
      </c>
      <c r="T1164" s="3">
        <v>6.4026755709999996</v>
      </c>
      <c r="U1164" s="3">
        <v>0.86491370700000003</v>
      </c>
      <c r="V1164" s="3">
        <v>6.0804480649999997</v>
      </c>
      <c r="W1164" s="3">
        <v>1.090690414</v>
      </c>
      <c r="X1164" s="3">
        <v>-6.7851133939999997</v>
      </c>
      <c r="Y1164" s="3">
        <v>13.524093819999999</v>
      </c>
      <c r="Z1164" s="3">
        <v>7.4026755709999996</v>
      </c>
      <c r="AA1164" s="3">
        <v>-4.7269000999999998E-2</v>
      </c>
      <c r="AB1164" s="3">
        <v>24.540273750000001</v>
      </c>
      <c r="AC1164" s="3">
        <v>-6.2209342899999998</v>
      </c>
      <c r="AD1164" s="3">
        <v>-1.103463689</v>
      </c>
      <c r="AE1164" s="3">
        <v>-1.111063001</v>
      </c>
      <c r="AF1164" s="4">
        <v>41851</v>
      </c>
      <c r="AG1164" s="5">
        <f>YEAR(AF1164)</f>
        <v>2014</v>
      </c>
      <c r="AH1164" s="5" t="str">
        <f>"Q"&amp;ROUNDUP(MONTH(AF1164)/3,0)</f>
        <v>Q3</v>
      </c>
      <c r="AI1164" s="5">
        <f>INDEX(RatingLookup!$B$2:$B$11,MATCH(A1164,RatingLookup!$A$2:$A$11,0))</f>
        <v>4</v>
      </c>
      <c r="AJ1164" s="5" t="str">
        <f>INDEX(RatingLookup!$C$2:$C$11,MATCH(A1164,RatingLookup!$A$2:$A$11,0))</f>
        <v>Speculative Grade</v>
      </c>
    </row>
    <row r="1165" spans="1:36" x14ac:dyDescent="0.3">
      <c r="A1165" s="3" t="s">
        <v>109</v>
      </c>
      <c r="B1165" s="3" t="s">
        <v>1277</v>
      </c>
      <c r="C1165" s="3" t="s">
        <v>1278</v>
      </c>
      <c r="D1165" s="3" t="s">
        <v>47</v>
      </c>
      <c r="E1165" s="3" t="s">
        <v>537</v>
      </c>
      <c r="F1165" s="3" t="s">
        <v>59</v>
      </c>
      <c r="G1165" s="3">
        <v>944.41501749999998</v>
      </c>
      <c r="H1165" s="3">
        <v>31.122817229999999</v>
      </c>
      <c r="I1165" s="3">
        <v>0.14144353900000001</v>
      </c>
      <c r="J1165" s="3">
        <v>101.5604057</v>
      </c>
      <c r="K1165" s="3">
        <v>2.4533431000000001E-2</v>
      </c>
      <c r="L1165" s="3">
        <v>0.113456009</v>
      </c>
      <c r="M1165" s="3">
        <v>1.5536985729999999</v>
      </c>
      <c r="N1165" s="3">
        <v>0.31013121399999999</v>
      </c>
      <c r="O1165" s="3">
        <v>2.1204990000000001E-3</v>
      </c>
      <c r="P1165" s="3">
        <v>9.8139669999999998E-3</v>
      </c>
      <c r="Q1165" s="3">
        <v>7.3002689999999999E-3</v>
      </c>
      <c r="R1165" s="3">
        <v>8.6433051999999996E-2</v>
      </c>
      <c r="S1165" s="3">
        <v>9.9952973140000001</v>
      </c>
      <c r="T1165" s="3">
        <v>2.4427124089999999</v>
      </c>
      <c r="U1165" s="3">
        <v>0.70953135700000003</v>
      </c>
      <c r="V1165" s="3">
        <v>0.76017140500000002</v>
      </c>
      <c r="W1165" s="3">
        <v>0.92504830500000002</v>
      </c>
      <c r="X1165" s="3">
        <v>4.7426253220000003</v>
      </c>
      <c r="Y1165" s="3">
        <v>7.6419900000000004E-3</v>
      </c>
      <c r="Z1165" s="3">
        <v>3.4427124089999999</v>
      </c>
      <c r="AA1165" s="3">
        <v>0.113456009</v>
      </c>
      <c r="AB1165" s="3">
        <v>23.046840360000001</v>
      </c>
      <c r="AC1165" s="3">
        <v>5.1268947730000001</v>
      </c>
      <c r="AD1165" s="3">
        <v>0.85224005400000002</v>
      </c>
      <c r="AE1165" s="3">
        <v>-1.016731622</v>
      </c>
      <c r="AF1165" s="4">
        <v>42640</v>
      </c>
      <c r="AG1165" s="5">
        <f>YEAR(AF1165)</f>
        <v>2016</v>
      </c>
      <c r="AH1165" s="5" t="str">
        <f>"Q"&amp;ROUNDUP(MONTH(AF1165)/3,0)</f>
        <v>Q3</v>
      </c>
      <c r="AI1165" s="5">
        <f>INDEX(RatingLookup!$B$2:$B$11,MATCH(A1165,RatingLookup!$A$2:$A$11,0))</f>
        <v>5</v>
      </c>
      <c r="AJ1165" s="5" t="str">
        <f>INDEX(RatingLookup!$C$2:$C$11,MATCH(A1165,RatingLookup!$A$2:$A$11,0))</f>
        <v>Speculative Grade</v>
      </c>
    </row>
    <row r="1166" spans="1:36" x14ac:dyDescent="0.3">
      <c r="A1166" s="3" t="s">
        <v>116</v>
      </c>
      <c r="B1166" s="3" t="s">
        <v>1277</v>
      </c>
      <c r="C1166" s="3" t="s">
        <v>1278</v>
      </c>
      <c r="D1166" s="3" t="s">
        <v>47</v>
      </c>
      <c r="E1166" s="3" t="s">
        <v>1282</v>
      </c>
      <c r="F1166" s="3" t="s">
        <v>59</v>
      </c>
      <c r="G1166" s="3">
        <v>122.5231946</v>
      </c>
      <c r="H1166" s="3">
        <v>23.054848140000001</v>
      </c>
      <c r="I1166" s="3">
        <v>21.948031499999999</v>
      </c>
      <c r="J1166" s="3">
        <v>230.90227590000001</v>
      </c>
      <c r="K1166" s="3">
        <v>-3.737328019</v>
      </c>
      <c r="L1166" s="3">
        <v>-4.5253953969999996</v>
      </c>
      <c r="M1166" s="3">
        <v>2.7025331100000001</v>
      </c>
      <c r="N1166" s="3">
        <v>-1.5959367369999999</v>
      </c>
      <c r="O1166" s="3">
        <v>-7.3314842000000005E-2</v>
      </c>
      <c r="P1166" s="3">
        <v>-8.9780932999999993E-2</v>
      </c>
      <c r="Q1166" s="3">
        <v>-0.55415695899999995</v>
      </c>
      <c r="R1166" s="3">
        <v>1.9616913999999999E-2</v>
      </c>
      <c r="S1166" s="3">
        <v>2.0493833669999999</v>
      </c>
      <c r="T1166" s="3">
        <v>6.5585917089999999</v>
      </c>
      <c r="U1166" s="3">
        <v>0.86770022300000005</v>
      </c>
      <c r="V1166" s="3">
        <v>0.229283401</v>
      </c>
      <c r="W1166" s="3">
        <v>1.8329575440000001</v>
      </c>
      <c r="X1166" s="3">
        <v>-2.0682039620000001</v>
      </c>
      <c r="Y1166" s="3">
        <v>26.40440619</v>
      </c>
      <c r="Z1166" s="3">
        <v>7.5585917089999999</v>
      </c>
      <c r="AA1166" s="3">
        <v>-4.5253953969999996</v>
      </c>
      <c r="AB1166" s="3">
        <v>-27.103137719999999</v>
      </c>
      <c r="AC1166" s="3">
        <v>-1.128342535</v>
      </c>
      <c r="AD1166" s="3">
        <v>-0.53606789300000002</v>
      </c>
      <c r="AE1166" s="3">
        <v>-0.95575157399999999</v>
      </c>
      <c r="AF1166" s="4">
        <v>41303</v>
      </c>
      <c r="AG1166" s="5">
        <f>YEAR(AF1166)</f>
        <v>2013</v>
      </c>
      <c r="AH1166" s="5" t="str">
        <f>"Q"&amp;ROUNDUP(MONTH(AF1166)/3,0)</f>
        <v>Q1</v>
      </c>
      <c r="AI1166" s="5">
        <f>INDEX(RatingLookup!$B$2:$B$11,MATCH(A1166,RatingLookup!$A$2:$A$11,0))</f>
        <v>4</v>
      </c>
      <c r="AJ1166" s="5" t="str">
        <f>INDEX(RatingLookup!$C$2:$C$11,MATCH(A1166,RatingLookup!$A$2:$A$11,0))</f>
        <v>Speculative Grade</v>
      </c>
    </row>
    <row r="1167" spans="1:36" x14ac:dyDescent="0.3">
      <c r="A1167" s="3" t="s">
        <v>116</v>
      </c>
      <c r="B1167" s="3" t="s">
        <v>1277</v>
      </c>
      <c r="C1167" s="3" t="s">
        <v>1278</v>
      </c>
      <c r="D1167" s="3" t="s">
        <v>47</v>
      </c>
      <c r="E1167" s="3" t="s">
        <v>1283</v>
      </c>
      <c r="F1167" s="3" t="s">
        <v>59</v>
      </c>
      <c r="G1167" s="3">
        <v>155.94015870000001</v>
      </c>
      <c r="H1167" s="3">
        <v>26.1180466</v>
      </c>
      <c r="I1167" s="3">
        <v>25.010361920000001</v>
      </c>
      <c r="J1167" s="3">
        <v>66.416063980000004</v>
      </c>
      <c r="K1167" s="3">
        <v>-0.275833985</v>
      </c>
      <c r="L1167" s="3">
        <v>-0.29037171000000001</v>
      </c>
      <c r="M1167" s="3">
        <v>1.7439568670000001</v>
      </c>
      <c r="N1167" s="3">
        <v>0.222024042</v>
      </c>
      <c r="O1167" s="3">
        <v>-1.7046601000000002E-2</v>
      </c>
      <c r="P1167" s="3">
        <v>-1.8129083000000001E-2</v>
      </c>
      <c r="Q1167" s="3">
        <v>-0.140794014</v>
      </c>
      <c r="R1167" s="3">
        <v>6.1800221000000002E-2</v>
      </c>
      <c r="S1167" s="3">
        <v>7.2225882349999999</v>
      </c>
      <c r="T1167" s="3">
        <v>7.2593598000000004</v>
      </c>
      <c r="U1167" s="3">
        <v>0.87892524100000002</v>
      </c>
      <c r="V1167" s="3">
        <v>9.7859927999999999E-2</v>
      </c>
      <c r="W1167" s="3">
        <v>1.06161748</v>
      </c>
      <c r="X1167" s="3">
        <v>-7.5211147619999998</v>
      </c>
      <c r="Y1167" s="3">
        <v>20.46403797</v>
      </c>
      <c r="Z1167" s="3">
        <v>8.2593598000000004</v>
      </c>
      <c r="AA1167" s="3">
        <v>-0.29037171000000001</v>
      </c>
      <c r="AB1167" s="3">
        <v>36.49766288</v>
      </c>
      <c r="AC1167" s="3">
        <v>-7.0845807470000004</v>
      </c>
      <c r="AD1167" s="3">
        <v>-1.422351446</v>
      </c>
      <c r="AE1167" s="3">
        <v>-1.090047733</v>
      </c>
      <c r="AF1167" s="4">
        <v>41533</v>
      </c>
      <c r="AG1167" s="5">
        <f>YEAR(AF1167)</f>
        <v>2013</v>
      </c>
      <c r="AH1167" s="5" t="str">
        <f>"Q"&amp;ROUNDUP(MONTH(AF1167)/3,0)</f>
        <v>Q3</v>
      </c>
      <c r="AI1167" s="5">
        <f>INDEX(RatingLookup!$B$2:$B$11,MATCH(A1167,RatingLookup!$A$2:$A$11,0))</f>
        <v>4</v>
      </c>
      <c r="AJ1167" s="5" t="str">
        <f>INDEX(RatingLookup!$C$2:$C$11,MATCH(A1167,RatingLookup!$A$2:$A$11,0))</f>
        <v>Speculative Grade</v>
      </c>
    </row>
    <row r="1168" spans="1:36" x14ac:dyDescent="0.3">
      <c r="A1168" s="3" t="s">
        <v>36</v>
      </c>
      <c r="B1168" s="3" t="s">
        <v>1284</v>
      </c>
      <c r="C1168" s="3" t="s">
        <v>1285</v>
      </c>
      <c r="D1168" s="3" t="s">
        <v>39</v>
      </c>
      <c r="E1168" s="3" t="s">
        <v>818</v>
      </c>
      <c r="F1168" s="3" t="s">
        <v>113</v>
      </c>
      <c r="G1168" s="3">
        <v>1.520578778</v>
      </c>
      <c r="H1168" s="3">
        <v>0.49959807099999998</v>
      </c>
      <c r="I1168" s="3">
        <v>0.28826366599999997</v>
      </c>
      <c r="J1168" s="3">
        <v>37.64723833</v>
      </c>
      <c r="K1168" s="3">
        <v>0.15642355799999999</v>
      </c>
      <c r="L1168" s="3">
        <v>0.22221544100000001</v>
      </c>
      <c r="M1168" s="3">
        <v>0.71809581899999997</v>
      </c>
      <c r="N1168" s="3">
        <v>0.15642355799999999</v>
      </c>
      <c r="O1168" s="3">
        <v>6.6412728000000004E-2</v>
      </c>
      <c r="P1168" s="3">
        <v>0.13922453300000001</v>
      </c>
      <c r="Q1168" s="3">
        <v>0.169130263</v>
      </c>
      <c r="R1168" s="3">
        <v>0.42456985899999999</v>
      </c>
      <c r="S1168" s="3">
        <v>3.5782922039999998</v>
      </c>
      <c r="T1168" s="3">
        <v>1.546654349</v>
      </c>
      <c r="U1168" s="3">
        <v>0.60732794400000001</v>
      </c>
      <c r="V1168" s="3">
        <v>8.5416093999999998E-2</v>
      </c>
      <c r="W1168" s="3">
        <v>0.84851904099999997</v>
      </c>
      <c r="X1168" s="3">
        <v>1.829683698</v>
      </c>
      <c r="Y1168" s="3">
        <v>2.7524330899999998</v>
      </c>
      <c r="Z1168" s="3">
        <v>2.5466543490000002</v>
      </c>
      <c r="AA1168" s="3">
        <v>0.22221544100000001</v>
      </c>
      <c r="AB1168" s="3">
        <v>26.385917020000001</v>
      </c>
      <c r="AC1168" s="3">
        <v>2.1563260340000001</v>
      </c>
      <c r="AD1168" s="3">
        <v>0.21635642399999999</v>
      </c>
      <c r="AE1168" s="3">
        <v>1.805001954</v>
      </c>
      <c r="AF1168" s="4">
        <v>41578</v>
      </c>
      <c r="AG1168" s="5">
        <f>YEAR(AF1168)</f>
        <v>2013</v>
      </c>
      <c r="AH1168" s="5" t="str">
        <f>"Q"&amp;ROUNDUP(MONTH(AF1168)/3,0)</f>
        <v>Q4</v>
      </c>
      <c r="AI1168" s="5">
        <f>INDEX(RatingLookup!$B$2:$B$11,MATCH(A1168,RatingLookup!$A$2:$A$11,0))</f>
        <v>8</v>
      </c>
      <c r="AJ1168" s="5" t="str">
        <f>INDEX(RatingLookup!$C$2:$C$11,MATCH(A1168,RatingLookup!$A$2:$A$11,0))</f>
        <v>Investment Grade</v>
      </c>
    </row>
    <row r="1169" spans="1:36" x14ac:dyDescent="0.3">
      <c r="A1169" s="3" t="s">
        <v>36</v>
      </c>
      <c r="B1169" s="3" t="s">
        <v>1284</v>
      </c>
      <c r="C1169" s="3" t="s">
        <v>1285</v>
      </c>
      <c r="D1169" s="3" t="s">
        <v>39</v>
      </c>
      <c r="E1169" s="3" t="s">
        <v>1286</v>
      </c>
      <c r="F1169" s="3" t="s">
        <v>113</v>
      </c>
      <c r="G1169" s="3">
        <v>1.726509869</v>
      </c>
      <c r="H1169" s="3">
        <v>1.1269353499999999</v>
      </c>
      <c r="I1169" s="3">
        <v>0.65843280900000001</v>
      </c>
      <c r="J1169" s="3">
        <v>48.271301719999997</v>
      </c>
      <c r="K1169" s="3">
        <v>0.12620442100000001</v>
      </c>
      <c r="L1169" s="3">
        <v>0.14994647</v>
      </c>
      <c r="M1169" s="3">
        <v>0.75237735400000005</v>
      </c>
      <c r="N1169" s="3">
        <v>0.14994647</v>
      </c>
      <c r="O1169" s="3">
        <v>5.9379537000000003E-2</v>
      </c>
      <c r="P1169" s="3">
        <v>9.4155330999999995E-2</v>
      </c>
      <c r="Q1169" s="3">
        <v>0.13493132199999999</v>
      </c>
      <c r="R1169" s="3">
        <v>0.47050282999999998</v>
      </c>
      <c r="S1169" s="3">
        <v>3.5949739639999998</v>
      </c>
      <c r="T1169" s="3">
        <v>1.2723538919999999</v>
      </c>
      <c r="U1169" s="3">
        <v>0.55992770199999997</v>
      </c>
      <c r="V1169" s="3">
        <v>0.147837043</v>
      </c>
      <c r="W1169" s="3">
        <v>0.83290978400000004</v>
      </c>
      <c r="X1169" s="3">
        <v>1.5823777910000001</v>
      </c>
      <c r="Y1169" s="3">
        <v>4.4870247440000002</v>
      </c>
      <c r="Z1169" s="3">
        <v>2.2723538919999999</v>
      </c>
      <c r="AA1169" s="3">
        <v>0.14994647</v>
      </c>
      <c r="AB1169" s="3">
        <v>26.742181200000001</v>
      </c>
      <c r="AC1169" s="3">
        <v>1.89981895</v>
      </c>
      <c r="AD1169" s="3">
        <v>0.19824926000000001</v>
      </c>
      <c r="AE1169" s="3">
        <v>1.581021311</v>
      </c>
      <c r="AF1169" s="4">
        <v>41855</v>
      </c>
      <c r="AG1169" s="5">
        <f>YEAR(AF1169)</f>
        <v>2014</v>
      </c>
      <c r="AH1169" s="5" t="str">
        <f>"Q"&amp;ROUNDUP(MONTH(AF1169)/3,0)</f>
        <v>Q3</v>
      </c>
      <c r="AI1169" s="5">
        <f>INDEX(RatingLookup!$B$2:$B$11,MATCH(A1169,RatingLookup!$A$2:$A$11,0))</f>
        <v>8</v>
      </c>
      <c r="AJ1169" s="5" t="str">
        <f>INDEX(RatingLookup!$C$2:$C$11,MATCH(A1169,RatingLookup!$A$2:$A$11,0))</f>
        <v>Investment Grade</v>
      </c>
    </row>
    <row r="1170" spans="1:36" x14ac:dyDescent="0.3">
      <c r="A1170" s="3" t="s">
        <v>36</v>
      </c>
      <c r="B1170" s="3" t="s">
        <v>1284</v>
      </c>
      <c r="C1170" s="3" t="s">
        <v>1285</v>
      </c>
      <c r="D1170" s="3" t="s">
        <v>39</v>
      </c>
      <c r="E1170" s="3" t="s">
        <v>778</v>
      </c>
      <c r="F1170" s="3" t="s">
        <v>113</v>
      </c>
      <c r="G1170" s="3">
        <v>1.299114382</v>
      </c>
      <c r="H1170" s="3">
        <v>0.90033678399999995</v>
      </c>
      <c r="I1170" s="3">
        <v>0.29749282799999999</v>
      </c>
      <c r="J1170" s="3">
        <v>64.977053139999995</v>
      </c>
      <c r="K1170" s="3">
        <v>9.4504830999999997E-2</v>
      </c>
      <c r="L1170" s="3">
        <v>0.125422705</v>
      </c>
      <c r="M1170" s="3">
        <v>0.76394927499999998</v>
      </c>
      <c r="N1170" s="3">
        <v>0.125422705</v>
      </c>
      <c r="O1170" s="3">
        <v>4.9294444E-2</v>
      </c>
      <c r="P1170" s="3">
        <v>8.7522649999999994E-2</v>
      </c>
      <c r="Q1170" s="3">
        <v>0.109701388</v>
      </c>
      <c r="R1170" s="3">
        <v>0.52160766000000003</v>
      </c>
      <c r="S1170" s="3">
        <v>3.7533998190000002</v>
      </c>
      <c r="T1170" s="3">
        <v>1.225431095</v>
      </c>
      <c r="U1170" s="3">
        <v>0.55064886000000002</v>
      </c>
      <c r="V1170" s="3">
        <v>0.21473278800000001</v>
      </c>
      <c r="W1170" s="3">
        <v>0.552401747</v>
      </c>
      <c r="X1170" s="3">
        <v>0.60707858400000003</v>
      </c>
      <c r="Y1170" s="3">
        <v>2.561487702</v>
      </c>
      <c r="Z1170" s="3">
        <v>2.2254310949999998</v>
      </c>
      <c r="AA1170" s="3">
        <v>0.125422705</v>
      </c>
      <c r="AB1170" s="3">
        <v>40.001749439999998</v>
      </c>
      <c r="AC1170" s="3">
        <v>1.0989802040000001</v>
      </c>
      <c r="AD1170" s="3">
        <v>0.11062801899999999</v>
      </c>
      <c r="AE1170" s="3">
        <v>2.4977635779999998</v>
      </c>
      <c r="AF1170" s="4">
        <v>42319</v>
      </c>
      <c r="AG1170" s="5">
        <f>YEAR(AF1170)</f>
        <v>2015</v>
      </c>
      <c r="AH1170" s="5" t="str">
        <f>"Q"&amp;ROUNDUP(MONTH(AF1170)/3,0)</f>
        <v>Q4</v>
      </c>
      <c r="AI1170" s="5">
        <f>INDEX(RatingLookup!$B$2:$B$11,MATCH(A1170,RatingLookup!$A$2:$A$11,0))</f>
        <v>8</v>
      </c>
      <c r="AJ1170" s="5" t="str">
        <f>INDEX(RatingLookup!$C$2:$C$11,MATCH(A1170,RatingLookup!$A$2:$A$11,0))</f>
        <v>Investment Grade</v>
      </c>
    </row>
    <row r="1171" spans="1:36" x14ac:dyDescent="0.3">
      <c r="A1171" s="3" t="s">
        <v>36</v>
      </c>
      <c r="B1171" s="3" t="s">
        <v>1284</v>
      </c>
      <c r="C1171" s="3" t="s">
        <v>1285</v>
      </c>
      <c r="D1171" s="3" t="s">
        <v>60</v>
      </c>
      <c r="E1171" s="3" t="s">
        <v>46</v>
      </c>
      <c r="F1171" s="3" t="s">
        <v>113</v>
      </c>
      <c r="G1171" s="3">
        <v>1.968894602</v>
      </c>
      <c r="H1171" s="3">
        <v>1.4116966580000001</v>
      </c>
      <c r="I1171" s="3">
        <v>0.74241645199999995</v>
      </c>
      <c r="J1171" s="3">
        <v>38.657974019999997</v>
      </c>
      <c r="K1171" s="3">
        <v>0.174590473</v>
      </c>
      <c r="L1171" s="3">
        <v>0.32861043099999998</v>
      </c>
      <c r="M1171" s="3">
        <v>0.73649030299999996</v>
      </c>
      <c r="N1171" s="3">
        <v>0.32861043099999998</v>
      </c>
      <c r="O1171" s="3">
        <v>0.112496209</v>
      </c>
      <c r="P1171" s="3">
        <v>0.27713378300000002</v>
      </c>
      <c r="Q1171" s="3">
        <v>0.23245174199999999</v>
      </c>
      <c r="R1171" s="3">
        <v>0.64434334199999999</v>
      </c>
      <c r="S1171" s="3">
        <v>4.6989604070000004</v>
      </c>
      <c r="T1171" s="3">
        <v>1.066307345</v>
      </c>
      <c r="U1171" s="3">
        <v>0.51604488900000001</v>
      </c>
      <c r="V1171" s="3">
        <v>0.24652628600000001</v>
      </c>
      <c r="W1171" s="3">
        <v>0.92417355400000001</v>
      </c>
      <c r="X1171" s="3">
        <v>2.6311764709999999</v>
      </c>
      <c r="Y1171" s="3">
        <v>5.1370588240000004</v>
      </c>
      <c r="Z1171" s="3">
        <v>2.0663073449999998</v>
      </c>
      <c r="AA1171" s="3">
        <v>0.32861043099999998</v>
      </c>
      <c r="AB1171" s="3">
        <v>7.00848111</v>
      </c>
      <c r="AC1171" s="3">
        <v>2.8470588239999999</v>
      </c>
      <c r="AD1171" s="3">
        <v>0.22782903400000001</v>
      </c>
      <c r="AE1171" s="3">
        <v>2.150595467</v>
      </c>
      <c r="AF1171" s="4">
        <v>41075</v>
      </c>
      <c r="AG1171" s="5">
        <f>YEAR(AF1171)</f>
        <v>2012</v>
      </c>
      <c r="AH1171" s="5" t="str">
        <f>"Q"&amp;ROUNDUP(MONTH(AF1171)/3,0)</f>
        <v>Q2</v>
      </c>
      <c r="AI1171" s="5">
        <f>INDEX(RatingLookup!$B$2:$B$11,MATCH(A1171,RatingLookup!$A$2:$A$11,0))</f>
        <v>8</v>
      </c>
      <c r="AJ1171" s="5" t="str">
        <f>INDEX(RatingLookup!$C$2:$C$11,MATCH(A1171,RatingLookup!$A$2:$A$11,0))</f>
        <v>Investment Grade</v>
      </c>
    </row>
    <row r="1172" spans="1:36" x14ac:dyDescent="0.3">
      <c r="A1172" s="3" t="s">
        <v>36</v>
      </c>
      <c r="B1172" s="3" t="s">
        <v>1284</v>
      </c>
      <c r="C1172" s="3" t="s">
        <v>1285</v>
      </c>
      <c r="D1172" s="3" t="s">
        <v>44</v>
      </c>
      <c r="E1172" s="3" t="s">
        <v>1287</v>
      </c>
      <c r="F1172" s="3" t="s">
        <v>113</v>
      </c>
      <c r="G1172" s="3">
        <v>1.150018118</v>
      </c>
      <c r="H1172" s="3">
        <v>0.54801304500000003</v>
      </c>
      <c r="I1172" s="3">
        <v>0.20002415800000001</v>
      </c>
      <c r="J1172" s="3">
        <v>35.379376880000002</v>
      </c>
      <c r="K1172" s="3">
        <v>0.111230918</v>
      </c>
      <c r="L1172" s="3">
        <v>0.13302309700000001</v>
      </c>
      <c r="M1172" s="3">
        <v>0.73838034200000002</v>
      </c>
      <c r="N1172" s="3">
        <v>0.111230918</v>
      </c>
      <c r="O1172" s="3">
        <v>5.4600663000000001E-2</v>
      </c>
      <c r="P1172" s="3">
        <v>8.4872185000000003E-2</v>
      </c>
      <c r="Q1172" s="3">
        <v>0.14387432999999999</v>
      </c>
      <c r="R1172" s="3">
        <v>0.49087667499999998</v>
      </c>
      <c r="S1172" s="3">
        <v>3.3041440089999998</v>
      </c>
      <c r="T1172" s="3">
        <v>1.6350289950000001</v>
      </c>
      <c r="U1172" s="3">
        <v>0.62049753500000004</v>
      </c>
      <c r="V1172" s="3">
        <v>-6.8686006999999993E-2</v>
      </c>
      <c r="W1172" s="3">
        <v>0.92104883999999998</v>
      </c>
      <c r="X1172" s="3">
        <v>3.8281437129999998</v>
      </c>
      <c r="Y1172" s="3">
        <v>1.6940119760000001</v>
      </c>
      <c r="Z1172" s="3">
        <v>2.6350289949999999</v>
      </c>
      <c r="AA1172" s="3">
        <v>0.13302309700000001</v>
      </c>
      <c r="AB1172" s="3">
        <v>25.267474440000001</v>
      </c>
      <c r="AC1172" s="3">
        <v>4.1562874250000004</v>
      </c>
      <c r="AD1172" s="3">
        <v>0.39390500000000001</v>
      </c>
      <c r="AE1172" s="3">
        <v>2.0935513170000002</v>
      </c>
      <c r="AF1172" s="4">
        <v>41093</v>
      </c>
      <c r="AG1172" s="5">
        <f>YEAR(AF1172)</f>
        <v>2012</v>
      </c>
      <c r="AH1172" s="5" t="str">
        <f>"Q"&amp;ROUNDUP(MONTH(AF1172)/3,0)</f>
        <v>Q3</v>
      </c>
      <c r="AI1172" s="5">
        <f>INDEX(RatingLookup!$B$2:$B$11,MATCH(A1172,RatingLookup!$A$2:$A$11,0))</f>
        <v>8</v>
      </c>
      <c r="AJ1172" s="5" t="str">
        <f>INDEX(RatingLookup!$C$2:$C$11,MATCH(A1172,RatingLookup!$A$2:$A$11,0))</f>
        <v>Investment Grade</v>
      </c>
    </row>
    <row r="1173" spans="1:36" x14ac:dyDescent="0.3">
      <c r="A1173" s="3" t="s">
        <v>109</v>
      </c>
      <c r="B1173" s="3" t="s">
        <v>1288</v>
      </c>
      <c r="C1173" s="3" t="s">
        <v>1289</v>
      </c>
      <c r="D1173" s="3" t="s">
        <v>47</v>
      </c>
      <c r="E1173" s="3" t="s">
        <v>1290</v>
      </c>
      <c r="F1173" s="3" t="s">
        <v>59</v>
      </c>
      <c r="G1173" s="3">
        <v>1.6433963730000001</v>
      </c>
      <c r="H1173" s="3">
        <v>0.67374893000000002</v>
      </c>
      <c r="I1173" s="3">
        <v>0.18304926499999999</v>
      </c>
      <c r="J1173" s="3">
        <v>39.987576240000003</v>
      </c>
      <c r="K1173" s="3">
        <v>1.4421991E-2</v>
      </c>
      <c r="L1173" s="3">
        <v>1.2197876999999999E-2</v>
      </c>
      <c r="M1173" s="3">
        <v>0.248544769</v>
      </c>
      <c r="N1173" s="3">
        <v>3.4004621999999998E-2</v>
      </c>
      <c r="O1173" s="3">
        <v>2.5031667000000001E-2</v>
      </c>
      <c r="P1173" s="3">
        <v>3.4565956000000002E-2</v>
      </c>
      <c r="Q1173" s="3">
        <v>4.1500000000000004</v>
      </c>
      <c r="R1173" s="3">
        <v>1.7356595690000001</v>
      </c>
      <c r="S1173" s="3">
        <v>12.54107649</v>
      </c>
      <c r="T1173" s="3">
        <v>164.79</v>
      </c>
      <c r="U1173" s="3">
        <v>0.99396827300000001</v>
      </c>
      <c r="V1173" s="3">
        <v>-0.18233618200000001</v>
      </c>
      <c r="W1173" s="3">
        <v>0.69082125599999999</v>
      </c>
      <c r="X1173" s="3">
        <v>1.029091E-3</v>
      </c>
      <c r="Y1173" s="3">
        <v>1.302002E-3</v>
      </c>
      <c r="Z1173" s="3">
        <v>165.79</v>
      </c>
      <c r="AA1173" s="3">
        <v>1.2197876999999999E-2</v>
      </c>
      <c r="AB1173" s="3">
        <v>4607.2867939999996</v>
      </c>
      <c r="AC1173" s="3">
        <v>1.489663E-3</v>
      </c>
      <c r="AD1173" s="3">
        <v>4.6758527000000001E-2</v>
      </c>
      <c r="AE1173" s="3">
        <v>5.5063661829999999</v>
      </c>
      <c r="AF1173" s="4">
        <v>42195</v>
      </c>
      <c r="AG1173" s="5">
        <f>YEAR(AF1173)</f>
        <v>2015</v>
      </c>
      <c r="AH1173" s="5" t="str">
        <f>"Q"&amp;ROUNDUP(MONTH(AF1173)/3,0)</f>
        <v>Q3</v>
      </c>
      <c r="AI1173" s="5">
        <f>INDEX(RatingLookup!$B$2:$B$11,MATCH(A1173,RatingLookup!$A$2:$A$11,0))</f>
        <v>5</v>
      </c>
      <c r="AJ1173" s="5" t="str">
        <f>INDEX(RatingLookup!$C$2:$C$11,MATCH(A1173,RatingLookup!$A$2:$A$11,0))</f>
        <v>Speculative Grade</v>
      </c>
    </row>
    <row r="1174" spans="1:36" x14ac:dyDescent="0.3">
      <c r="A1174" s="3" t="s">
        <v>109</v>
      </c>
      <c r="B1174" s="3" t="s">
        <v>1288</v>
      </c>
      <c r="C1174" s="3" t="s">
        <v>1289</v>
      </c>
      <c r="D1174" s="3" t="s">
        <v>47</v>
      </c>
      <c r="E1174" s="3" t="s">
        <v>224</v>
      </c>
      <c r="F1174" s="3" t="s">
        <v>59</v>
      </c>
      <c r="G1174" s="3">
        <v>1.4434462219999999</v>
      </c>
      <c r="H1174" s="3">
        <v>0.64508151199999997</v>
      </c>
      <c r="I1174" s="3">
        <v>0.25357088799999999</v>
      </c>
      <c r="J1174" s="3">
        <v>43.612215030000002</v>
      </c>
      <c r="K1174" s="3">
        <v>-1.9038817E-2</v>
      </c>
      <c r="L1174" s="3">
        <v>-2.5246457E-2</v>
      </c>
      <c r="M1174" s="3">
        <v>0.246996303</v>
      </c>
      <c r="N1174" s="3">
        <v>9.7042510000000005E-3</v>
      </c>
      <c r="O1174" s="3">
        <v>-2.0150969000000001E-2</v>
      </c>
      <c r="P1174" s="3">
        <v>-3.9471148999999997E-2</v>
      </c>
      <c r="Q1174" s="3">
        <v>-0.38195302799999997</v>
      </c>
      <c r="R1174" s="3">
        <v>1.0584149860000001</v>
      </c>
      <c r="S1174" s="3">
        <v>6.9240614330000003</v>
      </c>
      <c r="T1174" s="3">
        <v>17.954573549999999</v>
      </c>
      <c r="U1174" s="3">
        <v>0.94724228399999999</v>
      </c>
      <c r="V1174" s="3">
        <v>0.227577791</v>
      </c>
      <c r="W1174" s="3">
        <v>0.58938153100000001</v>
      </c>
      <c r="X1174" s="3">
        <v>1.111555E-3</v>
      </c>
      <c r="Y1174" s="3">
        <v>2.6758279999999999E-3</v>
      </c>
      <c r="Z1174" s="3">
        <v>18.954573549999999</v>
      </c>
      <c r="AA1174" s="3">
        <v>-2.5246457E-2</v>
      </c>
      <c r="AB1174" s="3">
        <v>11153.60709</v>
      </c>
      <c r="AC1174" s="3">
        <v>1.885968E-3</v>
      </c>
      <c r="AD1174" s="3">
        <v>5.4544054000000002E-2</v>
      </c>
      <c r="AE1174" s="3">
        <v>4.3862718709999999</v>
      </c>
      <c r="AF1174" s="4">
        <v>42619</v>
      </c>
      <c r="AG1174" s="5">
        <f>YEAR(AF1174)</f>
        <v>2016</v>
      </c>
      <c r="AH1174" s="5" t="str">
        <f>"Q"&amp;ROUNDUP(MONTH(AF1174)/3,0)</f>
        <v>Q3</v>
      </c>
      <c r="AI1174" s="5">
        <f>INDEX(RatingLookup!$B$2:$B$11,MATCH(A1174,RatingLookup!$A$2:$A$11,0))</f>
        <v>5</v>
      </c>
      <c r="AJ1174" s="5" t="str">
        <f>INDEX(RatingLookup!$C$2:$C$11,MATCH(A1174,RatingLookup!$A$2:$A$11,0))</f>
        <v>Speculative Grade</v>
      </c>
    </row>
    <row r="1175" spans="1:36" x14ac:dyDescent="0.3">
      <c r="A1175" s="3" t="s">
        <v>42</v>
      </c>
      <c r="B1175" s="3" t="s">
        <v>1291</v>
      </c>
      <c r="C1175" s="3" t="s">
        <v>1292</v>
      </c>
      <c r="D1175" s="3" t="s">
        <v>39</v>
      </c>
      <c r="E1175" s="3" t="s">
        <v>1219</v>
      </c>
      <c r="F1175" s="3" t="s">
        <v>79</v>
      </c>
      <c r="G1175" s="3">
        <v>0.85196288399999998</v>
      </c>
      <c r="H1175" s="3">
        <v>0.47382089700000002</v>
      </c>
      <c r="I1175" s="3">
        <v>4.6404216999999998E-2</v>
      </c>
      <c r="J1175" s="3">
        <v>25.367968210000001</v>
      </c>
      <c r="K1175" s="3">
        <v>5.8656532999999997E-2</v>
      </c>
      <c r="L1175" s="3">
        <v>5.8656532999999997E-2</v>
      </c>
      <c r="M1175" s="3">
        <v>0.32026976400000001</v>
      </c>
      <c r="N1175" s="3">
        <v>0.123731915</v>
      </c>
      <c r="O1175" s="3">
        <v>3.3720417000000003E-2</v>
      </c>
      <c r="P1175" s="3">
        <v>3.7716679000000003E-2</v>
      </c>
      <c r="Q1175" s="3">
        <v>9.3906421000000004E-2</v>
      </c>
      <c r="R1175" s="3">
        <v>0.57487913499999999</v>
      </c>
      <c r="S1175" s="3">
        <v>0.73460973100000004</v>
      </c>
      <c r="T1175" s="3">
        <v>1.784853504</v>
      </c>
      <c r="U1175" s="3">
        <v>0.64091468399999996</v>
      </c>
      <c r="V1175" s="3">
        <v>0.64524165200000005</v>
      </c>
      <c r="W1175" s="3">
        <v>-0.12873892200000001</v>
      </c>
      <c r="X1175" s="3">
        <v>-0.97601581900000001</v>
      </c>
      <c r="Y1175" s="3">
        <v>0.90245476700000005</v>
      </c>
      <c r="Z1175" s="3">
        <v>2.784853504</v>
      </c>
      <c r="AA1175" s="3">
        <v>5.8656532999999997E-2</v>
      </c>
      <c r="AB1175" s="3">
        <v>9.2961571020000004</v>
      </c>
      <c r="AC1175" s="3">
        <v>7.5813577030000001</v>
      </c>
      <c r="AD1175" s="3">
        <v>0.149766966</v>
      </c>
      <c r="AE1175" s="3">
        <v>10.77807088</v>
      </c>
      <c r="AF1175" s="4">
        <v>41877</v>
      </c>
      <c r="AG1175" s="5">
        <f>YEAR(AF1175)</f>
        <v>2014</v>
      </c>
      <c r="AH1175" s="5" t="str">
        <f>"Q"&amp;ROUNDUP(MONTH(AF1175)/3,0)</f>
        <v>Q3</v>
      </c>
      <c r="AI1175" s="5">
        <f>INDEX(RatingLookup!$B$2:$B$11,MATCH(A1175,RatingLookup!$A$2:$A$11,0))</f>
        <v>7</v>
      </c>
      <c r="AJ1175" s="5" t="str">
        <f>INDEX(RatingLookup!$C$2:$C$11,MATCH(A1175,RatingLookup!$A$2:$A$11,0))</f>
        <v>Investment Grade</v>
      </c>
    </row>
    <row r="1176" spans="1:36" x14ac:dyDescent="0.3">
      <c r="A1176" s="3" t="s">
        <v>42</v>
      </c>
      <c r="B1176" s="3" t="s">
        <v>1291</v>
      </c>
      <c r="C1176" s="3" t="s">
        <v>1292</v>
      </c>
      <c r="D1176" s="3" t="s">
        <v>39</v>
      </c>
      <c r="E1176" s="3" t="s">
        <v>530</v>
      </c>
      <c r="F1176" s="3" t="s">
        <v>79</v>
      </c>
      <c r="G1176" s="3">
        <v>0.69828898900000003</v>
      </c>
      <c r="H1176" s="3">
        <v>0.394783369</v>
      </c>
      <c r="I1176" s="3">
        <v>6.7654518999999996E-2</v>
      </c>
      <c r="J1176" s="3">
        <v>28.363301759999999</v>
      </c>
      <c r="K1176" s="3">
        <v>6.2577951000000007E-2</v>
      </c>
      <c r="L1176" s="3">
        <v>5.9362518000000003E-2</v>
      </c>
      <c r="M1176" s="3">
        <v>0.363344473</v>
      </c>
      <c r="N1176" s="3">
        <v>0.12914200000000001</v>
      </c>
      <c r="O1176" s="3">
        <v>3.0627419999999999E-2</v>
      </c>
      <c r="P1176" s="3">
        <v>3.3137146999999999E-2</v>
      </c>
      <c r="Q1176" s="3">
        <v>9.4246300000000005E-2</v>
      </c>
      <c r="R1176" s="3">
        <v>0.48942830500000001</v>
      </c>
      <c r="S1176" s="3">
        <v>0.64441706600000004</v>
      </c>
      <c r="T1176" s="3">
        <v>2.0771869889999999</v>
      </c>
      <c r="U1176" s="3">
        <v>0.675027873</v>
      </c>
      <c r="V1176" s="3">
        <v>0.61811979299999997</v>
      </c>
      <c r="W1176" s="3">
        <v>-0.37823485200000001</v>
      </c>
      <c r="X1176" s="3">
        <v>-2.561563187</v>
      </c>
      <c r="Y1176" s="3">
        <v>0.93113008500000005</v>
      </c>
      <c r="Z1176" s="3">
        <v>3.0771869889999999</v>
      </c>
      <c r="AA1176" s="3">
        <v>5.9362518000000003E-2</v>
      </c>
      <c r="AB1176" s="3">
        <v>9.4433024630000002</v>
      </c>
      <c r="AC1176" s="3">
        <v>6.772414479</v>
      </c>
      <c r="AD1176" s="3">
        <v>0.15776800099999999</v>
      </c>
      <c r="AE1176" s="3">
        <v>10.24045677</v>
      </c>
      <c r="AF1176" s="4">
        <v>41498</v>
      </c>
      <c r="AG1176" s="5">
        <f>YEAR(AF1176)</f>
        <v>2013</v>
      </c>
      <c r="AH1176" s="5" t="str">
        <f>"Q"&amp;ROUNDUP(MONTH(AF1176)/3,0)</f>
        <v>Q3</v>
      </c>
      <c r="AI1176" s="5">
        <f>INDEX(RatingLookup!$B$2:$B$11,MATCH(A1176,RatingLookup!$A$2:$A$11,0))</f>
        <v>7</v>
      </c>
      <c r="AJ1176" s="5" t="str">
        <f>INDEX(RatingLookup!$C$2:$C$11,MATCH(A1176,RatingLookup!$A$2:$A$11,0))</f>
        <v>Investment Grade</v>
      </c>
    </row>
    <row r="1177" spans="1:36" x14ac:dyDescent="0.3">
      <c r="A1177" s="3" t="s">
        <v>42</v>
      </c>
      <c r="B1177" s="3" t="s">
        <v>1291</v>
      </c>
      <c r="C1177" s="3" t="s">
        <v>1292</v>
      </c>
      <c r="D1177" s="3" t="s">
        <v>60</v>
      </c>
      <c r="E1177" s="3" t="s">
        <v>46</v>
      </c>
      <c r="F1177" s="3" t="s">
        <v>79</v>
      </c>
      <c r="G1177" s="3">
        <v>1.1652320540000001</v>
      </c>
      <c r="H1177" s="3">
        <v>0.48762906299999997</v>
      </c>
      <c r="I1177" s="3">
        <v>0.151474531</v>
      </c>
      <c r="J1177" s="3">
        <v>22.94480055</v>
      </c>
      <c r="K1177" s="3">
        <v>4.7750340000000002E-2</v>
      </c>
      <c r="L1177" s="3">
        <v>7.1894966000000005E-2</v>
      </c>
      <c r="M1177" s="3">
        <v>0.30527891699999998</v>
      </c>
      <c r="N1177" s="3">
        <v>0.101641261</v>
      </c>
      <c r="O1177" s="3">
        <v>2.8505379000000001E-2</v>
      </c>
      <c r="P1177" s="3">
        <v>4.8723257999999998E-2</v>
      </c>
      <c r="Q1177" s="3">
        <v>9.2045343000000002E-2</v>
      </c>
      <c r="R1177" s="3">
        <v>0.596967048</v>
      </c>
      <c r="S1177" s="3">
        <v>0.84454220099999999</v>
      </c>
      <c r="T1177" s="3">
        <v>2.2290516939999998</v>
      </c>
      <c r="U1177" s="3">
        <v>0.69031155399999999</v>
      </c>
      <c r="V1177" s="3">
        <v>0.36371983499999999</v>
      </c>
      <c r="W1177" s="3">
        <v>-6.8836600999999997E-2</v>
      </c>
      <c r="X1177" s="3">
        <v>-0.444795512</v>
      </c>
      <c r="Y1177" s="3">
        <v>1.6603252740000001</v>
      </c>
      <c r="Z1177" s="3">
        <v>3.2290516939999998</v>
      </c>
      <c r="AA1177" s="3">
        <v>7.1894966000000005E-2</v>
      </c>
      <c r="AB1177" s="3">
        <v>7.6297536069999996</v>
      </c>
      <c r="AC1177" s="3">
        <v>6.4616135080000001</v>
      </c>
      <c r="AD1177" s="3">
        <v>0.13406004299999999</v>
      </c>
      <c r="AE1177" s="3">
        <v>10.37205062</v>
      </c>
      <c r="AF1177" s="4">
        <v>41075</v>
      </c>
      <c r="AG1177" s="5">
        <f>YEAR(AF1177)</f>
        <v>2012</v>
      </c>
      <c r="AH1177" s="5" t="str">
        <f>"Q"&amp;ROUNDUP(MONTH(AF1177)/3,0)</f>
        <v>Q2</v>
      </c>
      <c r="AI1177" s="5">
        <f>INDEX(RatingLookup!$B$2:$B$11,MATCH(A1177,RatingLookup!$A$2:$A$11,0))</f>
        <v>7</v>
      </c>
      <c r="AJ1177" s="5" t="str">
        <f>INDEX(RatingLookup!$C$2:$C$11,MATCH(A1177,RatingLookup!$A$2:$A$11,0))</f>
        <v>Investment Grade</v>
      </c>
    </row>
    <row r="1178" spans="1:36" x14ac:dyDescent="0.3">
      <c r="A1178" s="3" t="s">
        <v>36</v>
      </c>
      <c r="B1178" s="3" t="s">
        <v>1291</v>
      </c>
      <c r="C1178" s="3" t="s">
        <v>1292</v>
      </c>
      <c r="D1178" s="3" t="s">
        <v>39</v>
      </c>
      <c r="E1178" s="3" t="s">
        <v>333</v>
      </c>
      <c r="F1178" s="3" t="s">
        <v>79</v>
      </c>
      <c r="G1178" s="3">
        <v>0.54639109200000002</v>
      </c>
      <c r="H1178" s="3">
        <v>0.28839484500000001</v>
      </c>
      <c r="I1178" s="3">
        <v>2.4811594999999999E-2</v>
      </c>
      <c r="J1178" s="3">
        <v>26.00914118</v>
      </c>
      <c r="K1178" s="3">
        <v>7.6065827000000003E-2</v>
      </c>
      <c r="L1178" s="3">
        <v>0.12330956799999999</v>
      </c>
      <c r="M1178" s="3">
        <v>0.40559194599999998</v>
      </c>
      <c r="N1178" s="3">
        <v>0.15243222300000001</v>
      </c>
      <c r="O1178" s="3">
        <v>3.4650489999999999E-2</v>
      </c>
      <c r="P1178" s="3">
        <v>6.4343304000000004E-2</v>
      </c>
      <c r="Q1178" s="3">
        <v>9.862129E-2</v>
      </c>
      <c r="R1178" s="3">
        <v>0.45553294300000002</v>
      </c>
      <c r="S1178" s="3">
        <v>0.73049602599999996</v>
      </c>
      <c r="T1178" s="3">
        <v>1.8461730119999999</v>
      </c>
      <c r="U1178" s="3">
        <v>0.648651015</v>
      </c>
      <c r="V1178" s="3">
        <v>0.38313118600000001</v>
      </c>
      <c r="W1178" s="3">
        <v>-0.16570215399999999</v>
      </c>
      <c r="X1178" s="3">
        <v>-1.3603913949999999</v>
      </c>
      <c r="Y1178" s="3">
        <v>0.37181525500000001</v>
      </c>
      <c r="Z1178" s="3">
        <v>2.8461730119999999</v>
      </c>
      <c r="AA1178" s="3">
        <v>0.12330956799999999</v>
      </c>
      <c r="AB1178" s="3">
        <v>10.18683225</v>
      </c>
      <c r="AC1178" s="3">
        <v>8.2098594590000005</v>
      </c>
      <c r="AD1178" s="3">
        <v>0.20195353299999999</v>
      </c>
      <c r="AE1178" s="3">
        <v>10.304253750000001</v>
      </c>
      <c r="AF1178" s="4">
        <v>42271</v>
      </c>
      <c r="AG1178" s="5">
        <f>YEAR(AF1178)</f>
        <v>2015</v>
      </c>
      <c r="AH1178" s="5" t="str">
        <f>"Q"&amp;ROUNDUP(MONTH(AF1178)/3,0)</f>
        <v>Q3</v>
      </c>
      <c r="AI1178" s="5">
        <f>INDEX(RatingLookup!$B$2:$B$11,MATCH(A1178,RatingLookup!$A$2:$A$11,0))</f>
        <v>8</v>
      </c>
      <c r="AJ1178" s="5" t="str">
        <f>INDEX(RatingLookup!$C$2:$C$11,MATCH(A1178,RatingLookup!$A$2:$A$11,0))</f>
        <v>Investment Grade</v>
      </c>
    </row>
    <row r="1179" spans="1:36" x14ac:dyDescent="0.3">
      <c r="A1179" s="3" t="s">
        <v>42</v>
      </c>
      <c r="B1179" s="3" t="s">
        <v>1291</v>
      </c>
      <c r="C1179" s="3" t="s">
        <v>1292</v>
      </c>
      <c r="D1179" s="3" t="s">
        <v>60</v>
      </c>
      <c r="E1179" s="3" t="s">
        <v>1293</v>
      </c>
      <c r="F1179" s="3" t="s">
        <v>79</v>
      </c>
      <c r="G1179" s="3">
        <v>0.64889643399999997</v>
      </c>
      <c r="H1179" s="3">
        <v>0.25351384100000002</v>
      </c>
      <c r="I1179" s="3">
        <v>5.0345859E-2</v>
      </c>
      <c r="J1179" s="3">
        <v>24.895277950000001</v>
      </c>
      <c r="K1179" s="3">
        <v>6.3026921999999999E-2</v>
      </c>
      <c r="L1179" s="3">
        <v>8.4462247000000004E-2</v>
      </c>
      <c r="M1179" s="3">
        <v>0.38497761899999999</v>
      </c>
      <c r="N1179" s="3">
        <v>0.129778161</v>
      </c>
      <c r="O1179" s="3">
        <v>2.8912272999999999E-2</v>
      </c>
      <c r="P1179" s="3">
        <v>4.6693734000000001E-2</v>
      </c>
      <c r="Q1179" s="3">
        <v>9.1858702E-2</v>
      </c>
      <c r="R1179" s="3">
        <v>0.45872893399999998</v>
      </c>
      <c r="S1179" s="3">
        <v>0.627964148</v>
      </c>
      <c r="T1179" s="3">
        <v>2.1771525870000001</v>
      </c>
      <c r="U1179" s="3">
        <v>0.68525276199999996</v>
      </c>
      <c r="V1179" s="3">
        <v>0.33821817900000001</v>
      </c>
      <c r="W1179" s="3">
        <v>-0.24865696500000001</v>
      </c>
      <c r="X1179" s="3">
        <v>-1.6188685519999999</v>
      </c>
      <c r="Y1179" s="3">
        <v>0.98664448100000002</v>
      </c>
      <c r="Z1179" s="3">
        <v>3.1771525870000001</v>
      </c>
      <c r="AA1179" s="3">
        <v>8.4462247000000004E-2</v>
      </c>
      <c r="AB1179" s="3">
        <v>7.3036090299999996</v>
      </c>
      <c r="AC1179" s="3">
        <v>6.5104492509999998</v>
      </c>
      <c r="AD1179" s="3">
        <v>0.17069068000000001</v>
      </c>
      <c r="AE1179" s="3">
        <v>9.8255532480000003</v>
      </c>
      <c r="AF1179" s="4">
        <v>41282</v>
      </c>
      <c r="AG1179" s="5">
        <f>YEAR(AF1179)</f>
        <v>2013</v>
      </c>
      <c r="AH1179" s="5" t="str">
        <f>"Q"&amp;ROUNDUP(MONTH(AF1179)/3,0)</f>
        <v>Q1</v>
      </c>
      <c r="AI1179" s="5">
        <f>INDEX(RatingLookup!$B$2:$B$11,MATCH(A1179,RatingLookup!$A$2:$A$11,0))</f>
        <v>7</v>
      </c>
      <c r="AJ1179" s="5" t="str">
        <f>INDEX(RatingLookup!$C$2:$C$11,MATCH(A1179,RatingLookup!$A$2:$A$11,0))</f>
        <v>Investment Grade</v>
      </c>
    </row>
    <row r="1180" spans="1:36" x14ac:dyDescent="0.3">
      <c r="A1180" s="3" t="s">
        <v>42</v>
      </c>
      <c r="B1180" s="3" t="s">
        <v>1294</v>
      </c>
      <c r="C1180" s="3" t="s">
        <v>1295</v>
      </c>
      <c r="D1180" s="3" t="s">
        <v>47</v>
      </c>
      <c r="E1180" s="3" t="s">
        <v>796</v>
      </c>
      <c r="F1180" s="3" t="s">
        <v>66</v>
      </c>
      <c r="G1180" s="3">
        <v>0.81008573800000006</v>
      </c>
      <c r="H1180" s="3">
        <v>0.49744629899999998</v>
      </c>
      <c r="I1180" s="3">
        <v>0.15991518399999999</v>
      </c>
      <c r="J1180" s="3">
        <v>30.663945590000001</v>
      </c>
      <c r="K1180" s="3">
        <v>0.101867155</v>
      </c>
      <c r="L1180" s="3">
        <v>0.121800599</v>
      </c>
      <c r="M1180" s="3">
        <v>0.35566400100000001</v>
      </c>
      <c r="N1180" s="3">
        <v>0.165129316</v>
      </c>
      <c r="O1180" s="3">
        <v>7.8822416000000006E-2</v>
      </c>
      <c r="P1180" s="3">
        <v>0.123088556</v>
      </c>
      <c r="Q1180" s="3">
        <v>0.27918222399999998</v>
      </c>
      <c r="R1180" s="3">
        <v>0.77377655499999998</v>
      </c>
      <c r="S1180" s="3">
        <v>4.5433927799999996</v>
      </c>
      <c r="T1180" s="3">
        <v>2.5419140599999999</v>
      </c>
      <c r="U1180" s="3">
        <v>0.71766677999999995</v>
      </c>
      <c r="V1180" s="3">
        <v>0.40492344400000002</v>
      </c>
      <c r="W1180" s="3">
        <v>0.73888233000000003</v>
      </c>
      <c r="X1180" s="3">
        <v>2.9867960550000001</v>
      </c>
      <c r="Y1180" s="3">
        <v>1.8983455300000001</v>
      </c>
      <c r="Z1180" s="3">
        <v>3.5419140599999999</v>
      </c>
      <c r="AA1180" s="3">
        <v>0.121800599</v>
      </c>
      <c r="AB1180" s="3">
        <v>11.44931128</v>
      </c>
      <c r="AC1180" s="3">
        <v>4.0423162579999996</v>
      </c>
      <c r="AD1180" s="3">
        <v>0.141879216</v>
      </c>
      <c r="AE1180" s="3">
        <v>7.1617948240000002</v>
      </c>
      <c r="AF1180" s="4">
        <v>41893</v>
      </c>
      <c r="AG1180" s="5">
        <f>YEAR(AF1180)</f>
        <v>2014</v>
      </c>
      <c r="AH1180" s="5" t="str">
        <f>"Q"&amp;ROUNDUP(MONTH(AF1180)/3,0)</f>
        <v>Q3</v>
      </c>
      <c r="AI1180" s="5">
        <f>INDEX(RatingLookup!$B$2:$B$11,MATCH(A1180,RatingLookup!$A$2:$A$11,0))</f>
        <v>7</v>
      </c>
      <c r="AJ1180" s="5" t="str">
        <f>INDEX(RatingLookup!$C$2:$C$11,MATCH(A1180,RatingLookup!$A$2:$A$11,0))</f>
        <v>Investment Grade</v>
      </c>
    </row>
    <row r="1181" spans="1:36" x14ac:dyDescent="0.3">
      <c r="A1181" s="3" t="s">
        <v>42</v>
      </c>
      <c r="B1181" s="3" t="s">
        <v>1294</v>
      </c>
      <c r="C1181" s="3" t="s">
        <v>1295</v>
      </c>
      <c r="D1181" s="3" t="s">
        <v>47</v>
      </c>
      <c r="E1181" s="3" t="s">
        <v>1296</v>
      </c>
      <c r="F1181" s="3" t="s">
        <v>66</v>
      </c>
      <c r="G1181" s="3">
        <v>1.0663533009999999</v>
      </c>
      <c r="H1181" s="3">
        <v>0.49442501100000003</v>
      </c>
      <c r="I1181" s="3">
        <v>0.16932662900000001</v>
      </c>
      <c r="J1181" s="3">
        <v>28.910162499999998</v>
      </c>
      <c r="K1181" s="3">
        <v>0.12085187</v>
      </c>
      <c r="L1181" s="3">
        <v>0.14413784800000001</v>
      </c>
      <c r="M1181" s="3">
        <v>0.400095429</v>
      </c>
      <c r="N1181" s="3">
        <v>0.18645582699999999</v>
      </c>
      <c r="O1181" s="3">
        <v>9.6297090000000002E-2</v>
      </c>
      <c r="P1181" s="3">
        <v>0.14284096900000001</v>
      </c>
      <c r="Q1181" s="3">
        <v>0.28250726599999998</v>
      </c>
      <c r="R1181" s="3">
        <v>0.79681919199999995</v>
      </c>
      <c r="S1181" s="3">
        <v>4.4472937029999997</v>
      </c>
      <c r="T1181" s="3">
        <v>1.933705129</v>
      </c>
      <c r="U1181" s="3">
        <v>0.65913411300000002</v>
      </c>
      <c r="V1181" s="3">
        <v>0.33620850400000002</v>
      </c>
      <c r="W1181" s="3">
        <v>0.57505894700000004</v>
      </c>
      <c r="X1181" s="3">
        <v>1.366111716</v>
      </c>
      <c r="Y1181" s="3">
        <v>0.98117317599999998</v>
      </c>
      <c r="Z1181" s="3">
        <v>2.9337051289999998</v>
      </c>
      <c r="AA1181" s="3">
        <v>0.14413784800000001</v>
      </c>
      <c r="AB1181" s="3">
        <v>9.1986902159999993</v>
      </c>
      <c r="AC1181" s="3">
        <v>2.3756029249999999</v>
      </c>
      <c r="AD1181" s="3">
        <v>0.10260614799999999</v>
      </c>
      <c r="AE1181" s="3">
        <v>8.970656215</v>
      </c>
      <c r="AF1181" s="4">
        <v>40788</v>
      </c>
      <c r="AG1181" s="5">
        <f>YEAR(AF1181)</f>
        <v>2011</v>
      </c>
      <c r="AH1181" s="5" t="str">
        <f>"Q"&amp;ROUNDUP(MONTH(AF1181)/3,0)</f>
        <v>Q3</v>
      </c>
      <c r="AI1181" s="5">
        <f>INDEX(RatingLookup!$B$2:$B$11,MATCH(A1181,RatingLookup!$A$2:$A$11,0))</f>
        <v>7</v>
      </c>
      <c r="AJ1181" s="5" t="str">
        <f>INDEX(RatingLookup!$C$2:$C$11,MATCH(A1181,RatingLookup!$A$2:$A$11,0))</f>
        <v>Investment Grade</v>
      </c>
    </row>
    <row r="1182" spans="1:36" x14ac:dyDescent="0.3">
      <c r="A1182" s="3" t="s">
        <v>42</v>
      </c>
      <c r="B1182" s="3" t="s">
        <v>1294</v>
      </c>
      <c r="C1182" s="3" t="s">
        <v>1295</v>
      </c>
      <c r="D1182" s="3" t="s">
        <v>47</v>
      </c>
      <c r="E1182" s="3" t="s">
        <v>271</v>
      </c>
      <c r="F1182" s="3" t="s">
        <v>66</v>
      </c>
      <c r="G1182" s="3">
        <v>0.78513171299999995</v>
      </c>
      <c r="H1182" s="3">
        <v>0.464294973</v>
      </c>
      <c r="I1182" s="3">
        <v>0.15229226100000001</v>
      </c>
      <c r="J1182" s="3">
        <v>30.640157940000002</v>
      </c>
      <c r="K1182" s="3">
        <v>0.102480816</v>
      </c>
      <c r="L1182" s="3">
        <v>0.117212358</v>
      </c>
      <c r="M1182" s="3">
        <v>0.35195706100000002</v>
      </c>
      <c r="N1182" s="3">
        <v>0.16345973899999999</v>
      </c>
      <c r="O1182" s="3">
        <v>7.8176886000000001E-2</v>
      </c>
      <c r="P1182" s="3">
        <v>0.116268206</v>
      </c>
      <c r="Q1182" s="3">
        <v>0.34428623600000002</v>
      </c>
      <c r="R1182" s="3">
        <v>0.76284410199999997</v>
      </c>
      <c r="S1182" s="3">
        <v>4.424377604</v>
      </c>
      <c r="T1182" s="3">
        <v>3.4039389880000002</v>
      </c>
      <c r="U1182" s="3">
        <v>0.77293055099999997</v>
      </c>
      <c r="V1182" s="3">
        <v>0.38899763100000001</v>
      </c>
      <c r="W1182" s="3">
        <v>0.72267853100000001</v>
      </c>
      <c r="X1182" s="3">
        <v>3.1733177490000002</v>
      </c>
      <c r="Y1182" s="3">
        <v>1.566037736</v>
      </c>
      <c r="Z1182" s="3">
        <v>4.4039389880000002</v>
      </c>
      <c r="AA1182" s="3">
        <v>0.117212358</v>
      </c>
      <c r="AB1182" s="3">
        <v>14.109806669999999</v>
      </c>
      <c r="AC1182" s="3">
        <v>4.391050259</v>
      </c>
      <c r="AD1182" s="3">
        <v>0.158774626</v>
      </c>
      <c r="AE1182" s="3">
        <v>5.2448570730000004</v>
      </c>
      <c r="AF1182" s="4">
        <v>42632</v>
      </c>
      <c r="AG1182" s="5">
        <f>YEAR(AF1182)</f>
        <v>2016</v>
      </c>
      <c r="AH1182" s="5" t="str">
        <f>"Q"&amp;ROUNDUP(MONTH(AF1182)/3,0)</f>
        <v>Q3</v>
      </c>
      <c r="AI1182" s="5">
        <f>INDEX(RatingLookup!$B$2:$B$11,MATCH(A1182,RatingLookup!$A$2:$A$11,0))</f>
        <v>7</v>
      </c>
      <c r="AJ1182" s="5" t="str">
        <f>INDEX(RatingLookup!$C$2:$C$11,MATCH(A1182,RatingLookup!$A$2:$A$11,0))</f>
        <v>Investment Grade</v>
      </c>
    </row>
    <row r="1183" spans="1:36" x14ac:dyDescent="0.3">
      <c r="A1183" s="3" t="s">
        <v>42</v>
      </c>
      <c r="B1183" s="3" t="s">
        <v>1294</v>
      </c>
      <c r="C1183" s="3" t="s">
        <v>1295</v>
      </c>
      <c r="D1183" s="3" t="s">
        <v>47</v>
      </c>
      <c r="E1183" s="3" t="s">
        <v>85</v>
      </c>
      <c r="F1183" s="3" t="s">
        <v>66</v>
      </c>
      <c r="G1183" s="3">
        <v>0.77415594799999998</v>
      </c>
      <c r="H1183" s="3">
        <v>0.35931780499999999</v>
      </c>
      <c r="I1183" s="3">
        <v>6.8342160999999998E-2</v>
      </c>
      <c r="J1183" s="3">
        <v>29.232627919999999</v>
      </c>
      <c r="K1183" s="3">
        <v>6.9272786000000003E-2</v>
      </c>
      <c r="L1183" s="3">
        <v>7.5926103999999994E-2</v>
      </c>
      <c r="M1183" s="3">
        <v>0.33744179099999999</v>
      </c>
      <c r="N1183" s="3">
        <v>0.11782556199999999</v>
      </c>
      <c r="O1183" s="3">
        <v>5.5603359999999998E-2</v>
      </c>
      <c r="P1183" s="3">
        <v>7.839807E-2</v>
      </c>
      <c r="Q1183" s="3">
        <v>0.244421318</v>
      </c>
      <c r="R1183" s="3">
        <v>0.80267249399999996</v>
      </c>
      <c r="S1183" s="3">
        <v>4.6600322470000002</v>
      </c>
      <c r="T1183" s="3">
        <v>3.3958012289999999</v>
      </c>
      <c r="U1183" s="3">
        <v>0.77251018699999996</v>
      </c>
      <c r="V1183" s="3">
        <v>0.438368445</v>
      </c>
      <c r="W1183" s="3">
        <v>0.71983640100000001</v>
      </c>
      <c r="X1183" s="3">
        <v>3.033979778</v>
      </c>
      <c r="Y1183" s="3">
        <v>0.57202055399999996</v>
      </c>
      <c r="Z1183" s="3">
        <v>4.3958012289999999</v>
      </c>
      <c r="AA1183" s="3">
        <v>7.5926103999999994E-2</v>
      </c>
      <c r="AB1183" s="3">
        <v>15.71495198</v>
      </c>
      <c r="AC1183" s="3">
        <v>4.2148184979999996</v>
      </c>
      <c r="AD1183" s="3">
        <v>0.14422896900000001</v>
      </c>
      <c r="AE1183" s="3">
        <v>6.9365201900000004</v>
      </c>
      <c r="AF1183" s="4">
        <v>42269</v>
      </c>
      <c r="AG1183" s="5">
        <f>YEAR(AF1183)</f>
        <v>2015</v>
      </c>
      <c r="AH1183" s="5" t="str">
        <f>"Q"&amp;ROUNDUP(MONTH(AF1183)/3,0)</f>
        <v>Q3</v>
      </c>
      <c r="AI1183" s="5">
        <f>INDEX(RatingLookup!$B$2:$B$11,MATCH(A1183,RatingLookup!$A$2:$A$11,0))</f>
        <v>7</v>
      </c>
      <c r="AJ1183" s="5" t="str">
        <f>INDEX(RatingLookup!$C$2:$C$11,MATCH(A1183,RatingLookup!$A$2:$A$11,0))</f>
        <v>Investment Grade</v>
      </c>
    </row>
    <row r="1184" spans="1:36" x14ac:dyDescent="0.3">
      <c r="A1184" s="3" t="s">
        <v>42</v>
      </c>
      <c r="B1184" s="3" t="s">
        <v>1294</v>
      </c>
      <c r="C1184" s="3" t="s">
        <v>1295</v>
      </c>
      <c r="D1184" s="3" t="s">
        <v>47</v>
      </c>
      <c r="E1184" s="3" t="s">
        <v>1297</v>
      </c>
      <c r="F1184" s="3" t="s">
        <v>66</v>
      </c>
      <c r="G1184" s="3">
        <v>0.960501665</v>
      </c>
      <c r="H1184" s="3">
        <v>0.47265299799999999</v>
      </c>
      <c r="I1184" s="3">
        <v>0.122606162</v>
      </c>
      <c r="J1184" s="3">
        <v>29.4775752</v>
      </c>
      <c r="K1184" s="3">
        <v>9.4087489999999996E-2</v>
      </c>
      <c r="L1184" s="3">
        <v>0.13269980000000001</v>
      </c>
      <c r="M1184" s="3">
        <v>0.36287287099999999</v>
      </c>
      <c r="N1184" s="3">
        <v>0.15382491200000001</v>
      </c>
      <c r="O1184" s="3">
        <v>7.4290887999999999E-2</v>
      </c>
      <c r="P1184" s="3">
        <v>0.12811818999999999</v>
      </c>
      <c r="Q1184" s="3">
        <v>0.24406309900000001</v>
      </c>
      <c r="R1184" s="3">
        <v>0.78959368200000002</v>
      </c>
      <c r="S1184" s="3">
        <v>4.5604347470000004</v>
      </c>
      <c r="T1184" s="3">
        <v>2.285235997</v>
      </c>
      <c r="U1184" s="3">
        <v>0.69560786500000005</v>
      </c>
      <c r="V1184" s="3">
        <v>0.32101334500000001</v>
      </c>
      <c r="W1184" s="3">
        <v>0.71860949200000002</v>
      </c>
      <c r="X1184" s="3">
        <v>2.6633235609999999</v>
      </c>
      <c r="Y1184" s="3">
        <v>0.72704829500000001</v>
      </c>
      <c r="Z1184" s="3">
        <v>3.285235997</v>
      </c>
      <c r="AA1184" s="3">
        <v>0.13269980000000001</v>
      </c>
      <c r="AB1184" s="3">
        <v>10.0379893</v>
      </c>
      <c r="AC1184" s="3">
        <v>3.7062181760000001</v>
      </c>
      <c r="AD1184" s="3">
        <v>0.14419584699999999</v>
      </c>
      <c r="AE1184" s="3">
        <v>9.2377056310000007</v>
      </c>
      <c r="AF1184" s="4">
        <v>41177</v>
      </c>
      <c r="AG1184" s="5">
        <f>YEAR(AF1184)</f>
        <v>2012</v>
      </c>
      <c r="AH1184" s="5" t="str">
        <f>"Q"&amp;ROUNDUP(MONTH(AF1184)/3,0)</f>
        <v>Q3</v>
      </c>
      <c r="AI1184" s="5">
        <f>INDEX(RatingLookup!$B$2:$B$11,MATCH(A1184,RatingLookup!$A$2:$A$11,0))</f>
        <v>7</v>
      </c>
      <c r="AJ1184" s="5" t="str">
        <f>INDEX(RatingLookup!$C$2:$C$11,MATCH(A1184,RatingLookup!$A$2:$A$11,0))</f>
        <v>Investment Grade</v>
      </c>
    </row>
    <row r="1185" spans="1:36" x14ac:dyDescent="0.3">
      <c r="A1185" s="3" t="s">
        <v>42</v>
      </c>
      <c r="B1185" s="3" t="s">
        <v>1294</v>
      </c>
      <c r="C1185" s="3" t="s">
        <v>1295</v>
      </c>
      <c r="D1185" s="3" t="s">
        <v>47</v>
      </c>
      <c r="E1185" s="3" t="s">
        <v>1298</v>
      </c>
      <c r="F1185" s="3" t="s">
        <v>66</v>
      </c>
      <c r="G1185" s="3">
        <v>0.81204782900000005</v>
      </c>
      <c r="H1185" s="3">
        <v>0.41702714400000002</v>
      </c>
      <c r="I1185" s="3">
        <v>0.14004797999999999</v>
      </c>
      <c r="J1185" s="3">
        <v>30.111201130000001</v>
      </c>
      <c r="K1185" s="3">
        <v>0.104376593</v>
      </c>
      <c r="L1185" s="3">
        <v>0.142617629</v>
      </c>
      <c r="M1185" s="3">
        <v>0.36141914400000003</v>
      </c>
      <c r="N1185" s="3">
        <v>0.16044694200000001</v>
      </c>
      <c r="O1185" s="3">
        <v>8.1878364999999995E-2</v>
      </c>
      <c r="P1185" s="3">
        <v>0.145985107</v>
      </c>
      <c r="Q1185" s="3">
        <v>0.27804921900000001</v>
      </c>
      <c r="R1185" s="3">
        <v>0.78445140800000002</v>
      </c>
      <c r="S1185" s="3">
        <v>4.5831979580000004</v>
      </c>
      <c r="T1185" s="3">
        <v>2.3958814180000001</v>
      </c>
      <c r="U1185" s="3">
        <v>0.70552564200000001</v>
      </c>
      <c r="V1185" s="3">
        <v>0.29239812199999998</v>
      </c>
      <c r="W1185" s="3">
        <v>0.79019138799999999</v>
      </c>
      <c r="X1185" s="3">
        <v>3.5647548570000001</v>
      </c>
      <c r="Y1185" s="3">
        <v>1.1430773970000001</v>
      </c>
      <c r="Z1185" s="3">
        <v>3.3958814180000001</v>
      </c>
      <c r="AA1185" s="3">
        <v>0.142617629</v>
      </c>
      <c r="AB1185" s="3">
        <v>11.039838939999999</v>
      </c>
      <c r="AC1185" s="3">
        <v>4.5112550110000003</v>
      </c>
      <c r="AD1185" s="3">
        <v>0.164621556</v>
      </c>
      <c r="AE1185" s="3">
        <v>7.9751264759999998</v>
      </c>
      <c r="AF1185" s="4">
        <v>41507</v>
      </c>
      <c r="AG1185" s="5">
        <f>YEAR(AF1185)</f>
        <v>2013</v>
      </c>
      <c r="AH1185" s="5" t="str">
        <f>"Q"&amp;ROUNDUP(MONTH(AF1185)/3,0)</f>
        <v>Q3</v>
      </c>
      <c r="AI1185" s="5">
        <f>INDEX(RatingLookup!$B$2:$B$11,MATCH(A1185,RatingLookup!$A$2:$A$11,0))</f>
        <v>7</v>
      </c>
      <c r="AJ1185" s="5" t="str">
        <f>INDEX(RatingLookup!$C$2:$C$11,MATCH(A1185,RatingLookup!$A$2:$A$11,0))</f>
        <v>Investment Grade</v>
      </c>
    </row>
    <row r="1186" spans="1:36" x14ac:dyDescent="0.3">
      <c r="A1186" s="3" t="s">
        <v>109</v>
      </c>
      <c r="B1186" s="3" t="s">
        <v>1299</v>
      </c>
      <c r="C1186" s="3" t="s">
        <v>1300</v>
      </c>
      <c r="D1186" s="3" t="s">
        <v>39</v>
      </c>
      <c r="E1186" s="3" t="s">
        <v>526</v>
      </c>
      <c r="F1186" s="3" t="s">
        <v>79</v>
      </c>
      <c r="G1186" s="3">
        <v>0.85396736100000004</v>
      </c>
      <c r="H1186" s="3">
        <v>0.73494653899999995</v>
      </c>
      <c r="I1186" s="3">
        <v>6.6404052000000005E-2</v>
      </c>
      <c r="J1186" s="3">
        <v>49.28081959</v>
      </c>
      <c r="K1186" s="3">
        <v>7.5988870000000003E-3</v>
      </c>
      <c r="L1186" s="3">
        <v>2.4357147999999999E-2</v>
      </c>
      <c r="M1186" s="3">
        <v>0.86111676500000001</v>
      </c>
      <c r="N1186" s="3">
        <v>0.18325530900000001</v>
      </c>
      <c r="O1186" s="3">
        <v>3.8991780000000001E-3</v>
      </c>
      <c r="P1186" s="3">
        <v>1.4263012E-2</v>
      </c>
      <c r="Q1186" s="3">
        <v>-1.6041249E-2</v>
      </c>
      <c r="R1186" s="3">
        <v>0.51312491299999996</v>
      </c>
      <c r="S1186" s="3">
        <v>0.92849943300000004</v>
      </c>
      <c r="T1186" s="3">
        <v>-5.1140074479999997</v>
      </c>
      <c r="U1186" s="3">
        <v>1.2430719960000001</v>
      </c>
      <c r="V1186" s="3">
        <v>0.68802228399999998</v>
      </c>
      <c r="W1186" s="3">
        <v>-0.72637517600000001</v>
      </c>
      <c r="X1186" s="3">
        <v>-0.78426395900000001</v>
      </c>
      <c r="Y1186" s="3">
        <v>0.31573604100000002</v>
      </c>
      <c r="Z1186" s="3">
        <v>-4.1140074479999997</v>
      </c>
      <c r="AA1186" s="3">
        <v>2.4357147999999999E-2</v>
      </c>
      <c r="AB1186" s="3">
        <v>14.7290531</v>
      </c>
      <c r="AC1186" s="3">
        <v>1.079695431</v>
      </c>
      <c r="AD1186" s="3">
        <v>0.14431101199999999</v>
      </c>
      <c r="AE1186" s="3">
        <v>1.509587021</v>
      </c>
      <c r="AF1186" s="4">
        <v>41345</v>
      </c>
      <c r="AG1186" s="5">
        <f>YEAR(AF1186)</f>
        <v>2013</v>
      </c>
      <c r="AH1186" s="5" t="str">
        <f>"Q"&amp;ROUNDUP(MONTH(AF1186)/3,0)</f>
        <v>Q1</v>
      </c>
      <c r="AI1186" s="5">
        <f>INDEX(RatingLookup!$B$2:$B$11,MATCH(A1186,RatingLookup!$A$2:$A$11,0))</f>
        <v>5</v>
      </c>
      <c r="AJ1186" s="5" t="str">
        <f>INDEX(RatingLookup!$C$2:$C$11,MATCH(A1186,RatingLookup!$A$2:$A$11,0))</f>
        <v>Speculative Grade</v>
      </c>
    </row>
    <row r="1187" spans="1:36" x14ac:dyDescent="0.3">
      <c r="A1187" s="3" t="s">
        <v>109</v>
      </c>
      <c r="B1187" s="3" t="s">
        <v>1299</v>
      </c>
      <c r="C1187" s="3" t="s">
        <v>1300</v>
      </c>
      <c r="D1187" s="3" t="s">
        <v>39</v>
      </c>
      <c r="E1187" s="3" t="s">
        <v>126</v>
      </c>
      <c r="F1187" s="3" t="s">
        <v>79</v>
      </c>
      <c r="G1187" s="3">
        <v>0.98741643700000004</v>
      </c>
      <c r="H1187" s="3">
        <v>0.88753440800000005</v>
      </c>
      <c r="I1187" s="3">
        <v>1.8088870999999999E-2</v>
      </c>
      <c r="J1187" s="3">
        <v>42.281804440000002</v>
      </c>
      <c r="K1187" s="3">
        <v>-4.3519770999999999E-2</v>
      </c>
      <c r="L1187" s="3">
        <v>-4.5508791E-2</v>
      </c>
      <c r="M1187" s="3">
        <v>0.82822817999999998</v>
      </c>
      <c r="N1187" s="3">
        <v>0.13032062999999999</v>
      </c>
      <c r="O1187" s="3">
        <v>-2.5957385999999999E-2</v>
      </c>
      <c r="P1187" s="3">
        <v>-3.0868861000000001E-2</v>
      </c>
      <c r="Q1187" s="3">
        <v>8.0833455999999998E-2</v>
      </c>
      <c r="R1187" s="3">
        <v>0.59645043399999997</v>
      </c>
      <c r="S1187" s="3">
        <v>1.3922241909999999</v>
      </c>
      <c r="T1187" s="3">
        <v>-4.1140830499999996</v>
      </c>
      <c r="U1187" s="3">
        <v>1.3211218149999999</v>
      </c>
      <c r="V1187" s="3">
        <v>4.3706294E-2</v>
      </c>
      <c r="W1187" s="3">
        <v>-1.4987309639999999</v>
      </c>
      <c r="X1187" s="3">
        <v>-0.57357940699999999</v>
      </c>
      <c r="Y1187" s="3">
        <v>0.38902379799999998</v>
      </c>
      <c r="Z1187" s="3">
        <v>-3.1140830500000001</v>
      </c>
      <c r="AA1187" s="3">
        <v>-4.5508791E-2</v>
      </c>
      <c r="AB1187" s="3">
        <v>17.412481669999998</v>
      </c>
      <c r="AC1187" s="3">
        <v>0.38271005299999999</v>
      </c>
      <c r="AD1187" s="3">
        <v>6.2693929999999995E-2</v>
      </c>
      <c r="AE1187" s="3">
        <v>2.414988814</v>
      </c>
      <c r="AF1187" s="4">
        <v>41803</v>
      </c>
      <c r="AG1187" s="5">
        <f>YEAR(AF1187)</f>
        <v>2014</v>
      </c>
      <c r="AH1187" s="5" t="str">
        <f>"Q"&amp;ROUNDUP(MONTH(AF1187)/3,0)</f>
        <v>Q2</v>
      </c>
      <c r="AI1187" s="5">
        <f>INDEX(RatingLookup!$B$2:$B$11,MATCH(A1187,RatingLookup!$A$2:$A$11,0))</f>
        <v>5</v>
      </c>
      <c r="AJ1187" s="5" t="str">
        <f>INDEX(RatingLookup!$C$2:$C$11,MATCH(A1187,RatingLookup!$A$2:$A$11,0))</f>
        <v>Speculative Grade</v>
      </c>
    </row>
    <row r="1188" spans="1:36" x14ac:dyDescent="0.3">
      <c r="A1188" s="3" t="s">
        <v>109</v>
      </c>
      <c r="B1188" s="3" t="s">
        <v>1299</v>
      </c>
      <c r="C1188" s="3" t="s">
        <v>1300</v>
      </c>
      <c r="D1188" s="3" t="s">
        <v>39</v>
      </c>
      <c r="E1188" s="3" t="s">
        <v>448</v>
      </c>
      <c r="F1188" s="3" t="s">
        <v>79</v>
      </c>
      <c r="G1188" s="3">
        <v>0.77314814799999998</v>
      </c>
      <c r="H1188" s="3">
        <v>0.84027777800000003</v>
      </c>
      <c r="I1188" s="3">
        <v>2.8549383000000001E-2</v>
      </c>
      <c r="J1188" s="3">
        <v>48.414540160000001</v>
      </c>
      <c r="K1188" s="3">
        <v>0.30287720499999998</v>
      </c>
      <c r="L1188" s="3">
        <v>0.385853742</v>
      </c>
      <c r="M1188" s="3">
        <v>0.83036478800000002</v>
      </c>
      <c r="N1188" s="3">
        <v>0.10960781</v>
      </c>
      <c r="O1188" s="3">
        <v>0.24319306900000001</v>
      </c>
      <c r="P1188" s="3">
        <v>0.37700803199999999</v>
      </c>
      <c r="Q1188" s="3">
        <v>-1.1861166999999999</v>
      </c>
      <c r="R1188" s="3">
        <v>0.80294279400000002</v>
      </c>
      <c r="S1188" s="3">
        <v>1.1971296769999999</v>
      </c>
      <c r="T1188" s="3">
        <v>-5.8772635810000002</v>
      </c>
      <c r="U1188" s="3">
        <v>1.205033003</v>
      </c>
      <c r="V1188" s="3">
        <v>0.35463825999999998</v>
      </c>
      <c r="W1188" s="3">
        <v>-1.5572587920000001</v>
      </c>
      <c r="X1188" s="3">
        <v>-0.82395038200000004</v>
      </c>
      <c r="Y1188" s="3">
        <v>0.30009542</v>
      </c>
      <c r="Z1188" s="3">
        <v>-4.8772635810000002</v>
      </c>
      <c r="AA1188" s="3">
        <v>0.385853742</v>
      </c>
      <c r="AB1188" s="3">
        <v>15.30290621</v>
      </c>
      <c r="AC1188" s="3">
        <v>0.52910305300000005</v>
      </c>
      <c r="AD1188" s="3">
        <v>9.4964890999999996E-2</v>
      </c>
      <c r="AE1188" s="3">
        <v>1.5549450549999999</v>
      </c>
      <c r="AF1188" s="4">
        <v>42257</v>
      </c>
      <c r="AG1188" s="5">
        <f>YEAR(AF1188)</f>
        <v>2015</v>
      </c>
      <c r="AH1188" s="5" t="str">
        <f>"Q"&amp;ROUNDUP(MONTH(AF1188)/3,0)</f>
        <v>Q3</v>
      </c>
      <c r="AI1188" s="5">
        <f>INDEX(RatingLookup!$B$2:$B$11,MATCH(A1188,RatingLookup!$A$2:$A$11,0))</f>
        <v>5</v>
      </c>
      <c r="AJ1188" s="5" t="str">
        <f>INDEX(RatingLookup!$C$2:$C$11,MATCH(A1188,RatingLookup!$A$2:$A$11,0))</f>
        <v>Speculative Grade</v>
      </c>
    </row>
    <row r="1189" spans="1:36" x14ac:dyDescent="0.3">
      <c r="A1189" s="3" t="s">
        <v>109</v>
      </c>
      <c r="B1189" s="3" t="s">
        <v>1299</v>
      </c>
      <c r="C1189" s="3" t="s">
        <v>1300</v>
      </c>
      <c r="D1189" s="3" t="s">
        <v>39</v>
      </c>
      <c r="E1189" s="3" t="s">
        <v>1020</v>
      </c>
      <c r="F1189" s="3" t="s">
        <v>79</v>
      </c>
      <c r="G1189" s="3">
        <v>0.82137628100000004</v>
      </c>
      <c r="H1189" s="3">
        <v>0.75549048299999999</v>
      </c>
      <c r="I1189" s="3">
        <v>0.14128843299999999</v>
      </c>
      <c r="J1189" s="3">
        <v>45.632138949999998</v>
      </c>
      <c r="K1189" s="3">
        <v>5.9145674000000002E-2</v>
      </c>
      <c r="L1189" s="3">
        <v>0.10405257399999999</v>
      </c>
      <c r="M1189" s="3">
        <v>0.80840244100000003</v>
      </c>
      <c r="N1189" s="3">
        <v>9.0596151E-2</v>
      </c>
      <c r="O1189" s="3">
        <v>4.1545310000000002E-2</v>
      </c>
      <c r="P1189" s="3">
        <v>9.4332930999999995E-2</v>
      </c>
      <c r="Q1189" s="3">
        <v>-0.116576715</v>
      </c>
      <c r="R1189" s="3">
        <v>0.70242347599999999</v>
      </c>
      <c r="S1189" s="3">
        <v>1.487143688</v>
      </c>
      <c r="T1189" s="3">
        <v>-3.8060138779999999</v>
      </c>
      <c r="U1189" s="3">
        <v>1.356377425</v>
      </c>
      <c r="V1189" s="3">
        <v>0.43157894699999999</v>
      </c>
      <c r="W1189" s="3">
        <v>-4.0525114000000001E-2</v>
      </c>
      <c r="X1189" s="3">
        <v>-3.4052758000000002E-2</v>
      </c>
      <c r="Y1189" s="3">
        <v>0.71846522800000001</v>
      </c>
      <c r="Z1189" s="3">
        <v>-2.8060138779999999</v>
      </c>
      <c r="AA1189" s="3">
        <v>0.10405257399999999</v>
      </c>
      <c r="AB1189" s="3">
        <v>13.543413599999999</v>
      </c>
      <c r="AC1189" s="3">
        <v>0.84028776999999999</v>
      </c>
      <c r="AD1189" s="3">
        <v>0.13706775199999999</v>
      </c>
      <c r="AE1189" s="3">
        <v>1.8060471979999999</v>
      </c>
      <c r="AF1189" s="4">
        <v>42065</v>
      </c>
      <c r="AG1189" s="5">
        <f>YEAR(AF1189)</f>
        <v>2015</v>
      </c>
      <c r="AH1189" s="5" t="str">
        <f>"Q"&amp;ROUNDUP(MONTH(AF1189)/3,0)</f>
        <v>Q1</v>
      </c>
      <c r="AI1189" s="5">
        <f>INDEX(RatingLookup!$B$2:$B$11,MATCH(A1189,RatingLookup!$A$2:$A$11,0))</f>
        <v>5</v>
      </c>
      <c r="AJ1189" s="5" t="str">
        <f>INDEX(RatingLookup!$C$2:$C$11,MATCH(A1189,RatingLookup!$A$2:$A$11,0))</f>
        <v>Speculative Grade</v>
      </c>
    </row>
    <row r="1190" spans="1:36" x14ac:dyDescent="0.3">
      <c r="A1190" s="3" t="s">
        <v>109</v>
      </c>
      <c r="B1190" s="3" t="s">
        <v>1299</v>
      </c>
      <c r="C1190" s="3" t="s">
        <v>1300</v>
      </c>
      <c r="D1190" s="3" t="s">
        <v>47</v>
      </c>
      <c r="E1190" s="3" t="s">
        <v>497</v>
      </c>
      <c r="F1190" s="3" t="s">
        <v>79</v>
      </c>
      <c r="G1190" s="3">
        <v>0.98711893500000003</v>
      </c>
      <c r="H1190" s="3">
        <v>1.3580936020000001</v>
      </c>
      <c r="I1190" s="3">
        <v>4.1648775999999998E-2</v>
      </c>
      <c r="J1190" s="3">
        <v>54.97470062</v>
      </c>
      <c r="K1190" s="3">
        <v>8.6102208999999999E-2</v>
      </c>
      <c r="L1190" s="3">
        <v>0.13737561100000001</v>
      </c>
      <c r="M1190" s="3">
        <v>0.85452858799999998</v>
      </c>
      <c r="N1190" s="3">
        <v>7.8428065000000005E-2</v>
      </c>
      <c r="O1190" s="3">
        <v>6.6255677999999998E-2</v>
      </c>
      <c r="P1190" s="3">
        <v>0.124531764</v>
      </c>
      <c r="Q1190" s="3">
        <v>-0.83894823299999999</v>
      </c>
      <c r="R1190" s="3">
        <v>0.76950032400000001</v>
      </c>
      <c r="S1190" s="3">
        <v>1.0923998159999999</v>
      </c>
      <c r="T1190" s="3">
        <v>-13.66228431</v>
      </c>
      <c r="U1190" s="3">
        <v>1.0789746920000001</v>
      </c>
      <c r="V1190" s="3">
        <v>0.37507673400000002</v>
      </c>
      <c r="W1190" s="3">
        <v>-0.65357967699999997</v>
      </c>
      <c r="X1190" s="3">
        <v>-2.6952380950000001</v>
      </c>
      <c r="Y1190" s="3">
        <v>3.2785714289999999</v>
      </c>
      <c r="Z1190" s="3">
        <v>-12.66228431</v>
      </c>
      <c r="AA1190" s="3">
        <v>0.13737561100000001</v>
      </c>
      <c r="AB1190" s="3">
        <v>7.6908438060000002</v>
      </c>
      <c r="AC1190" s="3">
        <v>4.1238095240000003</v>
      </c>
      <c r="AD1190" s="3">
        <v>0.14606173</v>
      </c>
      <c r="AE1190" s="3">
        <v>1.6288951840000001</v>
      </c>
      <c r="AF1190" s="4">
        <v>42626</v>
      </c>
      <c r="AG1190" s="5">
        <f>YEAR(AF1190)</f>
        <v>2016</v>
      </c>
      <c r="AH1190" s="5" t="str">
        <f>"Q"&amp;ROUNDUP(MONTH(AF1190)/3,0)</f>
        <v>Q3</v>
      </c>
      <c r="AI1190" s="5">
        <f>INDEX(RatingLookup!$B$2:$B$11,MATCH(A1190,RatingLookup!$A$2:$A$11,0))</f>
        <v>5</v>
      </c>
      <c r="AJ1190" s="5" t="str">
        <f>INDEX(RatingLookup!$C$2:$C$11,MATCH(A1190,RatingLookup!$A$2:$A$11,0))</f>
        <v>Speculative Grade</v>
      </c>
    </row>
    <row r="1191" spans="1:36" x14ac:dyDescent="0.3">
      <c r="A1191" s="3" t="s">
        <v>92</v>
      </c>
      <c r="B1191" s="3" t="s">
        <v>1299</v>
      </c>
      <c r="C1191" s="3" t="s">
        <v>1300</v>
      </c>
      <c r="D1191" s="3" t="s">
        <v>60</v>
      </c>
      <c r="E1191" s="3" t="s">
        <v>46</v>
      </c>
      <c r="F1191" s="3" t="s">
        <v>79</v>
      </c>
      <c r="G1191" s="3">
        <v>0.90067340100000004</v>
      </c>
      <c r="H1191" s="3">
        <v>0.82631874299999997</v>
      </c>
      <c r="I1191" s="3">
        <v>0.20679012299999999</v>
      </c>
      <c r="J1191" s="3">
        <v>44.776394969999998</v>
      </c>
      <c r="K1191" s="3">
        <v>1.2718818E-2</v>
      </c>
      <c r="L1191" s="3">
        <v>2.9814004000000002E-2</v>
      </c>
      <c r="M1191" s="3">
        <v>0.85434901500000004</v>
      </c>
      <c r="N1191" s="3">
        <v>0.17744803100000001</v>
      </c>
      <c r="O1191" s="3">
        <v>6.8515859999999998E-3</v>
      </c>
      <c r="P1191" s="3">
        <v>1.8487894000000001E-2</v>
      </c>
      <c r="Q1191" s="3">
        <v>-2.6006710999999998E-2</v>
      </c>
      <c r="R1191" s="3">
        <v>0.53869672499999999</v>
      </c>
      <c r="S1191" s="3">
        <v>1.0441985009999999</v>
      </c>
      <c r="T1191" s="3">
        <v>-4.7957214769999998</v>
      </c>
      <c r="U1191" s="3">
        <v>1.263454525</v>
      </c>
      <c r="V1191" s="3">
        <v>0.57339449499999995</v>
      </c>
      <c r="W1191" s="3">
        <v>0.118661607</v>
      </c>
      <c r="X1191" s="3">
        <v>0.174796748</v>
      </c>
      <c r="Y1191" s="3">
        <v>0.58485772400000002</v>
      </c>
      <c r="Z1191" s="3">
        <v>-3.7957214769999998</v>
      </c>
      <c r="AA1191" s="3">
        <v>2.9814004000000002E-2</v>
      </c>
      <c r="AB1191" s="3">
        <v>12.43946861</v>
      </c>
      <c r="AC1191" s="3">
        <v>1.4730691060000001</v>
      </c>
      <c r="AD1191" s="3">
        <v>0.198235777</v>
      </c>
      <c r="AE1191" s="3">
        <v>1.5967016489999999</v>
      </c>
      <c r="AF1191" s="4">
        <v>41075</v>
      </c>
      <c r="AG1191" s="5">
        <f>YEAR(AF1191)</f>
        <v>2012</v>
      </c>
      <c r="AH1191" s="5" t="str">
        <f>"Q"&amp;ROUNDUP(MONTH(AF1191)/3,0)</f>
        <v>Q2</v>
      </c>
      <c r="AI1191" s="5">
        <f>INDEX(RatingLookup!$B$2:$B$11,MATCH(A1191,RatingLookup!$A$2:$A$11,0))</f>
        <v>6</v>
      </c>
      <c r="AJ1191" s="5" t="str">
        <f>INDEX(RatingLookup!$C$2:$C$11,MATCH(A1191,RatingLookup!$A$2:$A$11,0))</f>
        <v>Speculative Grade</v>
      </c>
    </row>
    <row r="1192" spans="1:36" x14ac:dyDescent="0.3">
      <c r="A1192" s="3" t="s">
        <v>92</v>
      </c>
      <c r="B1192" s="3" t="s">
        <v>1301</v>
      </c>
      <c r="C1192" s="3" t="s">
        <v>1302</v>
      </c>
      <c r="D1192" s="3" t="s">
        <v>60</v>
      </c>
      <c r="E1192" s="3" t="s">
        <v>1303</v>
      </c>
      <c r="F1192" s="3" t="s">
        <v>174</v>
      </c>
      <c r="G1192" s="3">
        <v>1.6726549820000001</v>
      </c>
      <c r="H1192" s="3">
        <v>1.153354507</v>
      </c>
      <c r="I1192" s="3">
        <v>0.14939418900000001</v>
      </c>
      <c r="J1192" s="3">
        <v>71.928780459999999</v>
      </c>
      <c r="K1192" s="3">
        <v>-8.3588474999999995E-2</v>
      </c>
      <c r="L1192" s="3">
        <v>-8.3119009999999993E-2</v>
      </c>
      <c r="M1192" s="3">
        <v>0.83986174700000005</v>
      </c>
      <c r="N1192" s="3">
        <v>-5.7383114999999998E-2</v>
      </c>
      <c r="O1192" s="3">
        <v>-8.5555998999999994E-2</v>
      </c>
      <c r="P1192" s="3">
        <v>-0.108271745</v>
      </c>
      <c r="Q1192" s="3">
        <v>-0.313622601</v>
      </c>
      <c r="R1192" s="3">
        <v>1.0235382159999999</v>
      </c>
      <c r="S1192" s="3">
        <v>2.4055898440000001</v>
      </c>
      <c r="T1192" s="3">
        <v>2.66569973</v>
      </c>
      <c r="U1192" s="3">
        <v>0.72720078700000002</v>
      </c>
      <c r="V1192" s="3">
        <v>-0.13923185699999999</v>
      </c>
      <c r="W1192" s="3">
        <v>-0.33258413399999998</v>
      </c>
      <c r="X1192" s="3">
        <v>-0.82031947599999999</v>
      </c>
      <c r="Y1192" s="3">
        <v>1.6753398150000001</v>
      </c>
      <c r="Z1192" s="3">
        <v>3.66569973</v>
      </c>
      <c r="AA1192" s="3">
        <v>-8.3119009999999993E-2</v>
      </c>
      <c r="AB1192" s="3">
        <v>29.810987699999998</v>
      </c>
      <c r="AC1192" s="3">
        <v>2.4665021330000001</v>
      </c>
      <c r="AD1192" s="3">
        <v>6.5291472000000003E-2</v>
      </c>
      <c r="AE1192" s="3">
        <v>2.2023939060000002</v>
      </c>
      <c r="AF1192" s="4">
        <v>41347</v>
      </c>
      <c r="AG1192" s="5">
        <f>YEAR(AF1192)</f>
        <v>2013</v>
      </c>
      <c r="AH1192" s="5" t="str">
        <f>"Q"&amp;ROUNDUP(MONTH(AF1192)/3,0)</f>
        <v>Q1</v>
      </c>
      <c r="AI1192" s="5">
        <f>INDEX(RatingLookup!$B$2:$B$11,MATCH(A1192,RatingLookup!$A$2:$A$11,0))</f>
        <v>6</v>
      </c>
      <c r="AJ1192" s="5" t="str">
        <f>INDEX(RatingLookup!$C$2:$C$11,MATCH(A1192,RatingLookup!$A$2:$A$11,0))</f>
        <v>Speculative Grade</v>
      </c>
    </row>
    <row r="1193" spans="1:36" x14ac:dyDescent="0.3">
      <c r="A1193" s="3" t="s">
        <v>92</v>
      </c>
      <c r="B1193" s="3" t="s">
        <v>1301</v>
      </c>
      <c r="C1193" s="3" t="s">
        <v>1302</v>
      </c>
      <c r="D1193" s="3" t="s">
        <v>39</v>
      </c>
      <c r="E1193" s="3" t="s">
        <v>1304</v>
      </c>
      <c r="F1193" s="3" t="s">
        <v>174</v>
      </c>
      <c r="G1193" s="3">
        <v>1.312965425</v>
      </c>
      <c r="H1193" s="3">
        <v>0.72122389200000003</v>
      </c>
      <c r="I1193" s="3">
        <v>0.15758224800000001</v>
      </c>
      <c r="J1193" s="3">
        <v>53.990213519999998</v>
      </c>
      <c r="K1193" s="3">
        <v>3.5912190000000001E-3</v>
      </c>
      <c r="L1193" s="3">
        <v>2.0204956999999999E-2</v>
      </c>
      <c r="M1193" s="3">
        <v>0.74095056999999998</v>
      </c>
      <c r="N1193" s="3">
        <v>5.1382049999999999E-2</v>
      </c>
      <c r="O1193" s="3">
        <v>2.9874569999999998E-3</v>
      </c>
      <c r="P1193" s="3">
        <v>2.2243107000000002E-2</v>
      </c>
      <c r="Q1193" s="3">
        <v>2.2786022E-2</v>
      </c>
      <c r="R1193" s="3">
        <v>0.83187830799999996</v>
      </c>
      <c r="S1193" s="3">
        <v>3.0549380799999999</v>
      </c>
      <c r="T1193" s="3">
        <v>6.627230548</v>
      </c>
      <c r="U1193" s="3">
        <v>0.86889081300000004</v>
      </c>
      <c r="V1193" s="3">
        <v>0.79500215399999996</v>
      </c>
      <c r="W1193" s="3">
        <v>-5.0392157999999999E-2</v>
      </c>
      <c r="X1193" s="3">
        <v>-7.6314280999999998E-2</v>
      </c>
      <c r="Y1193" s="3">
        <v>1.3728718499999999</v>
      </c>
      <c r="Z1193" s="3">
        <v>7.627230548</v>
      </c>
      <c r="AA1193" s="3">
        <v>2.0204956999999999E-2</v>
      </c>
      <c r="AB1193" s="3">
        <v>5.3784767210000002</v>
      </c>
      <c r="AC1193" s="3">
        <v>1.5144078569999999</v>
      </c>
      <c r="AD1193" s="3">
        <v>7.0516837999999998E-2</v>
      </c>
      <c r="AE1193" s="3">
        <v>3.281668603</v>
      </c>
      <c r="AF1193" s="4">
        <v>42331</v>
      </c>
      <c r="AG1193" s="5">
        <f>YEAR(AF1193)</f>
        <v>2015</v>
      </c>
      <c r="AH1193" s="5" t="str">
        <f>"Q"&amp;ROUNDUP(MONTH(AF1193)/3,0)</f>
        <v>Q4</v>
      </c>
      <c r="AI1193" s="5">
        <f>INDEX(RatingLookup!$B$2:$B$11,MATCH(A1193,RatingLookup!$A$2:$A$11,0))</f>
        <v>6</v>
      </c>
      <c r="AJ1193" s="5" t="str">
        <f>INDEX(RatingLookup!$C$2:$C$11,MATCH(A1193,RatingLookup!$A$2:$A$11,0))</f>
        <v>Speculative Grade</v>
      </c>
    </row>
    <row r="1194" spans="1:36" x14ac:dyDescent="0.3">
      <c r="A1194" s="3" t="s">
        <v>42</v>
      </c>
      <c r="B1194" s="3" t="s">
        <v>1301</v>
      </c>
      <c r="C1194" s="3" t="s">
        <v>1302</v>
      </c>
      <c r="D1194" s="3" t="s">
        <v>60</v>
      </c>
      <c r="E1194" s="3" t="s">
        <v>46</v>
      </c>
      <c r="F1194" s="3" t="s">
        <v>174</v>
      </c>
      <c r="G1194" s="3">
        <v>1.482140392</v>
      </c>
      <c r="H1194" s="3">
        <v>1.0023291249999999</v>
      </c>
      <c r="I1194" s="3">
        <v>0.15491366100000001</v>
      </c>
      <c r="J1194" s="3">
        <v>68.350331850000003</v>
      </c>
      <c r="K1194" s="3">
        <v>-3.4849849999999999E-3</v>
      </c>
      <c r="L1194" s="3">
        <v>-2.2687219999999999E-3</v>
      </c>
      <c r="M1194" s="3">
        <v>0.87656309600000004</v>
      </c>
      <c r="N1194" s="3">
        <v>2.6538268E-2</v>
      </c>
      <c r="O1194" s="3">
        <v>-3.447267E-3</v>
      </c>
      <c r="P1194" s="3">
        <v>-2.9308350000000001E-3</v>
      </c>
      <c r="Q1194" s="3">
        <v>-9.7842620000000002E-3</v>
      </c>
      <c r="R1194" s="3">
        <v>0.98917690000000003</v>
      </c>
      <c r="S1194" s="3">
        <v>2.591433082</v>
      </c>
      <c r="T1194" s="3">
        <v>1.838266409</v>
      </c>
      <c r="U1194" s="3">
        <v>0.647672256</v>
      </c>
      <c r="V1194" s="3">
        <v>-6.6526091020000004</v>
      </c>
      <c r="W1194" s="3">
        <v>-4.7945618000000002E-2</v>
      </c>
      <c r="X1194" s="3">
        <v>-0.17743014300000001</v>
      </c>
      <c r="Y1194" s="3">
        <v>2.0513153979999998</v>
      </c>
      <c r="Z1194" s="3">
        <v>2.838266409</v>
      </c>
      <c r="AA1194" s="3">
        <v>-2.2687219999999999E-3</v>
      </c>
      <c r="AB1194" s="3">
        <v>6.3637804520000003</v>
      </c>
      <c r="AC1194" s="3">
        <v>3.700653983</v>
      </c>
      <c r="AD1194" s="3">
        <v>9.0463070000000007E-2</v>
      </c>
      <c r="AE1194" s="3">
        <v>1.615668433</v>
      </c>
      <c r="AF1194" s="4">
        <v>41075</v>
      </c>
      <c r="AG1194" s="5">
        <f>YEAR(AF1194)</f>
        <v>2012</v>
      </c>
      <c r="AH1194" s="5" t="str">
        <f>"Q"&amp;ROUNDUP(MONTH(AF1194)/3,0)</f>
        <v>Q2</v>
      </c>
      <c r="AI1194" s="5">
        <f>INDEX(RatingLookup!$B$2:$B$11,MATCH(A1194,RatingLookup!$A$2:$A$11,0))</f>
        <v>7</v>
      </c>
      <c r="AJ1194" s="5" t="str">
        <f>INDEX(RatingLookup!$C$2:$C$11,MATCH(A1194,RatingLookup!$A$2:$A$11,0))</f>
        <v>Investment Grade</v>
      </c>
    </row>
    <row r="1195" spans="1:36" x14ac:dyDescent="0.3">
      <c r="A1195" s="3" t="s">
        <v>92</v>
      </c>
      <c r="B1195" s="3" t="s">
        <v>1301</v>
      </c>
      <c r="C1195" s="3" t="s">
        <v>1302</v>
      </c>
      <c r="D1195" s="3" t="s">
        <v>39</v>
      </c>
      <c r="E1195" s="3" t="s">
        <v>914</v>
      </c>
      <c r="F1195" s="3" t="s">
        <v>174</v>
      </c>
      <c r="G1195" s="3">
        <v>1.2055697009999999</v>
      </c>
      <c r="H1195" s="3">
        <v>0.738112667</v>
      </c>
      <c r="I1195" s="3">
        <v>0.111116416</v>
      </c>
      <c r="J1195" s="3">
        <v>57.443373749999999</v>
      </c>
      <c r="K1195" s="3">
        <v>-1.2001522000000001E-2</v>
      </c>
      <c r="L1195" s="3">
        <v>4.028584E-3</v>
      </c>
      <c r="M1195" s="3">
        <v>0.760403304</v>
      </c>
      <c r="N1195" s="3">
        <v>3.0725580999999998E-2</v>
      </c>
      <c r="O1195" s="3">
        <v>-1.0951493E-2</v>
      </c>
      <c r="P1195" s="3">
        <v>4.9003650000000003E-3</v>
      </c>
      <c r="Q1195" s="3">
        <v>-7.8952396999999994E-2</v>
      </c>
      <c r="R1195" s="3">
        <v>0.91250865199999998</v>
      </c>
      <c r="S1195" s="3">
        <v>3.1145973429999998</v>
      </c>
      <c r="T1195" s="3">
        <v>6.2092818110000003</v>
      </c>
      <c r="U1195" s="3">
        <v>0.86128992800000004</v>
      </c>
      <c r="V1195" s="3">
        <v>3.2649603460000001</v>
      </c>
      <c r="W1195" s="3">
        <v>1.297344E-3</v>
      </c>
      <c r="X1195" s="3">
        <v>3.6224719999999998E-3</v>
      </c>
      <c r="Y1195" s="3">
        <v>1.141672024</v>
      </c>
      <c r="Z1195" s="3">
        <v>7.2092818110000003</v>
      </c>
      <c r="AA1195" s="3">
        <v>4.028584E-3</v>
      </c>
      <c r="AB1195" s="3">
        <v>8.2815958500000004</v>
      </c>
      <c r="AC1195" s="3">
        <v>2.7922209580000001</v>
      </c>
      <c r="AD1195" s="3">
        <v>0.10932944999999999</v>
      </c>
      <c r="AE1195" s="3">
        <v>3.3783189770000002</v>
      </c>
      <c r="AF1195" s="4">
        <v>41991</v>
      </c>
      <c r="AG1195" s="5">
        <f>YEAR(AF1195)</f>
        <v>2014</v>
      </c>
      <c r="AH1195" s="5" t="str">
        <f>"Q"&amp;ROUNDUP(MONTH(AF1195)/3,0)</f>
        <v>Q4</v>
      </c>
      <c r="AI1195" s="5">
        <f>INDEX(RatingLookup!$B$2:$B$11,MATCH(A1195,RatingLookup!$A$2:$A$11,0))</f>
        <v>6</v>
      </c>
      <c r="AJ1195" s="5" t="str">
        <f>INDEX(RatingLookup!$C$2:$C$11,MATCH(A1195,RatingLookup!$A$2:$A$11,0))</f>
        <v>Speculative Grade</v>
      </c>
    </row>
    <row r="1196" spans="1:36" x14ac:dyDescent="0.3">
      <c r="A1196" s="3" t="s">
        <v>92</v>
      </c>
      <c r="B1196" s="3" t="s">
        <v>1301</v>
      </c>
      <c r="C1196" s="3" t="s">
        <v>1302</v>
      </c>
      <c r="D1196" s="3" t="s">
        <v>39</v>
      </c>
      <c r="E1196" s="3" t="s">
        <v>880</v>
      </c>
      <c r="F1196" s="3" t="s">
        <v>174</v>
      </c>
      <c r="G1196" s="3">
        <v>1.3823300140000001</v>
      </c>
      <c r="H1196" s="3">
        <v>1.000749874</v>
      </c>
      <c r="I1196" s="3">
        <v>0.154267934</v>
      </c>
      <c r="J1196" s="3">
        <v>44.505497980000001</v>
      </c>
      <c r="K1196" s="3">
        <v>-7.8694779000000006E-2</v>
      </c>
      <c r="L1196" s="3">
        <v>-7.4812534E-2</v>
      </c>
      <c r="M1196" s="3">
        <v>0.83860460100000001</v>
      </c>
      <c r="N1196" s="3">
        <v>-4.6538259999999998E-2</v>
      </c>
      <c r="O1196" s="3">
        <v>-9.3351565999999997E-2</v>
      </c>
      <c r="P1196" s="3">
        <v>-0.118091815</v>
      </c>
      <c r="Q1196" s="3">
        <v>-0.40433567100000001</v>
      </c>
      <c r="R1196" s="3">
        <v>1.18624854</v>
      </c>
      <c r="S1196" s="3">
        <v>4.0718862549999999</v>
      </c>
      <c r="T1196" s="3">
        <v>3.3313217750000002</v>
      </c>
      <c r="U1196" s="3">
        <v>0.76912359500000005</v>
      </c>
      <c r="V1196" s="3">
        <v>-0.16111049599999999</v>
      </c>
      <c r="W1196" s="3">
        <v>-0.30751905699999998</v>
      </c>
      <c r="X1196" s="3">
        <v>-0.716884403</v>
      </c>
      <c r="Y1196" s="3">
        <v>3.1458485540000001</v>
      </c>
      <c r="Z1196" s="3">
        <v>4.3313217750000002</v>
      </c>
      <c r="AA1196" s="3">
        <v>-7.4812534E-2</v>
      </c>
      <c r="AB1196" s="3">
        <v>27.26507844</v>
      </c>
      <c r="AC1196" s="3">
        <v>2.3311869230000002</v>
      </c>
      <c r="AD1196" s="3">
        <v>6.4993509000000005E-2</v>
      </c>
      <c r="AE1196" s="3">
        <v>2.5769527590000001</v>
      </c>
      <c r="AF1196" s="4">
        <v>41717</v>
      </c>
      <c r="AG1196" s="5">
        <f>YEAR(AF1196)</f>
        <v>2014</v>
      </c>
      <c r="AH1196" s="5" t="str">
        <f>"Q"&amp;ROUNDUP(MONTH(AF1196)/3,0)</f>
        <v>Q1</v>
      </c>
      <c r="AI1196" s="5">
        <f>INDEX(RatingLookup!$B$2:$B$11,MATCH(A1196,RatingLookup!$A$2:$A$11,0))</f>
        <v>6</v>
      </c>
      <c r="AJ1196" s="5" t="str">
        <f>INDEX(RatingLookup!$C$2:$C$11,MATCH(A1196,RatingLookup!$A$2:$A$11,0))</f>
        <v>Speculative Grade</v>
      </c>
    </row>
    <row r="1197" spans="1:36" x14ac:dyDescent="0.3">
      <c r="A1197" s="3" t="s">
        <v>92</v>
      </c>
      <c r="B1197" s="3" t="s">
        <v>1301</v>
      </c>
      <c r="C1197" s="3" t="s">
        <v>1302</v>
      </c>
      <c r="D1197" s="3" t="s">
        <v>60</v>
      </c>
      <c r="E1197" s="3" t="s">
        <v>1184</v>
      </c>
      <c r="F1197" s="3" t="s">
        <v>174</v>
      </c>
      <c r="G1197" s="3">
        <v>1.3498880719999999</v>
      </c>
      <c r="H1197" s="3">
        <v>0.76990985000000001</v>
      </c>
      <c r="I1197" s="3">
        <v>0.16795964099999999</v>
      </c>
      <c r="J1197" s="3">
        <v>59.496169780000002</v>
      </c>
      <c r="K1197" s="3">
        <v>-5.9030899999999997E-2</v>
      </c>
      <c r="L1197" s="3">
        <v>-5.4761398000000003E-2</v>
      </c>
      <c r="M1197" s="3">
        <v>0.71655424400000001</v>
      </c>
      <c r="N1197" s="3">
        <v>4.3734835999999999E-2</v>
      </c>
      <c r="O1197" s="3">
        <v>-5.4172100000000001E-2</v>
      </c>
      <c r="P1197" s="3">
        <v>-6.8899597000000007E-2</v>
      </c>
      <c r="Q1197" s="3">
        <v>-0.88957539399999996</v>
      </c>
      <c r="R1197" s="3">
        <v>0.91769055799999999</v>
      </c>
      <c r="S1197" s="3">
        <v>2.9601391110000002</v>
      </c>
      <c r="T1197" s="3">
        <v>15.42128327</v>
      </c>
      <c r="U1197" s="3">
        <v>0.93910341900000005</v>
      </c>
      <c r="V1197" s="3">
        <v>-8.3514741000000003E-2</v>
      </c>
      <c r="W1197" s="3">
        <v>0.56604186899999998</v>
      </c>
      <c r="X1197" s="3">
        <v>1.1258760409999999</v>
      </c>
      <c r="Y1197" s="3">
        <v>1.1568346759999999</v>
      </c>
      <c r="Z1197" s="3">
        <v>16.42128327</v>
      </c>
      <c r="AA1197" s="3">
        <v>-5.4761398000000003E-2</v>
      </c>
      <c r="AB1197" s="3">
        <v>8.1159905830000003</v>
      </c>
      <c r="AC1197" s="3">
        <v>1.98903315</v>
      </c>
      <c r="AD1197" s="3">
        <v>0.11010368500000001</v>
      </c>
      <c r="AE1197" s="3">
        <v>3.81035441</v>
      </c>
      <c r="AF1197" s="4">
        <v>42661</v>
      </c>
      <c r="AG1197" s="5">
        <f>YEAR(AF1197)</f>
        <v>2016</v>
      </c>
      <c r="AH1197" s="5" t="str">
        <f>"Q"&amp;ROUNDUP(MONTH(AF1197)/3,0)</f>
        <v>Q4</v>
      </c>
      <c r="AI1197" s="5">
        <f>INDEX(RatingLookup!$B$2:$B$11,MATCH(A1197,RatingLookup!$A$2:$A$11,0))</f>
        <v>6</v>
      </c>
      <c r="AJ1197" s="5" t="str">
        <f>INDEX(RatingLookup!$C$2:$C$11,MATCH(A1197,RatingLookup!$A$2:$A$11,0))</f>
        <v>Speculative Grade</v>
      </c>
    </row>
    <row r="1198" spans="1:36" x14ac:dyDescent="0.3">
      <c r="A1198" s="3" t="s">
        <v>36</v>
      </c>
      <c r="B1198" s="3" t="s">
        <v>1305</v>
      </c>
      <c r="C1198" s="3" t="s">
        <v>1306</v>
      </c>
      <c r="D1198" s="3" t="s">
        <v>39</v>
      </c>
      <c r="E1198" s="3" t="s">
        <v>1307</v>
      </c>
      <c r="F1198" s="3" t="s">
        <v>174</v>
      </c>
      <c r="G1198" s="3">
        <v>1.2587434230000001</v>
      </c>
      <c r="H1198" s="3">
        <v>0.74311358699999996</v>
      </c>
      <c r="I1198" s="3">
        <v>0.174249458</v>
      </c>
      <c r="J1198" s="3">
        <v>59.582041889999999</v>
      </c>
      <c r="K1198" s="3">
        <v>5.0342820000000003E-2</v>
      </c>
      <c r="L1198" s="3">
        <v>4.9215742E-2</v>
      </c>
      <c r="M1198" s="3">
        <v>0.61613600099999999</v>
      </c>
      <c r="N1198" s="3">
        <v>7.5983844999999994E-2</v>
      </c>
      <c r="O1198" s="3">
        <v>4.4021024999999998E-2</v>
      </c>
      <c r="P1198" s="3">
        <v>9.0441587000000004E-2</v>
      </c>
      <c r="Q1198" s="3">
        <v>0.10513927000000001</v>
      </c>
      <c r="R1198" s="3">
        <v>0.87442509899999998</v>
      </c>
      <c r="S1198" s="3">
        <v>6.348837209</v>
      </c>
      <c r="T1198" s="3">
        <v>1.388387603</v>
      </c>
      <c r="U1198" s="3">
        <v>0.58130749000000004</v>
      </c>
      <c r="V1198" s="3">
        <v>0.23854961799999999</v>
      </c>
      <c r="W1198" s="3">
        <v>0.55172413799999998</v>
      </c>
      <c r="X1198" s="3">
        <v>0.99784946200000002</v>
      </c>
      <c r="Y1198" s="3">
        <v>1.425806452</v>
      </c>
      <c r="Z1198" s="3">
        <v>2.388387603</v>
      </c>
      <c r="AA1198" s="3">
        <v>7.5983844999999994E-2</v>
      </c>
      <c r="AB1198" s="3">
        <v>13.7</v>
      </c>
      <c r="AC1198" s="3">
        <v>1.8086021510000001</v>
      </c>
      <c r="AD1198" s="3">
        <v>7.8989386999999994E-2</v>
      </c>
      <c r="AE1198" s="3">
        <v>4.5461624030000003</v>
      </c>
      <c r="AF1198" s="4">
        <v>41698</v>
      </c>
      <c r="AG1198" s="5">
        <f>YEAR(AF1198)</f>
        <v>2014</v>
      </c>
      <c r="AH1198" s="5" t="str">
        <f>"Q"&amp;ROUNDUP(MONTH(AF1198)/3,0)</f>
        <v>Q1</v>
      </c>
      <c r="AI1198" s="5">
        <f>INDEX(RatingLookup!$B$2:$B$11,MATCH(A1198,RatingLookup!$A$2:$A$11,0))</f>
        <v>8</v>
      </c>
      <c r="AJ1198" s="5" t="str">
        <f>INDEX(RatingLookup!$C$2:$C$11,MATCH(A1198,RatingLookup!$A$2:$A$11,0))</f>
        <v>Investment Grade</v>
      </c>
    </row>
    <row r="1199" spans="1:36" x14ac:dyDescent="0.3">
      <c r="A1199" s="3" t="s">
        <v>42</v>
      </c>
      <c r="B1199" s="3" t="s">
        <v>1305</v>
      </c>
      <c r="C1199" s="3" t="s">
        <v>1306</v>
      </c>
      <c r="D1199" s="3" t="s">
        <v>60</v>
      </c>
      <c r="E1199" s="3" t="s">
        <v>688</v>
      </c>
      <c r="F1199" s="3" t="s">
        <v>174</v>
      </c>
      <c r="G1199" s="3">
        <v>1.0500828579999999</v>
      </c>
      <c r="H1199" s="3">
        <v>0.66961271700000002</v>
      </c>
      <c r="I1199" s="3">
        <v>4.1981219E-2</v>
      </c>
      <c r="J1199" s="3">
        <v>77.681424860000007</v>
      </c>
      <c r="K1199" s="3">
        <v>-2.3039761999999998E-2</v>
      </c>
      <c r="L1199" s="3">
        <v>4.2097998999999997E-2</v>
      </c>
      <c r="M1199" s="3">
        <v>0.19413919399999999</v>
      </c>
      <c r="N1199" s="3">
        <v>4.2097998999999997E-2</v>
      </c>
      <c r="O1199" s="3">
        <v>-1.3722669E-2</v>
      </c>
      <c r="P1199" s="3">
        <v>3.3773424000000003E-2</v>
      </c>
      <c r="Q1199" s="3">
        <v>-3.5989716999999997E-2</v>
      </c>
      <c r="R1199" s="3">
        <v>0.59560811300000005</v>
      </c>
      <c r="S1199" s="3">
        <v>4.7858231709999997</v>
      </c>
      <c r="T1199" s="3">
        <v>1.6226469859999999</v>
      </c>
      <c r="U1199" s="3">
        <v>0.61870583199999996</v>
      </c>
      <c r="V1199" s="3">
        <v>1.4110971000000001</v>
      </c>
      <c r="W1199" s="3">
        <v>0.34089709800000001</v>
      </c>
      <c r="X1199" s="3">
        <v>0.96793527099999999</v>
      </c>
      <c r="Y1199" s="3">
        <v>4.3332334430000001</v>
      </c>
      <c r="Z1199" s="3">
        <v>2.6226469859999999</v>
      </c>
      <c r="AA1199" s="3">
        <v>4.2097998999999997E-2</v>
      </c>
      <c r="AB1199" s="3">
        <v>17.233329659999999</v>
      </c>
      <c r="AC1199" s="3">
        <v>2.839376686</v>
      </c>
      <c r="AD1199" s="3">
        <v>5.0299942E-2</v>
      </c>
      <c r="AE1199" s="3">
        <v>4.4884683619999999</v>
      </c>
      <c r="AF1199" s="4">
        <v>42702</v>
      </c>
      <c r="AG1199" s="5">
        <f>YEAR(AF1199)</f>
        <v>2016</v>
      </c>
      <c r="AH1199" s="5" t="str">
        <f>"Q"&amp;ROUNDUP(MONTH(AF1199)/3,0)</f>
        <v>Q4</v>
      </c>
      <c r="AI1199" s="5">
        <f>INDEX(RatingLookup!$B$2:$B$11,MATCH(A1199,RatingLookup!$A$2:$A$11,0))</f>
        <v>7</v>
      </c>
      <c r="AJ1199" s="5" t="str">
        <f>INDEX(RatingLookup!$C$2:$C$11,MATCH(A1199,RatingLookup!$A$2:$A$11,0))</f>
        <v>Investment Grade</v>
      </c>
    </row>
    <row r="1200" spans="1:36" x14ac:dyDescent="0.3">
      <c r="A1200" s="3" t="s">
        <v>49</v>
      </c>
      <c r="B1200" s="3" t="s">
        <v>1305</v>
      </c>
      <c r="C1200" s="3" t="s">
        <v>1306</v>
      </c>
      <c r="D1200" s="3" t="s">
        <v>39</v>
      </c>
      <c r="E1200" s="3" t="s">
        <v>638</v>
      </c>
      <c r="F1200" s="3" t="s">
        <v>174</v>
      </c>
      <c r="G1200" s="3">
        <v>1.210143043</v>
      </c>
      <c r="H1200" s="3">
        <v>0.89050715199999997</v>
      </c>
      <c r="I1200" s="3">
        <v>0.36436931099999997</v>
      </c>
      <c r="J1200" s="3">
        <v>65.428701270000005</v>
      </c>
      <c r="K1200" s="3">
        <v>5.5645324000000003E-2</v>
      </c>
      <c r="L1200" s="3">
        <v>7.2207635000000006E-2</v>
      </c>
      <c r="M1200" s="3">
        <v>0.58876994500000002</v>
      </c>
      <c r="N1200" s="3">
        <v>8.9274893999999994E-2</v>
      </c>
      <c r="O1200" s="3">
        <v>4.4720396000000003E-2</v>
      </c>
      <c r="P1200" s="3">
        <v>0.104294479</v>
      </c>
      <c r="Q1200" s="3">
        <v>0.13635238799999999</v>
      </c>
      <c r="R1200" s="3">
        <v>0.80366853299999996</v>
      </c>
      <c r="S1200" s="3">
        <v>8.3280067280000001</v>
      </c>
      <c r="T1200" s="3">
        <v>2.048997773</v>
      </c>
      <c r="U1200" s="3">
        <v>0.67202337499999998</v>
      </c>
      <c r="V1200" s="3">
        <v>0.13986013999999999</v>
      </c>
      <c r="W1200" s="3">
        <v>0.54612546100000003</v>
      </c>
      <c r="X1200" s="3">
        <v>0.70308788600000005</v>
      </c>
      <c r="Y1200" s="3">
        <v>3.916864608</v>
      </c>
      <c r="Z1200" s="3">
        <v>3.048997773</v>
      </c>
      <c r="AA1200" s="3">
        <v>8.9274893999999994E-2</v>
      </c>
      <c r="AB1200" s="3">
        <v>14.472267540000001</v>
      </c>
      <c r="AC1200" s="3">
        <v>1.287410926</v>
      </c>
      <c r="AD1200" s="3">
        <v>5.4736417000000002E-2</v>
      </c>
      <c r="AE1200" s="3">
        <v>5.187261146</v>
      </c>
      <c r="AF1200" s="4">
        <v>42240</v>
      </c>
      <c r="AG1200" s="5">
        <f>YEAR(AF1200)</f>
        <v>2015</v>
      </c>
      <c r="AH1200" s="5" t="str">
        <f>"Q"&amp;ROUNDUP(MONTH(AF1200)/3,0)</f>
        <v>Q3</v>
      </c>
      <c r="AI1200" s="5">
        <f>INDEX(RatingLookup!$B$2:$B$11,MATCH(A1200,RatingLookup!$A$2:$A$11,0))</f>
        <v>9</v>
      </c>
      <c r="AJ1200" s="5" t="str">
        <f>INDEX(RatingLookup!$C$2:$C$11,MATCH(A1200,RatingLookup!$A$2:$A$11,0))</f>
        <v>Investment Grade</v>
      </c>
    </row>
    <row r="1201" spans="1:36" x14ac:dyDescent="0.3">
      <c r="A1201" s="3" t="s">
        <v>49</v>
      </c>
      <c r="B1201" s="3" t="s">
        <v>1305</v>
      </c>
      <c r="C1201" s="3" t="s">
        <v>1306</v>
      </c>
      <c r="D1201" s="3" t="s">
        <v>39</v>
      </c>
      <c r="E1201" s="3" t="s">
        <v>1308</v>
      </c>
      <c r="F1201" s="3" t="s">
        <v>174</v>
      </c>
      <c r="G1201" s="3">
        <v>1.3687698070000001</v>
      </c>
      <c r="H1201" s="3">
        <v>0.76116393000000004</v>
      </c>
      <c r="I1201" s="3">
        <v>0.256986459</v>
      </c>
      <c r="J1201" s="3">
        <v>61.774661510000001</v>
      </c>
      <c r="K1201" s="3">
        <v>0.17775628600000001</v>
      </c>
      <c r="L1201" s="3">
        <v>7.6885880000000004E-2</v>
      </c>
      <c r="M1201" s="3">
        <v>0.58868472000000005</v>
      </c>
      <c r="N1201" s="3">
        <v>6.7408124E-2</v>
      </c>
      <c r="O1201" s="3">
        <v>0.155644</v>
      </c>
      <c r="P1201" s="3">
        <v>8.3593187999999999E-2</v>
      </c>
      <c r="Q1201" s="3">
        <v>0.39552399399999999</v>
      </c>
      <c r="R1201" s="3">
        <v>0.87560335300000003</v>
      </c>
      <c r="S1201" s="3">
        <v>8.1481481480000006</v>
      </c>
      <c r="T1201" s="3">
        <v>1.5412093819999999</v>
      </c>
      <c r="U1201" s="3">
        <v>0.60648657800000005</v>
      </c>
      <c r="V1201" s="3">
        <v>3.0188679E-2</v>
      </c>
      <c r="W1201" s="3">
        <v>0.65342960299999997</v>
      </c>
      <c r="X1201" s="3">
        <v>1.193406593</v>
      </c>
      <c r="Y1201" s="3">
        <v>1.96043956</v>
      </c>
      <c r="Z1201" s="3">
        <v>2.5412093819999999</v>
      </c>
      <c r="AA1201" s="3">
        <v>6.7408124E-2</v>
      </c>
      <c r="AB1201" s="3">
        <v>20.421219279999999</v>
      </c>
      <c r="AC1201" s="3">
        <v>1.8263736260000001</v>
      </c>
      <c r="AD1201" s="3">
        <v>8.0367505000000006E-2</v>
      </c>
      <c r="AE1201" s="3">
        <v>4.8828932260000002</v>
      </c>
      <c r="AF1201" s="4">
        <v>41850</v>
      </c>
      <c r="AG1201" s="5">
        <f>YEAR(AF1201)</f>
        <v>2014</v>
      </c>
      <c r="AH1201" s="5" t="str">
        <f>"Q"&amp;ROUNDUP(MONTH(AF1201)/3,0)</f>
        <v>Q3</v>
      </c>
      <c r="AI1201" s="5">
        <f>INDEX(RatingLookup!$B$2:$B$11,MATCH(A1201,RatingLookup!$A$2:$A$11,0))</f>
        <v>9</v>
      </c>
      <c r="AJ1201" s="5" t="str">
        <f>INDEX(RatingLookup!$C$2:$C$11,MATCH(A1201,RatingLookup!$A$2:$A$11,0))</f>
        <v>Investment Grade</v>
      </c>
    </row>
    <row r="1202" spans="1:36" x14ac:dyDescent="0.3">
      <c r="A1202" s="3" t="s">
        <v>42</v>
      </c>
      <c r="B1202" s="3" t="s">
        <v>1305</v>
      </c>
      <c r="C1202" s="3" t="s">
        <v>1306</v>
      </c>
      <c r="D1202" s="3" t="s">
        <v>39</v>
      </c>
      <c r="E1202" s="3" t="s">
        <v>516</v>
      </c>
      <c r="F1202" s="3" t="s">
        <v>174</v>
      </c>
      <c r="G1202" s="3">
        <v>1.3994187920000001</v>
      </c>
      <c r="H1202" s="3">
        <v>0.847594446</v>
      </c>
      <c r="I1202" s="3">
        <v>0.27252179500000001</v>
      </c>
      <c r="J1202" s="3">
        <v>60.032202249999997</v>
      </c>
      <c r="K1202" s="3">
        <v>4.5371527000000002E-2</v>
      </c>
      <c r="L1202" s="3">
        <v>3.9411710000000003E-3</v>
      </c>
      <c r="M1202" s="3">
        <v>0.68297606499999997</v>
      </c>
      <c r="N1202" s="3">
        <v>6.5846390000000005E-2</v>
      </c>
      <c r="O1202" s="3">
        <v>3.817226E-2</v>
      </c>
      <c r="P1202" s="3">
        <v>7.3910228999999994E-2</v>
      </c>
      <c r="Q1202" s="3">
        <v>9.4513416000000003E-2</v>
      </c>
      <c r="R1202" s="3">
        <v>0.84132632399999996</v>
      </c>
      <c r="S1202" s="3">
        <v>6.2293413170000003</v>
      </c>
      <c r="T1202" s="3">
        <v>1.475971165</v>
      </c>
      <c r="U1202" s="3">
        <v>0.59611807500000003</v>
      </c>
      <c r="V1202" s="3">
        <v>8.4878048780000004</v>
      </c>
      <c r="W1202" s="3">
        <v>0.420827389</v>
      </c>
      <c r="X1202" s="3">
        <v>0.63714902799999995</v>
      </c>
      <c r="Y1202" s="3">
        <v>1.9740820729999999</v>
      </c>
      <c r="Z1202" s="3">
        <v>2.4759711649999998</v>
      </c>
      <c r="AA1202" s="3">
        <v>6.5846390000000005E-2</v>
      </c>
      <c r="AB1202" s="3">
        <v>12.802203240000001</v>
      </c>
      <c r="AC1202" s="3">
        <v>1.5140388769999999</v>
      </c>
      <c r="AD1202" s="3">
        <v>6.7384408000000007E-2</v>
      </c>
      <c r="AE1202" s="3">
        <v>3.6767001110000002</v>
      </c>
      <c r="AF1202" s="4">
        <v>41393</v>
      </c>
      <c r="AG1202" s="5">
        <f>YEAR(AF1202)</f>
        <v>2013</v>
      </c>
      <c r="AH1202" s="5" t="str">
        <f>"Q"&amp;ROUNDUP(MONTH(AF1202)/3,0)</f>
        <v>Q2</v>
      </c>
      <c r="AI1202" s="5">
        <f>INDEX(RatingLookup!$B$2:$B$11,MATCH(A1202,RatingLookup!$A$2:$A$11,0))</f>
        <v>7</v>
      </c>
      <c r="AJ1202" s="5" t="str">
        <f>INDEX(RatingLookup!$C$2:$C$11,MATCH(A1202,RatingLookup!$A$2:$A$11,0))</f>
        <v>Investment Grade</v>
      </c>
    </row>
    <row r="1203" spans="1:36" x14ac:dyDescent="0.3">
      <c r="A1203" s="3" t="s">
        <v>109</v>
      </c>
      <c r="B1203" s="3" t="s">
        <v>1309</v>
      </c>
      <c r="C1203" s="3" t="s">
        <v>1310</v>
      </c>
      <c r="D1203" s="3" t="s">
        <v>47</v>
      </c>
      <c r="E1203" s="3" t="s">
        <v>443</v>
      </c>
      <c r="F1203" s="3" t="s">
        <v>174</v>
      </c>
      <c r="G1203" s="3">
        <v>1.0866573939999999</v>
      </c>
      <c r="H1203" s="3">
        <v>0.85172114099999996</v>
      </c>
      <c r="I1203" s="3">
        <v>0.62047868100000003</v>
      </c>
      <c r="J1203" s="3">
        <v>24.854970730000002</v>
      </c>
      <c r="K1203" s="3">
        <v>3.5212699999999998E-4</v>
      </c>
      <c r="L1203" s="3">
        <v>5.784127E-3</v>
      </c>
      <c r="M1203" s="3">
        <v>1</v>
      </c>
      <c r="N1203" s="3">
        <v>2.3332321E-2</v>
      </c>
      <c r="O1203" s="3">
        <v>4.3493299999999998E-4</v>
      </c>
      <c r="P1203" s="3">
        <v>1.1228363E-2</v>
      </c>
      <c r="Q1203" s="3">
        <v>2.6127519999999999E-3</v>
      </c>
      <c r="R1203" s="3">
        <v>1.235157517</v>
      </c>
      <c r="S1203" s="3">
        <v>11.11714409</v>
      </c>
      <c r="T1203" s="3">
        <v>5.0072556700000002</v>
      </c>
      <c r="U1203" s="3">
        <v>0.833534636</v>
      </c>
      <c r="V1203" s="3">
        <v>0.57999834500000003</v>
      </c>
      <c r="W1203" s="3">
        <v>0.69863763400000001</v>
      </c>
      <c r="X1203" s="3">
        <v>2.065700519</v>
      </c>
      <c r="Y1203" s="3">
        <v>7.5545298020000002</v>
      </c>
      <c r="Z1203" s="3">
        <v>6.0072556700000002</v>
      </c>
      <c r="AA1203" s="3">
        <v>5.784127E-3</v>
      </c>
      <c r="AB1203" s="3">
        <v>10.6171676</v>
      </c>
      <c r="AC1203" s="3">
        <v>2.9567552880000001</v>
      </c>
      <c r="AD1203" s="3">
        <v>7.1513431000000002E-2</v>
      </c>
      <c r="AE1203" s="3">
        <v>0</v>
      </c>
      <c r="AF1203" s="4">
        <v>42669</v>
      </c>
      <c r="AG1203" s="5">
        <f>YEAR(AF1203)</f>
        <v>2016</v>
      </c>
      <c r="AH1203" s="5" t="str">
        <f>"Q"&amp;ROUNDUP(MONTH(AF1203)/3,0)</f>
        <v>Q4</v>
      </c>
      <c r="AI1203" s="5">
        <f>INDEX(RatingLookup!$B$2:$B$11,MATCH(A1203,RatingLookup!$A$2:$A$11,0))</f>
        <v>5</v>
      </c>
      <c r="AJ1203" s="5" t="str">
        <f>INDEX(RatingLookup!$C$2:$C$11,MATCH(A1203,RatingLookup!$A$2:$A$11,0))</f>
        <v>Speculative Grade</v>
      </c>
    </row>
    <row r="1204" spans="1:36" x14ac:dyDescent="0.3">
      <c r="A1204" s="3" t="s">
        <v>109</v>
      </c>
      <c r="B1204" s="3" t="s">
        <v>1309</v>
      </c>
      <c r="C1204" s="3" t="s">
        <v>1310</v>
      </c>
      <c r="D1204" s="3" t="s">
        <v>47</v>
      </c>
      <c r="E1204" s="3" t="s">
        <v>573</v>
      </c>
      <c r="F1204" s="3" t="s">
        <v>174</v>
      </c>
      <c r="G1204" s="3">
        <v>0.95769752200000002</v>
      </c>
      <c r="H1204" s="3">
        <v>0.77070322599999996</v>
      </c>
      <c r="I1204" s="3">
        <v>0.57600249699999995</v>
      </c>
      <c r="J1204" s="3">
        <v>24.741676640000001</v>
      </c>
      <c r="K1204" s="3">
        <v>-6.6956369999999999E-3</v>
      </c>
      <c r="L1204" s="3">
        <v>-7.9292499999999999E-4</v>
      </c>
      <c r="M1204" s="3">
        <v>1</v>
      </c>
      <c r="N1204" s="3">
        <v>2.1557303E-2</v>
      </c>
      <c r="O1204" s="3">
        <v>-7.6322409999999997E-3</v>
      </c>
      <c r="P1204" s="3">
        <v>-1.49854E-3</v>
      </c>
      <c r="Q1204" s="3">
        <v>-3.0781392000000001E-2</v>
      </c>
      <c r="R1204" s="3">
        <v>1.139882654</v>
      </c>
      <c r="S1204" s="3">
        <v>9.1660257499999993</v>
      </c>
      <c r="T1204" s="3">
        <v>3.0330741369999998</v>
      </c>
      <c r="U1204" s="3">
        <v>0.75205018199999996</v>
      </c>
      <c r="V1204" s="3">
        <v>-6.0109013039999999</v>
      </c>
      <c r="W1204" s="3">
        <v>0.67569082499999999</v>
      </c>
      <c r="X1204" s="3">
        <v>1.454892869</v>
      </c>
      <c r="Y1204" s="3">
        <v>6.7007945830000004</v>
      </c>
      <c r="Z1204" s="3">
        <v>4.0330741369999998</v>
      </c>
      <c r="AA1204" s="3">
        <v>-7.9292499999999999E-4</v>
      </c>
      <c r="AB1204" s="3">
        <v>8.7227168650000007</v>
      </c>
      <c r="AC1204" s="3">
        <v>2.1531931709999999</v>
      </c>
      <c r="AD1204" s="3">
        <v>6.4439140000000006E-2</v>
      </c>
      <c r="AE1204" s="3">
        <v>0</v>
      </c>
      <c r="AF1204" s="4">
        <v>41778</v>
      </c>
      <c r="AG1204" s="5">
        <f>YEAR(AF1204)</f>
        <v>2014</v>
      </c>
      <c r="AH1204" s="5" t="str">
        <f>"Q"&amp;ROUNDUP(MONTH(AF1204)/3,0)</f>
        <v>Q2</v>
      </c>
      <c r="AI1204" s="5">
        <f>INDEX(RatingLookup!$B$2:$B$11,MATCH(A1204,RatingLookup!$A$2:$A$11,0))</f>
        <v>5</v>
      </c>
      <c r="AJ1204" s="5" t="str">
        <f>INDEX(RatingLookup!$C$2:$C$11,MATCH(A1204,RatingLookup!$A$2:$A$11,0))</f>
        <v>Speculative Grade</v>
      </c>
    </row>
    <row r="1205" spans="1:36" x14ac:dyDescent="0.3">
      <c r="A1205" s="3" t="s">
        <v>109</v>
      </c>
      <c r="B1205" s="3" t="s">
        <v>1309</v>
      </c>
      <c r="C1205" s="3" t="s">
        <v>1310</v>
      </c>
      <c r="D1205" s="3" t="s">
        <v>47</v>
      </c>
      <c r="E1205" s="3" t="s">
        <v>1311</v>
      </c>
      <c r="F1205" s="3" t="s">
        <v>174</v>
      </c>
      <c r="G1205" s="3">
        <v>1.0890483849999999</v>
      </c>
      <c r="H1205" s="3">
        <v>0.835579662</v>
      </c>
      <c r="I1205" s="3">
        <v>0.62017955400000002</v>
      </c>
      <c r="J1205" s="3">
        <v>22.799493940000001</v>
      </c>
      <c r="K1205" s="3">
        <v>-4.4865039999999997E-3</v>
      </c>
      <c r="L1205" s="3">
        <v>8.7679200000000004E-4</v>
      </c>
      <c r="M1205" s="3">
        <v>1</v>
      </c>
      <c r="N1205" s="3">
        <v>1.8130951999999999E-2</v>
      </c>
      <c r="O1205" s="3">
        <v>-5.2804949999999996E-3</v>
      </c>
      <c r="P1205" s="3">
        <v>1.566694E-3</v>
      </c>
      <c r="Q1205" s="3">
        <v>-2.6280708E-2</v>
      </c>
      <c r="R1205" s="3">
        <v>1.176973254</v>
      </c>
      <c r="S1205" s="3">
        <v>9.9082583740000008</v>
      </c>
      <c r="T1205" s="3">
        <v>3.9769401100000001</v>
      </c>
      <c r="U1205" s="3">
        <v>0.799073331</v>
      </c>
      <c r="V1205" s="3">
        <v>3.4821344249999999</v>
      </c>
      <c r="W1205" s="3">
        <v>0.52534959800000003</v>
      </c>
      <c r="X1205" s="3">
        <v>0.78473535900000002</v>
      </c>
      <c r="Y1205" s="3">
        <v>6.4840643030000003</v>
      </c>
      <c r="Z1205" s="3">
        <v>4.9769401100000001</v>
      </c>
      <c r="AA1205" s="3">
        <v>8.7679200000000004E-4</v>
      </c>
      <c r="AB1205" s="3">
        <v>9.8313378539999992</v>
      </c>
      <c r="AC1205" s="3">
        <v>1.493739336</v>
      </c>
      <c r="AD1205" s="3">
        <v>4.1431568000000002E-2</v>
      </c>
      <c r="AE1205" s="3">
        <v>0</v>
      </c>
      <c r="AF1205" s="4">
        <v>42467</v>
      </c>
      <c r="AG1205" s="5">
        <f>YEAR(AF1205)</f>
        <v>2016</v>
      </c>
      <c r="AH1205" s="5" t="str">
        <f>"Q"&amp;ROUNDUP(MONTH(AF1205)/3,0)</f>
        <v>Q2</v>
      </c>
      <c r="AI1205" s="5">
        <f>INDEX(RatingLookup!$B$2:$B$11,MATCH(A1205,RatingLookup!$A$2:$A$11,0))</f>
        <v>5</v>
      </c>
      <c r="AJ1205" s="5" t="str">
        <f>INDEX(RatingLookup!$C$2:$C$11,MATCH(A1205,RatingLookup!$A$2:$A$11,0))</f>
        <v>Speculative Grade</v>
      </c>
    </row>
    <row r="1206" spans="1:36" x14ac:dyDescent="0.3">
      <c r="A1206" s="3" t="s">
        <v>109</v>
      </c>
      <c r="B1206" s="3" t="s">
        <v>1309</v>
      </c>
      <c r="C1206" s="3" t="s">
        <v>1310</v>
      </c>
      <c r="D1206" s="3" t="s">
        <v>47</v>
      </c>
      <c r="E1206" s="3" t="s">
        <v>1312</v>
      </c>
      <c r="F1206" s="3" t="s">
        <v>174</v>
      </c>
      <c r="G1206" s="3">
        <v>1.127766276</v>
      </c>
      <c r="H1206" s="3">
        <v>0.89605730299999997</v>
      </c>
      <c r="I1206" s="3">
        <v>0.68730955800000004</v>
      </c>
      <c r="J1206" s="3">
        <v>22.28712208</v>
      </c>
      <c r="K1206" s="3">
        <v>-1.3223748E-2</v>
      </c>
      <c r="L1206" s="3">
        <v>-1.4536264E-2</v>
      </c>
      <c r="M1206" s="3">
        <v>1</v>
      </c>
      <c r="N1206" s="3">
        <v>1.043256E-3</v>
      </c>
      <c r="O1206" s="3">
        <v>-1.5163915E-2</v>
      </c>
      <c r="P1206" s="3">
        <v>-2.5095660999999998E-2</v>
      </c>
      <c r="Q1206" s="3">
        <v>-7.0015590000000003E-2</v>
      </c>
      <c r="R1206" s="3">
        <v>1.1467184429999999</v>
      </c>
      <c r="S1206" s="3">
        <v>9.8757350749999997</v>
      </c>
      <c r="T1206" s="3">
        <v>3.6172501110000002</v>
      </c>
      <c r="U1206" s="3">
        <v>0.78342087299999996</v>
      </c>
      <c r="V1206" s="3">
        <v>-4.6383489999999999E-2</v>
      </c>
      <c r="W1206" s="3">
        <v>0.469442372</v>
      </c>
      <c r="X1206" s="3">
        <v>0.63594028300000005</v>
      </c>
      <c r="Y1206" s="3">
        <v>6.95150632</v>
      </c>
      <c r="Z1206" s="3">
        <v>4.6172501109999997</v>
      </c>
      <c r="AA1206" s="3">
        <v>-1.4536264E-2</v>
      </c>
      <c r="AB1206" s="3">
        <v>13.82055841</v>
      </c>
      <c r="AC1206" s="3">
        <v>1.3546716729999999</v>
      </c>
      <c r="AD1206" s="3">
        <v>3.9232622000000002E-2</v>
      </c>
      <c r="AE1206" s="3">
        <v>0</v>
      </c>
      <c r="AF1206" s="4">
        <v>42090</v>
      </c>
      <c r="AG1206" s="5">
        <f>YEAR(AF1206)</f>
        <v>2015</v>
      </c>
      <c r="AH1206" s="5" t="str">
        <f>"Q"&amp;ROUNDUP(MONTH(AF1206)/3,0)</f>
        <v>Q1</v>
      </c>
      <c r="AI1206" s="5">
        <f>INDEX(RatingLookup!$B$2:$B$11,MATCH(A1206,RatingLookup!$A$2:$A$11,0))</f>
        <v>5</v>
      </c>
      <c r="AJ1206" s="5" t="str">
        <f>INDEX(RatingLookup!$C$2:$C$11,MATCH(A1206,RatingLookup!$A$2:$A$11,0))</f>
        <v>Speculative Grade</v>
      </c>
    </row>
    <row r="1207" spans="1:36" x14ac:dyDescent="0.3">
      <c r="A1207" s="3" t="s">
        <v>92</v>
      </c>
      <c r="B1207" s="3" t="s">
        <v>1313</v>
      </c>
      <c r="C1207" s="3" t="s">
        <v>1314</v>
      </c>
      <c r="D1207" s="3" t="s">
        <v>60</v>
      </c>
      <c r="E1207" s="3" t="s">
        <v>46</v>
      </c>
      <c r="F1207" s="3" t="s">
        <v>174</v>
      </c>
      <c r="G1207" s="3">
        <v>0.99884946699999999</v>
      </c>
      <c r="H1207" s="3">
        <v>0.458453534</v>
      </c>
      <c r="I1207" s="3">
        <v>0.299174263</v>
      </c>
      <c r="J1207" s="3">
        <v>9.3665712590000005</v>
      </c>
      <c r="K1207" s="3">
        <v>3.1659681000000002E-2</v>
      </c>
      <c r="L1207" s="3">
        <v>4.3854126E-2</v>
      </c>
      <c r="M1207" s="3">
        <v>0.667507462</v>
      </c>
      <c r="N1207" s="3">
        <v>6.8555784999999994E-2</v>
      </c>
      <c r="O1207" s="3">
        <v>6.1746629999999997E-2</v>
      </c>
      <c r="P1207" s="3">
        <v>0.12471911500000001</v>
      </c>
      <c r="Q1207" s="3">
        <v>0.17064016600000001</v>
      </c>
      <c r="R1207" s="3">
        <v>1.950323823</v>
      </c>
      <c r="S1207" s="3">
        <v>3.5747854729999999</v>
      </c>
      <c r="T1207" s="3">
        <v>1.7620689599999999</v>
      </c>
      <c r="U1207" s="3">
        <v>0.63760967000000002</v>
      </c>
      <c r="V1207" s="3">
        <v>-0.27806836499999998</v>
      </c>
      <c r="W1207" s="3">
        <v>-0.222590435</v>
      </c>
      <c r="X1207" s="3">
        <v>-0.27156217700000002</v>
      </c>
      <c r="Y1207" s="3">
        <v>0.82212901699999996</v>
      </c>
      <c r="Z1207" s="3">
        <v>2.7635543259999999</v>
      </c>
      <c r="AA1207" s="3">
        <v>4.3854126E-2</v>
      </c>
      <c r="AB1207" s="3">
        <v>13.65963245</v>
      </c>
      <c r="AC1207" s="3">
        <v>1.220008293</v>
      </c>
      <c r="AD1207" s="3">
        <v>7.1527912999999999E-2</v>
      </c>
      <c r="AE1207" s="3">
        <v>6.6054053760000002</v>
      </c>
      <c r="AF1207" s="4">
        <v>41075</v>
      </c>
      <c r="AG1207" s="5">
        <f>YEAR(AF1207)</f>
        <v>2012</v>
      </c>
      <c r="AH1207" s="5" t="str">
        <f>"Q"&amp;ROUNDUP(MONTH(AF1207)/3,0)</f>
        <v>Q2</v>
      </c>
      <c r="AI1207" s="5">
        <f>INDEX(RatingLookup!$B$2:$B$11,MATCH(A1207,RatingLookup!$A$2:$A$11,0))</f>
        <v>6</v>
      </c>
      <c r="AJ1207" s="5" t="str">
        <f>INDEX(RatingLookup!$C$2:$C$11,MATCH(A1207,RatingLookup!$A$2:$A$11,0))</f>
        <v>Speculative Grade</v>
      </c>
    </row>
    <row r="1208" spans="1:36" x14ac:dyDescent="0.3">
      <c r="A1208" s="3" t="s">
        <v>42</v>
      </c>
      <c r="B1208" s="3" t="s">
        <v>1313</v>
      </c>
      <c r="C1208" s="3" t="s">
        <v>1314</v>
      </c>
      <c r="D1208" s="3" t="s">
        <v>44</v>
      </c>
      <c r="E1208" s="3" t="s">
        <v>651</v>
      </c>
      <c r="F1208" s="3" t="s">
        <v>174</v>
      </c>
      <c r="G1208" s="3">
        <v>1.011067183</v>
      </c>
      <c r="H1208" s="3">
        <v>0.43441006399999998</v>
      </c>
      <c r="I1208" s="3">
        <v>0.26647409700000002</v>
      </c>
      <c r="J1208" s="3">
        <v>10.017588529999999</v>
      </c>
      <c r="K1208" s="3">
        <v>1.3356771E-2</v>
      </c>
      <c r="L1208" s="3">
        <v>2.3949063999999999E-2</v>
      </c>
      <c r="M1208" s="3">
        <v>0.66515963300000003</v>
      </c>
      <c r="N1208" s="3">
        <v>5.6658674999999999E-2</v>
      </c>
      <c r="O1208" s="3">
        <v>2.4708991E-2</v>
      </c>
      <c r="P1208" s="3">
        <v>6.3502603000000005E-2</v>
      </c>
      <c r="Q1208" s="3">
        <v>7.7565341999999995E-2</v>
      </c>
      <c r="R1208" s="3">
        <v>1.8499224169999999</v>
      </c>
      <c r="S1208" s="3">
        <v>3.2414002609999999</v>
      </c>
      <c r="T1208" s="3">
        <v>2.1380574399999999</v>
      </c>
      <c r="U1208" s="3">
        <v>0.68109339300000005</v>
      </c>
      <c r="V1208" s="3">
        <v>-0.44228420000000002</v>
      </c>
      <c r="W1208" s="3">
        <v>-0.44443215600000002</v>
      </c>
      <c r="X1208" s="3">
        <v>-0.46548262499999998</v>
      </c>
      <c r="Y1208" s="3">
        <v>0.84772200799999997</v>
      </c>
      <c r="Z1208" s="3">
        <v>3.1391545729999999</v>
      </c>
      <c r="AA1208" s="3">
        <v>2.3949063999999999E-2</v>
      </c>
      <c r="AB1208" s="3">
        <v>5.1501884200000001</v>
      </c>
      <c r="AC1208" s="3">
        <v>1.047364865</v>
      </c>
      <c r="AD1208" s="3">
        <v>5.3805434999999999E-2</v>
      </c>
      <c r="AE1208" s="3">
        <v>4.3416543430000001</v>
      </c>
      <c r="AF1208" s="4">
        <v>41542</v>
      </c>
      <c r="AG1208" s="5">
        <f>YEAR(AF1208)</f>
        <v>2013</v>
      </c>
      <c r="AH1208" s="5" t="str">
        <f>"Q"&amp;ROUNDUP(MONTH(AF1208)/3,0)</f>
        <v>Q3</v>
      </c>
      <c r="AI1208" s="5">
        <f>INDEX(RatingLookup!$B$2:$B$11,MATCH(A1208,RatingLookup!$A$2:$A$11,0))</f>
        <v>7</v>
      </c>
      <c r="AJ1208" s="5" t="str">
        <f>INDEX(RatingLookup!$C$2:$C$11,MATCH(A1208,RatingLookup!$A$2:$A$11,0))</f>
        <v>Investment Grade</v>
      </c>
    </row>
    <row r="1209" spans="1:36" x14ac:dyDescent="0.3">
      <c r="A1209" s="3" t="s">
        <v>109</v>
      </c>
      <c r="B1209" s="3" t="s">
        <v>1313</v>
      </c>
      <c r="C1209" s="3" t="s">
        <v>1314</v>
      </c>
      <c r="D1209" s="3" t="s">
        <v>60</v>
      </c>
      <c r="E1209" s="3" t="s">
        <v>1315</v>
      </c>
      <c r="F1209" s="3" t="s">
        <v>174</v>
      </c>
      <c r="G1209" s="3">
        <v>0.65607359200000004</v>
      </c>
      <c r="H1209" s="3">
        <v>0.30444040100000003</v>
      </c>
      <c r="I1209" s="3">
        <v>0.194779746</v>
      </c>
      <c r="J1209" s="3">
        <v>7.5741858129999997</v>
      </c>
      <c r="K1209" s="3">
        <v>-1.6827178000000002E-2</v>
      </c>
      <c r="L1209" s="3">
        <v>-9.3532370000000004E-3</v>
      </c>
      <c r="M1209" s="3">
        <v>0.66014563999999998</v>
      </c>
      <c r="N1209" s="3">
        <v>2.1488890000000002E-3</v>
      </c>
      <c r="O1209" s="3">
        <v>-4.0709631000000003E-2</v>
      </c>
      <c r="P1209" s="3">
        <v>-4.1734024000000002E-2</v>
      </c>
      <c r="Q1209" s="3">
        <v>-0.179440604</v>
      </c>
      <c r="R1209" s="3">
        <v>2.4192785290000001</v>
      </c>
      <c r="S1209" s="3">
        <v>3.6631839660000001</v>
      </c>
      <c r="T1209" s="3">
        <v>0</v>
      </c>
      <c r="U1209" s="3">
        <v>0</v>
      </c>
      <c r="V1209" s="3">
        <v>-0.79907540399999999</v>
      </c>
      <c r="W1209" s="3">
        <v>0.902900904</v>
      </c>
      <c r="X1209" s="3">
        <v>0.49517705200000001</v>
      </c>
      <c r="Y1209" s="3">
        <v>0.54760166600000004</v>
      </c>
      <c r="Z1209" s="3">
        <v>4.4078170139999999</v>
      </c>
      <c r="AA1209" s="3">
        <v>-9.3532370000000004E-3</v>
      </c>
      <c r="AB1209" s="3">
        <v>4.0941578339999998</v>
      </c>
      <c r="AC1209" s="3">
        <v>0.54842901399999999</v>
      </c>
      <c r="AD1209" s="3">
        <v>3.6914051000000003E-2</v>
      </c>
      <c r="AE1209" s="3">
        <v>5.5278098939999998</v>
      </c>
      <c r="AF1209" s="4">
        <v>42437</v>
      </c>
      <c r="AG1209" s="5">
        <f>YEAR(AF1209)</f>
        <v>2016</v>
      </c>
      <c r="AH1209" s="5" t="str">
        <f>"Q"&amp;ROUNDUP(MONTH(AF1209)/3,0)</f>
        <v>Q1</v>
      </c>
      <c r="AI1209" s="5">
        <f>INDEX(RatingLookup!$B$2:$B$11,MATCH(A1209,RatingLookup!$A$2:$A$11,0))</f>
        <v>5</v>
      </c>
      <c r="AJ1209" s="5" t="str">
        <f>INDEX(RatingLookup!$C$2:$C$11,MATCH(A1209,RatingLookup!$A$2:$A$11,0))</f>
        <v>Speculative Grade</v>
      </c>
    </row>
    <row r="1210" spans="1:36" x14ac:dyDescent="0.3">
      <c r="A1210" s="3" t="s">
        <v>92</v>
      </c>
      <c r="B1210" s="3" t="s">
        <v>1313</v>
      </c>
      <c r="C1210" s="3" t="s">
        <v>1314</v>
      </c>
      <c r="D1210" s="3" t="s">
        <v>44</v>
      </c>
      <c r="E1210" s="3" t="s">
        <v>681</v>
      </c>
      <c r="F1210" s="3" t="s">
        <v>174</v>
      </c>
      <c r="G1210" s="3">
        <v>0.82498441099999997</v>
      </c>
      <c r="H1210" s="3">
        <v>0.40960510300000003</v>
      </c>
      <c r="I1210" s="3">
        <v>0.25648168300000002</v>
      </c>
      <c r="J1210" s="3">
        <v>8.2978788380000008</v>
      </c>
      <c r="K1210" s="3">
        <v>-1.2070450999999999E-2</v>
      </c>
      <c r="L1210" s="3">
        <v>-2.0966210999999998E-2</v>
      </c>
      <c r="M1210" s="3">
        <v>0.65930297100000002</v>
      </c>
      <c r="N1210" s="3">
        <v>1.9407213999999999E-2</v>
      </c>
      <c r="O1210" s="3">
        <v>-2.7181204E-2</v>
      </c>
      <c r="P1210" s="3">
        <v>-7.0926316000000003E-2</v>
      </c>
      <c r="Q1210" s="3">
        <v>-9.6451411000000001E-2</v>
      </c>
      <c r="R1210" s="3">
        <v>2.251879771</v>
      </c>
      <c r="S1210" s="3">
        <v>3.2707400739999999</v>
      </c>
      <c r="T1210" s="3">
        <v>2.9265748039999999</v>
      </c>
      <c r="U1210" s="3">
        <v>0.82474507200000002</v>
      </c>
      <c r="V1210" s="3">
        <v>0.424290324</v>
      </c>
      <c r="W1210" s="3">
        <v>1.0368271950000001</v>
      </c>
      <c r="X1210" s="3">
        <v>2.3622654870000002</v>
      </c>
      <c r="Y1210" s="3">
        <v>1.6404719759999999</v>
      </c>
      <c r="Z1210" s="3">
        <v>3.5484598850000002</v>
      </c>
      <c r="AA1210" s="3">
        <v>-2.0966210999999998E-2</v>
      </c>
      <c r="AB1210" s="3">
        <v>2.1121794870000001</v>
      </c>
      <c r="AC1210" s="3">
        <v>2.2783598820000002</v>
      </c>
      <c r="AD1210" s="3">
        <v>5.2886213000000001E-2</v>
      </c>
      <c r="AE1210" s="3">
        <v>5.6454748859999997</v>
      </c>
      <c r="AF1210" s="4">
        <v>42170</v>
      </c>
      <c r="AG1210" s="5">
        <f>YEAR(AF1210)</f>
        <v>2015</v>
      </c>
      <c r="AH1210" s="5" t="str">
        <f>"Q"&amp;ROUNDUP(MONTH(AF1210)/3,0)</f>
        <v>Q2</v>
      </c>
      <c r="AI1210" s="5">
        <f>INDEX(RatingLookup!$B$2:$B$11,MATCH(A1210,RatingLookup!$A$2:$A$11,0))</f>
        <v>6</v>
      </c>
      <c r="AJ1210" s="5" t="str">
        <f>INDEX(RatingLookup!$C$2:$C$11,MATCH(A1210,RatingLookup!$A$2:$A$11,0))</f>
        <v>Speculative Grade</v>
      </c>
    </row>
    <row r="1211" spans="1:36" x14ac:dyDescent="0.3">
      <c r="A1211" s="3" t="s">
        <v>36</v>
      </c>
      <c r="B1211" s="3" t="s">
        <v>1316</v>
      </c>
      <c r="C1211" s="3" t="s">
        <v>1317</v>
      </c>
      <c r="D1211" s="3" t="s">
        <v>60</v>
      </c>
      <c r="E1211" s="3" t="s">
        <v>46</v>
      </c>
      <c r="F1211" s="3" t="s">
        <v>219</v>
      </c>
      <c r="G1211" s="3">
        <v>4.1378159280000002</v>
      </c>
      <c r="H1211" s="3">
        <v>3.2937529799999998</v>
      </c>
      <c r="I1211" s="3">
        <v>2.2226990940000002</v>
      </c>
      <c r="J1211" s="3">
        <v>50.054499370000002</v>
      </c>
      <c r="K1211" s="3">
        <v>0.35551330799999997</v>
      </c>
      <c r="L1211" s="3">
        <v>0.123193916</v>
      </c>
      <c r="M1211" s="3">
        <v>0.45196451199999998</v>
      </c>
      <c r="N1211" s="3">
        <v>0.21470215500000001</v>
      </c>
      <c r="O1211" s="3">
        <v>0.100725366</v>
      </c>
      <c r="P1211" s="3">
        <v>3.7746107000000001E-2</v>
      </c>
      <c r="Q1211" s="3">
        <v>0.13307714200000001</v>
      </c>
      <c r="R1211" s="3">
        <v>0.28332375799999998</v>
      </c>
      <c r="S1211" s="3">
        <v>0.73938712399999995</v>
      </c>
      <c r="T1211" s="3">
        <v>0.32118796799999999</v>
      </c>
      <c r="U1211" s="3">
        <v>0.24310542900000001</v>
      </c>
      <c r="V1211" s="3">
        <v>0.419753086</v>
      </c>
      <c r="W1211" s="3">
        <v>1</v>
      </c>
      <c r="X1211" s="3">
        <v>2.0416133159999998</v>
      </c>
      <c r="Y1211" s="3">
        <v>3.7291933419999999</v>
      </c>
      <c r="Z1211" s="3">
        <v>1.321187968</v>
      </c>
      <c r="AA1211" s="3">
        <v>0.123193916</v>
      </c>
      <c r="AB1211" s="3">
        <v>6.5736778569999998</v>
      </c>
      <c r="AC1211" s="3">
        <v>2.0416133159999998</v>
      </c>
      <c r="AD1211" s="3">
        <v>0.40418250999999999</v>
      </c>
      <c r="AE1211" s="3">
        <v>4.4257932450000004</v>
      </c>
      <c r="AF1211" s="4">
        <v>41075</v>
      </c>
      <c r="AG1211" s="5">
        <f>YEAR(AF1211)</f>
        <v>2012</v>
      </c>
      <c r="AH1211" s="5" t="str">
        <f>"Q"&amp;ROUNDUP(MONTH(AF1211)/3,0)</f>
        <v>Q2</v>
      </c>
      <c r="AI1211" s="5">
        <f>INDEX(RatingLookup!$B$2:$B$11,MATCH(A1211,RatingLookup!$A$2:$A$11,0))</f>
        <v>8</v>
      </c>
      <c r="AJ1211" s="5" t="str">
        <f>INDEX(RatingLookup!$C$2:$C$11,MATCH(A1211,RatingLookup!$A$2:$A$11,0))</f>
        <v>Investment Grade</v>
      </c>
    </row>
    <row r="1212" spans="1:36" x14ac:dyDescent="0.3">
      <c r="A1212" s="3" t="s">
        <v>42</v>
      </c>
      <c r="B1212" s="3" t="s">
        <v>1316</v>
      </c>
      <c r="C1212" s="3" t="s">
        <v>1317</v>
      </c>
      <c r="D1212" s="3" t="s">
        <v>60</v>
      </c>
      <c r="E1212" s="3" t="s">
        <v>204</v>
      </c>
      <c r="F1212" s="3" t="s">
        <v>219</v>
      </c>
      <c r="G1212" s="3">
        <v>2.9385216770000002</v>
      </c>
      <c r="H1212" s="3">
        <v>2.122245913</v>
      </c>
      <c r="I1212" s="3">
        <v>1.599147122</v>
      </c>
      <c r="J1212" s="3">
        <v>54.964328829999999</v>
      </c>
      <c r="K1212" s="3">
        <v>0.14696520699999999</v>
      </c>
      <c r="L1212" s="3">
        <v>4.6756668000000001E-2</v>
      </c>
      <c r="M1212" s="3">
        <v>0.40094391400000001</v>
      </c>
      <c r="N1212" s="3">
        <v>0.14509933</v>
      </c>
      <c r="O1212" s="3">
        <v>4.6905104000000003E-2</v>
      </c>
      <c r="P1212" s="3">
        <v>1.6554619E-2</v>
      </c>
      <c r="Q1212" s="3">
        <v>7.1268894999999999E-2</v>
      </c>
      <c r="R1212" s="3">
        <v>0.31915788</v>
      </c>
      <c r="S1212" s="3">
        <v>0.72035104400000005</v>
      </c>
      <c r="T1212" s="3">
        <v>0.51942729399999998</v>
      </c>
      <c r="U1212" s="3">
        <v>0.34185728799999998</v>
      </c>
      <c r="V1212" s="3">
        <v>0.34507042300000002</v>
      </c>
      <c r="W1212" s="3">
        <v>0.62299750799999998</v>
      </c>
      <c r="X1212" s="3">
        <v>1.4356029530000001</v>
      </c>
      <c r="Y1212" s="3">
        <v>3.773584906</v>
      </c>
      <c r="Z1212" s="3">
        <v>1.519427294</v>
      </c>
      <c r="AA1212" s="3">
        <v>4.6756668000000001E-2</v>
      </c>
      <c r="AB1212" s="3">
        <v>9.0453272150000004</v>
      </c>
      <c r="AC1212" s="3">
        <v>2.3043478259999999</v>
      </c>
      <c r="AD1212" s="3">
        <v>0.30830863800000002</v>
      </c>
      <c r="AE1212" s="3">
        <v>5.8436830840000002</v>
      </c>
      <c r="AF1212" s="4">
        <v>42305</v>
      </c>
      <c r="AG1212" s="5">
        <f>YEAR(AF1212)</f>
        <v>2015</v>
      </c>
      <c r="AH1212" s="5" t="str">
        <f>"Q"&amp;ROUNDUP(MONTH(AF1212)/3,0)</f>
        <v>Q4</v>
      </c>
      <c r="AI1212" s="5">
        <f>INDEX(RatingLookup!$B$2:$B$11,MATCH(A1212,RatingLookup!$A$2:$A$11,0))</f>
        <v>7</v>
      </c>
      <c r="AJ1212" s="5" t="str">
        <f>INDEX(RatingLookup!$C$2:$C$11,MATCH(A1212,RatingLookup!$A$2:$A$11,0))</f>
        <v>Investment Grade</v>
      </c>
    </row>
    <row r="1213" spans="1:36" x14ac:dyDescent="0.3">
      <c r="A1213" s="3" t="s">
        <v>36</v>
      </c>
      <c r="B1213" s="3" t="s">
        <v>1316</v>
      </c>
      <c r="C1213" s="3" t="s">
        <v>1317</v>
      </c>
      <c r="D1213" s="3" t="s">
        <v>60</v>
      </c>
      <c r="E1213" s="3" t="s">
        <v>1318</v>
      </c>
      <c r="F1213" s="3" t="s">
        <v>219</v>
      </c>
      <c r="G1213" s="3">
        <v>5.0922107670000001</v>
      </c>
      <c r="H1213" s="3">
        <v>3.715922108</v>
      </c>
      <c r="I1213" s="3">
        <v>2.6941580759999999</v>
      </c>
      <c r="J1213" s="3">
        <v>58.49149508</v>
      </c>
      <c r="K1213" s="3">
        <v>0.25079933500000001</v>
      </c>
      <c r="L1213" s="3">
        <v>0.16293643699999999</v>
      </c>
      <c r="M1213" s="3">
        <v>0.425118302</v>
      </c>
      <c r="N1213" s="3">
        <v>0.17534211499999999</v>
      </c>
      <c r="O1213" s="3">
        <v>6.8860172999999997E-2</v>
      </c>
      <c r="P1213" s="3">
        <v>4.7658236999999999E-2</v>
      </c>
      <c r="Q1213" s="3">
        <v>9.2666100000000001E-2</v>
      </c>
      <c r="R1213" s="3">
        <v>0.27456281999999999</v>
      </c>
      <c r="S1213" s="3">
        <v>0.79777573700000004</v>
      </c>
      <c r="T1213" s="3">
        <v>0.34571401600000001</v>
      </c>
      <c r="U1213" s="3">
        <v>0.25690006300000001</v>
      </c>
      <c r="V1213" s="3">
        <v>0.40188383</v>
      </c>
      <c r="W1213" s="3">
        <v>1</v>
      </c>
      <c r="X1213" s="3">
        <v>1.919421488</v>
      </c>
      <c r="Y1213" s="3">
        <v>3.6053719009999998</v>
      </c>
      <c r="Z1213" s="3">
        <v>1.3457140160000001</v>
      </c>
      <c r="AA1213" s="3">
        <v>0.16293643699999999</v>
      </c>
      <c r="AB1213" s="3">
        <v>10.03993257</v>
      </c>
      <c r="AC1213" s="3">
        <v>1.919421488</v>
      </c>
      <c r="AD1213" s="3">
        <v>0.356439442</v>
      </c>
      <c r="AE1213" s="3">
        <v>5.8300907909999999</v>
      </c>
      <c r="AF1213" s="4">
        <v>41591</v>
      </c>
      <c r="AG1213" s="5">
        <f>YEAR(AF1213)</f>
        <v>2013</v>
      </c>
      <c r="AH1213" s="5" t="str">
        <f>"Q"&amp;ROUNDUP(MONTH(AF1213)/3,0)</f>
        <v>Q4</v>
      </c>
      <c r="AI1213" s="5">
        <f>INDEX(RatingLookup!$B$2:$B$11,MATCH(A1213,RatingLookup!$A$2:$A$11,0))</f>
        <v>8</v>
      </c>
      <c r="AJ1213" s="5" t="str">
        <f>INDEX(RatingLookup!$C$2:$C$11,MATCH(A1213,RatingLookup!$A$2:$A$11,0))</f>
        <v>Investment Grade</v>
      </c>
    </row>
    <row r="1214" spans="1:36" x14ac:dyDescent="0.3">
      <c r="A1214" s="3" t="s">
        <v>36</v>
      </c>
      <c r="B1214" s="3" t="s">
        <v>1316</v>
      </c>
      <c r="C1214" s="3" t="s">
        <v>1317</v>
      </c>
      <c r="D1214" s="3" t="s">
        <v>60</v>
      </c>
      <c r="E1214" s="3" t="s">
        <v>1210</v>
      </c>
      <c r="F1214" s="3" t="s">
        <v>219</v>
      </c>
      <c r="G1214" s="3">
        <v>4.956543967</v>
      </c>
      <c r="H1214" s="3">
        <v>3.8067484660000002</v>
      </c>
      <c r="I1214" s="3">
        <v>2.550102249</v>
      </c>
      <c r="J1214" s="3">
        <v>59.314777829999997</v>
      </c>
      <c r="K1214" s="3">
        <v>0.215676485</v>
      </c>
      <c r="L1214" s="3">
        <v>6.2156765000000003E-2</v>
      </c>
      <c r="M1214" s="3">
        <v>0.423989016</v>
      </c>
      <c r="N1214" s="3">
        <v>0.164877683</v>
      </c>
      <c r="O1214" s="3">
        <v>5.8825532E-2</v>
      </c>
      <c r="P1214" s="3">
        <v>1.8162588E-2</v>
      </c>
      <c r="Q1214" s="3">
        <v>8.0424462000000002E-2</v>
      </c>
      <c r="R1214" s="3">
        <v>0.272748936</v>
      </c>
      <c r="S1214" s="3">
        <v>0.75407058800000004</v>
      </c>
      <c r="T1214" s="3">
        <v>0.36716932000000002</v>
      </c>
      <c r="U1214" s="3">
        <v>0.26856170200000001</v>
      </c>
      <c r="V1214" s="3">
        <v>0.78112449799999994</v>
      </c>
      <c r="W1214" s="3">
        <v>1</v>
      </c>
      <c r="X1214" s="3">
        <v>2.1459170009999999</v>
      </c>
      <c r="Y1214" s="3">
        <v>4.1124497990000002</v>
      </c>
      <c r="Z1214" s="3">
        <v>1.3671693199999999</v>
      </c>
      <c r="AA1214" s="3">
        <v>6.2156765000000003E-2</v>
      </c>
      <c r="AB1214" s="3">
        <v>7.0742018980000001</v>
      </c>
      <c r="AC1214" s="3">
        <v>2.1459170009999999</v>
      </c>
      <c r="AD1214" s="3">
        <v>0.40014977499999999</v>
      </c>
      <c r="AE1214" s="3">
        <v>5.9242618739999999</v>
      </c>
      <c r="AF1214" s="4">
        <v>41208</v>
      </c>
      <c r="AG1214" s="5">
        <f>YEAR(AF1214)</f>
        <v>2012</v>
      </c>
      <c r="AH1214" s="5" t="str">
        <f>"Q"&amp;ROUNDUP(MONTH(AF1214)/3,0)</f>
        <v>Q4</v>
      </c>
      <c r="AI1214" s="5">
        <f>INDEX(RatingLookup!$B$2:$B$11,MATCH(A1214,RatingLookup!$A$2:$A$11,0))</f>
        <v>8</v>
      </c>
      <c r="AJ1214" s="5" t="str">
        <f>INDEX(RatingLookup!$C$2:$C$11,MATCH(A1214,RatingLookup!$A$2:$A$11,0))</f>
        <v>Investment Grade</v>
      </c>
    </row>
    <row r="1215" spans="1:36" x14ac:dyDescent="0.3">
      <c r="A1215" s="3" t="s">
        <v>36</v>
      </c>
      <c r="B1215" s="3" t="s">
        <v>1316</v>
      </c>
      <c r="C1215" s="3" t="s">
        <v>1317</v>
      </c>
      <c r="D1215" s="3" t="s">
        <v>60</v>
      </c>
      <c r="E1215" s="3" t="s">
        <v>804</v>
      </c>
      <c r="F1215" s="3" t="s">
        <v>219</v>
      </c>
      <c r="G1215" s="3">
        <v>4.4053356279999996</v>
      </c>
      <c r="H1215" s="3">
        <v>3.2568846819999999</v>
      </c>
      <c r="I1215" s="3">
        <v>2.2844234079999999</v>
      </c>
      <c r="J1215" s="3">
        <v>56.393721050000003</v>
      </c>
      <c r="K1215" s="3">
        <v>0.25445187899999999</v>
      </c>
      <c r="L1215" s="3">
        <v>0.24539372100000001</v>
      </c>
      <c r="M1215" s="3">
        <v>0.41708697900000002</v>
      </c>
      <c r="N1215" s="3">
        <v>0.19876479699999999</v>
      </c>
      <c r="O1215" s="3">
        <v>8.2227323000000005E-2</v>
      </c>
      <c r="P1215" s="3">
        <v>8.5943978000000004E-2</v>
      </c>
      <c r="Q1215" s="3">
        <v>0.114555818</v>
      </c>
      <c r="R1215" s="3">
        <v>0.32315470800000001</v>
      </c>
      <c r="S1215" s="3">
        <v>0.76100579700000004</v>
      </c>
      <c r="T1215" s="3">
        <v>0.39316001699999997</v>
      </c>
      <c r="U1215" s="3">
        <v>0.28220736499999999</v>
      </c>
      <c r="V1215" s="3">
        <v>0.45973154399999999</v>
      </c>
      <c r="W1215" s="3">
        <v>0.97855170899999999</v>
      </c>
      <c r="X1215" s="3">
        <v>3.531034483</v>
      </c>
      <c r="Y1215" s="3">
        <v>4.6498084290000001</v>
      </c>
      <c r="Z1215" s="3">
        <v>1.393160017</v>
      </c>
      <c r="AA1215" s="3">
        <v>0.24539372100000001</v>
      </c>
      <c r="AB1215" s="3">
        <v>9.2538645800000001</v>
      </c>
      <c r="AC1215" s="3">
        <v>3.6084291190000002</v>
      </c>
      <c r="AD1215" s="3">
        <v>0.48471435899999998</v>
      </c>
      <c r="AE1215" s="3">
        <v>5.6800401200000001</v>
      </c>
      <c r="AF1215" s="4">
        <v>42129</v>
      </c>
      <c r="AG1215" s="5">
        <f>YEAR(AF1215)</f>
        <v>2015</v>
      </c>
      <c r="AH1215" s="5" t="str">
        <f>"Q"&amp;ROUNDUP(MONTH(AF1215)/3,0)</f>
        <v>Q2</v>
      </c>
      <c r="AI1215" s="5">
        <f>INDEX(RatingLookup!$B$2:$B$11,MATCH(A1215,RatingLookup!$A$2:$A$11,0))</f>
        <v>8</v>
      </c>
      <c r="AJ1215" s="5" t="str">
        <f>INDEX(RatingLookup!$C$2:$C$11,MATCH(A1215,RatingLookup!$A$2:$A$11,0))</f>
        <v>Investment Grade</v>
      </c>
    </row>
    <row r="1216" spans="1:36" x14ac:dyDescent="0.3">
      <c r="A1216" s="3" t="s">
        <v>42</v>
      </c>
      <c r="B1216" s="3" t="s">
        <v>1319</v>
      </c>
      <c r="C1216" s="3" t="s">
        <v>1320</v>
      </c>
      <c r="D1216" s="3" t="s">
        <v>60</v>
      </c>
      <c r="E1216" s="3" t="s">
        <v>46</v>
      </c>
      <c r="F1216" s="3" t="s">
        <v>79</v>
      </c>
      <c r="G1216" s="3">
        <v>0.86430876000000001</v>
      </c>
      <c r="H1216" s="3">
        <v>0.22433937300000001</v>
      </c>
      <c r="I1216" s="3">
        <v>2.4631377999999999E-2</v>
      </c>
      <c r="J1216" s="3">
        <v>44.979602069999999</v>
      </c>
      <c r="K1216" s="3">
        <v>3.9090133999999999E-2</v>
      </c>
      <c r="L1216" s="3">
        <v>-7.3078819999999999E-3</v>
      </c>
      <c r="M1216" s="3">
        <v>0.54803142299999996</v>
      </c>
      <c r="N1216" s="3">
        <v>0.146392672</v>
      </c>
      <c r="O1216" s="3">
        <v>1.2049673E-2</v>
      </c>
      <c r="P1216" s="3">
        <v>-2.8614819999999998E-3</v>
      </c>
      <c r="Q1216" s="3">
        <v>4.1121739999999997E-2</v>
      </c>
      <c r="R1216" s="3">
        <v>0.30825355300000001</v>
      </c>
      <c r="S1216" s="3">
        <v>0.45605083200000002</v>
      </c>
      <c r="T1216" s="3">
        <v>2.412685143</v>
      </c>
      <c r="U1216" s="3">
        <v>0.70697560500000001</v>
      </c>
      <c r="V1216" s="3">
        <v>-1.9602022160000001</v>
      </c>
      <c r="W1216" s="3">
        <v>0.99492633100000005</v>
      </c>
      <c r="X1216" s="3">
        <v>5.5832079070000002</v>
      </c>
      <c r="Y1216" s="3">
        <v>1.0087045960000001</v>
      </c>
      <c r="Z1216" s="3">
        <v>3.412685143</v>
      </c>
      <c r="AA1216" s="3">
        <v>-7.3078819999999999E-3</v>
      </c>
      <c r="AB1216" s="3">
        <v>8.0784486219999998</v>
      </c>
      <c r="AC1216" s="3">
        <v>5.6116797109999998</v>
      </c>
      <c r="AD1216" s="3">
        <v>0.175841935</v>
      </c>
      <c r="AE1216" s="3">
        <v>5.489259938</v>
      </c>
      <c r="AF1216" s="4">
        <v>41075</v>
      </c>
      <c r="AG1216" s="5">
        <f>YEAR(AF1216)</f>
        <v>2012</v>
      </c>
      <c r="AH1216" s="5" t="str">
        <f>"Q"&amp;ROUNDUP(MONTH(AF1216)/3,0)</f>
        <v>Q2</v>
      </c>
      <c r="AI1216" s="5">
        <f>INDEX(RatingLookup!$B$2:$B$11,MATCH(A1216,RatingLookup!$A$2:$A$11,0))</f>
        <v>7</v>
      </c>
      <c r="AJ1216" s="5" t="str">
        <f>INDEX(RatingLookup!$C$2:$C$11,MATCH(A1216,RatingLookup!$A$2:$A$11,0))</f>
        <v>Investment Grade</v>
      </c>
    </row>
    <row r="1217" spans="1:36" x14ac:dyDescent="0.3">
      <c r="A1217" s="3" t="s">
        <v>42</v>
      </c>
      <c r="B1217" s="3" t="s">
        <v>1319</v>
      </c>
      <c r="C1217" s="3" t="s">
        <v>1320</v>
      </c>
      <c r="D1217" s="3" t="s">
        <v>60</v>
      </c>
      <c r="E1217" s="3" t="s">
        <v>1321</v>
      </c>
      <c r="F1217" s="3" t="s">
        <v>79</v>
      </c>
      <c r="G1217" s="3">
        <v>0.88423130299999997</v>
      </c>
      <c r="H1217" s="3">
        <v>0.53227877800000001</v>
      </c>
      <c r="I1217" s="3">
        <v>2.5723010000000001E-2</v>
      </c>
      <c r="J1217" s="3">
        <v>61.094770160000003</v>
      </c>
      <c r="K1217" s="3">
        <v>4.6389831999999999E-2</v>
      </c>
      <c r="L1217" s="3">
        <v>5.9191061000000003E-2</v>
      </c>
      <c r="M1217" s="3">
        <v>1</v>
      </c>
      <c r="N1217" s="3">
        <v>0.14150647099999999</v>
      </c>
      <c r="O1217" s="3">
        <v>1.1199544000000001E-2</v>
      </c>
      <c r="P1217" s="3">
        <v>1.5550031000000001E-2</v>
      </c>
      <c r="Q1217" s="3">
        <v>4.5192764000000003E-2</v>
      </c>
      <c r="R1217" s="3">
        <v>0.24142237999999999</v>
      </c>
      <c r="S1217" s="3">
        <v>0.35197535699999999</v>
      </c>
      <c r="T1217" s="3">
        <v>3.0352326430000001</v>
      </c>
      <c r="U1217" s="3">
        <v>0.75218281399999998</v>
      </c>
      <c r="V1217" s="3">
        <v>0.112506176</v>
      </c>
      <c r="W1217" s="3">
        <v>-0.48155325300000001</v>
      </c>
      <c r="X1217" s="3">
        <v>-2.9721505330000002</v>
      </c>
      <c r="Y1217" s="3">
        <v>0.34124263300000002</v>
      </c>
      <c r="Z1217" s="3">
        <v>4.0352326429999996</v>
      </c>
      <c r="AA1217" s="3">
        <v>5.9191061000000003E-2</v>
      </c>
      <c r="AB1217" s="3">
        <v>15.315972370000001</v>
      </c>
      <c r="AC1217" s="3">
        <v>6.172008012</v>
      </c>
      <c r="AD1217" s="3">
        <v>0.20373063999999999</v>
      </c>
      <c r="AE1217" s="3">
        <v>3.252161562</v>
      </c>
      <c r="AF1217" s="4">
        <v>42593</v>
      </c>
      <c r="AG1217" s="5">
        <f>YEAR(AF1217)</f>
        <v>2016</v>
      </c>
      <c r="AH1217" s="5" t="str">
        <f>"Q"&amp;ROUNDUP(MONTH(AF1217)/3,0)</f>
        <v>Q3</v>
      </c>
      <c r="AI1217" s="5">
        <f>INDEX(RatingLookup!$B$2:$B$11,MATCH(A1217,RatingLookup!$A$2:$A$11,0))</f>
        <v>7</v>
      </c>
      <c r="AJ1217" s="5" t="str">
        <f>INDEX(RatingLookup!$C$2:$C$11,MATCH(A1217,RatingLookup!$A$2:$A$11,0))</f>
        <v>Investment Grade</v>
      </c>
    </row>
    <row r="1218" spans="1:36" x14ac:dyDescent="0.3">
      <c r="A1218" s="3" t="s">
        <v>42</v>
      </c>
      <c r="B1218" s="3" t="s">
        <v>1319</v>
      </c>
      <c r="C1218" s="3" t="s">
        <v>1320</v>
      </c>
      <c r="D1218" s="3" t="s">
        <v>60</v>
      </c>
      <c r="E1218" s="3" t="s">
        <v>725</v>
      </c>
      <c r="F1218" s="3" t="s">
        <v>79</v>
      </c>
      <c r="G1218" s="3">
        <v>0.91250918400000003</v>
      </c>
      <c r="H1218" s="3">
        <v>0.49189733499999999</v>
      </c>
      <c r="I1218" s="3">
        <v>2.0721786999999998E-2</v>
      </c>
      <c r="J1218" s="3">
        <v>50.800676719999998</v>
      </c>
      <c r="K1218" s="3">
        <v>9.0106062000000001E-2</v>
      </c>
      <c r="L1218" s="3">
        <v>9.5402915000000005E-2</v>
      </c>
      <c r="M1218" s="3">
        <v>1</v>
      </c>
      <c r="N1218" s="3">
        <v>0.20029909400000001</v>
      </c>
      <c r="O1218" s="3">
        <v>2.9666250000000002E-2</v>
      </c>
      <c r="P1218" s="3">
        <v>3.4809127000000002E-2</v>
      </c>
      <c r="Q1218" s="3">
        <v>8.7908373999999997E-2</v>
      </c>
      <c r="R1218" s="3">
        <v>0.32923700500000003</v>
      </c>
      <c r="S1218" s="3">
        <v>0.426663974</v>
      </c>
      <c r="T1218" s="3">
        <v>1.9632452119999999</v>
      </c>
      <c r="U1218" s="3">
        <v>0.66253214699999996</v>
      </c>
      <c r="V1218" s="3">
        <v>0.50614525099999996</v>
      </c>
      <c r="W1218" s="3">
        <v>-9.2782838000000006E-2</v>
      </c>
      <c r="X1218" s="3">
        <v>-0.68201888499999996</v>
      </c>
      <c r="Y1218" s="3">
        <v>0.193782125</v>
      </c>
      <c r="Z1218" s="3">
        <v>2.9632452119999999</v>
      </c>
      <c r="AA1218" s="3">
        <v>9.5402915000000005E-2</v>
      </c>
      <c r="AB1218" s="3">
        <v>9.6255853069999997</v>
      </c>
      <c r="AC1218" s="3">
        <v>7.3507008129999996</v>
      </c>
      <c r="AD1218" s="3">
        <v>0.254440954</v>
      </c>
      <c r="AE1218" s="3">
        <v>3.7736704090000002</v>
      </c>
      <c r="AF1218" s="4">
        <v>41669</v>
      </c>
      <c r="AG1218" s="5">
        <f>YEAR(AF1218)</f>
        <v>2014</v>
      </c>
      <c r="AH1218" s="5" t="str">
        <f>"Q"&amp;ROUNDUP(MONTH(AF1218)/3,0)</f>
        <v>Q1</v>
      </c>
      <c r="AI1218" s="5">
        <f>INDEX(RatingLookup!$B$2:$B$11,MATCH(A1218,RatingLookup!$A$2:$A$11,0))</f>
        <v>7</v>
      </c>
      <c r="AJ1218" s="5" t="str">
        <f>INDEX(RatingLookup!$C$2:$C$11,MATCH(A1218,RatingLookup!$A$2:$A$11,0))</f>
        <v>Investment Grade</v>
      </c>
    </row>
    <row r="1219" spans="1:36" x14ac:dyDescent="0.3">
      <c r="A1219" s="3" t="s">
        <v>42</v>
      </c>
      <c r="B1219" s="3" t="s">
        <v>1319</v>
      </c>
      <c r="C1219" s="3" t="s">
        <v>1320</v>
      </c>
      <c r="D1219" s="3" t="s">
        <v>60</v>
      </c>
      <c r="E1219" s="3" t="s">
        <v>955</v>
      </c>
      <c r="F1219" s="3" t="s">
        <v>79</v>
      </c>
      <c r="G1219" s="3">
        <v>1.9480912450000001</v>
      </c>
      <c r="H1219" s="3">
        <v>1.5720365190000001</v>
      </c>
      <c r="I1219" s="3">
        <v>1.081762154</v>
      </c>
      <c r="J1219" s="3">
        <v>41.263363239999997</v>
      </c>
      <c r="K1219" s="3">
        <v>-2.4613579999999999E-2</v>
      </c>
      <c r="L1219" s="3">
        <v>-3.7959382E-2</v>
      </c>
      <c r="M1219" s="3">
        <v>1</v>
      </c>
      <c r="N1219" s="3">
        <v>2.283833E-2</v>
      </c>
      <c r="O1219" s="3">
        <v>-6.8974320000000002E-3</v>
      </c>
      <c r="P1219" s="3">
        <v>-1.1697727E-2</v>
      </c>
      <c r="Q1219" s="3">
        <v>-2.1905806999999999E-2</v>
      </c>
      <c r="R1219" s="3">
        <v>0.28022870100000002</v>
      </c>
      <c r="S1219" s="3">
        <v>0.40029683100000002</v>
      </c>
      <c r="T1219" s="3">
        <v>2.1759368349999999</v>
      </c>
      <c r="U1219" s="3">
        <v>0.68513227700000001</v>
      </c>
      <c r="V1219" s="3">
        <v>0.44747788900000002</v>
      </c>
      <c r="W1219" s="3">
        <v>-6.4197998000000006E-2</v>
      </c>
      <c r="X1219" s="3">
        <v>-0.60671701099999997</v>
      </c>
      <c r="Y1219" s="3">
        <v>11.392841369999999</v>
      </c>
      <c r="Z1219" s="3">
        <v>3.1759368349999999</v>
      </c>
      <c r="AA1219" s="3">
        <v>-3.7959382E-2</v>
      </c>
      <c r="AB1219" s="3">
        <v>19.41702635</v>
      </c>
      <c r="AC1219" s="3">
        <v>9.4507154209999999</v>
      </c>
      <c r="AD1219" s="3">
        <v>0.32807171499999999</v>
      </c>
      <c r="AE1219" s="3">
        <v>4.3319964349999998</v>
      </c>
      <c r="AF1219" s="4">
        <v>42380</v>
      </c>
      <c r="AG1219" s="5">
        <f>YEAR(AF1219)</f>
        <v>2016</v>
      </c>
      <c r="AH1219" s="5" t="str">
        <f>"Q"&amp;ROUNDUP(MONTH(AF1219)/3,0)</f>
        <v>Q1</v>
      </c>
      <c r="AI1219" s="5">
        <f>INDEX(RatingLookup!$B$2:$B$11,MATCH(A1219,RatingLookup!$A$2:$A$11,0))</f>
        <v>7</v>
      </c>
      <c r="AJ1219" s="5" t="str">
        <f>INDEX(RatingLookup!$C$2:$C$11,MATCH(A1219,RatingLookup!$A$2:$A$11,0))</f>
        <v>Investment Grade</v>
      </c>
    </row>
    <row r="1220" spans="1:36" x14ac:dyDescent="0.3">
      <c r="A1220" s="3" t="s">
        <v>42</v>
      </c>
      <c r="B1220" s="3" t="s">
        <v>1319</v>
      </c>
      <c r="C1220" s="3" t="s">
        <v>1320</v>
      </c>
      <c r="D1220" s="3" t="s">
        <v>60</v>
      </c>
      <c r="E1220" s="3" t="s">
        <v>491</v>
      </c>
      <c r="F1220" s="3" t="s">
        <v>79</v>
      </c>
      <c r="G1220" s="3">
        <v>0.69714301499999998</v>
      </c>
      <c r="H1220" s="3">
        <v>0.51898182199999998</v>
      </c>
      <c r="I1220" s="3">
        <v>3.2578871000000002E-2</v>
      </c>
      <c r="J1220" s="3">
        <v>49.762179150000001</v>
      </c>
      <c r="K1220" s="3">
        <v>9.3923519999999996E-2</v>
      </c>
      <c r="L1220" s="3">
        <v>0.141733103</v>
      </c>
      <c r="M1220" s="3">
        <v>1</v>
      </c>
      <c r="N1220" s="3">
        <v>0.18934678599999999</v>
      </c>
      <c r="O1220" s="3">
        <v>3.0827136000000002E-2</v>
      </c>
      <c r="P1220" s="3">
        <v>5.4947377999999998E-2</v>
      </c>
      <c r="Q1220" s="3">
        <v>9.6676672000000005E-2</v>
      </c>
      <c r="R1220" s="3">
        <v>0.32821529999999999</v>
      </c>
      <c r="S1220" s="3">
        <v>0.43474734300000001</v>
      </c>
      <c r="T1220" s="3">
        <v>2.1360899459999998</v>
      </c>
      <c r="U1220" s="3">
        <v>0.68113159499999998</v>
      </c>
      <c r="V1220" s="3">
        <v>0.33731615300000001</v>
      </c>
      <c r="W1220" s="3">
        <v>-0.231984468</v>
      </c>
      <c r="X1220" s="3">
        <v>-1.6902509349999999</v>
      </c>
      <c r="Y1220" s="3">
        <v>3.3340316259999998</v>
      </c>
      <c r="Z1220" s="3">
        <v>3.1360899459999998</v>
      </c>
      <c r="AA1220" s="3">
        <v>0.141733103</v>
      </c>
      <c r="AB1220" s="3">
        <v>9.1254176359999999</v>
      </c>
      <c r="AC1220" s="3">
        <v>7.2860521690000004</v>
      </c>
      <c r="AD1220" s="3">
        <v>0.232106747</v>
      </c>
      <c r="AE1220" s="3">
        <v>4.686536866</v>
      </c>
      <c r="AF1220" s="4">
        <v>41863</v>
      </c>
      <c r="AG1220" s="5">
        <f>YEAR(AF1220)</f>
        <v>2014</v>
      </c>
      <c r="AH1220" s="5" t="str">
        <f>"Q"&amp;ROUNDUP(MONTH(AF1220)/3,0)</f>
        <v>Q3</v>
      </c>
      <c r="AI1220" s="5">
        <f>INDEX(RatingLookup!$B$2:$B$11,MATCH(A1220,RatingLookup!$A$2:$A$11,0))</f>
        <v>7</v>
      </c>
      <c r="AJ1220" s="5" t="str">
        <f>INDEX(RatingLookup!$C$2:$C$11,MATCH(A1220,RatingLookup!$A$2:$A$11,0))</f>
        <v>Investment Grade</v>
      </c>
    </row>
    <row r="1221" spans="1:36" x14ac:dyDescent="0.3">
      <c r="A1221" s="3" t="s">
        <v>42</v>
      </c>
      <c r="B1221" s="3" t="s">
        <v>1322</v>
      </c>
      <c r="C1221" s="3" t="s">
        <v>1323</v>
      </c>
      <c r="D1221" s="3" t="s">
        <v>39</v>
      </c>
      <c r="E1221" s="3" t="s">
        <v>1324</v>
      </c>
      <c r="F1221" s="3" t="s">
        <v>79</v>
      </c>
      <c r="G1221" s="3">
        <v>0.76202080800000005</v>
      </c>
      <c r="H1221" s="3">
        <v>0.26200974799999999</v>
      </c>
      <c r="I1221" s="3">
        <v>0</v>
      </c>
      <c r="J1221" s="3">
        <v>29.476009359999999</v>
      </c>
      <c r="K1221" s="3">
        <v>7.4022447000000005E-2</v>
      </c>
      <c r="L1221" s="3">
        <v>9.4177511000000005E-2</v>
      </c>
      <c r="M1221" s="3">
        <v>0.60494047200000001</v>
      </c>
      <c r="N1221" s="3">
        <v>0.12763591899999999</v>
      </c>
      <c r="O1221" s="3">
        <v>3.1700187999999997E-2</v>
      </c>
      <c r="P1221" s="3">
        <v>4.7390857000000002E-2</v>
      </c>
      <c r="Q1221" s="3">
        <v>9.5406290000000005E-2</v>
      </c>
      <c r="R1221" s="3">
        <v>0.42825102300000001</v>
      </c>
      <c r="S1221" s="3">
        <v>0.561893741</v>
      </c>
      <c r="T1221" s="3">
        <v>2.009644261</v>
      </c>
      <c r="U1221" s="3">
        <v>0.66773481700000004</v>
      </c>
      <c r="V1221" s="3">
        <v>0.22544934599999999</v>
      </c>
      <c r="W1221" s="3">
        <v>-0.45439835000000001</v>
      </c>
      <c r="X1221" s="3">
        <v>-1.3996823140000001</v>
      </c>
      <c r="Y1221" s="3">
        <v>0.221641014</v>
      </c>
      <c r="Z1221" s="3">
        <v>3.009644261</v>
      </c>
      <c r="AA1221" s="3">
        <v>9.4177511000000005E-2</v>
      </c>
      <c r="AB1221" s="3">
        <v>9.6128851239999999</v>
      </c>
      <c r="AC1221" s="3">
        <v>3.080297968</v>
      </c>
      <c r="AD1221" s="3">
        <v>0.144233679</v>
      </c>
      <c r="AE1221" s="3">
        <v>3.4421501920000002</v>
      </c>
      <c r="AF1221" s="4">
        <v>42333</v>
      </c>
      <c r="AG1221" s="5">
        <f>YEAR(AF1221)</f>
        <v>2015</v>
      </c>
      <c r="AH1221" s="5" t="str">
        <f>"Q"&amp;ROUNDUP(MONTH(AF1221)/3,0)</f>
        <v>Q4</v>
      </c>
      <c r="AI1221" s="5">
        <f>INDEX(RatingLookup!$B$2:$B$11,MATCH(A1221,RatingLookup!$A$2:$A$11,0))</f>
        <v>7</v>
      </c>
      <c r="AJ1221" s="5" t="str">
        <f>INDEX(RatingLookup!$C$2:$C$11,MATCH(A1221,RatingLookup!$A$2:$A$11,0))</f>
        <v>Investment Grade</v>
      </c>
    </row>
    <row r="1222" spans="1:36" x14ac:dyDescent="0.3">
      <c r="A1222" s="3" t="s">
        <v>92</v>
      </c>
      <c r="B1222" s="3" t="s">
        <v>1322</v>
      </c>
      <c r="C1222" s="3" t="s">
        <v>1323</v>
      </c>
      <c r="D1222" s="3" t="s">
        <v>39</v>
      </c>
      <c r="E1222" s="3" t="s">
        <v>1325</v>
      </c>
      <c r="F1222" s="3" t="s">
        <v>79</v>
      </c>
      <c r="G1222" s="3">
        <v>1.075992305</v>
      </c>
      <c r="H1222" s="3">
        <v>0.36523367099999998</v>
      </c>
      <c r="I1222" s="3">
        <v>4.9379109999999997E-3</v>
      </c>
      <c r="J1222" s="3">
        <v>34.146799610000002</v>
      </c>
      <c r="K1222" s="3">
        <v>-5.9027460000000004E-3</v>
      </c>
      <c r="L1222" s="3">
        <v>4.6009629000000003E-2</v>
      </c>
      <c r="M1222" s="3">
        <v>0.69770841800000005</v>
      </c>
      <c r="N1222" s="3">
        <v>9.1823358999999993E-2</v>
      </c>
      <c r="O1222" s="3">
        <v>-3.3038450000000001E-3</v>
      </c>
      <c r="P1222" s="3">
        <v>3.0151996E-2</v>
      </c>
      <c r="Q1222" s="3">
        <v>-9.8592079999999995E-3</v>
      </c>
      <c r="R1222" s="3">
        <v>0.55971326200000004</v>
      </c>
      <c r="S1222" s="3">
        <v>0.76546765400000005</v>
      </c>
      <c r="T1222" s="3">
        <v>1.9841613220000001</v>
      </c>
      <c r="U1222" s="3">
        <v>0.66489747300000002</v>
      </c>
      <c r="V1222" s="3">
        <v>5.1896548000000001E-2</v>
      </c>
      <c r="W1222" s="3">
        <v>0.50433103400000001</v>
      </c>
      <c r="X1222" s="3">
        <v>3.267448957</v>
      </c>
      <c r="Y1222" s="3">
        <v>4.1278295999999999E-2</v>
      </c>
      <c r="Z1222" s="3">
        <v>2.9841613219999998</v>
      </c>
      <c r="AA1222" s="3">
        <v>4.6009629000000003E-2</v>
      </c>
      <c r="AB1222" s="3">
        <v>9.9458168709999999</v>
      </c>
      <c r="AC1222" s="3">
        <v>6.4787782959999998</v>
      </c>
      <c r="AD1222" s="3">
        <v>0.26143916</v>
      </c>
      <c r="AE1222" s="3">
        <v>2.3801175780000001</v>
      </c>
      <c r="AF1222" s="4">
        <v>41730</v>
      </c>
      <c r="AG1222" s="5">
        <f>YEAR(AF1222)</f>
        <v>2014</v>
      </c>
      <c r="AH1222" s="5" t="str">
        <f>"Q"&amp;ROUNDUP(MONTH(AF1222)/3,0)</f>
        <v>Q2</v>
      </c>
      <c r="AI1222" s="5">
        <f>INDEX(RatingLookup!$B$2:$B$11,MATCH(A1222,RatingLookup!$A$2:$A$11,0))</f>
        <v>6</v>
      </c>
      <c r="AJ1222" s="5" t="str">
        <f>INDEX(RatingLookup!$C$2:$C$11,MATCH(A1222,RatingLookup!$A$2:$A$11,0))</f>
        <v>Speculative Grade</v>
      </c>
    </row>
    <row r="1223" spans="1:36" x14ac:dyDescent="0.3">
      <c r="A1223" s="3" t="s">
        <v>92</v>
      </c>
      <c r="B1223" s="3" t="s">
        <v>1322</v>
      </c>
      <c r="C1223" s="3" t="s">
        <v>1323</v>
      </c>
      <c r="D1223" s="3" t="s">
        <v>39</v>
      </c>
      <c r="E1223" s="3" t="s">
        <v>881</v>
      </c>
      <c r="F1223" s="3" t="s">
        <v>79</v>
      </c>
      <c r="G1223" s="3">
        <v>1.5228087400000001</v>
      </c>
      <c r="H1223" s="3">
        <v>0.299599899</v>
      </c>
      <c r="I1223" s="3">
        <v>0</v>
      </c>
      <c r="J1223" s="3">
        <v>27.47882422</v>
      </c>
      <c r="K1223" s="3">
        <v>6.3639957999999996E-2</v>
      </c>
      <c r="L1223" s="3">
        <v>7.6459284000000002E-2</v>
      </c>
      <c r="M1223" s="3">
        <v>0.64558930599999997</v>
      </c>
      <c r="N1223" s="3">
        <v>0.117905017</v>
      </c>
      <c r="O1223" s="3">
        <v>2.8395911999999999E-2</v>
      </c>
      <c r="P1223" s="3">
        <v>3.8444746000000002E-2</v>
      </c>
      <c r="Q1223" s="3">
        <v>8.8805899999999993E-2</v>
      </c>
      <c r="R1223" s="3">
        <v>0.44619626499999998</v>
      </c>
      <c r="S1223" s="3">
        <v>0.63006945000000003</v>
      </c>
      <c r="T1223" s="3">
        <v>2.1274185270000001</v>
      </c>
      <c r="U1223" s="3">
        <v>0.68024746599999997</v>
      </c>
      <c r="V1223" s="3">
        <v>0.20480764500000001</v>
      </c>
      <c r="W1223" s="3">
        <v>-8.1553108999999999E-2</v>
      </c>
      <c r="X1223" s="3">
        <v>-0.33337943599999997</v>
      </c>
      <c r="Y1223" s="3">
        <v>7.1090700000000003E-3</v>
      </c>
      <c r="Z1223" s="3">
        <v>3.1274185270000001</v>
      </c>
      <c r="AA1223" s="3">
        <v>7.6459284000000002E-2</v>
      </c>
      <c r="AB1223" s="3">
        <v>10.62682953</v>
      </c>
      <c r="AC1223" s="3">
        <v>4.0878813860000003</v>
      </c>
      <c r="AD1223" s="3">
        <v>0.18489681699999999</v>
      </c>
      <c r="AE1223" s="3">
        <v>2.6470335380000001</v>
      </c>
      <c r="AF1223" s="4">
        <v>41977</v>
      </c>
      <c r="AG1223" s="5">
        <f>YEAR(AF1223)</f>
        <v>2014</v>
      </c>
      <c r="AH1223" s="5" t="str">
        <f>"Q"&amp;ROUNDUP(MONTH(AF1223)/3,0)</f>
        <v>Q4</v>
      </c>
      <c r="AI1223" s="5">
        <f>INDEX(RatingLookup!$B$2:$B$11,MATCH(A1223,RatingLookup!$A$2:$A$11,0))</f>
        <v>6</v>
      </c>
      <c r="AJ1223" s="5" t="str">
        <f>INDEX(RatingLookup!$C$2:$C$11,MATCH(A1223,RatingLookup!$A$2:$A$11,0))</f>
        <v>Speculative Grade</v>
      </c>
    </row>
    <row r="1224" spans="1:36" x14ac:dyDescent="0.3">
      <c r="A1224" s="3" t="s">
        <v>42</v>
      </c>
      <c r="B1224" s="3" t="s">
        <v>1322</v>
      </c>
      <c r="C1224" s="3" t="s">
        <v>1323</v>
      </c>
      <c r="D1224" s="3" t="s">
        <v>60</v>
      </c>
      <c r="E1224" s="3" t="s">
        <v>46</v>
      </c>
      <c r="F1224" s="3" t="s">
        <v>79</v>
      </c>
      <c r="G1224" s="3">
        <v>2.131133202</v>
      </c>
      <c r="H1224" s="3">
        <v>0.71986197600000001</v>
      </c>
      <c r="I1224" s="3">
        <v>7.8142332999999994E-2</v>
      </c>
      <c r="J1224" s="3">
        <v>39.458672360000001</v>
      </c>
      <c r="K1224" s="3">
        <v>-1.2286495999999999E-2</v>
      </c>
      <c r="L1224" s="3">
        <v>-7.001902E-3</v>
      </c>
      <c r="M1224" s="3">
        <v>0.40001298899999999</v>
      </c>
      <c r="N1224" s="3">
        <v>4.8512316E-2</v>
      </c>
      <c r="O1224" s="3">
        <v>-7.787609E-3</v>
      </c>
      <c r="P1224" s="3">
        <v>-4.9880439999999996E-3</v>
      </c>
      <c r="Q1224" s="3">
        <v>-2.3174462E-2</v>
      </c>
      <c r="R1224" s="3">
        <v>0.63383478699999996</v>
      </c>
      <c r="S1224" s="3">
        <v>1.0002793379999999</v>
      </c>
      <c r="T1224" s="3">
        <v>1.9758123219999999</v>
      </c>
      <c r="U1224" s="3">
        <v>0.663957303</v>
      </c>
      <c r="V1224" s="3">
        <v>-0.27653372199999998</v>
      </c>
      <c r="W1224" s="3">
        <v>0.29416667499999999</v>
      </c>
      <c r="X1224" s="3">
        <v>0.85479650399999996</v>
      </c>
      <c r="Y1224" s="3">
        <v>0.51375201800000003</v>
      </c>
      <c r="Z1224" s="3">
        <v>2.9758123219999999</v>
      </c>
      <c r="AA1224" s="3">
        <v>-7.001902E-3</v>
      </c>
      <c r="AB1224" s="3">
        <v>10.34980448</v>
      </c>
      <c r="AC1224" s="3">
        <v>2.9058237290000002</v>
      </c>
      <c r="AD1224" s="3">
        <v>9.6843716999999996E-2</v>
      </c>
      <c r="AE1224" s="3">
        <v>5.5984209710000004</v>
      </c>
      <c r="AF1224" s="4">
        <v>41075</v>
      </c>
      <c r="AG1224" s="5">
        <f>YEAR(AF1224)</f>
        <v>2012</v>
      </c>
      <c r="AH1224" s="5" t="str">
        <f>"Q"&amp;ROUNDUP(MONTH(AF1224)/3,0)</f>
        <v>Q2</v>
      </c>
      <c r="AI1224" s="5">
        <f>INDEX(RatingLookup!$B$2:$B$11,MATCH(A1224,RatingLookup!$A$2:$A$11,0))</f>
        <v>7</v>
      </c>
      <c r="AJ1224" s="5" t="str">
        <f>INDEX(RatingLookup!$C$2:$C$11,MATCH(A1224,RatingLookup!$A$2:$A$11,0))</f>
        <v>Investment Grade</v>
      </c>
    </row>
    <row r="1225" spans="1:36" x14ac:dyDescent="0.3">
      <c r="A1225" s="3" t="s">
        <v>42</v>
      </c>
      <c r="B1225" s="3" t="s">
        <v>1326</v>
      </c>
      <c r="C1225" s="3" t="s">
        <v>1327</v>
      </c>
      <c r="D1225" s="3" t="s">
        <v>39</v>
      </c>
      <c r="E1225" s="3" t="s">
        <v>384</v>
      </c>
      <c r="F1225" s="3" t="s">
        <v>219</v>
      </c>
      <c r="G1225" s="3">
        <v>1.734364604</v>
      </c>
      <c r="H1225" s="3">
        <v>1.056886228</v>
      </c>
      <c r="I1225" s="3">
        <v>0.39687292099999999</v>
      </c>
      <c r="J1225" s="3">
        <v>37.760917739999996</v>
      </c>
      <c r="K1225" s="3">
        <v>2.0649198000000001E-2</v>
      </c>
      <c r="L1225" s="3">
        <v>2.3047842999999998E-2</v>
      </c>
      <c r="M1225" s="3">
        <v>0.18456524599999999</v>
      </c>
      <c r="N1225" s="3">
        <v>4.0438013000000002E-2</v>
      </c>
      <c r="O1225" s="3">
        <v>2.9212156999999999E-2</v>
      </c>
      <c r="P1225" s="3">
        <v>4.1895735000000003E-2</v>
      </c>
      <c r="Q1225" s="3">
        <v>0.10202241400000001</v>
      </c>
      <c r="R1225" s="3">
        <v>1.414687223</v>
      </c>
      <c r="S1225" s="3">
        <v>6.4278531929999998</v>
      </c>
      <c r="T1225" s="3">
        <v>2.4924642540000002</v>
      </c>
      <c r="U1225" s="3">
        <v>0.71366922399999999</v>
      </c>
      <c r="V1225" s="3">
        <v>0.12669683300000001</v>
      </c>
      <c r="W1225" s="3">
        <v>0.55470249500000002</v>
      </c>
      <c r="X1225" s="3">
        <v>1.252437703</v>
      </c>
      <c r="Y1225" s="3">
        <v>2.5850487539999998</v>
      </c>
      <c r="Z1225" s="3">
        <v>3.4924642540000002</v>
      </c>
      <c r="AA1225" s="3">
        <v>2.3047842999999998E-2</v>
      </c>
      <c r="AB1225" s="3">
        <v>14.58837634</v>
      </c>
      <c r="AC1225" s="3">
        <v>2.257854821</v>
      </c>
      <c r="AD1225" s="3">
        <v>5.4334506999999997E-2</v>
      </c>
      <c r="AE1225" s="3">
        <v>8.5476906259999996</v>
      </c>
      <c r="AF1225" s="4">
        <v>42151</v>
      </c>
      <c r="AG1225" s="5">
        <f>YEAR(AF1225)</f>
        <v>2015</v>
      </c>
      <c r="AH1225" s="5" t="str">
        <f>"Q"&amp;ROUNDUP(MONTH(AF1225)/3,0)</f>
        <v>Q2</v>
      </c>
      <c r="AI1225" s="5">
        <f>INDEX(RatingLookup!$B$2:$B$11,MATCH(A1225,RatingLookup!$A$2:$A$11,0))</f>
        <v>7</v>
      </c>
      <c r="AJ1225" s="5" t="str">
        <f>INDEX(RatingLookup!$C$2:$C$11,MATCH(A1225,RatingLookup!$A$2:$A$11,0))</f>
        <v>Investment Grade</v>
      </c>
    </row>
    <row r="1226" spans="1:36" x14ac:dyDescent="0.3">
      <c r="A1226" s="3" t="s">
        <v>42</v>
      </c>
      <c r="B1226" s="3" t="s">
        <v>1326</v>
      </c>
      <c r="C1226" s="3" t="s">
        <v>1327</v>
      </c>
      <c r="D1226" s="3" t="s">
        <v>39</v>
      </c>
      <c r="E1226" s="3" t="s">
        <v>344</v>
      </c>
      <c r="F1226" s="3" t="s">
        <v>219</v>
      </c>
      <c r="G1226" s="3">
        <v>2.0587945479999998</v>
      </c>
      <c r="H1226" s="3">
        <v>1.3026769579999999</v>
      </c>
      <c r="I1226" s="3">
        <v>0.59977007699999996</v>
      </c>
      <c r="J1226" s="3">
        <v>41.424480269999997</v>
      </c>
      <c r="K1226" s="3">
        <v>6.4647857000000003E-2</v>
      </c>
      <c r="L1226" s="3">
        <v>4.0040304999999998E-2</v>
      </c>
      <c r="M1226" s="3">
        <v>0.17559397500000001</v>
      </c>
      <c r="N1226" s="3">
        <v>6.1386296E-2</v>
      </c>
      <c r="O1226" s="3">
        <v>8.2809687000000007E-2</v>
      </c>
      <c r="P1226" s="3">
        <v>6.4662555999999996E-2</v>
      </c>
      <c r="Q1226" s="3">
        <v>0.24959049999999999</v>
      </c>
      <c r="R1226" s="3">
        <v>1.280934751</v>
      </c>
      <c r="S1226" s="3">
        <v>5.8359640979999998</v>
      </c>
      <c r="T1226" s="3">
        <v>2.0140253889999999</v>
      </c>
      <c r="U1226" s="3">
        <v>0.66821779199999998</v>
      </c>
      <c r="V1226" s="3">
        <v>0.384768212</v>
      </c>
      <c r="W1226" s="3">
        <v>0.29908256900000002</v>
      </c>
      <c r="X1226" s="3">
        <v>0.34136125699999997</v>
      </c>
      <c r="Y1226" s="3">
        <v>3.8240837700000001</v>
      </c>
      <c r="Z1226" s="3">
        <v>3.0140253889999999</v>
      </c>
      <c r="AA1226" s="3">
        <v>4.0040304999999998E-2</v>
      </c>
      <c r="AB1226" s="3">
        <v>11.77196015</v>
      </c>
      <c r="AC1226" s="3">
        <v>1.141361257</v>
      </c>
      <c r="AD1226" s="3">
        <v>2.8903267E-2</v>
      </c>
      <c r="AE1226" s="3">
        <v>8.0356681309999995</v>
      </c>
      <c r="AF1226" s="4">
        <v>41787</v>
      </c>
      <c r="AG1226" s="5">
        <f>YEAR(AF1226)</f>
        <v>2014</v>
      </c>
      <c r="AH1226" s="5" t="str">
        <f>"Q"&amp;ROUNDUP(MONTH(AF1226)/3,0)</f>
        <v>Q2</v>
      </c>
      <c r="AI1226" s="5">
        <f>INDEX(RatingLookup!$B$2:$B$11,MATCH(A1226,RatingLookup!$A$2:$A$11,0))</f>
        <v>7</v>
      </c>
      <c r="AJ1226" s="5" t="str">
        <f>INDEX(RatingLookup!$C$2:$C$11,MATCH(A1226,RatingLookup!$A$2:$A$11,0))</f>
        <v>Investment Grade</v>
      </c>
    </row>
    <row r="1227" spans="1:36" x14ac:dyDescent="0.3">
      <c r="A1227" s="3" t="s">
        <v>42</v>
      </c>
      <c r="B1227" s="3" t="s">
        <v>1326</v>
      </c>
      <c r="C1227" s="3" t="s">
        <v>1327</v>
      </c>
      <c r="D1227" s="3" t="s">
        <v>39</v>
      </c>
      <c r="E1227" s="3" t="s">
        <v>340</v>
      </c>
      <c r="F1227" s="3" t="s">
        <v>219</v>
      </c>
      <c r="G1227" s="3">
        <v>1.9289299339999999</v>
      </c>
      <c r="H1227" s="3">
        <v>1.258381851</v>
      </c>
      <c r="I1227" s="3">
        <v>0.56173459100000001</v>
      </c>
      <c r="J1227" s="3">
        <v>37.498519659999999</v>
      </c>
      <c r="K1227" s="3">
        <v>4.2811464E-2</v>
      </c>
      <c r="L1227" s="3">
        <v>4.9650640000000003E-2</v>
      </c>
      <c r="M1227" s="3">
        <v>0.201770488</v>
      </c>
      <c r="N1227" s="3">
        <v>7.4283514999999994E-2</v>
      </c>
      <c r="O1227" s="3">
        <v>5.5720395999999998E-2</v>
      </c>
      <c r="P1227" s="3">
        <v>7.9971388000000004E-2</v>
      </c>
      <c r="Q1227" s="3">
        <v>0.20533939200000001</v>
      </c>
      <c r="R1227" s="3">
        <v>1.301529806</v>
      </c>
      <c r="S1227" s="3">
        <v>5.7885175660000003</v>
      </c>
      <c r="T1227" s="3">
        <v>2.685174666</v>
      </c>
      <c r="U1227" s="3">
        <v>0.72864244199999995</v>
      </c>
      <c r="V1227" s="3">
        <v>0.137149672</v>
      </c>
      <c r="W1227" s="3">
        <v>0.598591549</v>
      </c>
      <c r="X1227" s="3">
        <v>1.5489749429999999</v>
      </c>
      <c r="Y1227" s="3">
        <v>3.1867881549999999</v>
      </c>
      <c r="Z1227" s="3">
        <v>3.685174666</v>
      </c>
      <c r="AA1227" s="3">
        <v>4.9650640000000003E-2</v>
      </c>
      <c r="AB1227" s="3">
        <v>8.8452482270000008</v>
      </c>
      <c r="AC1227" s="3">
        <v>2.5876993170000002</v>
      </c>
      <c r="AD1227" s="3">
        <v>6.7266698E-2</v>
      </c>
      <c r="AE1227" s="3">
        <v>7.6680887369999997</v>
      </c>
      <c r="AF1227" s="4">
        <v>42306</v>
      </c>
      <c r="AG1227" s="5">
        <f>YEAR(AF1227)</f>
        <v>2015</v>
      </c>
      <c r="AH1227" s="5" t="str">
        <f>"Q"&amp;ROUNDUP(MONTH(AF1227)/3,0)</f>
        <v>Q4</v>
      </c>
      <c r="AI1227" s="5">
        <f>INDEX(RatingLookup!$B$2:$B$11,MATCH(A1227,RatingLookup!$A$2:$A$11,0))</f>
        <v>7</v>
      </c>
      <c r="AJ1227" s="5" t="str">
        <f>INDEX(RatingLookup!$C$2:$C$11,MATCH(A1227,RatingLookup!$A$2:$A$11,0))</f>
        <v>Investment Grade</v>
      </c>
    </row>
    <row r="1228" spans="1:36" x14ac:dyDescent="0.3">
      <c r="A1228" s="3" t="s">
        <v>42</v>
      </c>
      <c r="B1228" s="3" t="s">
        <v>1328</v>
      </c>
      <c r="C1228" s="3" t="s">
        <v>1329</v>
      </c>
      <c r="D1228" s="3" t="s">
        <v>39</v>
      </c>
      <c r="E1228" s="3" t="s">
        <v>249</v>
      </c>
      <c r="F1228" s="3" t="s">
        <v>219</v>
      </c>
      <c r="G1228" s="3">
        <v>3.029276324</v>
      </c>
      <c r="H1228" s="3">
        <v>1.7519501120000001</v>
      </c>
      <c r="I1228" s="3">
        <v>0.484913117</v>
      </c>
      <c r="J1228" s="3">
        <v>52.432597080000001</v>
      </c>
      <c r="K1228" s="3">
        <v>1.1222027000000001E-2</v>
      </c>
      <c r="L1228" s="3">
        <v>1.0879771E-2</v>
      </c>
      <c r="M1228" s="3">
        <v>9.6136119000000006E-2</v>
      </c>
      <c r="N1228" s="3">
        <v>1.1222027000000001E-2</v>
      </c>
      <c r="O1228" s="3">
        <v>2.2122862E-2</v>
      </c>
      <c r="P1228" s="3">
        <v>2.7621778999999999E-2</v>
      </c>
      <c r="Q1228" s="3">
        <v>6.0878001000000001E-2</v>
      </c>
      <c r="R1228" s="3">
        <v>1.971378342</v>
      </c>
      <c r="S1228" s="3">
        <v>7.3274876439999996</v>
      </c>
      <c r="T1228" s="3">
        <v>1.7518139779999999</v>
      </c>
      <c r="U1228" s="3">
        <v>0.63660334299999999</v>
      </c>
      <c r="V1228" s="3">
        <v>0.77349680499999995</v>
      </c>
      <c r="W1228" s="3">
        <v>0.39732082400000002</v>
      </c>
      <c r="X1228" s="3">
        <v>0.50306898</v>
      </c>
      <c r="Y1228" s="3">
        <v>3.24628921</v>
      </c>
      <c r="Z1228" s="3">
        <v>2.7518139779999999</v>
      </c>
      <c r="AA1228" s="3">
        <v>1.0879771E-2</v>
      </c>
      <c r="AB1228" s="3">
        <v>14.31510192</v>
      </c>
      <c r="AC1228" s="3">
        <v>1.2661530679999999</v>
      </c>
      <c r="AD1228" s="3">
        <v>2.1442831999999998E-2</v>
      </c>
      <c r="AE1228" s="3">
        <v>18.172272509999999</v>
      </c>
      <c r="AF1228" s="4">
        <v>41472</v>
      </c>
      <c r="AG1228" s="5">
        <f>YEAR(AF1228)</f>
        <v>2013</v>
      </c>
      <c r="AH1228" s="5" t="str">
        <f>"Q"&amp;ROUNDUP(MONTH(AF1228)/3,0)</f>
        <v>Q3</v>
      </c>
      <c r="AI1228" s="5">
        <f>INDEX(RatingLookup!$B$2:$B$11,MATCH(A1228,RatingLookup!$A$2:$A$11,0))</f>
        <v>7</v>
      </c>
      <c r="AJ1228" s="5" t="str">
        <f>INDEX(RatingLookup!$C$2:$C$11,MATCH(A1228,RatingLookup!$A$2:$A$11,0))</f>
        <v>Investment Grade</v>
      </c>
    </row>
    <row r="1229" spans="1:36" x14ac:dyDescent="0.3">
      <c r="A1229" s="3" t="s">
        <v>92</v>
      </c>
      <c r="B1229" s="3" t="s">
        <v>1328</v>
      </c>
      <c r="C1229" s="3" t="s">
        <v>1329</v>
      </c>
      <c r="D1229" s="3" t="s">
        <v>39</v>
      </c>
      <c r="E1229" s="3" t="s">
        <v>1053</v>
      </c>
      <c r="F1229" s="3" t="s">
        <v>219</v>
      </c>
      <c r="G1229" s="3">
        <v>2.865715539</v>
      </c>
      <c r="H1229" s="3">
        <v>1.642086151</v>
      </c>
      <c r="I1229" s="3">
        <v>0.48804750699999999</v>
      </c>
      <c r="J1229" s="3">
        <v>53.320640789999999</v>
      </c>
      <c r="K1229" s="3">
        <v>1.6413589999999999E-2</v>
      </c>
      <c r="L1229" s="3">
        <v>1.4501079E-2</v>
      </c>
      <c r="M1229" s="3">
        <v>9.8815773999999995E-2</v>
      </c>
      <c r="N1229" s="3">
        <v>1.6413589999999999E-2</v>
      </c>
      <c r="O1229" s="3">
        <v>3.1327199E-2</v>
      </c>
      <c r="P1229" s="3">
        <v>3.6493959999999999E-2</v>
      </c>
      <c r="Q1229" s="3">
        <v>8.5689814000000003E-2</v>
      </c>
      <c r="R1229" s="3">
        <v>1.908613482</v>
      </c>
      <c r="S1229" s="3">
        <v>7.6099602419999997</v>
      </c>
      <c r="T1229" s="3">
        <v>1.735316801</v>
      </c>
      <c r="U1229" s="3">
        <v>0.634411634</v>
      </c>
      <c r="V1229" s="3">
        <v>0.41850578399999999</v>
      </c>
      <c r="W1229" s="3">
        <v>0.25698115999999999</v>
      </c>
      <c r="X1229" s="3">
        <v>0.29950737999999999</v>
      </c>
      <c r="Y1229" s="3">
        <v>3.7016068679999998</v>
      </c>
      <c r="Z1229" s="3">
        <v>2.7353168010000002</v>
      </c>
      <c r="AA1229" s="3">
        <v>1.4501079E-2</v>
      </c>
      <c r="AB1229" s="3">
        <v>11.72244128</v>
      </c>
      <c r="AC1229" s="3">
        <v>1.1654838059999999</v>
      </c>
      <c r="AD1229" s="3">
        <v>1.9451817999999999E-2</v>
      </c>
      <c r="AE1229" s="3">
        <v>14.96978578</v>
      </c>
      <c r="AF1229" s="4">
        <v>41885</v>
      </c>
      <c r="AG1229" s="5">
        <f>YEAR(AF1229)</f>
        <v>2014</v>
      </c>
      <c r="AH1229" s="5" t="str">
        <f>"Q"&amp;ROUNDUP(MONTH(AF1229)/3,0)</f>
        <v>Q3</v>
      </c>
      <c r="AI1229" s="5">
        <f>INDEX(RatingLookup!$B$2:$B$11,MATCH(A1229,RatingLookup!$A$2:$A$11,0))</f>
        <v>6</v>
      </c>
      <c r="AJ1229" s="5" t="str">
        <f>INDEX(RatingLookup!$C$2:$C$11,MATCH(A1229,RatingLookup!$A$2:$A$11,0))</f>
        <v>Speculative Grade</v>
      </c>
    </row>
    <row r="1230" spans="1:36" x14ac:dyDescent="0.3">
      <c r="A1230" s="3" t="s">
        <v>92</v>
      </c>
      <c r="B1230" s="3" t="s">
        <v>1328</v>
      </c>
      <c r="C1230" s="3" t="s">
        <v>1329</v>
      </c>
      <c r="D1230" s="3" t="s">
        <v>39</v>
      </c>
      <c r="E1230" s="3" t="s">
        <v>667</v>
      </c>
      <c r="F1230" s="3" t="s">
        <v>219</v>
      </c>
      <c r="G1230" s="3">
        <v>3.737115857</v>
      </c>
      <c r="H1230" s="3">
        <v>2.3197402440000001</v>
      </c>
      <c r="I1230" s="3">
        <v>0.78614169</v>
      </c>
      <c r="J1230" s="3">
        <v>54.891904709999999</v>
      </c>
      <c r="K1230" s="3">
        <v>2.3650582999999999E-2</v>
      </c>
      <c r="L1230" s="3">
        <v>4.0832213999999999E-2</v>
      </c>
      <c r="M1230" s="3">
        <v>0.12947956999999999</v>
      </c>
      <c r="N1230" s="3">
        <v>4.0832213999999999E-2</v>
      </c>
      <c r="O1230" s="3">
        <v>4.1999203999999998E-2</v>
      </c>
      <c r="P1230" s="3">
        <v>8.8759377E-2</v>
      </c>
      <c r="Q1230" s="3">
        <v>0.107363472</v>
      </c>
      <c r="R1230" s="3">
        <v>1.7758210860000001</v>
      </c>
      <c r="S1230" s="3">
        <v>6.777123295</v>
      </c>
      <c r="T1230" s="3">
        <v>1.556321592</v>
      </c>
      <c r="U1230" s="3">
        <v>0.60881291199999998</v>
      </c>
      <c r="V1230" s="3">
        <v>0.340271871</v>
      </c>
      <c r="W1230" s="3">
        <v>0.61851713600000002</v>
      </c>
      <c r="X1230" s="3">
        <v>1.6638252</v>
      </c>
      <c r="Y1230" s="3">
        <v>4.5608896769999996</v>
      </c>
      <c r="Z1230" s="3">
        <v>2.5563215920000002</v>
      </c>
      <c r="AA1230" s="3">
        <v>4.0832213999999999E-2</v>
      </c>
      <c r="AB1230" s="3">
        <v>6.4418420940000001</v>
      </c>
      <c r="AC1230" s="3">
        <v>2.6900228030000002</v>
      </c>
      <c r="AD1230" s="3">
        <v>5.2342908E-2</v>
      </c>
      <c r="AE1230" s="3">
        <v>19.975182390000001</v>
      </c>
      <c r="AF1230" s="4">
        <v>42312</v>
      </c>
      <c r="AG1230" s="5">
        <f>YEAR(AF1230)</f>
        <v>2015</v>
      </c>
      <c r="AH1230" s="5" t="str">
        <f>"Q"&amp;ROUNDUP(MONTH(AF1230)/3,0)</f>
        <v>Q4</v>
      </c>
      <c r="AI1230" s="5">
        <f>INDEX(RatingLookup!$B$2:$B$11,MATCH(A1230,RatingLookup!$A$2:$A$11,0))</f>
        <v>6</v>
      </c>
      <c r="AJ1230" s="5" t="str">
        <f>INDEX(RatingLookup!$C$2:$C$11,MATCH(A1230,RatingLookup!$A$2:$A$11,0))</f>
        <v>Speculative Grade</v>
      </c>
    </row>
    <row r="1231" spans="1:36" x14ac:dyDescent="0.3">
      <c r="A1231" s="3" t="s">
        <v>92</v>
      </c>
      <c r="B1231" s="3" t="s">
        <v>1328</v>
      </c>
      <c r="C1231" s="3" t="s">
        <v>1329</v>
      </c>
      <c r="D1231" s="3" t="s">
        <v>60</v>
      </c>
      <c r="E1231" s="3" t="s">
        <v>335</v>
      </c>
      <c r="F1231" s="3" t="s">
        <v>219</v>
      </c>
      <c r="G1231" s="3">
        <v>2.4855692939999998</v>
      </c>
      <c r="H1231" s="3">
        <v>1.354721939</v>
      </c>
      <c r="I1231" s="3">
        <v>0.29121307200000002</v>
      </c>
      <c r="J1231" s="3">
        <v>44.683597239999997</v>
      </c>
      <c r="K1231" s="3">
        <v>2.6503875999999999E-2</v>
      </c>
      <c r="L1231" s="3">
        <v>2.0795075E-2</v>
      </c>
      <c r="M1231" s="3">
        <v>9.1908733000000006E-2</v>
      </c>
      <c r="N1231" s="3">
        <v>2.0795075E-2</v>
      </c>
      <c r="O1231" s="3">
        <v>6.0293276999999999E-2</v>
      </c>
      <c r="P1231" s="3">
        <v>6.4088906000000001E-2</v>
      </c>
      <c r="Q1231" s="3">
        <v>0.16647089800000001</v>
      </c>
      <c r="R1231" s="3">
        <v>2.2748853179999999</v>
      </c>
      <c r="S1231" s="3">
        <v>7.8732862380000004</v>
      </c>
      <c r="T1231" s="3">
        <v>1.7610192170000001</v>
      </c>
      <c r="U1231" s="3">
        <v>0.63781490799999996</v>
      </c>
      <c r="V1231" s="3">
        <v>-0.283734559</v>
      </c>
      <c r="W1231" s="3">
        <v>0.41909659999999999</v>
      </c>
      <c r="X1231" s="3">
        <v>0.70894693600000003</v>
      </c>
      <c r="Y1231" s="3">
        <v>2.2649534079999998</v>
      </c>
      <c r="Z1231" s="3">
        <v>2.7610192169999999</v>
      </c>
      <c r="AA1231" s="3">
        <v>2.0795075E-2</v>
      </c>
      <c r="AB1231" s="3">
        <v>8.2513769339999996</v>
      </c>
      <c r="AC1231" s="3">
        <v>1.691607461</v>
      </c>
      <c r="AD1231" s="3">
        <v>2.5036023000000001E-2</v>
      </c>
      <c r="AE1231" s="3">
        <v>16.412867210000002</v>
      </c>
      <c r="AF1231" s="4">
        <v>41400</v>
      </c>
      <c r="AG1231" s="5">
        <f>YEAR(AF1231)</f>
        <v>2013</v>
      </c>
      <c r="AH1231" s="5" t="str">
        <f>"Q"&amp;ROUNDUP(MONTH(AF1231)/3,0)</f>
        <v>Q2</v>
      </c>
      <c r="AI1231" s="5">
        <f>INDEX(RatingLookup!$B$2:$B$11,MATCH(A1231,RatingLookup!$A$2:$A$11,0))</f>
        <v>6</v>
      </c>
      <c r="AJ1231" s="5" t="str">
        <f>INDEX(RatingLookup!$C$2:$C$11,MATCH(A1231,RatingLookup!$A$2:$A$11,0))</f>
        <v>Speculative Grade</v>
      </c>
    </row>
    <row r="1232" spans="1:36" x14ac:dyDescent="0.3">
      <c r="A1232" s="3" t="s">
        <v>36</v>
      </c>
      <c r="B1232" s="3" t="s">
        <v>1330</v>
      </c>
      <c r="C1232" s="3" t="s">
        <v>1331</v>
      </c>
      <c r="D1232" s="3" t="s">
        <v>39</v>
      </c>
      <c r="E1232" s="3" t="s">
        <v>1332</v>
      </c>
      <c r="F1232" s="3" t="s">
        <v>41</v>
      </c>
      <c r="G1232" s="3">
        <v>1.506028878</v>
      </c>
      <c r="H1232" s="3">
        <v>0.89334713200000004</v>
      </c>
      <c r="I1232" s="3">
        <v>0.176681908</v>
      </c>
      <c r="J1232" s="3">
        <v>47.561150159999997</v>
      </c>
      <c r="K1232" s="3">
        <v>4.5030151999999997E-2</v>
      </c>
      <c r="L1232" s="3">
        <v>6.4920747000000001E-2</v>
      </c>
      <c r="M1232" s="3">
        <v>0.18096214599999999</v>
      </c>
      <c r="N1232" s="3">
        <v>7.5363454999999996E-2</v>
      </c>
      <c r="O1232" s="3">
        <v>5.3867618999999999E-2</v>
      </c>
      <c r="P1232" s="3">
        <v>9.9248929999999999E-2</v>
      </c>
      <c r="Q1232" s="3">
        <v>0.15180537499999999</v>
      </c>
      <c r="R1232" s="3">
        <v>1.196256668</v>
      </c>
      <c r="S1232" s="3">
        <v>4.3678943280000002</v>
      </c>
      <c r="T1232" s="3">
        <v>1.818119265</v>
      </c>
      <c r="U1232" s="3">
        <v>0.64515341400000004</v>
      </c>
      <c r="V1232" s="3">
        <v>0.333913609</v>
      </c>
      <c r="W1232" s="3">
        <v>0.57628704399999997</v>
      </c>
      <c r="X1232" s="3">
        <v>2.3562001659999998</v>
      </c>
      <c r="Y1232" s="3">
        <v>1.5767548790000001</v>
      </c>
      <c r="Z1232" s="3">
        <v>2.818119265</v>
      </c>
      <c r="AA1232" s="3">
        <v>6.4920747000000001E-2</v>
      </c>
      <c r="AB1232" s="3">
        <v>9.7256317439999993</v>
      </c>
      <c r="AC1232" s="3">
        <v>4.0885877810000002</v>
      </c>
      <c r="AD1232" s="3">
        <v>8.3299880000000007E-2</v>
      </c>
      <c r="AE1232" s="3">
        <v>7.9444809640000003</v>
      </c>
      <c r="AF1232" s="4">
        <v>41842</v>
      </c>
      <c r="AG1232" s="5">
        <f>YEAR(AF1232)</f>
        <v>2014</v>
      </c>
      <c r="AH1232" s="5" t="str">
        <f>"Q"&amp;ROUNDUP(MONTH(AF1232)/3,0)</f>
        <v>Q3</v>
      </c>
      <c r="AI1232" s="5">
        <f>INDEX(RatingLookup!$B$2:$B$11,MATCH(A1232,RatingLookup!$A$2:$A$11,0))</f>
        <v>8</v>
      </c>
      <c r="AJ1232" s="5" t="str">
        <f>INDEX(RatingLookup!$C$2:$C$11,MATCH(A1232,RatingLookup!$A$2:$A$11,0))</f>
        <v>Investment Grade</v>
      </c>
    </row>
    <row r="1233" spans="1:36" x14ac:dyDescent="0.3">
      <c r="A1233" s="3" t="s">
        <v>42</v>
      </c>
      <c r="B1233" s="3" t="s">
        <v>1330</v>
      </c>
      <c r="C1233" s="3" t="s">
        <v>1331</v>
      </c>
      <c r="D1233" s="3" t="s">
        <v>39</v>
      </c>
      <c r="E1233" s="3" t="s">
        <v>720</v>
      </c>
      <c r="F1233" s="3" t="s">
        <v>41</v>
      </c>
      <c r="G1233" s="3">
        <v>1.5895229040000001</v>
      </c>
      <c r="H1233" s="3">
        <v>0.95894375700000001</v>
      </c>
      <c r="I1233" s="3">
        <v>0.25087722299999998</v>
      </c>
      <c r="J1233" s="3">
        <v>46.23042323</v>
      </c>
      <c r="K1233" s="3">
        <v>4.5195718000000003E-2</v>
      </c>
      <c r="L1233" s="3">
        <v>4.2978969999999998E-2</v>
      </c>
      <c r="M1233" s="3">
        <v>0.180174799</v>
      </c>
      <c r="N1233" s="3">
        <v>7.4523132000000006E-2</v>
      </c>
      <c r="O1233" s="3">
        <v>5.5063327000000002E-2</v>
      </c>
      <c r="P1233" s="3">
        <v>6.6954236E-2</v>
      </c>
      <c r="Q1233" s="3">
        <v>0.128081055</v>
      </c>
      <c r="R1233" s="3">
        <v>1.218330602</v>
      </c>
      <c r="S1233" s="3">
        <v>4.7441012999999996</v>
      </c>
      <c r="T1233" s="3">
        <v>1.326068238</v>
      </c>
      <c r="U1233" s="3">
        <v>0.57008999800000004</v>
      </c>
      <c r="V1233" s="3">
        <v>0.46170200500000003</v>
      </c>
      <c r="W1233" s="3">
        <v>0.679491921</v>
      </c>
      <c r="X1233" s="3">
        <v>3.564005576</v>
      </c>
      <c r="Y1233" s="3">
        <v>2.1210115329999999</v>
      </c>
      <c r="Z1233" s="3">
        <v>2.326068238</v>
      </c>
      <c r="AA1233" s="3">
        <v>4.2978969999999998E-2</v>
      </c>
      <c r="AB1233" s="3">
        <v>9.0007159649999995</v>
      </c>
      <c r="AC1233" s="3">
        <v>5.2451036780000004</v>
      </c>
      <c r="AD1233" s="3">
        <v>0.110977061</v>
      </c>
      <c r="AE1233" s="3">
        <v>8.0815682510000002</v>
      </c>
      <c r="AF1233" s="4">
        <v>41478</v>
      </c>
      <c r="AG1233" s="5">
        <f>YEAR(AF1233)</f>
        <v>2013</v>
      </c>
      <c r="AH1233" s="5" t="str">
        <f>"Q"&amp;ROUNDUP(MONTH(AF1233)/3,0)</f>
        <v>Q3</v>
      </c>
      <c r="AI1233" s="5">
        <f>INDEX(RatingLookup!$B$2:$B$11,MATCH(A1233,RatingLookup!$A$2:$A$11,0))</f>
        <v>7</v>
      </c>
      <c r="AJ1233" s="5" t="str">
        <f>INDEX(RatingLookup!$C$2:$C$11,MATCH(A1233,RatingLookup!$A$2:$A$11,0))</f>
        <v>Investment Grade</v>
      </c>
    </row>
    <row r="1234" spans="1:36" x14ac:dyDescent="0.3">
      <c r="A1234" s="3" t="s">
        <v>36</v>
      </c>
      <c r="B1234" s="3" t="s">
        <v>1330</v>
      </c>
      <c r="C1234" s="3" t="s">
        <v>1331</v>
      </c>
      <c r="D1234" s="3" t="s">
        <v>39</v>
      </c>
      <c r="E1234" s="3" t="s">
        <v>1333</v>
      </c>
      <c r="F1234" s="3" t="s">
        <v>41</v>
      </c>
      <c r="G1234" s="3">
        <v>1.417187344</v>
      </c>
      <c r="H1234" s="3">
        <v>0.87846281299999995</v>
      </c>
      <c r="I1234" s="3">
        <v>0.19775700399999999</v>
      </c>
      <c r="J1234" s="3">
        <v>46.170244400000001</v>
      </c>
      <c r="K1234" s="3">
        <v>5.0386263000000001E-2</v>
      </c>
      <c r="L1234" s="3">
        <v>6.6059956000000003E-2</v>
      </c>
      <c r="M1234" s="3">
        <v>0.18721855700000001</v>
      </c>
      <c r="N1234" s="3">
        <v>7.7057929999999997E-2</v>
      </c>
      <c r="O1234" s="3">
        <v>6.2218721999999997E-2</v>
      </c>
      <c r="P1234" s="3">
        <v>0.105865768</v>
      </c>
      <c r="Q1234" s="3">
        <v>0.165332279</v>
      </c>
      <c r="R1234" s="3">
        <v>1.2348350320000001</v>
      </c>
      <c r="S1234" s="3">
        <v>4.4642160869999996</v>
      </c>
      <c r="T1234" s="3">
        <v>1.657275391</v>
      </c>
      <c r="U1234" s="3">
        <v>0.62367468400000003</v>
      </c>
      <c r="V1234" s="3">
        <v>0.26753794800000003</v>
      </c>
      <c r="W1234" s="3">
        <v>0.57544212100000003</v>
      </c>
      <c r="X1234" s="3">
        <v>2.5682879719999998</v>
      </c>
      <c r="Y1234" s="3">
        <v>1.7976981139999999</v>
      </c>
      <c r="Z1234" s="3">
        <v>2.6572753910000002</v>
      </c>
      <c r="AA1234" s="3">
        <v>6.6059956000000003E-2</v>
      </c>
      <c r="AB1234" s="3">
        <v>8.3297451260000006</v>
      </c>
      <c r="AC1234" s="3">
        <v>4.4631560280000002</v>
      </c>
      <c r="AD1234" s="3">
        <v>9.1236167000000007E-2</v>
      </c>
      <c r="AE1234" s="3">
        <v>7.9419179340000001</v>
      </c>
      <c r="AF1234" s="4">
        <v>42241</v>
      </c>
      <c r="AG1234" s="5">
        <f>YEAR(AF1234)</f>
        <v>2015</v>
      </c>
      <c r="AH1234" s="5" t="str">
        <f>"Q"&amp;ROUNDUP(MONTH(AF1234)/3,0)</f>
        <v>Q3</v>
      </c>
      <c r="AI1234" s="5">
        <f>INDEX(RatingLookup!$B$2:$B$11,MATCH(A1234,RatingLookup!$A$2:$A$11,0))</f>
        <v>8</v>
      </c>
      <c r="AJ1234" s="5" t="str">
        <f>INDEX(RatingLookup!$C$2:$C$11,MATCH(A1234,RatingLookup!$A$2:$A$11,0))</f>
        <v>Investment Grade</v>
      </c>
    </row>
    <row r="1235" spans="1:36" x14ac:dyDescent="0.3">
      <c r="A1235" s="3" t="s">
        <v>42</v>
      </c>
      <c r="B1235" s="3" t="s">
        <v>1330</v>
      </c>
      <c r="C1235" s="3" t="s">
        <v>1331</v>
      </c>
      <c r="D1235" s="3" t="s">
        <v>60</v>
      </c>
      <c r="E1235" s="3" t="s">
        <v>46</v>
      </c>
      <c r="F1235" s="3" t="s">
        <v>41</v>
      </c>
      <c r="G1235" s="3">
        <v>1.5694174299999999</v>
      </c>
      <c r="H1235" s="3">
        <v>0.93433817500000005</v>
      </c>
      <c r="I1235" s="3">
        <v>0.209834509</v>
      </c>
      <c r="J1235" s="3">
        <v>47.971999410000002</v>
      </c>
      <c r="K1235" s="3">
        <v>4.7286959000000003E-2</v>
      </c>
      <c r="L1235" s="3">
        <v>1.0956867E-2</v>
      </c>
      <c r="M1235" s="3">
        <v>0.16412268599999999</v>
      </c>
      <c r="N1235" s="3">
        <v>6.1678812E-2</v>
      </c>
      <c r="O1235" s="3">
        <v>5.4700126000000002E-2</v>
      </c>
      <c r="P1235" s="3">
        <v>1.6040641000000001E-2</v>
      </c>
      <c r="Q1235" s="3">
        <v>0.154444519</v>
      </c>
      <c r="R1235" s="3">
        <v>1.156769782</v>
      </c>
      <c r="S1235" s="3">
        <v>4.5193782950000001</v>
      </c>
      <c r="T1235" s="3">
        <v>1.8234764960000001</v>
      </c>
      <c r="U1235" s="3">
        <v>0.64582669599999998</v>
      </c>
      <c r="V1235" s="3">
        <v>1.5522237400000001</v>
      </c>
      <c r="W1235" s="3">
        <v>0.29315258399999999</v>
      </c>
      <c r="X1235" s="3">
        <v>0.71141078999999996</v>
      </c>
      <c r="Y1235" s="3">
        <v>1.736630685</v>
      </c>
      <c r="Z1235" s="3">
        <v>2.8234764960000001</v>
      </c>
      <c r="AA1235" s="3">
        <v>1.0956867E-2</v>
      </c>
      <c r="AB1235" s="3">
        <v>9.2092479489999999</v>
      </c>
      <c r="AC1235" s="3">
        <v>2.426759407</v>
      </c>
      <c r="AD1235" s="3">
        <v>5.3192516000000002E-2</v>
      </c>
      <c r="AE1235" s="3">
        <v>8.8253162120000006</v>
      </c>
      <c r="AF1235" s="4">
        <v>41075</v>
      </c>
      <c r="AG1235" s="5">
        <f>YEAR(AF1235)</f>
        <v>2012</v>
      </c>
      <c r="AH1235" s="5" t="str">
        <f>"Q"&amp;ROUNDUP(MONTH(AF1235)/3,0)</f>
        <v>Q2</v>
      </c>
      <c r="AI1235" s="5">
        <f>INDEX(RatingLookup!$B$2:$B$11,MATCH(A1235,RatingLookup!$A$2:$A$11,0))</f>
        <v>7</v>
      </c>
      <c r="AJ1235" s="5" t="str">
        <f>INDEX(RatingLookup!$C$2:$C$11,MATCH(A1235,RatingLookup!$A$2:$A$11,0))</f>
        <v>Investment Grade</v>
      </c>
    </row>
    <row r="1236" spans="1:36" x14ac:dyDescent="0.3">
      <c r="A1236" s="3" t="s">
        <v>42</v>
      </c>
      <c r="B1236" s="3" t="s">
        <v>1334</v>
      </c>
      <c r="C1236" s="3" t="s">
        <v>1335</v>
      </c>
      <c r="D1236" s="3" t="s">
        <v>60</v>
      </c>
      <c r="E1236" s="3" t="s">
        <v>323</v>
      </c>
      <c r="F1236" s="3" t="s">
        <v>79</v>
      </c>
      <c r="G1236" s="3">
        <v>1.0113800580000001</v>
      </c>
      <c r="H1236" s="3">
        <v>0.30458489900000002</v>
      </c>
      <c r="I1236" s="3">
        <v>0.119039017</v>
      </c>
      <c r="J1236" s="3">
        <v>21.938023059999999</v>
      </c>
      <c r="K1236" s="3">
        <v>9.6213495999999996E-2</v>
      </c>
      <c r="L1236" s="3">
        <v>0.14976297799999999</v>
      </c>
      <c r="M1236" s="3">
        <v>1</v>
      </c>
      <c r="N1236" s="3">
        <v>0.19049569799999999</v>
      </c>
      <c r="O1236" s="3">
        <v>2.5470207000000002E-2</v>
      </c>
      <c r="P1236" s="3">
        <v>4.3365530999999999E-2</v>
      </c>
      <c r="Q1236" s="3">
        <v>8.6489898999999995E-2</v>
      </c>
      <c r="R1236" s="3">
        <v>0.264725932</v>
      </c>
      <c r="S1236" s="3">
        <v>0.33367833200000002</v>
      </c>
      <c r="T1236" s="3">
        <v>2.3957281140000002</v>
      </c>
      <c r="U1236" s="3">
        <v>0.70551234799999996</v>
      </c>
      <c r="V1236" s="3">
        <v>0.33177022299999998</v>
      </c>
      <c r="W1236" s="3">
        <v>0.103985567</v>
      </c>
      <c r="X1236" s="3">
        <v>0.72291904200000001</v>
      </c>
      <c r="Y1236" s="3">
        <v>0.751632839</v>
      </c>
      <c r="Z1236" s="3">
        <v>3.3957281140000002</v>
      </c>
      <c r="AA1236" s="3">
        <v>0.14976297799999999</v>
      </c>
      <c r="AB1236" s="3">
        <v>10.26733838</v>
      </c>
      <c r="AC1236" s="3">
        <v>6.9521094640000003</v>
      </c>
      <c r="AD1236" s="3">
        <v>0.35682097499999998</v>
      </c>
      <c r="AE1236" s="3">
        <v>4.0043604650000004</v>
      </c>
      <c r="AF1236" s="4">
        <v>41509</v>
      </c>
      <c r="AG1236" s="5">
        <f>YEAR(AF1236)</f>
        <v>2013</v>
      </c>
      <c r="AH1236" s="5" t="str">
        <f>"Q"&amp;ROUNDUP(MONTH(AF1236)/3,0)</f>
        <v>Q3</v>
      </c>
      <c r="AI1236" s="5">
        <f>INDEX(RatingLookup!$B$2:$B$11,MATCH(A1236,RatingLookup!$A$2:$A$11,0))</f>
        <v>7</v>
      </c>
      <c r="AJ1236" s="5" t="str">
        <f>INDEX(RatingLookup!$C$2:$C$11,MATCH(A1236,RatingLookup!$A$2:$A$11,0))</f>
        <v>Investment Grade</v>
      </c>
    </row>
    <row r="1237" spans="1:36" x14ac:dyDescent="0.3">
      <c r="A1237" s="3" t="s">
        <v>42</v>
      </c>
      <c r="B1237" s="3" t="s">
        <v>1334</v>
      </c>
      <c r="C1237" s="3" t="s">
        <v>1335</v>
      </c>
      <c r="D1237" s="3" t="s">
        <v>60</v>
      </c>
      <c r="E1237" s="3" t="s">
        <v>360</v>
      </c>
      <c r="F1237" s="3" t="s">
        <v>79</v>
      </c>
      <c r="G1237" s="3">
        <v>0.71038251399999996</v>
      </c>
      <c r="H1237" s="3">
        <v>0.201326754</v>
      </c>
      <c r="I1237" s="3">
        <v>7.9179212999999998E-2</v>
      </c>
      <c r="J1237" s="3">
        <v>21.543834950000001</v>
      </c>
      <c r="K1237" s="3">
        <v>9.3301559999999992E-3</v>
      </c>
      <c r="L1237" s="3">
        <v>0.16288514600000001</v>
      </c>
      <c r="M1237" s="3">
        <v>1</v>
      </c>
      <c r="N1237" s="3">
        <v>0.19721665699999999</v>
      </c>
      <c r="O1237" s="3">
        <v>2.429395E-3</v>
      </c>
      <c r="P1237" s="3">
        <v>4.8550584000000001E-2</v>
      </c>
      <c r="Q1237" s="3">
        <v>8.6370240000000001E-3</v>
      </c>
      <c r="R1237" s="3">
        <v>0.26038097700000001</v>
      </c>
      <c r="S1237" s="3">
        <v>0.33657140800000002</v>
      </c>
      <c r="T1237" s="3">
        <v>2.5552158</v>
      </c>
      <c r="U1237" s="3">
        <v>0.71872312199999999</v>
      </c>
      <c r="V1237" s="3">
        <v>0.32480053199999998</v>
      </c>
      <c r="W1237" s="3">
        <v>-2.7858984999999999E-2</v>
      </c>
      <c r="X1237" s="3">
        <v>-0.18060200700000001</v>
      </c>
      <c r="Y1237" s="3">
        <v>0.79743255300000004</v>
      </c>
      <c r="Z1237" s="3">
        <v>3.5552158</v>
      </c>
      <c r="AA1237" s="3">
        <v>0.16288514600000001</v>
      </c>
      <c r="AB1237" s="3">
        <v>11.619181129999999</v>
      </c>
      <c r="AC1237" s="3">
        <v>6.4827201780000001</v>
      </c>
      <c r="AD1237" s="3">
        <v>0.31488601300000002</v>
      </c>
      <c r="AE1237" s="3">
        <v>3.7696170750000002</v>
      </c>
      <c r="AF1237" s="4">
        <v>41871</v>
      </c>
      <c r="AG1237" s="5">
        <f>YEAR(AF1237)</f>
        <v>2014</v>
      </c>
      <c r="AH1237" s="5" t="str">
        <f>"Q"&amp;ROUNDUP(MONTH(AF1237)/3,0)</f>
        <v>Q3</v>
      </c>
      <c r="AI1237" s="5">
        <f>INDEX(RatingLookup!$B$2:$B$11,MATCH(A1237,RatingLookup!$A$2:$A$11,0))</f>
        <v>7</v>
      </c>
      <c r="AJ1237" s="5" t="str">
        <f>INDEX(RatingLookup!$C$2:$C$11,MATCH(A1237,RatingLookup!$A$2:$A$11,0))</f>
        <v>Investment Grade</v>
      </c>
    </row>
    <row r="1238" spans="1:36" x14ac:dyDescent="0.3">
      <c r="A1238" s="3" t="s">
        <v>42</v>
      </c>
      <c r="B1238" s="3" t="s">
        <v>1334</v>
      </c>
      <c r="C1238" s="3" t="s">
        <v>1335</v>
      </c>
      <c r="D1238" s="3" t="s">
        <v>60</v>
      </c>
      <c r="E1238" s="3" t="s">
        <v>497</v>
      </c>
      <c r="F1238" s="3" t="s">
        <v>79</v>
      </c>
      <c r="G1238" s="3">
        <v>0.75265154400000001</v>
      </c>
      <c r="H1238" s="3">
        <v>0.28396686500000001</v>
      </c>
      <c r="I1238" s="3">
        <v>0.15289928</v>
      </c>
      <c r="J1238" s="3">
        <v>28.71054483</v>
      </c>
      <c r="K1238" s="3">
        <v>1.6988339000000002E-2</v>
      </c>
      <c r="L1238" s="3">
        <v>0.17490953000000001</v>
      </c>
      <c r="M1238" s="3">
        <v>1</v>
      </c>
      <c r="N1238" s="3">
        <v>0.23265983100000001</v>
      </c>
      <c r="O1238" s="3">
        <v>3.081215E-3</v>
      </c>
      <c r="P1238" s="3">
        <v>3.5957843000000003E-2</v>
      </c>
      <c r="Q1238" s="3">
        <v>1.3652153E-2</v>
      </c>
      <c r="R1238" s="3">
        <v>0.181372326</v>
      </c>
      <c r="S1238" s="3">
        <v>0.25362669900000001</v>
      </c>
      <c r="T1238" s="3">
        <v>3.4307698520000001</v>
      </c>
      <c r="U1238" s="3">
        <v>0.77430558699999996</v>
      </c>
      <c r="V1238" s="3">
        <v>0.27327586199999998</v>
      </c>
      <c r="W1238" s="3">
        <v>-0.49366571300000001</v>
      </c>
      <c r="X1238" s="3">
        <v>-2.5404837009999999</v>
      </c>
      <c r="Y1238" s="3">
        <v>2.2113564669999999</v>
      </c>
      <c r="Z1238" s="3">
        <v>4.4307698520000001</v>
      </c>
      <c r="AA1238" s="3">
        <v>0.17490953000000001</v>
      </c>
      <c r="AB1238" s="3">
        <v>11.85337129</v>
      </c>
      <c r="AC1238" s="3">
        <v>5.1461619350000003</v>
      </c>
      <c r="AD1238" s="3">
        <v>0.24597909100000001</v>
      </c>
      <c r="AE1238" s="3">
        <v>0.27962298000000002</v>
      </c>
      <c r="AF1238" s="4">
        <v>42626</v>
      </c>
      <c r="AG1238" s="5">
        <f>YEAR(AF1238)</f>
        <v>2016</v>
      </c>
      <c r="AH1238" s="5" t="str">
        <f>"Q"&amp;ROUNDUP(MONTH(AF1238)/3,0)</f>
        <v>Q3</v>
      </c>
      <c r="AI1238" s="5">
        <f>INDEX(RatingLookup!$B$2:$B$11,MATCH(A1238,RatingLookup!$A$2:$A$11,0))</f>
        <v>7</v>
      </c>
      <c r="AJ1238" s="5" t="str">
        <f>INDEX(RatingLookup!$C$2:$C$11,MATCH(A1238,RatingLookup!$A$2:$A$11,0))</f>
        <v>Investment Grade</v>
      </c>
    </row>
    <row r="1239" spans="1:36" x14ac:dyDescent="0.3">
      <c r="A1239" s="3" t="s">
        <v>36</v>
      </c>
      <c r="B1239" s="3" t="s">
        <v>1336</v>
      </c>
      <c r="C1239" s="3" t="s">
        <v>1337</v>
      </c>
      <c r="D1239" s="3" t="s">
        <v>60</v>
      </c>
      <c r="E1239" s="3" t="s">
        <v>1338</v>
      </c>
      <c r="F1239" s="3" t="s">
        <v>174</v>
      </c>
      <c r="G1239" s="3">
        <v>1.67830824</v>
      </c>
      <c r="H1239" s="3">
        <v>1.0774830580000001</v>
      </c>
      <c r="I1239" s="3">
        <v>0.45969593399999997</v>
      </c>
      <c r="J1239" s="3">
        <v>39.526658140000002</v>
      </c>
      <c r="K1239" s="3">
        <v>6.6184541999999999E-2</v>
      </c>
      <c r="L1239" s="3">
        <v>9.5161006000000006E-2</v>
      </c>
      <c r="M1239" s="3">
        <v>0.44116028800000001</v>
      </c>
      <c r="N1239" s="3">
        <v>9.5161006000000006E-2</v>
      </c>
      <c r="O1239" s="3">
        <v>0.101212609</v>
      </c>
      <c r="P1239" s="3">
        <v>0.20817951800000001</v>
      </c>
      <c r="Q1239" s="3">
        <v>0.35217802799999998</v>
      </c>
      <c r="R1239" s="3">
        <v>1.5292484669999999</v>
      </c>
      <c r="S1239" s="3">
        <v>9.8711062060000003</v>
      </c>
      <c r="T1239" s="3">
        <v>2.4795864949999999</v>
      </c>
      <c r="U1239" s="3">
        <v>0.71260952899999996</v>
      </c>
      <c r="V1239" s="3">
        <v>0.30449934899999997</v>
      </c>
      <c r="W1239" s="3">
        <v>0.82304935499999998</v>
      </c>
      <c r="X1239" s="3">
        <v>7.1845323820000004</v>
      </c>
      <c r="Y1239" s="3">
        <v>9.7264018379999992</v>
      </c>
      <c r="Z1239" s="3">
        <v>3.4795864949999999</v>
      </c>
      <c r="AA1239" s="3">
        <v>9.5161006000000006E-2</v>
      </c>
      <c r="AB1239" s="3">
        <v>15.90652058</v>
      </c>
      <c r="AC1239" s="3">
        <v>8.7291634879999993</v>
      </c>
      <c r="AD1239" s="3">
        <v>9.3123869999999997E-2</v>
      </c>
      <c r="AE1239" s="3">
        <v>5.7727429819999996</v>
      </c>
      <c r="AF1239" s="4">
        <v>41247</v>
      </c>
      <c r="AG1239" s="5">
        <f>YEAR(AF1239)</f>
        <v>2012</v>
      </c>
      <c r="AH1239" s="5" t="str">
        <f>"Q"&amp;ROUNDUP(MONTH(AF1239)/3,0)</f>
        <v>Q4</v>
      </c>
      <c r="AI1239" s="5">
        <f>INDEX(RatingLookup!$B$2:$B$11,MATCH(A1239,RatingLookup!$A$2:$A$11,0))</f>
        <v>8</v>
      </c>
      <c r="AJ1239" s="5" t="str">
        <f>INDEX(RatingLookup!$C$2:$C$11,MATCH(A1239,RatingLookup!$A$2:$A$11,0))</f>
        <v>Investment Grade</v>
      </c>
    </row>
    <row r="1240" spans="1:36" x14ac:dyDescent="0.3">
      <c r="A1240" s="3" t="s">
        <v>36</v>
      </c>
      <c r="B1240" s="3" t="s">
        <v>1336</v>
      </c>
      <c r="C1240" s="3" t="s">
        <v>1337</v>
      </c>
      <c r="D1240" s="3" t="s">
        <v>60</v>
      </c>
      <c r="E1240" s="3" t="s">
        <v>1339</v>
      </c>
      <c r="F1240" s="3" t="s">
        <v>174</v>
      </c>
      <c r="G1240" s="3">
        <v>1.241386104</v>
      </c>
      <c r="H1240" s="3">
        <v>0.65732711600000004</v>
      </c>
      <c r="I1240" s="3">
        <v>9.6058611000000002E-2</v>
      </c>
      <c r="J1240" s="3">
        <v>35.867313809999999</v>
      </c>
      <c r="K1240" s="3">
        <v>9.2937715000000004E-2</v>
      </c>
      <c r="L1240" s="3">
        <v>0.13660450399999999</v>
      </c>
      <c r="M1240" s="3">
        <v>0.49026165999999999</v>
      </c>
      <c r="N1240" s="3">
        <v>0.13660450399999999</v>
      </c>
      <c r="O1240" s="3">
        <v>0.18195362300000001</v>
      </c>
      <c r="P1240" s="3">
        <v>0.424384027</v>
      </c>
      <c r="Q1240" s="3">
        <v>1.2142376509999999</v>
      </c>
      <c r="R1240" s="3">
        <v>1.9578017750000001</v>
      </c>
      <c r="S1240" s="3">
        <v>10.88369093</v>
      </c>
      <c r="T1240" s="3">
        <v>5.6733359449999998</v>
      </c>
      <c r="U1240" s="3">
        <v>0.85014990899999998</v>
      </c>
      <c r="V1240" s="3">
        <v>0.31963654000000002</v>
      </c>
      <c r="W1240" s="3">
        <v>0.83810294299999999</v>
      </c>
      <c r="X1240" s="3">
        <v>13.15791486</v>
      </c>
      <c r="Y1240" s="3">
        <v>3.184771096</v>
      </c>
      <c r="Z1240" s="3">
        <v>6.6733359449999998</v>
      </c>
      <c r="AA1240" s="3">
        <v>0.13660450399999999</v>
      </c>
      <c r="AB1240" s="3">
        <v>14.471398389999999</v>
      </c>
      <c r="AC1240" s="3">
        <v>15.69964045</v>
      </c>
      <c r="AD1240" s="3">
        <v>0.127650074</v>
      </c>
      <c r="AE1240" s="3">
        <v>4.993324758</v>
      </c>
      <c r="AF1240" s="4">
        <v>42213</v>
      </c>
      <c r="AG1240" s="5">
        <f>YEAR(AF1240)</f>
        <v>2015</v>
      </c>
      <c r="AH1240" s="5" t="str">
        <f>"Q"&amp;ROUNDUP(MONTH(AF1240)/3,0)</f>
        <v>Q3</v>
      </c>
      <c r="AI1240" s="5">
        <f>INDEX(RatingLookup!$B$2:$B$11,MATCH(A1240,RatingLookup!$A$2:$A$11,0))</f>
        <v>8</v>
      </c>
      <c r="AJ1240" s="5" t="str">
        <f>INDEX(RatingLookup!$C$2:$C$11,MATCH(A1240,RatingLookup!$A$2:$A$11,0))</f>
        <v>Investment Grade</v>
      </c>
    </row>
    <row r="1241" spans="1:36" x14ac:dyDescent="0.3">
      <c r="A1241" s="3" t="s">
        <v>109</v>
      </c>
      <c r="B1241" s="3" t="s">
        <v>1340</v>
      </c>
      <c r="C1241" s="3" t="s">
        <v>1341</v>
      </c>
      <c r="D1241" s="3" t="s">
        <v>47</v>
      </c>
      <c r="E1241" s="3" t="s">
        <v>120</v>
      </c>
      <c r="F1241" s="3" t="s">
        <v>246</v>
      </c>
      <c r="G1241" s="3">
        <v>2.1031744429999999</v>
      </c>
      <c r="H1241" s="3">
        <v>1.917538092</v>
      </c>
      <c r="I1241" s="3">
        <v>1.2611050049999999</v>
      </c>
      <c r="J1241" s="3">
        <v>81.466040710000001</v>
      </c>
      <c r="K1241" s="3">
        <v>-9.6350862999999995E-2</v>
      </c>
      <c r="L1241" s="3">
        <v>-9.6206859000000006E-2</v>
      </c>
      <c r="M1241" s="3">
        <v>0.32563481900000002</v>
      </c>
      <c r="N1241" s="3">
        <v>9.6000000000000002E-5</v>
      </c>
      <c r="O1241" s="3">
        <v>-1.7969452E-2</v>
      </c>
      <c r="P1241" s="3">
        <v>1.9642837E-2</v>
      </c>
      <c r="Q1241" s="3">
        <v>-4.8746576999999999E-2</v>
      </c>
      <c r="R1241" s="3">
        <v>0.186500163</v>
      </c>
      <c r="S1241" s="3">
        <v>0.29814138299999998</v>
      </c>
      <c r="T1241" s="3">
        <v>1.614264291</v>
      </c>
      <c r="U1241" s="3">
        <v>0.59506627400000001</v>
      </c>
      <c r="V1241" s="3">
        <v>-1.4968189999999999E-3</v>
      </c>
      <c r="W1241" s="3">
        <v>-3.2167143089999999</v>
      </c>
      <c r="X1241" s="3">
        <v>-17.377058330000001</v>
      </c>
      <c r="Y1241" s="3">
        <v>23.989787939999999</v>
      </c>
      <c r="Z1241" s="3">
        <v>2.7127470699999998</v>
      </c>
      <c r="AA1241" s="3">
        <v>9.8644645000000003E-2</v>
      </c>
      <c r="AB1241" s="3">
        <v>11.352906109999999</v>
      </c>
      <c r="AC1241" s="3">
        <v>5.402114289</v>
      </c>
      <c r="AD1241" s="3">
        <v>9.6556583000000001E-2</v>
      </c>
      <c r="AE1241" s="3">
        <v>7.3066478439999996</v>
      </c>
      <c r="AF1241" s="4">
        <v>42139</v>
      </c>
      <c r="AG1241" s="5">
        <f>YEAR(AF1241)</f>
        <v>2015</v>
      </c>
      <c r="AH1241" s="5" t="str">
        <f>"Q"&amp;ROUNDUP(MONTH(AF1241)/3,0)</f>
        <v>Q2</v>
      </c>
      <c r="AI1241" s="5">
        <f>INDEX(RatingLookup!$B$2:$B$11,MATCH(A1241,RatingLookup!$A$2:$A$11,0))</f>
        <v>5</v>
      </c>
      <c r="AJ1241" s="5" t="str">
        <f>INDEX(RatingLookup!$C$2:$C$11,MATCH(A1241,RatingLookup!$A$2:$A$11,0))</f>
        <v>Speculative Grade</v>
      </c>
    </row>
    <row r="1242" spans="1:36" x14ac:dyDescent="0.3">
      <c r="A1242" s="3" t="s">
        <v>109</v>
      </c>
      <c r="B1242" s="3" t="s">
        <v>1340</v>
      </c>
      <c r="C1242" s="3" t="s">
        <v>1341</v>
      </c>
      <c r="D1242" s="3" t="s">
        <v>47</v>
      </c>
      <c r="E1242" s="3" t="s">
        <v>479</v>
      </c>
      <c r="F1242" s="3" t="s">
        <v>246</v>
      </c>
      <c r="G1242" s="3">
        <v>1.335468315</v>
      </c>
      <c r="H1242" s="3">
        <v>1.2723445710000001</v>
      </c>
      <c r="I1242" s="3">
        <v>0.77975455800000004</v>
      </c>
      <c r="J1242" s="3">
        <v>82.068211680000005</v>
      </c>
      <c r="K1242" s="3">
        <v>-0.26984468700000003</v>
      </c>
      <c r="L1242" s="3">
        <v>-0.27619080200000001</v>
      </c>
      <c r="M1242" s="3">
        <v>0.24335559400000001</v>
      </c>
      <c r="N1242" s="3">
        <v>-0.170552337</v>
      </c>
      <c r="O1242" s="3">
        <v>-4.5326285000000001E-2</v>
      </c>
      <c r="P1242" s="3">
        <v>-8.8270060000000001E-3</v>
      </c>
      <c r="Q1242" s="3">
        <v>-0.135609125</v>
      </c>
      <c r="R1242" s="3">
        <v>0.167971751</v>
      </c>
      <c r="S1242" s="3">
        <v>0.26186542000000002</v>
      </c>
      <c r="T1242" s="3">
        <v>1.8688935849999999</v>
      </c>
      <c r="U1242" s="3">
        <v>0.62466299800000002</v>
      </c>
      <c r="V1242" s="3">
        <v>2.2977285E-2</v>
      </c>
      <c r="W1242" s="3">
        <v>0.196812181</v>
      </c>
      <c r="X1242" s="3">
        <v>0.80854775899999998</v>
      </c>
      <c r="Y1242" s="3">
        <v>16.714459519999998</v>
      </c>
      <c r="Z1242" s="3">
        <v>2.9918429459999998</v>
      </c>
      <c r="AA1242" s="3">
        <v>-4.8521420000000003E-2</v>
      </c>
      <c r="AB1242" s="3">
        <v>16.42059682</v>
      </c>
      <c r="AC1242" s="3">
        <v>4.1082201060000001</v>
      </c>
      <c r="AD1242" s="3">
        <v>8.7481412999999994E-2</v>
      </c>
      <c r="AE1242" s="3">
        <v>5.1793953579999998</v>
      </c>
      <c r="AF1242" s="4">
        <v>42531</v>
      </c>
      <c r="AG1242" s="5">
        <f>YEAR(AF1242)</f>
        <v>2016</v>
      </c>
      <c r="AH1242" s="5" t="str">
        <f>"Q"&amp;ROUNDUP(MONTH(AF1242)/3,0)</f>
        <v>Q2</v>
      </c>
      <c r="AI1242" s="5">
        <f>INDEX(RatingLookup!$B$2:$B$11,MATCH(A1242,RatingLookup!$A$2:$A$11,0))</f>
        <v>5</v>
      </c>
      <c r="AJ1242" s="5" t="str">
        <f>INDEX(RatingLookup!$C$2:$C$11,MATCH(A1242,RatingLookup!$A$2:$A$11,0))</f>
        <v>Speculative Grade</v>
      </c>
    </row>
    <row r="1243" spans="1:36" x14ac:dyDescent="0.3">
      <c r="A1243" s="3" t="s">
        <v>109</v>
      </c>
      <c r="B1243" s="3" t="s">
        <v>1340</v>
      </c>
      <c r="C1243" s="3" t="s">
        <v>1341</v>
      </c>
      <c r="D1243" s="3" t="s">
        <v>47</v>
      </c>
      <c r="E1243" s="3" t="s">
        <v>1342</v>
      </c>
      <c r="F1243" s="3" t="s">
        <v>246</v>
      </c>
      <c r="G1243" s="3">
        <v>2.4848291229999999</v>
      </c>
      <c r="H1243" s="3">
        <v>2.7027236819999998</v>
      </c>
      <c r="I1243" s="3">
        <v>1.492121494</v>
      </c>
      <c r="J1243" s="3">
        <v>134.42754719999999</v>
      </c>
      <c r="K1243" s="3">
        <v>0.28190904900000002</v>
      </c>
      <c r="L1243" s="3">
        <v>0.28241026299999999</v>
      </c>
      <c r="M1243" s="3">
        <v>0.378190423</v>
      </c>
      <c r="N1243" s="3">
        <v>6.7602910000000002E-2</v>
      </c>
      <c r="O1243" s="3">
        <v>5.9659108000000002E-2</v>
      </c>
      <c r="P1243" s="3">
        <v>0.102465185</v>
      </c>
      <c r="Q1243" s="3">
        <v>0.145464598</v>
      </c>
      <c r="R1243" s="3">
        <v>0.211625375</v>
      </c>
      <c r="S1243" s="3">
        <v>0.35642169800000001</v>
      </c>
      <c r="T1243" s="3">
        <v>1.3415576899999999</v>
      </c>
      <c r="U1243" s="3">
        <v>0.55021040600000004</v>
      </c>
      <c r="V1243" s="3">
        <v>1.774774E-3</v>
      </c>
      <c r="W1243" s="3">
        <v>0.74768635999999999</v>
      </c>
      <c r="X1243" s="3">
        <v>16.693200699999998</v>
      </c>
      <c r="Y1243" s="3">
        <v>27.592399759999999</v>
      </c>
      <c r="Z1243" s="3">
        <v>2.4382630289999998</v>
      </c>
      <c r="AA1243" s="3">
        <v>0.45300953599999999</v>
      </c>
      <c r="AB1243" s="3">
        <v>3.7894575289999999</v>
      </c>
      <c r="AC1243" s="3">
        <v>22.32647485</v>
      </c>
      <c r="AD1243" s="3">
        <v>0.36730667900000002</v>
      </c>
      <c r="AE1243" s="3">
        <v>6.0554277939999999</v>
      </c>
      <c r="AF1243" s="4">
        <v>41213</v>
      </c>
      <c r="AG1243" s="5">
        <f>YEAR(AF1243)</f>
        <v>2012</v>
      </c>
      <c r="AH1243" s="5" t="str">
        <f>"Q"&amp;ROUNDUP(MONTH(AF1243)/3,0)</f>
        <v>Q4</v>
      </c>
      <c r="AI1243" s="5">
        <f>INDEX(RatingLookup!$B$2:$B$11,MATCH(A1243,RatingLookup!$A$2:$A$11,0))</f>
        <v>5</v>
      </c>
      <c r="AJ1243" s="5" t="str">
        <f>INDEX(RatingLookup!$C$2:$C$11,MATCH(A1243,RatingLookup!$A$2:$A$11,0))</f>
        <v>Speculative Grade</v>
      </c>
    </row>
    <row r="1244" spans="1:36" x14ac:dyDescent="0.3">
      <c r="A1244" s="3" t="s">
        <v>109</v>
      </c>
      <c r="B1244" s="3" t="s">
        <v>1340</v>
      </c>
      <c r="C1244" s="3" t="s">
        <v>1341</v>
      </c>
      <c r="D1244" s="3" t="s">
        <v>47</v>
      </c>
      <c r="E1244" s="3" t="s">
        <v>1343</v>
      </c>
      <c r="F1244" s="3" t="s">
        <v>246</v>
      </c>
      <c r="G1244" s="3">
        <v>1.4721015230000001</v>
      </c>
      <c r="H1244" s="3">
        <v>1.302702746</v>
      </c>
      <c r="I1244" s="3">
        <v>0.70433685300000004</v>
      </c>
      <c r="J1244" s="3">
        <v>79.840358019999996</v>
      </c>
      <c r="K1244" s="3">
        <v>5.9201718E-2</v>
      </c>
      <c r="L1244" s="3">
        <v>5.9120482000000002E-2</v>
      </c>
      <c r="M1244" s="3">
        <v>0.43341094200000002</v>
      </c>
      <c r="N1244" s="3">
        <v>0.23807762299999999</v>
      </c>
      <c r="O1244" s="3">
        <v>1.4005993E-2</v>
      </c>
      <c r="P1244" s="3">
        <v>5.557699E-2</v>
      </c>
      <c r="Q1244" s="3">
        <v>3.8533442000000001E-2</v>
      </c>
      <c r="R1244" s="3">
        <v>0.236580864</v>
      </c>
      <c r="S1244" s="3">
        <v>0.37633478199999998</v>
      </c>
      <c r="T1244" s="3">
        <v>1.641131294</v>
      </c>
      <c r="U1244" s="3">
        <v>0.59651234900000005</v>
      </c>
      <c r="V1244" s="3">
        <v>-1.3740650000000001E-3</v>
      </c>
      <c r="W1244" s="3">
        <v>-0.88779661700000001</v>
      </c>
      <c r="X1244" s="3">
        <v>-8.9809584660000006</v>
      </c>
      <c r="Y1244" s="3">
        <v>17.476212239999999</v>
      </c>
      <c r="Z1244" s="3">
        <v>2.7512109269999998</v>
      </c>
      <c r="AA1244" s="3">
        <v>0.214600605</v>
      </c>
      <c r="AB1244" s="3">
        <v>6.4723821939999997</v>
      </c>
      <c r="AC1244" s="3">
        <v>10.11600889</v>
      </c>
      <c r="AD1244" s="3">
        <v>0.14904076999999999</v>
      </c>
      <c r="AE1244" s="3">
        <v>7.4948861129999997</v>
      </c>
      <c r="AF1244" s="4">
        <v>40840</v>
      </c>
      <c r="AG1244" s="5">
        <f>YEAR(AF1244)</f>
        <v>2011</v>
      </c>
      <c r="AH1244" s="5" t="str">
        <f>"Q"&amp;ROUNDUP(MONTH(AF1244)/3,0)</f>
        <v>Q4</v>
      </c>
      <c r="AI1244" s="5">
        <f>INDEX(RatingLookup!$B$2:$B$11,MATCH(A1244,RatingLookup!$A$2:$A$11,0))</f>
        <v>5</v>
      </c>
      <c r="AJ1244" s="5" t="str">
        <f>INDEX(RatingLookup!$C$2:$C$11,MATCH(A1244,RatingLookup!$A$2:$A$11,0))</f>
        <v>Speculative Grade</v>
      </c>
    </row>
    <row r="1245" spans="1:36" x14ac:dyDescent="0.3">
      <c r="A1245" s="3" t="s">
        <v>92</v>
      </c>
      <c r="B1245" s="3" t="s">
        <v>1340</v>
      </c>
      <c r="C1245" s="3" t="s">
        <v>1341</v>
      </c>
      <c r="D1245" s="3" t="s">
        <v>47</v>
      </c>
      <c r="E1245" s="3" t="s">
        <v>1344</v>
      </c>
      <c r="F1245" s="3" t="s">
        <v>246</v>
      </c>
      <c r="G1245" s="3">
        <v>2.2700995549999998</v>
      </c>
      <c r="H1245" s="3">
        <v>1.9511841729999999</v>
      </c>
      <c r="I1245" s="3">
        <v>1.2677826219999999</v>
      </c>
      <c r="J1245" s="3">
        <v>71.822225259999996</v>
      </c>
      <c r="K1245" s="3">
        <v>-0.209677264</v>
      </c>
      <c r="L1245" s="3">
        <v>-0.21786725700000001</v>
      </c>
      <c r="M1245" s="3">
        <v>0.31079867799999999</v>
      </c>
      <c r="N1245" s="3">
        <v>-4.6100000000000002E-5</v>
      </c>
      <c r="O1245" s="3">
        <v>-3.7355292999999998E-2</v>
      </c>
      <c r="P1245" s="3">
        <v>-9.0907599999999998E-4</v>
      </c>
      <c r="Q1245" s="3">
        <v>-0.102339788</v>
      </c>
      <c r="R1245" s="3">
        <v>0.17815614599999999</v>
      </c>
      <c r="S1245" s="3">
        <v>0.28755148899999999</v>
      </c>
      <c r="T1245" s="3">
        <v>1.6236146360000001</v>
      </c>
      <c r="U1245" s="3">
        <v>0.59263950399999998</v>
      </c>
      <c r="V1245" s="3">
        <v>3.7591662999999997E-2</v>
      </c>
      <c r="W1245" s="3">
        <v>-1.44245092</v>
      </c>
      <c r="X1245" s="3">
        <v>-8.3467781490000004</v>
      </c>
      <c r="Y1245" s="3">
        <v>18.388576440000001</v>
      </c>
      <c r="Z1245" s="3">
        <v>2.7396328219999999</v>
      </c>
      <c r="AA1245" s="3">
        <v>-4.8409389999999998E-3</v>
      </c>
      <c r="AB1245" s="3">
        <v>22.472052900000001</v>
      </c>
      <c r="AC1245" s="3">
        <v>5.7865248899999999</v>
      </c>
      <c r="AD1245" s="3">
        <v>0.11486945</v>
      </c>
      <c r="AE1245" s="3">
        <v>6.9350383039999999</v>
      </c>
      <c r="AF1245" s="4">
        <v>41592</v>
      </c>
      <c r="AG1245" s="5">
        <f>YEAR(AF1245)</f>
        <v>2013</v>
      </c>
      <c r="AH1245" s="5" t="str">
        <f>"Q"&amp;ROUNDUP(MONTH(AF1245)/3,0)</f>
        <v>Q4</v>
      </c>
      <c r="AI1245" s="5">
        <f>INDEX(RatingLookup!$B$2:$B$11,MATCH(A1245,RatingLookup!$A$2:$A$11,0))</f>
        <v>6</v>
      </c>
      <c r="AJ1245" s="5" t="str">
        <f>INDEX(RatingLookup!$C$2:$C$11,MATCH(A1245,RatingLookup!$A$2:$A$11,0))</f>
        <v>Speculative Grade</v>
      </c>
    </row>
    <row r="1246" spans="1:36" x14ac:dyDescent="0.3">
      <c r="A1246" s="3" t="s">
        <v>109</v>
      </c>
      <c r="B1246" s="3" t="s">
        <v>1340</v>
      </c>
      <c r="C1246" s="3" t="s">
        <v>1341</v>
      </c>
      <c r="D1246" s="3" t="s">
        <v>47</v>
      </c>
      <c r="E1246" s="3" t="s">
        <v>1345</v>
      </c>
      <c r="F1246" s="3" t="s">
        <v>246</v>
      </c>
      <c r="G1246" s="3">
        <v>1.735911668</v>
      </c>
      <c r="H1246" s="3">
        <v>1.5634241550000001</v>
      </c>
      <c r="I1246" s="3">
        <v>1.201371011</v>
      </c>
      <c r="J1246" s="3">
        <v>39.183717739999999</v>
      </c>
      <c r="K1246" s="3">
        <v>0.21437438</v>
      </c>
      <c r="L1246" s="3">
        <v>0.214983277</v>
      </c>
      <c r="M1246" s="3">
        <v>0.43571577700000003</v>
      </c>
      <c r="N1246" s="3">
        <v>0.25785903599999999</v>
      </c>
      <c r="O1246" s="3">
        <v>3.9642707999999999E-2</v>
      </c>
      <c r="P1246" s="3">
        <v>7.2570099999999998E-2</v>
      </c>
      <c r="Q1246" s="3">
        <v>0.13756072</v>
      </c>
      <c r="R1246" s="3">
        <v>0.18492278700000001</v>
      </c>
      <c r="S1246" s="3">
        <v>0.25879938400000002</v>
      </c>
      <c r="T1246" s="3">
        <v>2.2265589389999998</v>
      </c>
      <c r="U1246" s="3">
        <v>0.64165719499999996</v>
      </c>
      <c r="V1246" s="3">
        <v>2.8322989999999999E-3</v>
      </c>
      <c r="W1246" s="3">
        <v>-2.08934431</v>
      </c>
      <c r="X1246" s="3">
        <v>-39.072032290000003</v>
      </c>
      <c r="Y1246" s="3">
        <v>24.010103669999999</v>
      </c>
      <c r="Z1246" s="3">
        <v>3.4700132030000002</v>
      </c>
      <c r="AA1246" s="3">
        <v>0.37091678700000003</v>
      </c>
      <c r="AB1246" s="3">
        <v>6.7645381679999996</v>
      </c>
      <c r="AC1246" s="3">
        <v>18.700619190000001</v>
      </c>
      <c r="AD1246" s="3">
        <v>0.27744669199999999</v>
      </c>
      <c r="AE1246" s="3">
        <v>7.7514748669999998</v>
      </c>
      <c r="AF1246" s="4">
        <v>40556</v>
      </c>
      <c r="AG1246" s="5">
        <f>YEAR(AF1246)</f>
        <v>2011</v>
      </c>
      <c r="AH1246" s="5" t="str">
        <f>"Q"&amp;ROUNDUP(MONTH(AF1246)/3,0)</f>
        <v>Q1</v>
      </c>
      <c r="AI1246" s="5">
        <f>INDEX(RatingLookup!$B$2:$B$11,MATCH(A1246,RatingLookup!$A$2:$A$11,0))</f>
        <v>5</v>
      </c>
      <c r="AJ1246" s="5" t="str">
        <f>INDEX(RatingLookup!$C$2:$C$11,MATCH(A1246,RatingLookup!$A$2:$A$11,0))</f>
        <v>Speculative Grade</v>
      </c>
    </row>
    <row r="1247" spans="1:36" x14ac:dyDescent="0.3">
      <c r="A1247" s="3" t="s">
        <v>92</v>
      </c>
      <c r="B1247" s="3" t="s">
        <v>1346</v>
      </c>
      <c r="C1247" s="3" t="s">
        <v>1347</v>
      </c>
      <c r="D1247" s="3" t="s">
        <v>47</v>
      </c>
      <c r="E1247" s="3" t="s">
        <v>1348</v>
      </c>
      <c r="F1247" s="3" t="s">
        <v>53</v>
      </c>
      <c r="G1247" s="3">
        <v>1.478301809</v>
      </c>
      <c r="H1247" s="3">
        <v>1.382037312</v>
      </c>
      <c r="I1247" s="3">
        <v>3.7109746999999998E-2</v>
      </c>
      <c r="J1247" s="3">
        <v>22.24980489</v>
      </c>
      <c r="K1247" s="3">
        <v>1.563023E-3</v>
      </c>
      <c r="L1247" s="3">
        <v>1.563023E-3</v>
      </c>
      <c r="M1247" s="3">
        <v>5.0223017000000002E-2</v>
      </c>
      <c r="N1247" s="3">
        <v>5.1845440000000001E-3</v>
      </c>
      <c r="O1247" s="3">
        <v>4.0109960000000002E-3</v>
      </c>
      <c r="P1247" s="3">
        <v>4.8324550000000003E-3</v>
      </c>
      <c r="Q1247" s="3">
        <v>1.2353339E-2</v>
      </c>
      <c r="R1247" s="3">
        <v>2.566178608</v>
      </c>
      <c r="S1247" s="3">
        <v>10.38838338</v>
      </c>
      <c r="T1247" s="3">
        <v>2.0798681779999999</v>
      </c>
      <c r="U1247" s="3">
        <v>0.67531077900000003</v>
      </c>
      <c r="V1247" s="3">
        <v>-0.13791790400000001</v>
      </c>
      <c r="W1247" s="3">
        <v>0.22345785300000001</v>
      </c>
      <c r="X1247" s="3">
        <v>6.7895399999999995E-4</v>
      </c>
      <c r="Y1247" s="3">
        <v>5.9515999999999996E-3</v>
      </c>
      <c r="Z1247" s="3">
        <v>3.0798681779999999</v>
      </c>
      <c r="AA1247" s="3">
        <v>1.563023E-3</v>
      </c>
      <c r="AB1247" s="3">
        <v>8500.338006</v>
      </c>
      <c r="AC1247" s="3">
        <v>3.0383989999999998E-3</v>
      </c>
      <c r="AD1247" s="3">
        <v>1.5616778E-2</v>
      </c>
      <c r="AE1247" s="3">
        <v>19.14877607</v>
      </c>
      <c r="AF1247" s="4">
        <v>42384</v>
      </c>
      <c r="AG1247" s="5">
        <f>YEAR(AF1247)</f>
        <v>2016</v>
      </c>
      <c r="AH1247" s="5" t="str">
        <f>"Q"&amp;ROUNDUP(MONTH(AF1247)/3,0)</f>
        <v>Q1</v>
      </c>
      <c r="AI1247" s="5">
        <f>INDEX(RatingLookup!$B$2:$B$11,MATCH(A1247,RatingLookup!$A$2:$A$11,0))</f>
        <v>6</v>
      </c>
      <c r="AJ1247" s="5" t="str">
        <f>INDEX(RatingLookup!$C$2:$C$11,MATCH(A1247,RatingLookup!$A$2:$A$11,0))</f>
        <v>Speculative Grade</v>
      </c>
    </row>
    <row r="1248" spans="1:36" x14ac:dyDescent="0.3">
      <c r="A1248" s="3" t="s">
        <v>92</v>
      </c>
      <c r="B1248" s="3" t="s">
        <v>1346</v>
      </c>
      <c r="C1248" s="3" t="s">
        <v>1347</v>
      </c>
      <c r="D1248" s="3" t="s">
        <v>47</v>
      </c>
      <c r="E1248" s="3" t="s">
        <v>968</v>
      </c>
      <c r="F1248" s="3" t="s">
        <v>53</v>
      </c>
      <c r="G1248" s="3">
        <v>1.4567354610000001</v>
      </c>
      <c r="H1248" s="3">
        <v>1.0888406369999999</v>
      </c>
      <c r="I1248" s="3">
        <v>3.9908386999999997E-2</v>
      </c>
      <c r="J1248" s="3">
        <v>16.19556536</v>
      </c>
      <c r="K1248" s="3">
        <v>-1.5933848E-2</v>
      </c>
      <c r="L1248" s="3">
        <v>-1.5965103000000001E-2</v>
      </c>
      <c r="M1248" s="3">
        <v>7.6908920000000006E-2</v>
      </c>
      <c r="N1248" s="3">
        <v>-8.9083649999999997E-3</v>
      </c>
      <c r="O1248" s="3">
        <v>-3.3649601000000001E-2</v>
      </c>
      <c r="P1248" s="3">
        <v>-3.8619421000000001E-2</v>
      </c>
      <c r="Q1248" s="3">
        <v>-0.11294615500000001</v>
      </c>
      <c r="R1248" s="3">
        <v>2.1118314150000002</v>
      </c>
      <c r="S1248" s="3">
        <v>7.1182767409999999</v>
      </c>
      <c r="T1248" s="3">
        <v>2.3565376709999999</v>
      </c>
      <c r="U1248" s="3">
        <v>0.70207395299999997</v>
      </c>
      <c r="V1248" s="3">
        <v>1.9577090000000002E-3</v>
      </c>
      <c r="W1248" s="3">
        <v>-0.88305665799999999</v>
      </c>
      <c r="X1248" s="3">
        <v>-2.961492E-3</v>
      </c>
      <c r="Y1248" s="3">
        <v>2.3636030000000001E-3</v>
      </c>
      <c r="Z1248" s="3">
        <v>3.3565376709999999</v>
      </c>
      <c r="AA1248" s="3">
        <v>-1.5965103000000001E-2</v>
      </c>
      <c r="AB1248" s="3">
        <v>9282.6614169999993</v>
      </c>
      <c r="AC1248" s="3">
        <v>3.3536830000000001E-3</v>
      </c>
      <c r="AD1248" s="3">
        <v>2.9934569000000001E-2</v>
      </c>
      <c r="AE1248" s="3">
        <v>25.788442230000001</v>
      </c>
      <c r="AF1248" s="4">
        <v>42660</v>
      </c>
      <c r="AG1248" s="5">
        <f>YEAR(AF1248)</f>
        <v>2016</v>
      </c>
      <c r="AH1248" s="5" t="str">
        <f>"Q"&amp;ROUNDUP(MONTH(AF1248)/3,0)</f>
        <v>Q4</v>
      </c>
      <c r="AI1248" s="5">
        <f>INDEX(RatingLookup!$B$2:$B$11,MATCH(A1248,RatingLookup!$A$2:$A$11,0))</f>
        <v>6</v>
      </c>
      <c r="AJ1248" s="5" t="str">
        <f>INDEX(RatingLookup!$C$2:$C$11,MATCH(A1248,RatingLookup!$A$2:$A$11,0))</f>
        <v>Speculative Grade</v>
      </c>
    </row>
    <row r="1249" spans="1:36" x14ac:dyDescent="0.3">
      <c r="A1249" s="3" t="s">
        <v>109</v>
      </c>
      <c r="B1249" s="3" t="s">
        <v>1349</v>
      </c>
      <c r="C1249" s="3" t="s">
        <v>1350</v>
      </c>
      <c r="D1249" s="3" t="s">
        <v>47</v>
      </c>
      <c r="E1249" s="3" t="s">
        <v>1351</v>
      </c>
      <c r="F1249" s="3" t="s">
        <v>79</v>
      </c>
      <c r="G1249" s="3">
        <v>1.0435571690000001</v>
      </c>
      <c r="H1249" s="3">
        <v>0.84278584400000001</v>
      </c>
      <c r="I1249" s="3">
        <v>0.15902903800000001</v>
      </c>
      <c r="J1249" s="3">
        <v>-811.84562310000001</v>
      </c>
      <c r="K1249" s="3">
        <v>-0.25140146600000002</v>
      </c>
      <c r="L1249" s="3">
        <v>0.48210435499999998</v>
      </c>
      <c r="M1249" s="3">
        <v>-7.6998706339999998</v>
      </c>
      <c r="N1249" s="3">
        <v>-0.68693402299999995</v>
      </c>
      <c r="O1249" s="3">
        <v>4.3987719999999996E-3</v>
      </c>
      <c r="P1249" s="3">
        <v>-9.0364610000000008E-3</v>
      </c>
      <c r="Q1249" s="3">
        <v>3.9893252999999997E-2</v>
      </c>
      <c r="R1249" s="3">
        <v>-1.7497001000000002E-2</v>
      </c>
      <c r="S1249" s="3">
        <v>-2.3900563999999999E-2</v>
      </c>
      <c r="T1249" s="3">
        <v>8.0691802379999995</v>
      </c>
      <c r="U1249" s="3">
        <v>0.88973645099999998</v>
      </c>
      <c r="V1249" s="3">
        <v>-0.354203936</v>
      </c>
      <c r="W1249" s="3">
        <v>0.210205857</v>
      </c>
      <c r="X1249" s="3">
        <v>4.0654205609999998</v>
      </c>
      <c r="Y1249" s="3">
        <v>4.2467289719999997</v>
      </c>
      <c r="Z1249" s="3">
        <v>9.0691802379999995</v>
      </c>
      <c r="AA1249" s="3">
        <v>0.48210435499999998</v>
      </c>
      <c r="AB1249" s="3">
        <v>8.2690442639999997</v>
      </c>
      <c r="AC1249" s="3">
        <v>19.340186920000001</v>
      </c>
      <c r="AD1249" s="3">
        <v>-4.461836999</v>
      </c>
      <c r="AE1249" s="3">
        <v>0.76791964700000004</v>
      </c>
      <c r="AF1249" s="4">
        <v>42404</v>
      </c>
      <c r="AG1249" s="5">
        <f>YEAR(AF1249)</f>
        <v>2016</v>
      </c>
      <c r="AH1249" s="5" t="str">
        <f>"Q"&amp;ROUNDUP(MONTH(AF1249)/3,0)</f>
        <v>Q1</v>
      </c>
      <c r="AI1249" s="5">
        <f>INDEX(RatingLookup!$B$2:$B$11,MATCH(A1249,RatingLookup!$A$2:$A$11,0))</f>
        <v>5</v>
      </c>
      <c r="AJ1249" s="5" t="str">
        <f>INDEX(RatingLookup!$C$2:$C$11,MATCH(A1249,RatingLookup!$A$2:$A$11,0))</f>
        <v>Speculative Grade</v>
      </c>
    </row>
    <row r="1250" spans="1:36" x14ac:dyDescent="0.3">
      <c r="A1250" s="3" t="s">
        <v>116</v>
      </c>
      <c r="B1250" s="3" t="s">
        <v>1352</v>
      </c>
      <c r="C1250" s="3" t="s">
        <v>1353</v>
      </c>
      <c r="D1250" s="3" t="s">
        <v>60</v>
      </c>
      <c r="E1250" s="3" t="s">
        <v>72</v>
      </c>
      <c r="F1250" s="3" t="s">
        <v>53</v>
      </c>
      <c r="G1250" s="3">
        <v>1.886397608</v>
      </c>
      <c r="H1250" s="3">
        <v>1.022346786</v>
      </c>
      <c r="I1250" s="3">
        <v>0.15874439500000001</v>
      </c>
      <c r="J1250" s="3">
        <v>46.079514289999999</v>
      </c>
      <c r="K1250" s="3">
        <v>-0.320403985</v>
      </c>
      <c r="L1250" s="3">
        <v>-0.32062468199999999</v>
      </c>
      <c r="M1250" s="3">
        <v>0.36487333999999999</v>
      </c>
      <c r="N1250" s="3">
        <v>-0.32062468199999999</v>
      </c>
      <c r="O1250" s="3">
        <v>-0.149553776</v>
      </c>
      <c r="P1250" s="3">
        <v>-0.160616277</v>
      </c>
      <c r="Q1250" s="3">
        <v>-0.44144654100000003</v>
      </c>
      <c r="R1250" s="3">
        <v>0.46676628100000001</v>
      </c>
      <c r="S1250" s="3">
        <v>0.65444600200000003</v>
      </c>
      <c r="T1250" s="3">
        <v>1.9517578980000001</v>
      </c>
      <c r="U1250" s="3">
        <v>0.66121882799999998</v>
      </c>
      <c r="V1250" s="3">
        <v>6.8833399999999997E-4</v>
      </c>
      <c r="W1250" s="3">
        <v>6.4979930000000005E-2</v>
      </c>
      <c r="X1250" s="3">
        <v>0.19961161199999999</v>
      </c>
      <c r="Y1250" s="3">
        <v>0.320174493</v>
      </c>
      <c r="Z1250" s="3">
        <v>2.9517578979999999</v>
      </c>
      <c r="AA1250" s="3">
        <v>-0.32062468199999999</v>
      </c>
      <c r="AB1250" s="3">
        <v>-12.59126813</v>
      </c>
      <c r="AC1250" s="3">
        <v>3.0718963879999999</v>
      </c>
      <c r="AD1250" s="3">
        <v>0.22264832000000001</v>
      </c>
      <c r="AE1250" s="3">
        <v>22.411905310000002</v>
      </c>
      <c r="AF1250" s="4">
        <v>42450</v>
      </c>
      <c r="AG1250" s="5">
        <f>YEAR(AF1250)</f>
        <v>2016</v>
      </c>
      <c r="AH1250" s="5" t="str">
        <f>"Q"&amp;ROUNDUP(MONTH(AF1250)/3,0)</f>
        <v>Q1</v>
      </c>
      <c r="AI1250" s="5">
        <f>INDEX(RatingLookup!$B$2:$B$11,MATCH(A1250,RatingLookup!$A$2:$A$11,0))</f>
        <v>4</v>
      </c>
      <c r="AJ1250" s="5" t="str">
        <f>INDEX(RatingLookup!$C$2:$C$11,MATCH(A1250,RatingLookup!$A$2:$A$11,0))</f>
        <v>Speculative Grade</v>
      </c>
    </row>
    <row r="1251" spans="1:36" x14ac:dyDescent="0.3">
      <c r="A1251" s="3" t="s">
        <v>109</v>
      </c>
      <c r="B1251" s="3" t="s">
        <v>1352</v>
      </c>
      <c r="C1251" s="3" t="s">
        <v>1353</v>
      </c>
      <c r="D1251" s="3" t="s">
        <v>47</v>
      </c>
      <c r="E1251" s="3" t="s">
        <v>265</v>
      </c>
      <c r="F1251" s="3" t="s">
        <v>53</v>
      </c>
      <c r="G1251" s="3">
        <v>1.646762134</v>
      </c>
      <c r="H1251" s="3">
        <v>0.80311017200000001</v>
      </c>
      <c r="I1251" s="3">
        <v>0.24234016999999999</v>
      </c>
      <c r="J1251" s="3">
        <v>101.7955966</v>
      </c>
      <c r="K1251" s="3">
        <v>3.9830601E-2</v>
      </c>
      <c r="L1251" s="3">
        <v>3.5684087000000003E-2</v>
      </c>
      <c r="M1251" s="3">
        <v>0.38203129699999999</v>
      </c>
      <c r="N1251" s="3">
        <v>3.5684087000000003E-2</v>
      </c>
      <c r="O1251" s="3">
        <v>9.1330649999999992E-3</v>
      </c>
      <c r="P1251" s="3">
        <v>9.2354770000000006E-3</v>
      </c>
      <c r="Q1251" s="3">
        <v>2.0458638000000001E-2</v>
      </c>
      <c r="R1251" s="3">
        <v>0.229297684</v>
      </c>
      <c r="S1251" s="3">
        <v>0.411765563</v>
      </c>
      <c r="T1251" s="3">
        <v>1.2400628039999999</v>
      </c>
      <c r="U1251" s="3">
        <v>0.55358394499999997</v>
      </c>
      <c r="V1251" s="3">
        <v>-0.116200674</v>
      </c>
      <c r="W1251" s="3">
        <v>-7.4031103000000001E-2</v>
      </c>
      <c r="X1251" s="3">
        <v>-0.17528993100000001</v>
      </c>
      <c r="Y1251" s="3">
        <v>1.7997066880000001</v>
      </c>
      <c r="Z1251" s="3">
        <v>2.2400628039999999</v>
      </c>
      <c r="AA1251" s="3">
        <v>3.5684087000000003E-2</v>
      </c>
      <c r="AB1251" s="3">
        <v>15.34598489</v>
      </c>
      <c r="AC1251" s="3">
        <v>2.3677876489999998</v>
      </c>
      <c r="AD1251" s="3">
        <v>0.158568816</v>
      </c>
      <c r="AE1251" s="3">
        <v>4.6189871739999999</v>
      </c>
      <c r="AF1251" s="4">
        <v>42082</v>
      </c>
      <c r="AG1251" s="5">
        <f>YEAR(AF1251)</f>
        <v>2015</v>
      </c>
      <c r="AH1251" s="5" t="str">
        <f>"Q"&amp;ROUNDUP(MONTH(AF1251)/3,0)</f>
        <v>Q1</v>
      </c>
      <c r="AI1251" s="5">
        <f>INDEX(RatingLookup!$B$2:$B$11,MATCH(A1251,RatingLookup!$A$2:$A$11,0))</f>
        <v>5</v>
      </c>
      <c r="AJ1251" s="5" t="str">
        <f>INDEX(RatingLookup!$C$2:$C$11,MATCH(A1251,RatingLookup!$A$2:$A$11,0))</f>
        <v>Speculative Grade</v>
      </c>
    </row>
    <row r="1252" spans="1:36" x14ac:dyDescent="0.3">
      <c r="A1252" s="3" t="s">
        <v>109</v>
      </c>
      <c r="B1252" s="3" t="s">
        <v>1352</v>
      </c>
      <c r="C1252" s="3" t="s">
        <v>1353</v>
      </c>
      <c r="D1252" s="3" t="s">
        <v>47</v>
      </c>
      <c r="E1252" s="3" t="s">
        <v>1148</v>
      </c>
      <c r="F1252" s="3" t="s">
        <v>53</v>
      </c>
      <c r="G1252" s="3">
        <v>2.0435949830000002</v>
      </c>
      <c r="H1252" s="3">
        <v>1.316284008</v>
      </c>
      <c r="I1252" s="3">
        <v>0.41665664899999999</v>
      </c>
      <c r="J1252" s="3">
        <v>52.639395180000001</v>
      </c>
      <c r="K1252" s="3">
        <v>-0.44365579700000002</v>
      </c>
      <c r="L1252" s="3">
        <v>-0.437666004</v>
      </c>
      <c r="M1252" s="3">
        <v>0.38573305099999999</v>
      </c>
      <c r="N1252" s="3">
        <v>-0.437666004</v>
      </c>
      <c r="O1252" s="3">
        <v>-0.17571679300000001</v>
      </c>
      <c r="P1252" s="3">
        <v>-0.18509669600000001</v>
      </c>
      <c r="Q1252" s="3">
        <v>-0.96432086800000005</v>
      </c>
      <c r="R1252" s="3">
        <v>0.39606558600000003</v>
      </c>
      <c r="S1252" s="3">
        <v>0.48123664999999999</v>
      </c>
      <c r="T1252" s="3">
        <v>4.4879266170000003</v>
      </c>
      <c r="U1252" s="3">
        <v>0.81778181999999999</v>
      </c>
      <c r="V1252" s="3">
        <v>-1.3685763E-2</v>
      </c>
      <c r="W1252" s="3">
        <v>0.82652496600000003</v>
      </c>
      <c r="X1252" s="3">
        <v>1.52680013</v>
      </c>
      <c r="Y1252" s="3">
        <v>0.62524096299999998</v>
      </c>
      <c r="Z1252" s="3">
        <v>5.4879266170000003</v>
      </c>
      <c r="AA1252" s="3">
        <v>-0.437666004</v>
      </c>
      <c r="AB1252" s="3">
        <v>-14.36174361</v>
      </c>
      <c r="AC1252" s="3">
        <v>1.847252283</v>
      </c>
      <c r="AD1252" s="3">
        <v>0.19733879700000001</v>
      </c>
      <c r="AE1252" s="3">
        <v>12.196148450000001</v>
      </c>
      <c r="AF1252" s="4">
        <v>42566</v>
      </c>
      <c r="AG1252" s="5">
        <f>YEAR(AF1252)</f>
        <v>2016</v>
      </c>
      <c r="AH1252" s="5" t="str">
        <f>"Q"&amp;ROUNDUP(MONTH(AF1252)/3,0)</f>
        <v>Q3</v>
      </c>
      <c r="AI1252" s="5">
        <f>INDEX(RatingLookup!$B$2:$B$11,MATCH(A1252,RatingLookup!$A$2:$A$11,0))</f>
        <v>5</v>
      </c>
      <c r="AJ1252" s="5" t="str">
        <f>INDEX(RatingLookup!$C$2:$C$11,MATCH(A1252,RatingLookup!$A$2:$A$11,0))</f>
        <v>Speculative Grade</v>
      </c>
    </row>
    <row r="1253" spans="1:36" x14ac:dyDescent="0.3">
      <c r="A1253" s="3" t="s">
        <v>42</v>
      </c>
      <c r="B1253" s="3" t="s">
        <v>1354</v>
      </c>
      <c r="C1253" s="3" t="s">
        <v>1355</v>
      </c>
      <c r="D1253" s="3" t="s">
        <v>47</v>
      </c>
      <c r="E1253" s="3" t="s">
        <v>1356</v>
      </c>
      <c r="F1253" s="3" t="s">
        <v>215</v>
      </c>
      <c r="G1253" s="3">
        <v>1.7760834670000001</v>
      </c>
      <c r="H1253" s="3">
        <v>1.45024077</v>
      </c>
      <c r="I1253" s="3">
        <v>0.81902086699999999</v>
      </c>
      <c r="J1253" s="3">
        <v>55.647685969999998</v>
      </c>
      <c r="K1253" s="3">
        <v>8.6455052000000004E-2</v>
      </c>
      <c r="L1253" s="3">
        <v>0.14533559500000001</v>
      </c>
      <c r="M1253" s="3">
        <v>0.38299006499999999</v>
      </c>
      <c r="N1253" s="3">
        <v>0.156142476</v>
      </c>
      <c r="O1253" s="3">
        <v>7.0835814999999996E-2</v>
      </c>
      <c r="P1253" s="3">
        <v>0.14845799700000001</v>
      </c>
      <c r="Q1253" s="3">
        <v>0.23162814900000001</v>
      </c>
      <c r="R1253" s="3">
        <v>0.81933690699999995</v>
      </c>
      <c r="S1253" s="3">
        <v>20.635000000000002</v>
      </c>
      <c r="T1253" s="3">
        <v>2.2699298880000001</v>
      </c>
      <c r="U1253" s="3">
        <v>0.69418304500000005</v>
      </c>
      <c r="V1253" s="3">
        <v>0.378792931</v>
      </c>
      <c r="W1253" s="3">
        <v>1</v>
      </c>
      <c r="X1253" s="3">
        <v>1.6681195520000001</v>
      </c>
      <c r="Y1253" s="3">
        <v>2.5417185550000001</v>
      </c>
      <c r="Z1253" s="3">
        <v>3.2699298880000001</v>
      </c>
      <c r="AA1253" s="3">
        <v>0.14533559500000001</v>
      </c>
      <c r="AB1253" s="3">
        <v>22.197170809999999</v>
      </c>
      <c r="AC1253" s="3">
        <v>1.6681195520000001</v>
      </c>
      <c r="AD1253" s="3">
        <v>0.12982796199999999</v>
      </c>
      <c r="AE1253" s="3">
        <v>58.672811060000001</v>
      </c>
      <c r="AF1253" s="4">
        <v>42353</v>
      </c>
      <c r="AG1253" s="5">
        <f>YEAR(AF1253)</f>
        <v>2015</v>
      </c>
      <c r="AH1253" s="5" t="str">
        <f>"Q"&amp;ROUNDUP(MONTH(AF1253)/3,0)</f>
        <v>Q4</v>
      </c>
      <c r="AI1253" s="5">
        <f>INDEX(RatingLookup!$B$2:$B$11,MATCH(A1253,RatingLookup!$A$2:$A$11,0))</f>
        <v>7</v>
      </c>
      <c r="AJ1253" s="5" t="str">
        <f>INDEX(RatingLookup!$C$2:$C$11,MATCH(A1253,RatingLookup!$A$2:$A$11,0))</f>
        <v>Investment Grade</v>
      </c>
    </row>
    <row r="1254" spans="1:36" x14ac:dyDescent="0.3">
      <c r="A1254" s="3" t="s">
        <v>42</v>
      </c>
      <c r="B1254" s="3" t="s">
        <v>1354</v>
      </c>
      <c r="C1254" s="3" t="s">
        <v>1355</v>
      </c>
      <c r="D1254" s="3" t="s">
        <v>47</v>
      </c>
      <c r="E1254" s="3" t="s">
        <v>206</v>
      </c>
      <c r="F1254" s="3" t="s">
        <v>215</v>
      </c>
      <c r="G1254" s="3">
        <v>1.4113488729999999</v>
      </c>
      <c r="H1254" s="3">
        <v>1.1169277799999999</v>
      </c>
      <c r="I1254" s="3">
        <v>0.41860909400000001</v>
      </c>
      <c r="J1254" s="3">
        <v>63.088763829999998</v>
      </c>
      <c r="K1254" s="3">
        <v>0.113165611</v>
      </c>
      <c r="L1254" s="3">
        <v>0.174548378</v>
      </c>
      <c r="M1254" s="3">
        <v>0.41199281199999999</v>
      </c>
      <c r="N1254" s="3">
        <v>0.19034332700000001</v>
      </c>
      <c r="O1254" s="3">
        <v>0.101183932</v>
      </c>
      <c r="P1254" s="3">
        <v>0.20042354500000001</v>
      </c>
      <c r="Q1254" s="3">
        <v>0.665091718</v>
      </c>
      <c r="R1254" s="3">
        <v>0.89412262200000003</v>
      </c>
      <c r="S1254" s="3">
        <v>17.829679599999999</v>
      </c>
      <c r="T1254" s="3">
        <v>5.5730961649999999</v>
      </c>
      <c r="U1254" s="3">
        <v>0.847864693</v>
      </c>
      <c r="V1254" s="3">
        <v>0.33134651900000001</v>
      </c>
      <c r="W1254" s="3">
        <v>1</v>
      </c>
      <c r="X1254" s="3">
        <v>2.0388535029999999</v>
      </c>
      <c r="Y1254" s="3">
        <v>1.395541401</v>
      </c>
      <c r="Z1254" s="3">
        <v>6.5730961649999999</v>
      </c>
      <c r="AA1254" s="3">
        <v>0.174548378</v>
      </c>
      <c r="AB1254" s="3">
        <v>21.58848875</v>
      </c>
      <c r="AC1254" s="3">
        <v>2.0388535029999999</v>
      </c>
      <c r="AD1254" s="3">
        <v>0.15137614699999999</v>
      </c>
      <c r="AE1254" s="3">
        <v>32.046391749999998</v>
      </c>
      <c r="AF1254" s="4">
        <v>42663</v>
      </c>
      <c r="AG1254" s="5">
        <f>YEAR(AF1254)</f>
        <v>2016</v>
      </c>
      <c r="AH1254" s="5" t="str">
        <f>"Q"&amp;ROUNDUP(MONTH(AF1254)/3,0)</f>
        <v>Q4</v>
      </c>
      <c r="AI1254" s="5">
        <f>INDEX(RatingLookup!$B$2:$B$11,MATCH(A1254,RatingLookup!$A$2:$A$11,0))</f>
        <v>7</v>
      </c>
      <c r="AJ1254" s="5" t="str">
        <f>INDEX(RatingLookup!$C$2:$C$11,MATCH(A1254,RatingLookup!$A$2:$A$11,0))</f>
        <v>Investment Grade</v>
      </c>
    </row>
    <row r="1255" spans="1:36" x14ac:dyDescent="0.3">
      <c r="A1255" s="3" t="s">
        <v>36</v>
      </c>
      <c r="B1255" s="3" t="s">
        <v>1357</v>
      </c>
      <c r="C1255" s="3" t="s">
        <v>1358</v>
      </c>
      <c r="D1255" s="3" t="s">
        <v>39</v>
      </c>
      <c r="E1255" s="3" t="s">
        <v>725</v>
      </c>
      <c r="F1255" s="3" t="s">
        <v>96</v>
      </c>
      <c r="G1255" s="3">
        <v>1.626781571</v>
      </c>
      <c r="H1255" s="3">
        <v>0.599602254</v>
      </c>
      <c r="I1255" s="3">
        <v>0.599602254</v>
      </c>
      <c r="J1255" s="3">
        <v>0</v>
      </c>
      <c r="K1255" s="3">
        <v>0.118783162</v>
      </c>
      <c r="L1255" s="3">
        <v>0.16604173999999999</v>
      </c>
      <c r="M1255" s="3">
        <v>0.39483551500000003</v>
      </c>
      <c r="N1255" s="3">
        <v>0.17785638500000001</v>
      </c>
      <c r="O1255" s="3">
        <v>8.4092957999999995E-2</v>
      </c>
      <c r="P1255" s="3">
        <v>0.168461097</v>
      </c>
      <c r="Q1255" s="3">
        <v>0.17293233099999999</v>
      </c>
      <c r="R1255" s="3">
        <v>0.70795352099999997</v>
      </c>
      <c r="S1255" s="3">
        <v>8.270918666</v>
      </c>
      <c r="T1255" s="3">
        <v>1.056442476</v>
      </c>
      <c r="U1255" s="3">
        <v>0.51372333000000003</v>
      </c>
      <c r="V1255" s="3">
        <v>0.30549637800000001</v>
      </c>
      <c r="W1255" s="3">
        <v>0.85443038000000004</v>
      </c>
      <c r="X1255" s="3">
        <v>4.8408785300000003</v>
      </c>
      <c r="Y1255" s="3">
        <v>8.1084715369999998</v>
      </c>
      <c r="Z1255" s="3">
        <v>2.056442476</v>
      </c>
      <c r="AA1255" s="3">
        <v>0.16604173999999999</v>
      </c>
      <c r="AB1255" s="3">
        <v>12.185864410000001</v>
      </c>
      <c r="AC1255" s="3">
        <v>5.665620798</v>
      </c>
      <c r="AD1255" s="3">
        <v>0.17884683400000001</v>
      </c>
      <c r="AE1255" s="3">
        <v>13.49211356</v>
      </c>
      <c r="AF1255" s="4">
        <v>41669</v>
      </c>
      <c r="AG1255" s="5">
        <f>YEAR(AF1255)</f>
        <v>2014</v>
      </c>
      <c r="AH1255" s="5" t="str">
        <f>"Q"&amp;ROUNDUP(MONTH(AF1255)/3,0)</f>
        <v>Q1</v>
      </c>
      <c r="AI1255" s="5">
        <f>INDEX(RatingLookup!$B$2:$B$11,MATCH(A1255,RatingLookup!$A$2:$A$11,0))</f>
        <v>8</v>
      </c>
      <c r="AJ1255" s="5" t="str">
        <f>INDEX(RatingLookup!$C$2:$C$11,MATCH(A1255,RatingLookup!$A$2:$A$11,0))</f>
        <v>Investment Grade</v>
      </c>
    </row>
    <row r="1256" spans="1:36" x14ac:dyDescent="0.3">
      <c r="A1256" s="3" t="s">
        <v>36</v>
      </c>
      <c r="B1256" s="3" t="s">
        <v>1357</v>
      </c>
      <c r="C1256" s="3" t="s">
        <v>1358</v>
      </c>
      <c r="D1256" s="3" t="s">
        <v>47</v>
      </c>
      <c r="E1256" s="3" t="s">
        <v>1359</v>
      </c>
      <c r="F1256" s="3" t="s">
        <v>96</v>
      </c>
      <c r="G1256" s="3">
        <v>2.2858760259999999</v>
      </c>
      <c r="H1256" s="3">
        <v>1.1293518259999999</v>
      </c>
      <c r="I1256" s="3">
        <v>1.1293518259999999</v>
      </c>
      <c r="J1256" s="3">
        <v>0</v>
      </c>
      <c r="K1256" s="3">
        <v>0.20339685199999999</v>
      </c>
      <c r="L1256" s="3">
        <v>0.186343552</v>
      </c>
      <c r="M1256" s="3">
        <v>0.40120132600000002</v>
      </c>
      <c r="N1256" s="3">
        <v>0.19939243300000001</v>
      </c>
      <c r="O1256" s="3">
        <v>0.16664781100000001</v>
      </c>
      <c r="P1256" s="3">
        <v>0.19080947300000001</v>
      </c>
      <c r="Q1256" s="3">
        <v>0.43171160600000003</v>
      </c>
      <c r="R1256" s="3">
        <v>0.81932345299999998</v>
      </c>
      <c r="S1256" s="3">
        <v>8.5907473309999993</v>
      </c>
      <c r="T1256" s="3">
        <v>1.5905627200000001</v>
      </c>
      <c r="U1256" s="3">
        <v>0.61398348199999997</v>
      </c>
      <c r="V1256" s="3">
        <v>0.29974064499999997</v>
      </c>
      <c r="W1256" s="3">
        <v>0.77660891099999996</v>
      </c>
      <c r="X1256" s="3">
        <v>3.1242220559999998</v>
      </c>
      <c r="Y1256" s="3">
        <v>9.9327856610000005</v>
      </c>
      <c r="Z1256" s="3">
        <v>2.5905627199999999</v>
      </c>
      <c r="AA1256" s="3">
        <v>0.186343552</v>
      </c>
      <c r="AB1256" s="3">
        <v>12.03571517</v>
      </c>
      <c r="AC1256" s="3">
        <v>4.0229026640000001</v>
      </c>
      <c r="AD1256" s="3">
        <v>0.11157138900000001</v>
      </c>
      <c r="AE1256" s="3">
        <v>16.93945313</v>
      </c>
      <c r="AF1256" s="4">
        <v>42089</v>
      </c>
      <c r="AG1256" s="5">
        <f>YEAR(AF1256)</f>
        <v>2015</v>
      </c>
      <c r="AH1256" s="5" t="str">
        <f>"Q"&amp;ROUNDUP(MONTH(AF1256)/3,0)</f>
        <v>Q1</v>
      </c>
      <c r="AI1256" s="5">
        <f>INDEX(RatingLookup!$B$2:$B$11,MATCH(A1256,RatingLookup!$A$2:$A$11,0))</f>
        <v>8</v>
      </c>
      <c r="AJ1256" s="5" t="str">
        <f>INDEX(RatingLookup!$C$2:$C$11,MATCH(A1256,RatingLookup!$A$2:$A$11,0))</f>
        <v>Investment Grade</v>
      </c>
    </row>
    <row r="1257" spans="1:36" x14ac:dyDescent="0.3">
      <c r="A1257" s="3" t="s">
        <v>36</v>
      </c>
      <c r="B1257" s="3" t="s">
        <v>1357</v>
      </c>
      <c r="C1257" s="3" t="s">
        <v>1358</v>
      </c>
      <c r="D1257" s="3" t="s">
        <v>47</v>
      </c>
      <c r="E1257" s="3" t="s">
        <v>594</v>
      </c>
      <c r="F1257" s="3" t="s">
        <v>96</v>
      </c>
      <c r="G1257" s="3">
        <v>2.837837838</v>
      </c>
      <c r="H1257" s="3">
        <v>1.3048986490000001</v>
      </c>
      <c r="I1257" s="3">
        <v>1.3048986490000001</v>
      </c>
      <c r="J1257" s="3">
        <v>0</v>
      </c>
      <c r="K1257" s="3">
        <v>0.14166355799999999</v>
      </c>
      <c r="L1257" s="3">
        <v>0.202834763</v>
      </c>
      <c r="M1257" s="3">
        <v>0.41156284999999998</v>
      </c>
      <c r="N1257" s="3">
        <v>0.21387542000000001</v>
      </c>
      <c r="O1257" s="3">
        <v>0.120732405</v>
      </c>
      <c r="P1257" s="3">
        <v>0.20350273199999999</v>
      </c>
      <c r="Q1257" s="3">
        <v>0.36323641899999998</v>
      </c>
      <c r="R1257" s="3">
        <v>0.85224744100000005</v>
      </c>
      <c r="S1257" s="3">
        <v>8.5003170580000003</v>
      </c>
      <c r="T1257" s="3">
        <v>2.0086074979999999</v>
      </c>
      <c r="U1257" s="3">
        <v>0.66762031899999996</v>
      </c>
      <c r="V1257" s="3">
        <v>0.30158146400000002</v>
      </c>
      <c r="W1257" s="3">
        <v>0.87646802999999995</v>
      </c>
      <c r="X1257" s="3">
        <v>5.4770318019999999</v>
      </c>
      <c r="Y1257" s="3">
        <v>8.3990214729999995</v>
      </c>
      <c r="Z1257" s="3">
        <v>3.0086074979999999</v>
      </c>
      <c r="AA1257" s="3">
        <v>0.202834763</v>
      </c>
      <c r="AB1257" s="3">
        <v>11.204770630000001</v>
      </c>
      <c r="AC1257" s="3">
        <v>6.2489807009999998</v>
      </c>
      <c r="AD1257" s="3">
        <v>0.17150317000000001</v>
      </c>
      <c r="AE1257" s="3">
        <v>17.567928729999998</v>
      </c>
      <c r="AF1257" s="4">
        <v>42454</v>
      </c>
      <c r="AG1257" s="5">
        <f>YEAR(AF1257)</f>
        <v>2016</v>
      </c>
      <c r="AH1257" s="5" t="str">
        <f>"Q"&amp;ROUNDUP(MONTH(AF1257)/3,0)</f>
        <v>Q1</v>
      </c>
      <c r="AI1257" s="5">
        <f>INDEX(RatingLookup!$B$2:$B$11,MATCH(A1257,RatingLookup!$A$2:$A$11,0))</f>
        <v>8</v>
      </c>
      <c r="AJ1257" s="5" t="str">
        <f>INDEX(RatingLookup!$C$2:$C$11,MATCH(A1257,RatingLookup!$A$2:$A$11,0))</f>
        <v>Investment Grade</v>
      </c>
    </row>
    <row r="1258" spans="1:36" x14ac:dyDescent="0.3">
      <c r="A1258" s="3" t="s">
        <v>36</v>
      </c>
      <c r="B1258" s="3" t="s">
        <v>1357</v>
      </c>
      <c r="C1258" s="3" t="s">
        <v>1358</v>
      </c>
      <c r="D1258" s="3" t="s">
        <v>47</v>
      </c>
      <c r="E1258" s="3" t="s">
        <v>727</v>
      </c>
      <c r="F1258" s="3" t="s">
        <v>96</v>
      </c>
      <c r="G1258" s="3">
        <v>3.0026405129999998</v>
      </c>
      <c r="H1258" s="3">
        <v>1.103357224</v>
      </c>
      <c r="I1258" s="3">
        <v>1.048283667</v>
      </c>
      <c r="J1258" s="3">
        <v>0</v>
      </c>
      <c r="K1258" s="3">
        <v>0.16012050899999999</v>
      </c>
      <c r="L1258" s="3">
        <v>0.20101539800000001</v>
      </c>
      <c r="M1258" s="3">
        <v>0.36091274299999998</v>
      </c>
      <c r="N1258" s="3">
        <v>0.15883731300000001</v>
      </c>
      <c r="O1258" s="3">
        <v>0.148635351</v>
      </c>
      <c r="P1258" s="3">
        <v>0.21629247200000001</v>
      </c>
      <c r="Q1258" s="3">
        <v>0.271523179</v>
      </c>
      <c r="R1258" s="3">
        <v>0.92827179000000004</v>
      </c>
      <c r="S1258" s="3">
        <v>8.9889669009999995</v>
      </c>
      <c r="T1258" s="3">
        <v>0.82677388799999996</v>
      </c>
      <c r="U1258" s="3">
        <v>0.452586877</v>
      </c>
      <c r="V1258" s="3">
        <v>0.30752151</v>
      </c>
      <c r="W1258" s="3">
        <v>0.81563706599999997</v>
      </c>
      <c r="X1258" s="3">
        <v>3.5972754359999999</v>
      </c>
      <c r="Y1258" s="3">
        <v>6.2260536399999999</v>
      </c>
      <c r="Z1258" s="3">
        <v>1.826773888</v>
      </c>
      <c r="AA1258" s="3">
        <v>0.20101539800000001</v>
      </c>
      <c r="AB1258" s="3">
        <v>9.2859791909999991</v>
      </c>
      <c r="AC1258" s="3">
        <v>4.4103873990000002</v>
      </c>
      <c r="AD1258" s="3">
        <v>0.115599197</v>
      </c>
      <c r="AE1258" s="3">
        <v>16.945266270000001</v>
      </c>
      <c r="AF1258" s="4">
        <v>41353</v>
      </c>
      <c r="AG1258" s="5">
        <f>YEAR(AF1258)</f>
        <v>2013</v>
      </c>
      <c r="AH1258" s="5" t="str">
        <f>"Q"&amp;ROUNDUP(MONTH(AF1258)/3,0)</f>
        <v>Q1</v>
      </c>
      <c r="AI1258" s="5">
        <f>INDEX(RatingLookup!$B$2:$B$11,MATCH(A1258,RatingLookup!$A$2:$A$11,0))</f>
        <v>8</v>
      </c>
      <c r="AJ1258" s="5" t="str">
        <f>INDEX(RatingLookup!$C$2:$C$11,MATCH(A1258,RatingLookup!$A$2:$A$11,0))</f>
        <v>Investment Grade</v>
      </c>
    </row>
    <row r="1259" spans="1:36" x14ac:dyDescent="0.3">
      <c r="A1259" s="3" t="s">
        <v>42</v>
      </c>
      <c r="B1259" s="3" t="s">
        <v>1360</v>
      </c>
      <c r="C1259" s="3" t="s">
        <v>1361</v>
      </c>
      <c r="D1259" s="3" t="s">
        <v>60</v>
      </c>
      <c r="E1259" s="3" t="s">
        <v>1362</v>
      </c>
      <c r="F1259" s="3" t="s">
        <v>232</v>
      </c>
      <c r="G1259" s="3">
        <v>7.2304705670000002</v>
      </c>
      <c r="H1259" s="3">
        <v>7.2304705670000002</v>
      </c>
      <c r="I1259" s="3">
        <v>1.071493641</v>
      </c>
      <c r="J1259" s="3">
        <v>0.41903763900000002</v>
      </c>
      <c r="K1259" s="3">
        <v>0.108523993</v>
      </c>
      <c r="L1259" s="3">
        <v>0.13819503699999999</v>
      </c>
      <c r="M1259" s="3">
        <v>1</v>
      </c>
      <c r="N1259" s="3">
        <v>0.16022508799999999</v>
      </c>
      <c r="O1259" s="3">
        <v>2.3365770000000001E-2</v>
      </c>
      <c r="P1259" s="3">
        <v>3.3001886000000001E-2</v>
      </c>
      <c r="Q1259" s="3">
        <v>7.4388670000000004E-2</v>
      </c>
      <c r="R1259" s="3">
        <v>0.215305106</v>
      </c>
      <c r="S1259" s="3">
        <v>12.46412896</v>
      </c>
      <c r="T1259" s="3">
        <v>2.1836601290000002</v>
      </c>
      <c r="U1259" s="3">
        <v>0.68589612</v>
      </c>
      <c r="V1259" s="3">
        <v>0.20612042799999999</v>
      </c>
      <c r="W1259" s="3">
        <v>0.87751688900000002</v>
      </c>
      <c r="X1259" s="3">
        <v>40.878237230000003</v>
      </c>
      <c r="Y1259" s="3">
        <v>1269.2239950000001</v>
      </c>
      <c r="Z1259" s="3">
        <v>3.1836601290000002</v>
      </c>
      <c r="AA1259" s="3">
        <v>0.13819503699999999</v>
      </c>
      <c r="AB1259" s="3">
        <v>10.130472770000001</v>
      </c>
      <c r="AC1259" s="3">
        <v>46.583989129999999</v>
      </c>
      <c r="AD1259" s="3">
        <v>0.121257553</v>
      </c>
      <c r="AE1259" s="3">
        <v>0</v>
      </c>
      <c r="AF1259" s="4">
        <v>42458</v>
      </c>
      <c r="AG1259" s="5">
        <f>YEAR(AF1259)</f>
        <v>2016</v>
      </c>
      <c r="AH1259" s="5" t="str">
        <f>"Q"&amp;ROUNDUP(MONTH(AF1259)/3,0)</f>
        <v>Q1</v>
      </c>
      <c r="AI1259" s="5">
        <f>INDEX(RatingLookup!$B$2:$B$11,MATCH(A1259,RatingLookup!$A$2:$A$11,0))</f>
        <v>7</v>
      </c>
      <c r="AJ1259" s="5" t="str">
        <f>INDEX(RatingLookup!$C$2:$C$11,MATCH(A1259,RatingLookup!$A$2:$A$11,0))</f>
        <v>Investment Grade</v>
      </c>
    </row>
    <row r="1260" spans="1:36" x14ac:dyDescent="0.3">
      <c r="A1260" s="3" t="s">
        <v>42</v>
      </c>
      <c r="B1260" s="3" t="s">
        <v>1360</v>
      </c>
      <c r="C1260" s="3" t="s">
        <v>1361</v>
      </c>
      <c r="D1260" s="3" t="s">
        <v>60</v>
      </c>
      <c r="E1260" s="3" t="s">
        <v>444</v>
      </c>
      <c r="F1260" s="3" t="s">
        <v>232</v>
      </c>
      <c r="G1260" s="3">
        <v>8.4525234860000005</v>
      </c>
      <c r="H1260" s="3">
        <v>8.4525234860000005</v>
      </c>
      <c r="I1260" s="3">
        <v>0.88017071999999996</v>
      </c>
      <c r="J1260" s="3">
        <v>1.579417702</v>
      </c>
      <c r="K1260" s="3">
        <v>8.4458513999999998E-2</v>
      </c>
      <c r="L1260" s="3">
        <v>0.104012784</v>
      </c>
      <c r="M1260" s="3">
        <v>1</v>
      </c>
      <c r="N1260" s="3">
        <v>0.13493229600000001</v>
      </c>
      <c r="O1260" s="3">
        <v>2.0179447E-2</v>
      </c>
      <c r="P1260" s="3">
        <v>2.7251096999999998E-2</v>
      </c>
      <c r="Q1260" s="3">
        <v>6.5160027999999995E-2</v>
      </c>
      <c r="R1260" s="3">
        <v>0.238927326</v>
      </c>
      <c r="S1260" s="3">
        <v>9.084944084</v>
      </c>
      <c r="T1260" s="3">
        <v>2.2290294570000002</v>
      </c>
      <c r="U1260" s="3">
        <v>0.69030942200000001</v>
      </c>
      <c r="V1260" s="3">
        <v>0.17241467699999999</v>
      </c>
      <c r="W1260" s="3">
        <v>0.88403777500000003</v>
      </c>
      <c r="X1260" s="3">
        <v>35.997302900000001</v>
      </c>
      <c r="Y1260" s="3">
        <v>968.12707469999998</v>
      </c>
      <c r="Z1260" s="3">
        <v>3.2290294570000002</v>
      </c>
      <c r="AA1260" s="3">
        <v>0.104012784</v>
      </c>
      <c r="AB1260" s="3">
        <v>10.05832185</v>
      </c>
      <c r="AC1260" s="3">
        <v>40.719190869999998</v>
      </c>
      <c r="AD1260" s="3">
        <v>0.130839449</v>
      </c>
      <c r="AE1260" s="3">
        <v>0</v>
      </c>
      <c r="AF1260" s="4">
        <v>41338</v>
      </c>
      <c r="AG1260" s="5">
        <f>YEAR(AF1260)</f>
        <v>2013</v>
      </c>
      <c r="AH1260" s="5" t="str">
        <f>"Q"&amp;ROUNDUP(MONTH(AF1260)/3,0)</f>
        <v>Q1</v>
      </c>
      <c r="AI1260" s="5">
        <f>INDEX(RatingLookup!$B$2:$B$11,MATCH(A1260,RatingLookup!$A$2:$A$11,0))</f>
        <v>7</v>
      </c>
      <c r="AJ1260" s="5" t="str">
        <f>INDEX(RatingLookup!$C$2:$C$11,MATCH(A1260,RatingLookup!$A$2:$A$11,0))</f>
        <v>Investment Grade</v>
      </c>
    </row>
    <row r="1261" spans="1:36" x14ac:dyDescent="0.3">
      <c r="A1261" s="3" t="s">
        <v>42</v>
      </c>
      <c r="B1261" s="3" t="s">
        <v>1360</v>
      </c>
      <c r="C1261" s="3" t="s">
        <v>1361</v>
      </c>
      <c r="D1261" s="3" t="s">
        <v>60</v>
      </c>
      <c r="E1261" s="3" t="s">
        <v>1172</v>
      </c>
      <c r="F1261" s="3" t="s">
        <v>232</v>
      </c>
      <c r="G1261" s="3">
        <v>8.8475649389999997</v>
      </c>
      <c r="H1261" s="3">
        <v>8.8475649389999997</v>
      </c>
      <c r="I1261" s="3">
        <v>0.78100119199999996</v>
      </c>
      <c r="J1261" s="3">
        <v>7.1885549150000001</v>
      </c>
      <c r="K1261" s="3">
        <v>5.4003308E-2</v>
      </c>
      <c r="L1261" s="3">
        <v>7.2319246000000004E-2</v>
      </c>
      <c r="M1261" s="3">
        <v>1</v>
      </c>
      <c r="N1261" s="3">
        <v>0.10511530600000001</v>
      </c>
      <c r="O1261" s="3">
        <v>1.2315707E-2</v>
      </c>
      <c r="P1261" s="3">
        <v>1.8045596000000001E-2</v>
      </c>
      <c r="Q1261" s="3">
        <v>4.1926334000000003E-2</v>
      </c>
      <c r="R1261" s="3">
        <v>0.22805467500000001</v>
      </c>
      <c r="S1261" s="3">
        <v>10.741109829999999</v>
      </c>
      <c r="T1261" s="3">
        <v>2.4042977840000002</v>
      </c>
      <c r="U1261" s="3">
        <v>0.706253664</v>
      </c>
      <c r="V1261" s="3">
        <v>0.21930009</v>
      </c>
      <c r="W1261" s="3">
        <v>0.80684701800000003</v>
      </c>
      <c r="X1261" s="3">
        <v>25.932892840000001</v>
      </c>
      <c r="Y1261" s="3">
        <v>901.10953949999998</v>
      </c>
      <c r="Z1261" s="3">
        <v>3.4042977840000002</v>
      </c>
      <c r="AA1261" s="3">
        <v>7.2319246000000004E-2</v>
      </c>
      <c r="AB1261" s="3">
        <v>12.334640650000001</v>
      </c>
      <c r="AC1261" s="3">
        <v>32.141028290000001</v>
      </c>
      <c r="AD1261" s="3">
        <v>0.118374114</v>
      </c>
      <c r="AE1261" s="3">
        <v>0</v>
      </c>
      <c r="AF1261" s="4">
        <v>41087</v>
      </c>
      <c r="AG1261" s="5">
        <f>YEAR(AF1261)</f>
        <v>2012</v>
      </c>
      <c r="AH1261" s="5" t="str">
        <f>"Q"&amp;ROUNDUP(MONTH(AF1261)/3,0)</f>
        <v>Q2</v>
      </c>
      <c r="AI1261" s="5">
        <f>INDEX(RatingLookup!$B$2:$B$11,MATCH(A1261,RatingLookup!$A$2:$A$11,0))</f>
        <v>7</v>
      </c>
      <c r="AJ1261" s="5" t="str">
        <f>INDEX(RatingLookup!$C$2:$C$11,MATCH(A1261,RatingLookup!$A$2:$A$11,0))</f>
        <v>Investment Grade</v>
      </c>
    </row>
    <row r="1262" spans="1:36" x14ac:dyDescent="0.3">
      <c r="A1262" s="3" t="s">
        <v>92</v>
      </c>
      <c r="B1262" s="3" t="s">
        <v>1363</v>
      </c>
      <c r="C1262" s="3" t="s">
        <v>1364</v>
      </c>
      <c r="D1262" s="3" t="s">
        <v>60</v>
      </c>
      <c r="E1262" s="3" t="s">
        <v>1365</v>
      </c>
      <c r="F1262" s="3" t="s">
        <v>53</v>
      </c>
      <c r="G1262" s="3">
        <v>1.3033455890000001</v>
      </c>
      <c r="H1262" s="3">
        <v>0.71373481299999997</v>
      </c>
      <c r="I1262" s="3">
        <v>0.124196603</v>
      </c>
      <c r="J1262" s="3">
        <v>35.383151300000002</v>
      </c>
      <c r="K1262" s="3">
        <v>8.5389957000000002E-2</v>
      </c>
      <c r="L1262" s="3">
        <v>9.2205647000000002E-2</v>
      </c>
      <c r="M1262" s="3">
        <v>0.63928986600000004</v>
      </c>
      <c r="N1262" s="3">
        <v>0.20442459099999999</v>
      </c>
      <c r="O1262" s="3">
        <v>2.9818438999999999E-2</v>
      </c>
      <c r="P1262" s="3">
        <v>3.4163869999999999E-2</v>
      </c>
      <c r="Q1262" s="3">
        <v>9.3076084000000003E-2</v>
      </c>
      <c r="R1262" s="3">
        <v>0.34920311799999998</v>
      </c>
      <c r="S1262" s="3">
        <v>0.47193671199999998</v>
      </c>
      <c r="T1262" s="3">
        <v>2.1214271130000002</v>
      </c>
      <c r="U1262" s="3">
        <v>0.67963371800000005</v>
      </c>
      <c r="V1262" s="3">
        <v>7.3918358000000003E-2</v>
      </c>
      <c r="W1262" s="3">
        <v>0.53210566000000004</v>
      </c>
      <c r="X1262" s="3">
        <v>2.976454398</v>
      </c>
      <c r="Y1262" s="3">
        <v>0.46437980600000001</v>
      </c>
      <c r="Z1262" s="3">
        <v>3.1214271130000002</v>
      </c>
      <c r="AA1262" s="3">
        <v>9.2205647000000002E-2</v>
      </c>
      <c r="AB1262" s="3">
        <v>12.52843079</v>
      </c>
      <c r="AC1262" s="3">
        <v>5.5937281329999999</v>
      </c>
      <c r="AD1262" s="3">
        <v>0.24862838000000001</v>
      </c>
      <c r="AE1262" s="3">
        <v>5.3389026509999997</v>
      </c>
      <c r="AF1262" s="4">
        <v>42691</v>
      </c>
      <c r="AG1262" s="5">
        <f>YEAR(AF1262)</f>
        <v>2016</v>
      </c>
      <c r="AH1262" s="5" t="str">
        <f>"Q"&amp;ROUNDUP(MONTH(AF1262)/3,0)</f>
        <v>Q4</v>
      </c>
      <c r="AI1262" s="5">
        <f>INDEX(RatingLookup!$B$2:$B$11,MATCH(A1262,RatingLookup!$A$2:$A$11,0))</f>
        <v>6</v>
      </c>
      <c r="AJ1262" s="5" t="str">
        <f>INDEX(RatingLookup!$C$2:$C$11,MATCH(A1262,RatingLookup!$A$2:$A$11,0))</f>
        <v>Speculative Grade</v>
      </c>
    </row>
    <row r="1263" spans="1:36" x14ac:dyDescent="0.3">
      <c r="A1263" s="3" t="s">
        <v>92</v>
      </c>
      <c r="B1263" s="3" t="s">
        <v>1366</v>
      </c>
      <c r="C1263" s="3" t="s">
        <v>1367</v>
      </c>
      <c r="D1263" s="3" t="s">
        <v>60</v>
      </c>
      <c r="E1263" s="3" t="s">
        <v>516</v>
      </c>
      <c r="F1263" s="3" t="s">
        <v>174</v>
      </c>
      <c r="G1263" s="3">
        <v>2.8371104059999999</v>
      </c>
      <c r="H1263" s="3">
        <v>0.122493565</v>
      </c>
      <c r="I1263" s="3">
        <v>0.122493565</v>
      </c>
      <c r="J1263" s="3">
        <v>0</v>
      </c>
      <c r="K1263" s="3">
        <v>6.3359067000000005E-2</v>
      </c>
      <c r="L1263" s="3">
        <v>9.9241801000000004E-2</v>
      </c>
      <c r="M1263" s="3">
        <v>0.41818318500000001</v>
      </c>
      <c r="N1263" s="3">
        <v>0.106223729</v>
      </c>
      <c r="O1263" s="3">
        <v>7.0156596000000002E-2</v>
      </c>
      <c r="P1263" s="3">
        <v>0.12646128300000001</v>
      </c>
      <c r="Q1263" s="3">
        <v>0.13300025400000001</v>
      </c>
      <c r="R1263" s="3">
        <v>1.107285812</v>
      </c>
      <c r="S1263" s="3">
        <v>8.3396139399999996</v>
      </c>
      <c r="T1263" s="3">
        <v>0.89576262600000001</v>
      </c>
      <c r="U1263" s="3">
        <v>0.47250779900000001</v>
      </c>
      <c r="V1263" s="3">
        <v>0.361568748</v>
      </c>
      <c r="W1263" s="3">
        <v>0.57197245299999999</v>
      </c>
      <c r="X1263" s="3">
        <v>0.398684967</v>
      </c>
      <c r="Y1263" s="3">
        <v>0.20205537300000001</v>
      </c>
      <c r="Z1263" s="3">
        <v>1.895762626</v>
      </c>
      <c r="AA1263" s="3">
        <v>9.9241801000000004E-2</v>
      </c>
      <c r="AB1263" s="3">
        <v>15.228938550000001</v>
      </c>
      <c r="AC1263" s="3">
        <v>0.69703525899999996</v>
      </c>
      <c r="AD1263" s="3">
        <v>5.0010551E-2</v>
      </c>
      <c r="AE1263" s="3">
        <v>10.93664942</v>
      </c>
      <c r="AF1263" s="4">
        <v>41393</v>
      </c>
      <c r="AG1263" s="5">
        <f>YEAR(AF1263)</f>
        <v>2013</v>
      </c>
      <c r="AH1263" s="5" t="str">
        <f>"Q"&amp;ROUNDUP(MONTH(AF1263)/3,0)</f>
        <v>Q2</v>
      </c>
      <c r="AI1263" s="5">
        <f>INDEX(RatingLookup!$B$2:$B$11,MATCH(A1263,RatingLookup!$A$2:$A$11,0))</f>
        <v>6</v>
      </c>
      <c r="AJ1263" s="5" t="str">
        <f>INDEX(RatingLookup!$C$2:$C$11,MATCH(A1263,RatingLookup!$A$2:$A$11,0))</f>
        <v>Speculative Grade</v>
      </c>
    </row>
    <row r="1264" spans="1:36" x14ac:dyDescent="0.3">
      <c r="A1264" s="3" t="s">
        <v>92</v>
      </c>
      <c r="B1264" s="3" t="s">
        <v>1366</v>
      </c>
      <c r="C1264" s="3" t="s">
        <v>1367</v>
      </c>
      <c r="D1264" s="3" t="s">
        <v>60</v>
      </c>
      <c r="E1264" s="3" t="s">
        <v>716</v>
      </c>
      <c r="F1264" s="3" t="s">
        <v>174</v>
      </c>
      <c r="G1264" s="3">
        <v>3.087024575</v>
      </c>
      <c r="H1264" s="3">
        <v>0.152664994</v>
      </c>
      <c r="I1264" s="3">
        <v>0.152664994</v>
      </c>
      <c r="J1264" s="3">
        <v>0</v>
      </c>
      <c r="K1264" s="3">
        <v>5.6604654999999997E-2</v>
      </c>
      <c r="L1264" s="3">
        <v>8.7222911E-2</v>
      </c>
      <c r="M1264" s="3">
        <v>0.39345516600000002</v>
      </c>
      <c r="N1264" s="3">
        <v>9.6418668999999999E-2</v>
      </c>
      <c r="O1264" s="3">
        <v>6.8452417000000002E-2</v>
      </c>
      <c r="P1264" s="3">
        <v>0.121897754</v>
      </c>
      <c r="Q1264" s="3">
        <v>0.140230466</v>
      </c>
      <c r="R1264" s="3">
        <v>1.2093071989999999</v>
      </c>
      <c r="S1264" s="3">
        <v>10.69873505</v>
      </c>
      <c r="T1264" s="3">
        <v>1.048583118</v>
      </c>
      <c r="U1264" s="3">
        <v>0.51185773700000003</v>
      </c>
      <c r="V1264" s="3">
        <v>0.34745393699999999</v>
      </c>
      <c r="W1264" s="3">
        <v>0.61997535699999995</v>
      </c>
      <c r="X1264" s="3">
        <v>0.760550104</v>
      </c>
      <c r="Y1264" s="3">
        <v>0.37905623700000002</v>
      </c>
      <c r="Z1264" s="3">
        <v>2.0485831179999998</v>
      </c>
      <c r="AA1264" s="3">
        <v>8.7222911E-2</v>
      </c>
      <c r="AB1264" s="3">
        <v>12.322156870000001</v>
      </c>
      <c r="AC1264" s="3">
        <v>1.226742475</v>
      </c>
      <c r="AD1264" s="3">
        <v>5.5028705999999997E-2</v>
      </c>
      <c r="AE1264" s="3">
        <v>10.21521881</v>
      </c>
      <c r="AF1264" s="4">
        <v>41978</v>
      </c>
      <c r="AG1264" s="5">
        <f>YEAR(AF1264)</f>
        <v>2014</v>
      </c>
      <c r="AH1264" s="5" t="str">
        <f>"Q"&amp;ROUNDUP(MONTH(AF1264)/3,0)</f>
        <v>Q4</v>
      </c>
      <c r="AI1264" s="5">
        <f>INDEX(RatingLookup!$B$2:$B$11,MATCH(A1264,RatingLookup!$A$2:$A$11,0))</f>
        <v>6</v>
      </c>
      <c r="AJ1264" s="5" t="str">
        <f>INDEX(RatingLookup!$C$2:$C$11,MATCH(A1264,RatingLookup!$A$2:$A$11,0))</f>
        <v>Speculative Grade</v>
      </c>
    </row>
    <row r="1265" spans="1:36" x14ac:dyDescent="0.3">
      <c r="A1265" s="3" t="s">
        <v>109</v>
      </c>
      <c r="B1265" s="3" t="s">
        <v>1366</v>
      </c>
      <c r="C1265" s="3" t="s">
        <v>1367</v>
      </c>
      <c r="D1265" s="3" t="s">
        <v>47</v>
      </c>
      <c r="E1265" s="3" t="s">
        <v>1368</v>
      </c>
      <c r="F1265" s="3" t="s">
        <v>174</v>
      </c>
      <c r="G1265" s="3">
        <v>3.1127731160000001</v>
      </c>
      <c r="H1265" s="3">
        <v>0.11622405099999999</v>
      </c>
      <c r="I1265" s="3">
        <v>0.11622405099999999</v>
      </c>
      <c r="J1265" s="3">
        <v>0</v>
      </c>
      <c r="K1265" s="3">
        <v>5.8841178000000001E-2</v>
      </c>
      <c r="L1265" s="3">
        <v>9.0235384000000002E-2</v>
      </c>
      <c r="M1265" s="3">
        <v>0.39394878100000003</v>
      </c>
      <c r="N1265" s="3">
        <v>9.7965098E-2</v>
      </c>
      <c r="O1265" s="3">
        <v>7.4935413000000006E-2</v>
      </c>
      <c r="P1265" s="3">
        <v>0.13256691800000001</v>
      </c>
      <c r="Q1265" s="3">
        <v>0.135880003</v>
      </c>
      <c r="R1265" s="3">
        <v>1.273519933</v>
      </c>
      <c r="S1265" s="3">
        <v>10.32583082</v>
      </c>
      <c r="T1265" s="3">
        <v>0.81329490500000001</v>
      </c>
      <c r="U1265" s="3">
        <v>0.44851772499999998</v>
      </c>
      <c r="V1265" s="3">
        <v>0.33850977599999998</v>
      </c>
      <c r="W1265" s="3">
        <v>0.67822179299999996</v>
      </c>
      <c r="X1265" s="3">
        <v>1.179261753</v>
      </c>
      <c r="Y1265" s="3">
        <v>0.28680896</v>
      </c>
      <c r="Z1265" s="3">
        <v>1.813294905</v>
      </c>
      <c r="AA1265" s="3">
        <v>9.0235384000000002E-2</v>
      </c>
      <c r="AB1265" s="3">
        <v>10.10789595</v>
      </c>
      <c r="AC1265" s="3">
        <v>1.7387553250000001</v>
      </c>
      <c r="AD1265" s="3">
        <v>7.3663845000000006E-2</v>
      </c>
      <c r="AE1265" s="3">
        <v>10.48900353</v>
      </c>
      <c r="AF1265" s="4">
        <v>42430</v>
      </c>
      <c r="AG1265" s="5">
        <f>YEAR(AF1265)</f>
        <v>2016</v>
      </c>
      <c r="AH1265" s="5" t="str">
        <f>"Q"&amp;ROUNDUP(MONTH(AF1265)/3,0)</f>
        <v>Q1</v>
      </c>
      <c r="AI1265" s="5">
        <f>INDEX(RatingLookup!$B$2:$B$11,MATCH(A1265,RatingLookup!$A$2:$A$11,0))</f>
        <v>5</v>
      </c>
      <c r="AJ1265" s="5" t="str">
        <f>INDEX(RatingLookup!$C$2:$C$11,MATCH(A1265,RatingLookup!$A$2:$A$11,0))</f>
        <v>Speculative Grade</v>
      </c>
    </row>
    <row r="1266" spans="1:36" x14ac:dyDescent="0.3">
      <c r="A1266" s="3" t="s">
        <v>92</v>
      </c>
      <c r="B1266" s="3" t="s">
        <v>1366</v>
      </c>
      <c r="C1266" s="3" t="s">
        <v>1367</v>
      </c>
      <c r="D1266" s="3" t="s">
        <v>60</v>
      </c>
      <c r="E1266" s="3" t="s">
        <v>46</v>
      </c>
      <c r="F1266" s="3" t="s">
        <v>174</v>
      </c>
      <c r="G1266" s="3">
        <v>2.8910114079999998</v>
      </c>
      <c r="H1266" s="3">
        <v>0.121317197</v>
      </c>
      <c r="I1266" s="3">
        <v>0.121317197</v>
      </c>
      <c r="J1266" s="3">
        <v>0</v>
      </c>
      <c r="K1266" s="3">
        <v>6.4303631E-2</v>
      </c>
      <c r="L1266" s="3">
        <v>0.102686597</v>
      </c>
      <c r="M1266" s="3">
        <v>0.42570389800000003</v>
      </c>
      <c r="N1266" s="3">
        <v>0.11054992499999999</v>
      </c>
      <c r="O1266" s="3">
        <v>6.5713578999999994E-2</v>
      </c>
      <c r="P1266" s="3">
        <v>0.119832149</v>
      </c>
      <c r="Q1266" s="3">
        <v>0.12789119800000001</v>
      </c>
      <c r="R1266" s="3">
        <v>1.0219264029999999</v>
      </c>
      <c r="S1266" s="3">
        <v>7.7101566149999998</v>
      </c>
      <c r="T1266" s="3">
        <v>0.94619134699999996</v>
      </c>
      <c r="U1266" s="3">
        <v>0.48617590900000002</v>
      </c>
      <c r="V1266" s="3">
        <v>0.373787492</v>
      </c>
      <c r="W1266" s="3">
        <v>0.59193850000000003</v>
      </c>
      <c r="X1266" s="3">
        <v>0.857862393</v>
      </c>
      <c r="Y1266" s="3">
        <v>0.33017395900000002</v>
      </c>
      <c r="Z1266" s="3">
        <v>1.9461913470000001</v>
      </c>
      <c r="AA1266" s="3">
        <v>0.102686597</v>
      </c>
      <c r="AB1266" s="3">
        <v>7.877027376</v>
      </c>
      <c r="AC1266" s="3">
        <v>1.4492424349999999</v>
      </c>
      <c r="AD1266" s="3">
        <v>6.4764813000000004E-2</v>
      </c>
      <c r="AE1266" s="3">
        <v>8.9051286310000002</v>
      </c>
      <c r="AF1266" s="4">
        <v>41075</v>
      </c>
      <c r="AG1266" s="5">
        <f>YEAR(AF1266)</f>
        <v>2012</v>
      </c>
      <c r="AH1266" s="5" t="str">
        <f>"Q"&amp;ROUNDUP(MONTH(AF1266)/3,0)</f>
        <v>Q2</v>
      </c>
      <c r="AI1266" s="5">
        <f>INDEX(RatingLookup!$B$2:$B$11,MATCH(A1266,RatingLookup!$A$2:$A$11,0))</f>
        <v>6</v>
      </c>
      <c r="AJ1266" s="5" t="str">
        <f>INDEX(RatingLookup!$C$2:$C$11,MATCH(A1266,RatingLookup!$A$2:$A$11,0))</f>
        <v>Speculative Grade</v>
      </c>
    </row>
    <row r="1267" spans="1:36" x14ac:dyDescent="0.3">
      <c r="A1267" s="3" t="s">
        <v>116</v>
      </c>
      <c r="B1267" s="3" t="s">
        <v>1369</v>
      </c>
      <c r="C1267" s="3" t="s">
        <v>1370</v>
      </c>
      <c r="D1267" s="3" t="s">
        <v>60</v>
      </c>
      <c r="E1267" s="3" t="s">
        <v>787</v>
      </c>
      <c r="F1267" s="3" t="s">
        <v>53</v>
      </c>
      <c r="G1267" s="3">
        <v>0.76506320999999999</v>
      </c>
      <c r="H1267" s="3">
        <v>0.36716223999999997</v>
      </c>
      <c r="I1267" s="3">
        <v>9.2219899999999996E-4</v>
      </c>
      <c r="J1267" s="3">
        <v>40.68634737</v>
      </c>
      <c r="K1267" s="3">
        <v>-1.2987287489999999</v>
      </c>
      <c r="L1267" s="3">
        <v>-1.6898041930000001</v>
      </c>
      <c r="M1267" s="3">
        <v>0.54415402700000004</v>
      </c>
      <c r="N1267" s="3">
        <v>-1.485663052</v>
      </c>
      <c r="O1267" s="3">
        <v>-0.20823183300000001</v>
      </c>
      <c r="P1267" s="3">
        <v>-0.26344676700000003</v>
      </c>
      <c r="Q1267" s="3">
        <v>-0.47334533299999998</v>
      </c>
      <c r="R1267" s="3">
        <v>0.160335123</v>
      </c>
      <c r="S1267" s="3">
        <v>0.166692744</v>
      </c>
      <c r="T1267" s="3">
        <v>1.273165087</v>
      </c>
      <c r="U1267" s="3">
        <v>0.56008474399999997</v>
      </c>
      <c r="V1267" s="3">
        <v>0.23143240300000001</v>
      </c>
      <c r="W1267" s="3">
        <v>5.6133741000000001E-2</v>
      </c>
      <c r="X1267" s="3">
        <v>0.18346026200000001</v>
      </c>
      <c r="Y1267" s="3">
        <v>1.4693E-3</v>
      </c>
      <c r="Z1267" s="3">
        <v>2.2731650870000002</v>
      </c>
      <c r="AA1267" s="3">
        <v>-1.5629176849999999</v>
      </c>
      <c r="AB1267" s="3">
        <v>-3.624274056</v>
      </c>
      <c r="AC1267" s="3">
        <v>3.268270722</v>
      </c>
      <c r="AD1267" s="3">
        <v>0.62434161899999996</v>
      </c>
      <c r="AE1267" s="3">
        <v>1.497711303</v>
      </c>
      <c r="AF1267" s="4">
        <v>42403</v>
      </c>
      <c r="AG1267" s="5">
        <f>YEAR(AF1267)</f>
        <v>2016</v>
      </c>
      <c r="AH1267" s="5" t="str">
        <f>"Q"&amp;ROUNDUP(MONTH(AF1267)/3,0)</f>
        <v>Q1</v>
      </c>
      <c r="AI1267" s="5">
        <f>INDEX(RatingLookup!$B$2:$B$11,MATCH(A1267,RatingLookup!$A$2:$A$11,0))</f>
        <v>4</v>
      </c>
      <c r="AJ1267" s="5" t="str">
        <f>INDEX(RatingLookup!$C$2:$C$11,MATCH(A1267,RatingLookup!$A$2:$A$11,0))</f>
        <v>Speculative Grade</v>
      </c>
    </row>
    <row r="1268" spans="1:36" x14ac:dyDescent="0.3">
      <c r="A1268" s="3" t="s">
        <v>116</v>
      </c>
      <c r="B1268" s="3" t="s">
        <v>1369</v>
      </c>
      <c r="C1268" s="3" t="s">
        <v>1370</v>
      </c>
      <c r="D1268" s="3" t="s">
        <v>47</v>
      </c>
      <c r="E1268" s="3" t="s">
        <v>1371</v>
      </c>
      <c r="F1268" s="3" t="s">
        <v>53</v>
      </c>
      <c r="G1268" s="3">
        <v>0.90983862000000004</v>
      </c>
      <c r="H1268" s="3">
        <v>0.59365238399999998</v>
      </c>
      <c r="I1268" s="3">
        <v>6.8143202E-2</v>
      </c>
      <c r="J1268" s="3">
        <v>46.353013689999997</v>
      </c>
      <c r="K1268" s="3">
        <v>0.14778870499999999</v>
      </c>
      <c r="L1268" s="3">
        <v>0.195127352</v>
      </c>
      <c r="M1268" s="3">
        <v>0.61058265599999995</v>
      </c>
      <c r="N1268" s="3">
        <v>0.25552935700000001</v>
      </c>
      <c r="O1268" s="3">
        <v>6.1091398999999998E-2</v>
      </c>
      <c r="P1268" s="3">
        <v>8.9611509000000006E-2</v>
      </c>
      <c r="Q1268" s="3">
        <v>0.12853561599999999</v>
      </c>
      <c r="R1268" s="3">
        <v>0.413369879</v>
      </c>
      <c r="S1268" s="3">
        <v>0.46180400900000002</v>
      </c>
      <c r="T1268" s="3">
        <v>1.103988741</v>
      </c>
      <c r="U1268" s="3">
        <v>0.524712285</v>
      </c>
      <c r="V1268" s="3">
        <v>0.24260384900000001</v>
      </c>
      <c r="W1268" s="3">
        <v>0.19763468000000001</v>
      </c>
      <c r="X1268" s="3">
        <v>1.0354272689999999</v>
      </c>
      <c r="Y1268" s="3">
        <v>0.15072099</v>
      </c>
      <c r="Z1268" s="3">
        <v>2.1039887410000002</v>
      </c>
      <c r="AA1268" s="3">
        <v>0.195127352</v>
      </c>
      <c r="AB1268" s="3">
        <v>10.02662134</v>
      </c>
      <c r="AC1268" s="3">
        <v>5.2390970479999996</v>
      </c>
      <c r="AD1268" s="3">
        <v>0.57241373100000004</v>
      </c>
      <c r="AE1268" s="3">
        <v>1.8047424560000001</v>
      </c>
      <c r="AF1268" s="4">
        <v>41680</v>
      </c>
      <c r="AG1268" s="5">
        <f>YEAR(AF1268)</f>
        <v>2014</v>
      </c>
      <c r="AH1268" s="5" t="str">
        <f>"Q"&amp;ROUNDUP(MONTH(AF1268)/3,0)</f>
        <v>Q1</v>
      </c>
      <c r="AI1268" s="5">
        <f>INDEX(RatingLookup!$B$2:$B$11,MATCH(A1268,RatingLookup!$A$2:$A$11,0))</f>
        <v>4</v>
      </c>
      <c r="AJ1268" s="5" t="str">
        <f>INDEX(RatingLookup!$C$2:$C$11,MATCH(A1268,RatingLookup!$A$2:$A$11,0))</f>
        <v>Speculative Grade</v>
      </c>
    </row>
    <row r="1269" spans="1:36" x14ac:dyDescent="0.3">
      <c r="A1269" s="3" t="s">
        <v>92</v>
      </c>
      <c r="B1269" s="3" t="s">
        <v>1369</v>
      </c>
      <c r="C1269" s="3" t="s">
        <v>1370</v>
      </c>
      <c r="D1269" s="3" t="s">
        <v>47</v>
      </c>
      <c r="E1269" s="3" t="s">
        <v>1161</v>
      </c>
      <c r="F1269" s="3" t="s">
        <v>53</v>
      </c>
      <c r="G1269" s="3">
        <v>0.90402012300000001</v>
      </c>
      <c r="H1269" s="3">
        <v>0.43553566500000002</v>
      </c>
      <c r="I1269" s="3">
        <v>2.430247E-3</v>
      </c>
      <c r="J1269" s="3">
        <v>48.555664200000002</v>
      </c>
      <c r="K1269" s="3">
        <v>-8.6807805000000002E-2</v>
      </c>
      <c r="L1269" s="3">
        <v>1.035364E-3</v>
      </c>
      <c r="M1269" s="3">
        <v>0.67596838199999998</v>
      </c>
      <c r="N1269" s="3">
        <v>-2.9757558999999999E-2</v>
      </c>
      <c r="O1269" s="3">
        <v>-2.1315296000000001E-2</v>
      </c>
      <c r="P1269" s="3">
        <v>1.5903838E-2</v>
      </c>
      <c r="Q1269" s="3">
        <v>-5.2979183999999999E-2</v>
      </c>
      <c r="R1269" s="3">
        <v>0.24554585100000001</v>
      </c>
      <c r="S1269" s="3">
        <v>0.27515024599999999</v>
      </c>
      <c r="T1269" s="3">
        <v>1.485500705</v>
      </c>
      <c r="U1269" s="3">
        <v>0.59766657999999995</v>
      </c>
      <c r="V1269" s="3">
        <v>84.842803029999999</v>
      </c>
      <c r="W1269" s="3">
        <v>0.546833758</v>
      </c>
      <c r="X1269" s="3">
        <v>3.9124708290000001</v>
      </c>
      <c r="Y1269" s="3">
        <v>9.1074309999999992E-3</v>
      </c>
      <c r="Z1269" s="3">
        <v>2.4855007050000002</v>
      </c>
      <c r="AA1269" s="3">
        <v>5.9884423999999999E-2</v>
      </c>
      <c r="AB1269" s="3">
        <v>7.2913589769999998</v>
      </c>
      <c r="AC1269" s="3">
        <v>7.1547719379999997</v>
      </c>
      <c r="AD1269" s="3">
        <v>0.58641333399999995</v>
      </c>
      <c r="AE1269" s="3">
        <v>1.1943349590000001</v>
      </c>
      <c r="AF1269" s="4">
        <v>41830</v>
      </c>
      <c r="AG1269" s="5">
        <f>YEAR(AF1269)</f>
        <v>2014</v>
      </c>
      <c r="AH1269" s="5" t="str">
        <f>"Q"&amp;ROUNDUP(MONTH(AF1269)/3,0)</f>
        <v>Q3</v>
      </c>
      <c r="AI1269" s="5">
        <f>INDEX(RatingLookup!$B$2:$B$11,MATCH(A1269,RatingLookup!$A$2:$A$11,0))</f>
        <v>6</v>
      </c>
      <c r="AJ1269" s="5" t="str">
        <f>INDEX(RatingLookup!$C$2:$C$11,MATCH(A1269,RatingLookup!$A$2:$A$11,0))</f>
        <v>Speculative Grade</v>
      </c>
    </row>
    <row r="1270" spans="1:36" x14ac:dyDescent="0.3">
      <c r="A1270" s="3" t="s">
        <v>109</v>
      </c>
      <c r="B1270" s="3" t="s">
        <v>1369</v>
      </c>
      <c r="C1270" s="3" t="s">
        <v>1370</v>
      </c>
      <c r="D1270" s="3" t="s">
        <v>60</v>
      </c>
      <c r="E1270" s="3" t="s">
        <v>965</v>
      </c>
      <c r="F1270" s="3" t="s">
        <v>53</v>
      </c>
      <c r="G1270" s="3">
        <v>0.88660325299999998</v>
      </c>
      <c r="H1270" s="3">
        <v>0.78838020900000005</v>
      </c>
      <c r="I1270" s="3">
        <v>8.3806660000000002E-3</v>
      </c>
      <c r="J1270" s="3">
        <v>60.885741629999998</v>
      </c>
      <c r="K1270" s="3">
        <v>0.252335482</v>
      </c>
      <c r="L1270" s="3">
        <v>0.36722900400000003</v>
      </c>
      <c r="M1270" s="3">
        <v>0.571085976</v>
      </c>
      <c r="N1270" s="3">
        <v>0.35762755000000002</v>
      </c>
      <c r="O1270" s="3">
        <v>0.101900376</v>
      </c>
      <c r="P1270" s="3">
        <v>0.162315719</v>
      </c>
      <c r="Q1270" s="3">
        <v>0.19903694899999999</v>
      </c>
      <c r="R1270" s="3">
        <v>0.40382896200000001</v>
      </c>
      <c r="S1270" s="3">
        <v>0.44447378799999998</v>
      </c>
      <c r="T1270" s="3">
        <v>0.95325039300000003</v>
      </c>
      <c r="U1270" s="3">
        <v>0.48803286899999998</v>
      </c>
      <c r="V1270" s="3">
        <v>0.31286614200000001</v>
      </c>
      <c r="W1270" s="3">
        <v>0.55997782799999996</v>
      </c>
      <c r="X1270" s="3">
        <v>2.7421405079999999</v>
      </c>
      <c r="Y1270" s="3">
        <v>1.5581981999999999E-2</v>
      </c>
      <c r="Z1270" s="3">
        <v>1.953250393</v>
      </c>
      <c r="AA1270" s="3">
        <v>0.36722900400000003</v>
      </c>
      <c r="AB1270" s="3">
        <v>8.6058658690000005</v>
      </c>
      <c r="AC1270" s="3">
        <v>4.8968733589999998</v>
      </c>
      <c r="AD1270" s="3">
        <v>0.56325241500000001</v>
      </c>
      <c r="AE1270" s="3">
        <v>2.1097908040000002</v>
      </c>
      <c r="AF1270" s="4">
        <v>41100</v>
      </c>
      <c r="AG1270" s="5">
        <f>YEAR(AF1270)</f>
        <v>2012</v>
      </c>
      <c r="AH1270" s="5" t="str">
        <f>"Q"&amp;ROUNDUP(MONTH(AF1270)/3,0)</f>
        <v>Q3</v>
      </c>
      <c r="AI1270" s="5">
        <f>INDEX(RatingLookup!$B$2:$B$11,MATCH(A1270,RatingLookup!$A$2:$A$11,0))</f>
        <v>5</v>
      </c>
      <c r="AJ1270" s="5" t="str">
        <f>INDEX(RatingLookup!$C$2:$C$11,MATCH(A1270,RatingLookup!$A$2:$A$11,0))</f>
        <v>Speculative Grade</v>
      </c>
    </row>
    <row r="1271" spans="1:36" x14ac:dyDescent="0.3">
      <c r="A1271" s="3" t="s">
        <v>42</v>
      </c>
      <c r="B1271" s="3" t="s">
        <v>1372</v>
      </c>
      <c r="C1271" s="3" t="s">
        <v>1373</v>
      </c>
      <c r="D1271" s="3" t="s">
        <v>60</v>
      </c>
      <c r="E1271" s="3" t="s">
        <v>302</v>
      </c>
      <c r="F1271" s="3" t="s">
        <v>59</v>
      </c>
      <c r="G1271" s="3">
        <v>1.7178779550000001</v>
      </c>
      <c r="H1271" s="3">
        <v>1.140104231</v>
      </c>
      <c r="I1271" s="3">
        <v>0.40460784999999999</v>
      </c>
      <c r="J1271" s="3">
        <v>61.535712320000002</v>
      </c>
      <c r="K1271" s="3">
        <v>8.4577353999999993E-2</v>
      </c>
      <c r="L1271" s="3">
        <v>0.12561876699999999</v>
      </c>
      <c r="M1271" s="3">
        <v>0.34043404199999999</v>
      </c>
      <c r="N1271" s="3">
        <v>0.13404174699999999</v>
      </c>
      <c r="O1271" s="3">
        <v>6.1664673000000003E-2</v>
      </c>
      <c r="P1271" s="3">
        <v>0.112780792</v>
      </c>
      <c r="Q1271" s="3">
        <v>0.18226234099999999</v>
      </c>
      <c r="R1271" s="3">
        <v>0.72909200399999996</v>
      </c>
      <c r="S1271" s="3">
        <v>8.5075838780000002</v>
      </c>
      <c r="T1271" s="3">
        <v>1.955701106</v>
      </c>
      <c r="U1271" s="3">
        <v>0.66167079699999998</v>
      </c>
      <c r="V1271" s="3">
        <v>0.32226945899999998</v>
      </c>
      <c r="W1271" s="3">
        <v>0.87695462599999996</v>
      </c>
      <c r="X1271" s="3">
        <v>3.6266926900000001</v>
      </c>
      <c r="Y1271" s="3">
        <v>5.6148438580000004</v>
      </c>
      <c r="Z1271" s="3">
        <v>2.9557011059999998</v>
      </c>
      <c r="AA1271" s="3">
        <v>0.12561876699999999</v>
      </c>
      <c r="AB1271" s="3">
        <v>10.687282010000001</v>
      </c>
      <c r="AC1271" s="3">
        <v>4.1355534059999997</v>
      </c>
      <c r="AD1271" s="3">
        <v>9.2256676999999995E-2</v>
      </c>
      <c r="AE1271" s="3">
        <v>7.4480002440000002</v>
      </c>
      <c r="AF1271" s="4">
        <v>41618</v>
      </c>
      <c r="AG1271" s="5">
        <f>YEAR(AF1271)</f>
        <v>2013</v>
      </c>
      <c r="AH1271" s="5" t="str">
        <f>"Q"&amp;ROUNDUP(MONTH(AF1271)/3,0)</f>
        <v>Q4</v>
      </c>
      <c r="AI1271" s="5">
        <f>INDEX(RatingLookup!$B$2:$B$11,MATCH(A1271,RatingLookup!$A$2:$A$11,0))</f>
        <v>7</v>
      </c>
      <c r="AJ1271" s="5" t="str">
        <f>INDEX(RatingLookup!$C$2:$C$11,MATCH(A1271,RatingLookup!$A$2:$A$11,0))</f>
        <v>Investment Grade</v>
      </c>
    </row>
    <row r="1272" spans="1:36" x14ac:dyDescent="0.3">
      <c r="A1272" s="3" t="s">
        <v>36</v>
      </c>
      <c r="B1272" s="3" t="s">
        <v>1372</v>
      </c>
      <c r="C1272" s="3" t="s">
        <v>1373</v>
      </c>
      <c r="D1272" s="3" t="s">
        <v>39</v>
      </c>
      <c r="E1272" s="3" t="s">
        <v>710</v>
      </c>
      <c r="F1272" s="3" t="s">
        <v>59</v>
      </c>
      <c r="G1272" s="3">
        <v>1.8674020549999999</v>
      </c>
      <c r="H1272" s="3">
        <v>1.2665442760000001</v>
      </c>
      <c r="I1272" s="3">
        <v>0.54101949100000002</v>
      </c>
      <c r="J1272" s="3">
        <v>51.26876369</v>
      </c>
      <c r="K1272" s="3">
        <v>6.5870837000000002E-2</v>
      </c>
      <c r="L1272" s="3">
        <v>9.6121808000000003E-2</v>
      </c>
      <c r="M1272" s="3">
        <v>0.34745437299999998</v>
      </c>
      <c r="N1272" s="3">
        <v>0.108133444</v>
      </c>
      <c r="O1272" s="3">
        <v>5.5834252000000001E-2</v>
      </c>
      <c r="P1272" s="3">
        <v>0.100028462</v>
      </c>
      <c r="Q1272" s="3">
        <v>0.181808574</v>
      </c>
      <c r="R1272" s="3">
        <v>0.84763235000000003</v>
      </c>
      <c r="S1272" s="3">
        <v>10.07702299</v>
      </c>
      <c r="T1272" s="3">
        <v>2.2562193800000001</v>
      </c>
      <c r="U1272" s="3">
        <v>0.69289538500000003</v>
      </c>
      <c r="V1272" s="3">
        <v>0.31152456299999998</v>
      </c>
      <c r="W1272" s="3">
        <v>0.83431773300000001</v>
      </c>
      <c r="X1272" s="3">
        <v>3.7529439830000002</v>
      </c>
      <c r="Y1272" s="3">
        <v>6.8127950369999999</v>
      </c>
      <c r="Z1272" s="3">
        <v>3.2562193800000001</v>
      </c>
      <c r="AA1272" s="3">
        <v>9.6121808000000003E-2</v>
      </c>
      <c r="AB1272" s="3">
        <v>10.40728378</v>
      </c>
      <c r="AC1272" s="3">
        <v>4.4982191240000002</v>
      </c>
      <c r="AD1272" s="3">
        <v>9.0239751000000007E-2</v>
      </c>
      <c r="AE1272" s="3">
        <v>8.3413919990000007</v>
      </c>
      <c r="AF1272" s="4">
        <v>41946</v>
      </c>
      <c r="AG1272" s="5">
        <f>YEAR(AF1272)</f>
        <v>2014</v>
      </c>
      <c r="AH1272" s="5" t="str">
        <f>"Q"&amp;ROUNDUP(MONTH(AF1272)/3,0)</f>
        <v>Q4</v>
      </c>
      <c r="AI1272" s="5">
        <f>INDEX(RatingLookup!$B$2:$B$11,MATCH(A1272,RatingLookup!$A$2:$A$11,0))</f>
        <v>8</v>
      </c>
      <c r="AJ1272" s="5" t="str">
        <f>INDEX(RatingLookup!$C$2:$C$11,MATCH(A1272,RatingLookup!$A$2:$A$11,0))</f>
        <v>Investment Grade</v>
      </c>
    </row>
    <row r="1273" spans="1:36" x14ac:dyDescent="0.3">
      <c r="A1273" s="3" t="s">
        <v>42</v>
      </c>
      <c r="B1273" s="3" t="s">
        <v>1372</v>
      </c>
      <c r="C1273" s="3" t="s">
        <v>1373</v>
      </c>
      <c r="D1273" s="3" t="s">
        <v>60</v>
      </c>
      <c r="E1273" s="3" t="s">
        <v>46</v>
      </c>
      <c r="F1273" s="3" t="s">
        <v>59</v>
      </c>
      <c r="G1273" s="3">
        <v>1.9363002840000001</v>
      </c>
      <c r="H1273" s="3">
        <v>1.2330785319999999</v>
      </c>
      <c r="I1273" s="3">
        <v>0.45974732499999998</v>
      </c>
      <c r="J1273" s="3">
        <v>50.071841929999998</v>
      </c>
      <c r="K1273" s="3">
        <v>1.0336361000000001E-2</v>
      </c>
      <c r="L1273" s="3">
        <v>8.0341979999999993E-3</v>
      </c>
      <c r="M1273" s="3">
        <v>0.33889201600000002</v>
      </c>
      <c r="N1273" s="3">
        <v>1.6601023999999999E-2</v>
      </c>
      <c r="O1273" s="3">
        <v>9.2543390000000003E-3</v>
      </c>
      <c r="P1273" s="3">
        <v>8.8528749999999996E-3</v>
      </c>
      <c r="Q1273" s="3">
        <v>3.2345772000000002E-2</v>
      </c>
      <c r="R1273" s="3">
        <v>0.89531888299999995</v>
      </c>
      <c r="S1273" s="3">
        <v>8.9597143720000005</v>
      </c>
      <c r="T1273" s="3">
        <v>2.495200681</v>
      </c>
      <c r="U1273" s="3">
        <v>0.71389339500000004</v>
      </c>
      <c r="V1273" s="3">
        <v>-0.29637234800000001</v>
      </c>
      <c r="W1273" s="3">
        <v>0.76812938900000005</v>
      </c>
      <c r="X1273" s="3">
        <v>1.9799552650000001</v>
      </c>
      <c r="Y1273" s="3">
        <v>5.3010667580000002</v>
      </c>
      <c r="Z1273" s="3">
        <v>3.495200681</v>
      </c>
      <c r="AA1273" s="3">
        <v>8.0341979999999993E-3</v>
      </c>
      <c r="AB1273" s="3">
        <v>28.199479119999999</v>
      </c>
      <c r="AC1273" s="3">
        <v>2.5776324850000001</v>
      </c>
      <c r="AD1273" s="3">
        <v>5.8845178999999997E-2</v>
      </c>
      <c r="AE1273" s="3">
        <v>8.668677057</v>
      </c>
      <c r="AF1273" s="4">
        <v>41075</v>
      </c>
      <c r="AG1273" s="5">
        <f>YEAR(AF1273)</f>
        <v>2012</v>
      </c>
      <c r="AH1273" s="5" t="str">
        <f>"Q"&amp;ROUNDUP(MONTH(AF1273)/3,0)</f>
        <v>Q2</v>
      </c>
      <c r="AI1273" s="5">
        <f>INDEX(RatingLookup!$B$2:$B$11,MATCH(A1273,RatingLookup!$A$2:$A$11,0))</f>
        <v>7</v>
      </c>
      <c r="AJ1273" s="5" t="str">
        <f>INDEX(RatingLookup!$C$2:$C$11,MATCH(A1273,RatingLookup!$A$2:$A$11,0))</f>
        <v>Investment Grade</v>
      </c>
    </row>
    <row r="1274" spans="1:36" x14ac:dyDescent="0.3">
      <c r="A1274" s="3" t="s">
        <v>36</v>
      </c>
      <c r="B1274" s="3" t="s">
        <v>1372</v>
      </c>
      <c r="C1274" s="3" t="s">
        <v>1373</v>
      </c>
      <c r="D1274" s="3" t="s">
        <v>39</v>
      </c>
      <c r="E1274" s="3" t="s">
        <v>740</v>
      </c>
      <c r="F1274" s="3" t="s">
        <v>59</v>
      </c>
      <c r="G1274" s="3">
        <v>2.1010824019999998</v>
      </c>
      <c r="H1274" s="3">
        <v>1.412534916</v>
      </c>
      <c r="I1274" s="3">
        <v>0.63460195500000005</v>
      </c>
      <c r="J1274" s="3">
        <v>52.955300129999998</v>
      </c>
      <c r="K1274" s="3">
        <v>8.3524903999999997E-2</v>
      </c>
      <c r="L1274" s="3">
        <v>0.122787812</v>
      </c>
      <c r="M1274" s="3">
        <v>0.34825761700000002</v>
      </c>
      <c r="N1274" s="3">
        <v>0.13607005999999999</v>
      </c>
      <c r="O1274" s="3">
        <v>6.8500119999999998E-2</v>
      </c>
      <c r="P1274" s="3">
        <v>0.121532794</v>
      </c>
      <c r="Q1274" s="3">
        <v>0.20089520799999999</v>
      </c>
      <c r="R1274" s="3">
        <v>0.82011611200000001</v>
      </c>
      <c r="S1274" s="3">
        <v>9.9293478260000008</v>
      </c>
      <c r="T1274" s="3">
        <v>1.9327716340000001</v>
      </c>
      <c r="U1274" s="3">
        <v>0.65902561599999998</v>
      </c>
      <c r="V1274" s="3">
        <v>0.31649331400000003</v>
      </c>
      <c r="W1274" s="3">
        <v>0.82730048</v>
      </c>
      <c r="X1274" s="3">
        <v>3.265060241</v>
      </c>
      <c r="Y1274" s="3">
        <v>7.0826161790000004</v>
      </c>
      <c r="Z1274" s="3">
        <v>2.9327716339999998</v>
      </c>
      <c r="AA1274" s="3">
        <v>0.122787812</v>
      </c>
      <c r="AB1274" s="3">
        <v>7.2976949309999997</v>
      </c>
      <c r="AC1274" s="3">
        <v>3.9466437179999998</v>
      </c>
      <c r="AD1274" s="3">
        <v>8.3670862999999998E-2</v>
      </c>
      <c r="AE1274" s="3">
        <v>7.9986565159999996</v>
      </c>
      <c r="AF1274" s="4">
        <v>42314</v>
      </c>
      <c r="AG1274" s="5">
        <f>YEAR(AF1274)</f>
        <v>2015</v>
      </c>
      <c r="AH1274" s="5" t="str">
        <f>"Q"&amp;ROUNDUP(MONTH(AF1274)/3,0)</f>
        <v>Q4</v>
      </c>
      <c r="AI1274" s="5">
        <f>INDEX(RatingLookup!$B$2:$B$11,MATCH(A1274,RatingLookup!$A$2:$A$11,0))</f>
        <v>8</v>
      </c>
      <c r="AJ1274" s="5" t="str">
        <f>INDEX(RatingLookup!$C$2:$C$11,MATCH(A1274,RatingLookup!$A$2:$A$11,0))</f>
        <v>Investment Grade</v>
      </c>
    </row>
    <row r="1275" spans="1:36" x14ac:dyDescent="0.3">
      <c r="A1275" s="3" t="s">
        <v>92</v>
      </c>
      <c r="B1275" s="3" t="s">
        <v>1374</v>
      </c>
      <c r="C1275" s="3" t="s">
        <v>1375</v>
      </c>
      <c r="D1275" s="3" t="s">
        <v>47</v>
      </c>
      <c r="E1275" s="3" t="s">
        <v>1376</v>
      </c>
      <c r="F1275" s="3" t="s">
        <v>96</v>
      </c>
      <c r="G1275" s="3">
        <v>1.227443305</v>
      </c>
      <c r="H1275" s="3">
        <v>1.0644119110000001</v>
      </c>
      <c r="I1275" s="3">
        <v>0.57191993500000005</v>
      </c>
      <c r="J1275" s="3">
        <v>44.85321562</v>
      </c>
      <c r="K1275" s="3">
        <v>0.17076918899999999</v>
      </c>
      <c r="L1275" s="3">
        <v>0.16152923499999999</v>
      </c>
      <c r="M1275" s="3">
        <v>0.46509719900000002</v>
      </c>
      <c r="N1275" s="3">
        <v>0.26094827100000001</v>
      </c>
      <c r="O1275" s="3">
        <v>5.7377909999999997E-2</v>
      </c>
      <c r="P1275" s="3">
        <v>5.9239815000000001E-2</v>
      </c>
      <c r="Q1275" s="3">
        <v>9.7371293999999997E-2</v>
      </c>
      <c r="R1275" s="3">
        <v>0.33599685299999998</v>
      </c>
      <c r="S1275" s="3">
        <v>14.14707887</v>
      </c>
      <c r="T1275" s="3">
        <v>0.69701708699999998</v>
      </c>
      <c r="U1275" s="3">
        <v>0.41073074199999998</v>
      </c>
      <c r="V1275" s="3">
        <v>0.37512093699999999</v>
      </c>
      <c r="W1275" s="3">
        <v>0.94044319099999996</v>
      </c>
      <c r="X1275" s="3">
        <v>2.8505653309999999</v>
      </c>
      <c r="Y1275" s="3">
        <v>1.3152291330000001</v>
      </c>
      <c r="Z1275" s="3">
        <v>1.6970170870000001</v>
      </c>
      <c r="AA1275" s="3">
        <v>0.16152923499999999</v>
      </c>
      <c r="AB1275" s="3">
        <v>9.2622136180000005</v>
      </c>
      <c r="AC1275" s="3">
        <v>3.0310872120000001</v>
      </c>
      <c r="AD1275" s="3">
        <v>0.32887723200000002</v>
      </c>
      <c r="AE1275" s="3">
        <v>34.216177940000001</v>
      </c>
      <c r="AF1275" s="4">
        <v>42174</v>
      </c>
      <c r="AG1275" s="5">
        <f>YEAR(AF1275)</f>
        <v>2015</v>
      </c>
      <c r="AH1275" s="5" t="str">
        <f>"Q"&amp;ROUNDUP(MONTH(AF1275)/3,0)</f>
        <v>Q2</v>
      </c>
      <c r="AI1275" s="5">
        <f>INDEX(RatingLookup!$B$2:$B$11,MATCH(A1275,RatingLookup!$A$2:$A$11,0))</f>
        <v>6</v>
      </c>
      <c r="AJ1275" s="5" t="str">
        <f>INDEX(RatingLookup!$C$2:$C$11,MATCH(A1275,RatingLookup!$A$2:$A$11,0))</f>
        <v>Speculative Grade</v>
      </c>
    </row>
    <row r="1276" spans="1:36" x14ac:dyDescent="0.3">
      <c r="A1276" s="3" t="s">
        <v>92</v>
      </c>
      <c r="B1276" s="3" t="s">
        <v>1374</v>
      </c>
      <c r="C1276" s="3" t="s">
        <v>1375</v>
      </c>
      <c r="D1276" s="3" t="s">
        <v>47</v>
      </c>
      <c r="E1276" s="3" t="s">
        <v>955</v>
      </c>
      <c r="F1276" s="3" t="s">
        <v>96</v>
      </c>
      <c r="G1276" s="3">
        <v>1.619958821</v>
      </c>
      <c r="H1276" s="3">
        <v>1.449685399</v>
      </c>
      <c r="I1276" s="3">
        <v>1.0418532439999999</v>
      </c>
      <c r="J1276" s="3">
        <v>62.014440880000002</v>
      </c>
      <c r="K1276" s="3">
        <v>4.2849788E-2</v>
      </c>
      <c r="L1276" s="3">
        <v>6.0824665E-2</v>
      </c>
      <c r="M1276" s="3">
        <v>0.46780167700000003</v>
      </c>
      <c r="N1276" s="3">
        <v>0.164691063</v>
      </c>
      <c r="O1276" s="3">
        <v>7.387144E-3</v>
      </c>
      <c r="P1276" s="3">
        <v>1.1297322E-2</v>
      </c>
      <c r="Q1276" s="3">
        <v>2.0357681999999998E-2</v>
      </c>
      <c r="R1276" s="3">
        <v>0.17239629100000001</v>
      </c>
      <c r="S1276" s="3">
        <v>14.897830000000001</v>
      </c>
      <c r="T1276" s="3">
        <v>1.755825607</v>
      </c>
      <c r="U1276" s="3">
        <v>0.63713233599999997</v>
      </c>
      <c r="V1276" s="3">
        <v>0.29551954200000002</v>
      </c>
      <c r="W1276" s="3">
        <v>0.94102955499999996</v>
      </c>
      <c r="X1276" s="3">
        <v>2.3823135519999998</v>
      </c>
      <c r="Y1276" s="3">
        <v>4.765845573</v>
      </c>
      <c r="Z1276" s="3">
        <v>2.7558256069999998</v>
      </c>
      <c r="AA1276" s="3">
        <v>6.0824665E-2</v>
      </c>
      <c r="AB1276" s="3">
        <v>16.2064415</v>
      </c>
      <c r="AC1276" s="3">
        <v>2.5316033280000001</v>
      </c>
      <c r="AD1276" s="3">
        <v>0.230558291</v>
      </c>
      <c r="AE1276" s="3">
        <v>44.522037300000001</v>
      </c>
      <c r="AF1276" s="4">
        <v>42380</v>
      </c>
      <c r="AG1276" s="5">
        <f>YEAR(AF1276)</f>
        <v>2016</v>
      </c>
      <c r="AH1276" s="5" t="str">
        <f>"Q"&amp;ROUNDUP(MONTH(AF1276)/3,0)</f>
        <v>Q1</v>
      </c>
      <c r="AI1276" s="5">
        <f>INDEX(RatingLookup!$B$2:$B$11,MATCH(A1276,RatingLookup!$A$2:$A$11,0))</f>
        <v>6</v>
      </c>
      <c r="AJ1276" s="5" t="str">
        <f>INDEX(RatingLookup!$C$2:$C$11,MATCH(A1276,RatingLookup!$A$2:$A$11,0))</f>
        <v>Speculative Grade</v>
      </c>
    </row>
    <row r="1277" spans="1:36" x14ac:dyDescent="0.3">
      <c r="A1277" s="3" t="s">
        <v>92</v>
      </c>
      <c r="B1277" s="3" t="s">
        <v>1374</v>
      </c>
      <c r="C1277" s="3" t="s">
        <v>1375</v>
      </c>
      <c r="D1277" s="3" t="s">
        <v>47</v>
      </c>
      <c r="E1277" s="3" t="s">
        <v>610</v>
      </c>
      <c r="F1277" s="3" t="s">
        <v>96</v>
      </c>
      <c r="G1277" s="3">
        <v>0.74044503900000003</v>
      </c>
      <c r="H1277" s="3">
        <v>0.64011594199999999</v>
      </c>
      <c r="I1277" s="3">
        <v>0.20969097</v>
      </c>
      <c r="J1277" s="3">
        <v>92.054644120000006</v>
      </c>
      <c r="K1277" s="3">
        <v>0.13691182299999999</v>
      </c>
      <c r="L1277" s="3">
        <v>0.17100495299999999</v>
      </c>
      <c r="M1277" s="3">
        <v>0.71169879300000005</v>
      </c>
      <c r="N1277" s="3">
        <v>0.30173256199999998</v>
      </c>
      <c r="O1277" s="3">
        <v>2.2953682E-2</v>
      </c>
      <c r="P1277" s="3">
        <v>3.1792653999999997E-2</v>
      </c>
      <c r="Q1277" s="3">
        <v>5.7999324999999997E-2</v>
      </c>
      <c r="R1277" s="3">
        <v>0.16765303300000001</v>
      </c>
      <c r="S1277" s="3">
        <v>11.901125690000001</v>
      </c>
      <c r="T1277" s="3">
        <v>1.526798278</v>
      </c>
      <c r="U1277" s="3">
        <v>0.60424224999999998</v>
      </c>
      <c r="V1277" s="3">
        <v>0.199369255</v>
      </c>
      <c r="W1277" s="3">
        <v>0.93325637500000003</v>
      </c>
      <c r="X1277" s="3">
        <v>1.9499480650000001</v>
      </c>
      <c r="Y1277" s="3">
        <v>0.58705031699999999</v>
      </c>
      <c r="Z1277" s="3">
        <v>2.5267982779999998</v>
      </c>
      <c r="AA1277" s="3">
        <v>0.17100495299999999</v>
      </c>
      <c r="AB1277" s="3">
        <v>16.63762019</v>
      </c>
      <c r="AC1277" s="3">
        <v>2.0894023530000001</v>
      </c>
      <c r="AD1277" s="3">
        <v>0.43730239900000001</v>
      </c>
      <c r="AE1277" s="3">
        <v>48.5439054</v>
      </c>
      <c r="AF1277" s="4">
        <v>42718</v>
      </c>
      <c r="AG1277" s="5">
        <f>YEAR(AF1277)</f>
        <v>2016</v>
      </c>
      <c r="AH1277" s="5" t="str">
        <f>"Q"&amp;ROUNDUP(MONTH(AF1277)/3,0)</f>
        <v>Q4</v>
      </c>
      <c r="AI1277" s="5">
        <f>INDEX(RatingLookup!$B$2:$B$11,MATCH(A1277,RatingLookup!$A$2:$A$11,0))</f>
        <v>6</v>
      </c>
      <c r="AJ1277" s="5" t="str">
        <f>INDEX(RatingLookup!$C$2:$C$11,MATCH(A1277,RatingLookup!$A$2:$A$11,0))</f>
        <v>Speculative Grade</v>
      </c>
    </row>
    <row r="1278" spans="1:36" x14ac:dyDescent="0.3">
      <c r="A1278" s="3" t="s">
        <v>42</v>
      </c>
      <c r="B1278" s="3" t="s">
        <v>1377</v>
      </c>
      <c r="C1278" s="3" t="s">
        <v>1378</v>
      </c>
      <c r="D1278" s="3" t="s">
        <v>39</v>
      </c>
      <c r="E1278" s="3" t="s">
        <v>1379</v>
      </c>
      <c r="F1278" s="3" t="s">
        <v>59</v>
      </c>
      <c r="G1278" s="3">
        <v>2.2676443630000001</v>
      </c>
      <c r="H1278" s="3">
        <v>1.490375802</v>
      </c>
      <c r="I1278" s="3">
        <v>0.72502291500000005</v>
      </c>
      <c r="J1278" s="3">
        <v>40.535478550000001</v>
      </c>
      <c r="K1278" s="3">
        <v>2.6237624000000001E-2</v>
      </c>
      <c r="L1278" s="3">
        <v>4.8184817999999997E-2</v>
      </c>
      <c r="M1278" s="3">
        <v>0.14009901</v>
      </c>
      <c r="N1278" s="3">
        <v>4.8184817999999997E-2</v>
      </c>
      <c r="O1278" s="3">
        <v>3.6754507999999998E-2</v>
      </c>
      <c r="P1278" s="3">
        <v>9.0262751000000002E-2</v>
      </c>
      <c r="Q1278" s="3">
        <v>0.21840659300000001</v>
      </c>
      <c r="R1278" s="3">
        <v>1.4008321779999999</v>
      </c>
      <c r="S1278" s="3">
        <v>5.1928020569999997</v>
      </c>
      <c r="T1278" s="3">
        <v>4.942307692</v>
      </c>
      <c r="U1278" s="3">
        <v>0.83171521000000004</v>
      </c>
      <c r="V1278" s="3">
        <v>0.280821918</v>
      </c>
      <c r="W1278" s="3">
        <v>0.359605911</v>
      </c>
      <c r="X1278" s="3">
        <v>0.91823899399999998</v>
      </c>
      <c r="Y1278" s="3">
        <v>5.9937106919999996</v>
      </c>
      <c r="Z1278" s="3">
        <v>5.942307692</v>
      </c>
      <c r="AA1278" s="3">
        <v>4.8184817999999997E-2</v>
      </c>
      <c r="AB1278" s="3">
        <v>5.6783651800000001</v>
      </c>
      <c r="AC1278" s="3">
        <v>2.5534591190000002</v>
      </c>
      <c r="AD1278" s="3">
        <v>6.6996700000000006E-2</v>
      </c>
      <c r="AE1278" s="3">
        <v>7.3188202249999996</v>
      </c>
      <c r="AF1278" s="4">
        <v>42229</v>
      </c>
      <c r="AG1278" s="5">
        <f>YEAR(AF1278)</f>
        <v>2015</v>
      </c>
      <c r="AH1278" s="5" t="str">
        <f>"Q"&amp;ROUNDUP(MONTH(AF1278)/3,0)</f>
        <v>Q3</v>
      </c>
      <c r="AI1278" s="5">
        <f>INDEX(RatingLookup!$B$2:$B$11,MATCH(A1278,RatingLookup!$A$2:$A$11,0))</f>
        <v>7</v>
      </c>
      <c r="AJ1278" s="5" t="str">
        <f>INDEX(RatingLookup!$C$2:$C$11,MATCH(A1278,RatingLookup!$A$2:$A$11,0))</f>
        <v>Investment Grade</v>
      </c>
    </row>
    <row r="1279" spans="1:36" x14ac:dyDescent="0.3">
      <c r="A1279" s="3" t="s">
        <v>42</v>
      </c>
      <c r="B1279" s="3" t="s">
        <v>1377</v>
      </c>
      <c r="C1279" s="3" t="s">
        <v>1378</v>
      </c>
      <c r="D1279" s="3" t="s">
        <v>39</v>
      </c>
      <c r="E1279" s="3" t="s">
        <v>1298</v>
      </c>
      <c r="F1279" s="3" t="s">
        <v>59</v>
      </c>
      <c r="G1279" s="3">
        <v>2.4960567820000001</v>
      </c>
      <c r="H1279" s="3">
        <v>1.702681388</v>
      </c>
      <c r="I1279" s="3">
        <v>0.99053627799999999</v>
      </c>
      <c r="J1279" s="3">
        <v>42.760378189999997</v>
      </c>
      <c r="K1279" s="3">
        <v>3.6046683000000003E-2</v>
      </c>
      <c r="L1279" s="3">
        <v>3.8558133000000001E-2</v>
      </c>
      <c r="M1279" s="3">
        <v>0.13591372400000001</v>
      </c>
      <c r="N1279" s="3">
        <v>3.6046683000000003E-2</v>
      </c>
      <c r="O1279" s="3">
        <v>4.7572626E-2</v>
      </c>
      <c r="P1279" s="3">
        <v>6.7599067999999998E-2</v>
      </c>
      <c r="Q1279" s="3">
        <v>0.18640183299999999</v>
      </c>
      <c r="R1279" s="3">
        <v>1.3197504390000001</v>
      </c>
      <c r="S1279" s="3">
        <v>5.5257142860000004</v>
      </c>
      <c r="T1279" s="3">
        <v>2.918258212</v>
      </c>
      <c r="U1279" s="3">
        <v>0.74478455799999999</v>
      </c>
      <c r="V1279" s="3">
        <v>0.455938697</v>
      </c>
      <c r="W1279" s="3">
        <v>0.63778162900000002</v>
      </c>
      <c r="X1279" s="3">
        <v>2.5136612020000002</v>
      </c>
      <c r="Y1279" s="3">
        <v>9.3306010930000003</v>
      </c>
      <c r="Z1279" s="3">
        <v>3.918258212</v>
      </c>
      <c r="AA1279" s="3">
        <v>3.8558133000000001E-2</v>
      </c>
      <c r="AB1279" s="3">
        <v>6.306849315</v>
      </c>
      <c r="AC1279" s="3">
        <v>3.941256831</v>
      </c>
      <c r="AD1279" s="3">
        <v>8.5241542000000003E-2</v>
      </c>
      <c r="AE1279" s="3">
        <v>7.2748756219999997</v>
      </c>
      <c r="AF1279" s="4">
        <v>41507</v>
      </c>
      <c r="AG1279" s="5">
        <f>YEAR(AF1279)</f>
        <v>2013</v>
      </c>
      <c r="AH1279" s="5" t="str">
        <f>"Q"&amp;ROUNDUP(MONTH(AF1279)/3,0)</f>
        <v>Q3</v>
      </c>
      <c r="AI1279" s="5">
        <f>INDEX(RatingLookup!$B$2:$B$11,MATCH(A1279,RatingLookup!$A$2:$A$11,0))</f>
        <v>7</v>
      </c>
      <c r="AJ1279" s="5" t="str">
        <f>INDEX(RatingLookup!$C$2:$C$11,MATCH(A1279,RatingLookup!$A$2:$A$11,0))</f>
        <v>Investment Grade</v>
      </c>
    </row>
    <row r="1280" spans="1:36" x14ac:dyDescent="0.3">
      <c r="A1280" s="3" t="s">
        <v>42</v>
      </c>
      <c r="B1280" s="3" t="s">
        <v>1377</v>
      </c>
      <c r="C1280" s="3" t="s">
        <v>1378</v>
      </c>
      <c r="D1280" s="3" t="s">
        <v>39</v>
      </c>
      <c r="E1280" s="3" t="s">
        <v>1281</v>
      </c>
      <c r="F1280" s="3" t="s">
        <v>59</v>
      </c>
      <c r="G1280" s="3">
        <v>2.34258525</v>
      </c>
      <c r="H1280" s="3">
        <v>1.6217287869999999</v>
      </c>
      <c r="I1280" s="3">
        <v>0.88897700199999996</v>
      </c>
      <c r="J1280" s="3">
        <v>41.646516550000001</v>
      </c>
      <c r="K1280" s="3">
        <v>4.8209158000000002E-2</v>
      </c>
      <c r="L1280" s="3">
        <v>3.9292730999999997E-2</v>
      </c>
      <c r="M1280" s="3">
        <v>0.14281396399999999</v>
      </c>
      <c r="N1280" s="3">
        <v>3.9292730999999997E-2</v>
      </c>
      <c r="O1280" s="3">
        <v>6.4705882000000006E-2</v>
      </c>
      <c r="P1280" s="3">
        <v>7.0863995999999999E-2</v>
      </c>
      <c r="Q1280" s="3">
        <v>0.29537036999999999</v>
      </c>
      <c r="R1280" s="3">
        <v>1.3421906690000001</v>
      </c>
      <c r="S1280" s="3">
        <v>5.6267006799999999</v>
      </c>
      <c r="T1280" s="3">
        <v>3.5648148150000001</v>
      </c>
      <c r="U1280" s="3">
        <v>0.78093306299999998</v>
      </c>
      <c r="V1280" s="3">
        <v>-0.26923076899999998</v>
      </c>
      <c r="W1280" s="3">
        <v>0.54117647099999999</v>
      </c>
      <c r="X1280" s="3">
        <v>1.7468354429999999</v>
      </c>
      <c r="Y1280" s="3">
        <v>8.1645569620000007</v>
      </c>
      <c r="Z1280" s="3">
        <v>4.5648148150000001</v>
      </c>
      <c r="AA1280" s="3">
        <v>3.9292730999999997E-2</v>
      </c>
      <c r="AB1280" s="3">
        <v>8.0637238490000005</v>
      </c>
      <c r="AC1280" s="3">
        <v>3.2278481010000002</v>
      </c>
      <c r="AD1280" s="3">
        <v>7.7074202999999994E-2</v>
      </c>
      <c r="AE1280" s="3">
        <v>7.1706700379999999</v>
      </c>
      <c r="AF1280" s="4">
        <v>41851</v>
      </c>
      <c r="AG1280" s="5">
        <f>YEAR(AF1280)</f>
        <v>2014</v>
      </c>
      <c r="AH1280" s="5" t="str">
        <f>"Q"&amp;ROUNDUP(MONTH(AF1280)/3,0)</f>
        <v>Q3</v>
      </c>
      <c r="AI1280" s="5">
        <f>INDEX(RatingLookup!$B$2:$B$11,MATCH(A1280,RatingLookup!$A$2:$A$11,0))</f>
        <v>7</v>
      </c>
      <c r="AJ1280" s="5" t="str">
        <f>INDEX(RatingLookup!$C$2:$C$11,MATCH(A1280,RatingLookup!$A$2:$A$11,0))</f>
        <v>Investment Grade</v>
      </c>
    </row>
    <row r="1281" spans="1:36" x14ac:dyDescent="0.3">
      <c r="A1281" s="3" t="s">
        <v>36</v>
      </c>
      <c r="B1281" s="3" t="s">
        <v>1380</v>
      </c>
      <c r="C1281" s="3" t="s">
        <v>1381</v>
      </c>
      <c r="D1281" s="3" t="s">
        <v>39</v>
      </c>
      <c r="E1281" s="3" t="s">
        <v>393</v>
      </c>
      <c r="F1281" s="3" t="s">
        <v>53</v>
      </c>
      <c r="G1281" s="3">
        <v>0.75102722200000005</v>
      </c>
      <c r="H1281" s="3">
        <v>0.313321707</v>
      </c>
      <c r="I1281" s="3">
        <v>3.1824751999999998E-2</v>
      </c>
      <c r="J1281" s="3">
        <v>13.382565960000001</v>
      </c>
      <c r="K1281" s="3">
        <v>0.33748979400000001</v>
      </c>
      <c r="L1281" s="3">
        <v>0.36441837799999999</v>
      </c>
      <c r="M1281" s="3">
        <v>1</v>
      </c>
      <c r="N1281" s="3">
        <v>0.42289415899999999</v>
      </c>
      <c r="O1281" s="3">
        <v>0.14091767999999999</v>
      </c>
      <c r="P1281" s="3">
        <v>0.16853986900000001</v>
      </c>
      <c r="Q1281" s="3">
        <v>0.41615954799999999</v>
      </c>
      <c r="R1281" s="3">
        <v>0.41754649300000002</v>
      </c>
      <c r="S1281" s="3">
        <v>0.53211949000000003</v>
      </c>
      <c r="T1281" s="3">
        <v>1.9532103329999999</v>
      </c>
      <c r="U1281" s="3">
        <v>0.66138544600000004</v>
      </c>
      <c r="V1281" s="3">
        <v>5.5031510000000004E-3</v>
      </c>
      <c r="W1281" s="3">
        <v>0.66906469000000002</v>
      </c>
      <c r="X1281" s="3">
        <v>3.2599489570000002</v>
      </c>
      <c r="Y1281" s="3">
        <v>0.36752618100000001</v>
      </c>
      <c r="Z1281" s="3">
        <v>2.9532103329999999</v>
      </c>
      <c r="AA1281" s="3">
        <v>0.36441837799999999</v>
      </c>
      <c r="AB1281" s="3">
        <v>18.119308570000001</v>
      </c>
      <c r="AC1281" s="3">
        <v>4.872397254</v>
      </c>
      <c r="AD1281" s="3">
        <v>0.48065718000000002</v>
      </c>
      <c r="AE1281" s="3">
        <v>6.1214751209999996</v>
      </c>
      <c r="AF1281" s="4">
        <v>42086</v>
      </c>
      <c r="AG1281" s="5">
        <f>YEAR(AF1281)</f>
        <v>2015</v>
      </c>
      <c r="AH1281" s="5" t="str">
        <f>"Q"&amp;ROUNDUP(MONTH(AF1281)/3,0)</f>
        <v>Q1</v>
      </c>
      <c r="AI1281" s="5">
        <f>INDEX(RatingLookup!$B$2:$B$11,MATCH(A1281,RatingLookup!$A$2:$A$11,0))</f>
        <v>8</v>
      </c>
      <c r="AJ1281" s="5" t="str">
        <f>INDEX(RatingLookup!$C$2:$C$11,MATCH(A1281,RatingLookup!$A$2:$A$11,0))</f>
        <v>Investment Grade</v>
      </c>
    </row>
    <row r="1282" spans="1:36" x14ac:dyDescent="0.3">
      <c r="A1282" s="3" t="s">
        <v>42</v>
      </c>
      <c r="B1282" s="3" t="s">
        <v>1380</v>
      </c>
      <c r="C1282" s="3" t="s">
        <v>1381</v>
      </c>
      <c r="D1282" s="3" t="s">
        <v>39</v>
      </c>
      <c r="E1282" s="3" t="s">
        <v>1382</v>
      </c>
      <c r="F1282" s="3" t="s">
        <v>53</v>
      </c>
      <c r="G1282" s="3">
        <v>0.62156966599999997</v>
      </c>
      <c r="H1282" s="3">
        <v>0.15801784799999999</v>
      </c>
      <c r="I1282" s="3">
        <v>3.9536188E-2</v>
      </c>
      <c r="J1282" s="3">
        <v>22.3690666</v>
      </c>
      <c r="K1282" s="3">
        <v>0.31502377199999998</v>
      </c>
      <c r="L1282" s="3">
        <v>0.30925808599999999</v>
      </c>
      <c r="M1282" s="3">
        <v>1</v>
      </c>
      <c r="N1282" s="3">
        <v>0.37155025899999999</v>
      </c>
      <c r="O1282" s="3">
        <v>0.124002139</v>
      </c>
      <c r="P1282" s="3">
        <v>0.140309611</v>
      </c>
      <c r="Q1282" s="3">
        <v>0.34646155299999998</v>
      </c>
      <c r="R1282" s="3">
        <v>0.39362787799999999</v>
      </c>
      <c r="S1282" s="3">
        <v>0.48454570699999999</v>
      </c>
      <c r="T1282" s="3">
        <v>1.7939965849999999</v>
      </c>
      <c r="U1282" s="3">
        <v>0.64208975599999996</v>
      </c>
      <c r="V1282" s="3">
        <v>7.8606119999999995E-3</v>
      </c>
      <c r="W1282" s="3">
        <v>0.50335576500000001</v>
      </c>
      <c r="X1282" s="3">
        <v>1.714696974</v>
      </c>
      <c r="Y1282" s="3">
        <v>-6.8051263000000001E-2</v>
      </c>
      <c r="Z1282" s="3">
        <v>2.7939965849999999</v>
      </c>
      <c r="AA1282" s="3">
        <v>0.30925808599999999</v>
      </c>
      <c r="AB1282" s="3">
        <v>20.60773369</v>
      </c>
      <c r="AC1282" s="3">
        <v>3.4065309109999999</v>
      </c>
      <c r="AD1282" s="3">
        <v>0.40719727900000002</v>
      </c>
      <c r="AE1282" s="3">
        <v>7.5731598670000002</v>
      </c>
      <c r="AF1282" s="4">
        <v>41638</v>
      </c>
      <c r="AG1282" s="5">
        <f>YEAR(AF1282)</f>
        <v>2013</v>
      </c>
      <c r="AH1282" s="5" t="str">
        <f>"Q"&amp;ROUNDUP(MONTH(AF1282)/3,0)</f>
        <v>Q4</v>
      </c>
      <c r="AI1282" s="5">
        <f>INDEX(RatingLookup!$B$2:$B$11,MATCH(A1282,RatingLookup!$A$2:$A$11,0))</f>
        <v>7</v>
      </c>
      <c r="AJ1282" s="5" t="str">
        <f>INDEX(RatingLookup!$C$2:$C$11,MATCH(A1282,RatingLookup!$A$2:$A$11,0))</f>
        <v>Investment Grade</v>
      </c>
    </row>
    <row r="1283" spans="1:36" x14ac:dyDescent="0.3">
      <c r="A1283" s="3" t="s">
        <v>36</v>
      </c>
      <c r="B1283" s="3" t="s">
        <v>1380</v>
      </c>
      <c r="C1283" s="3" t="s">
        <v>1381</v>
      </c>
      <c r="D1283" s="3" t="s">
        <v>39</v>
      </c>
      <c r="E1283" s="3" t="s">
        <v>778</v>
      </c>
      <c r="F1283" s="3" t="s">
        <v>53</v>
      </c>
      <c r="G1283" s="3">
        <v>0.47520306499999998</v>
      </c>
      <c r="H1283" s="3">
        <v>0.192175545</v>
      </c>
      <c r="I1283" s="3">
        <v>4.0291863999999997E-2</v>
      </c>
      <c r="J1283" s="3">
        <v>13.99205055</v>
      </c>
      <c r="K1283" s="3">
        <v>0.36752537099999999</v>
      </c>
      <c r="L1283" s="3">
        <v>0.37429270799999997</v>
      </c>
      <c r="M1283" s="3">
        <v>1</v>
      </c>
      <c r="N1283" s="3">
        <v>0.44032017099999998</v>
      </c>
      <c r="O1283" s="3">
        <v>0.13312969999999999</v>
      </c>
      <c r="P1283" s="3">
        <v>0.15372483200000001</v>
      </c>
      <c r="Q1283" s="3">
        <v>0.397832358</v>
      </c>
      <c r="R1283" s="3">
        <v>0.362232679</v>
      </c>
      <c r="S1283" s="3">
        <v>0.45410853099999998</v>
      </c>
      <c r="T1283" s="3">
        <v>1.988306584</v>
      </c>
      <c r="U1283" s="3">
        <v>0.66536231400000001</v>
      </c>
      <c r="V1283" s="3">
        <v>2.8518340000000001E-3</v>
      </c>
      <c r="W1283" s="3">
        <v>0.41931789699999999</v>
      </c>
      <c r="X1283" s="3">
        <v>1.9711755660000001</v>
      </c>
      <c r="Y1283" s="3">
        <v>0.233539881</v>
      </c>
      <c r="Z1283" s="3">
        <v>2.988306584</v>
      </c>
      <c r="AA1283" s="3">
        <v>0.37429270799999997</v>
      </c>
      <c r="AB1283" s="3">
        <v>15.94649435</v>
      </c>
      <c r="AC1283" s="3">
        <v>4.7009096899999996</v>
      </c>
      <c r="AD1283" s="3">
        <v>0.488789113</v>
      </c>
      <c r="AE1283" s="3">
        <v>4.2968182600000002</v>
      </c>
      <c r="AF1283" s="4">
        <v>42319</v>
      </c>
      <c r="AG1283" s="5">
        <f>YEAR(AF1283)</f>
        <v>2015</v>
      </c>
      <c r="AH1283" s="5" t="str">
        <f>"Q"&amp;ROUNDUP(MONTH(AF1283)/3,0)</f>
        <v>Q4</v>
      </c>
      <c r="AI1283" s="5">
        <f>INDEX(RatingLookup!$B$2:$B$11,MATCH(A1283,RatingLookup!$A$2:$A$11,0))</f>
        <v>8</v>
      </c>
      <c r="AJ1283" s="5" t="str">
        <f>INDEX(RatingLookup!$C$2:$C$11,MATCH(A1283,RatingLookup!$A$2:$A$11,0))</f>
        <v>Investment Grade</v>
      </c>
    </row>
    <row r="1284" spans="1:36" x14ac:dyDescent="0.3">
      <c r="A1284" s="3" t="s">
        <v>42</v>
      </c>
      <c r="B1284" s="3" t="s">
        <v>1380</v>
      </c>
      <c r="C1284" s="3" t="s">
        <v>1381</v>
      </c>
      <c r="D1284" s="3" t="s">
        <v>47</v>
      </c>
      <c r="E1284" s="3" t="s">
        <v>1383</v>
      </c>
      <c r="F1284" s="3" t="s">
        <v>53</v>
      </c>
      <c r="G1284" s="3">
        <v>1.3982446639999999</v>
      </c>
      <c r="H1284" s="3">
        <v>0.44347693300000002</v>
      </c>
      <c r="I1284" s="3">
        <v>2.7206259E-2</v>
      </c>
      <c r="J1284" s="3">
        <v>21.60592303</v>
      </c>
      <c r="K1284" s="3">
        <v>0.20005817200000001</v>
      </c>
      <c r="L1284" s="3">
        <v>0.20005817200000001</v>
      </c>
      <c r="M1284" s="3">
        <v>1</v>
      </c>
      <c r="N1284" s="3">
        <v>0.20093845900000001</v>
      </c>
      <c r="O1284" s="3">
        <v>8.3805374000000002E-2</v>
      </c>
      <c r="P1284" s="3">
        <v>9.0500523999999999E-2</v>
      </c>
      <c r="Q1284" s="3">
        <v>0.21202105900000001</v>
      </c>
      <c r="R1284" s="3">
        <v>0.41890502699999999</v>
      </c>
      <c r="S1284" s="3">
        <v>0.48998570400000002</v>
      </c>
      <c r="T1284" s="3">
        <v>1.5299219980000001</v>
      </c>
      <c r="U1284" s="3">
        <v>0.60473089599999996</v>
      </c>
      <c r="V1284" s="3">
        <v>4.4001539999999999E-3</v>
      </c>
      <c r="W1284" s="3">
        <v>-0.52140791600000003</v>
      </c>
      <c r="X1284" s="3">
        <v>-2.0223683609999998</v>
      </c>
      <c r="Y1284" s="3">
        <v>0.27204639899999999</v>
      </c>
      <c r="Z1284" s="3">
        <v>2.5299219979999998</v>
      </c>
      <c r="AA1284" s="3">
        <v>0.20005817200000001</v>
      </c>
      <c r="AB1284" s="3">
        <v>11.79922157</v>
      </c>
      <c r="AC1284" s="3">
        <v>3.8786683110000002</v>
      </c>
      <c r="AD1284" s="3">
        <v>0.272661606</v>
      </c>
      <c r="AE1284" s="3">
        <v>0</v>
      </c>
      <c r="AF1284" s="4">
        <v>40421</v>
      </c>
      <c r="AG1284" s="5">
        <f>YEAR(AF1284)</f>
        <v>2010</v>
      </c>
      <c r="AH1284" s="5" t="str">
        <f>"Q"&amp;ROUNDUP(MONTH(AF1284)/3,0)</f>
        <v>Q3</v>
      </c>
      <c r="AI1284" s="5">
        <f>INDEX(RatingLookup!$B$2:$B$11,MATCH(A1284,RatingLookup!$A$2:$A$11,0))</f>
        <v>7</v>
      </c>
      <c r="AJ1284" s="5" t="str">
        <f>INDEX(RatingLookup!$C$2:$C$11,MATCH(A1284,RatingLookup!$A$2:$A$11,0))</f>
        <v>Investment Grade</v>
      </c>
    </row>
    <row r="1285" spans="1:36" x14ac:dyDescent="0.3">
      <c r="A1285" s="3" t="s">
        <v>42</v>
      </c>
      <c r="B1285" s="3" t="s">
        <v>1380</v>
      </c>
      <c r="C1285" s="3" t="s">
        <v>1381</v>
      </c>
      <c r="D1285" s="3" t="s">
        <v>47</v>
      </c>
      <c r="E1285" s="3" t="s">
        <v>1074</v>
      </c>
      <c r="F1285" s="3" t="s">
        <v>53</v>
      </c>
      <c r="G1285" s="3">
        <v>0.76900111299999996</v>
      </c>
      <c r="H1285" s="3">
        <v>0.40703323499999999</v>
      </c>
      <c r="I1285" s="3">
        <v>3.0521783E-2</v>
      </c>
      <c r="J1285" s="3">
        <v>17.491752099999999</v>
      </c>
      <c r="K1285" s="3">
        <v>0.36178306999999998</v>
      </c>
      <c r="L1285" s="3">
        <v>0.36400079800000001</v>
      </c>
      <c r="M1285" s="3">
        <v>1</v>
      </c>
      <c r="N1285" s="3">
        <v>0.42398102799999998</v>
      </c>
      <c r="O1285" s="3">
        <v>0.117819167</v>
      </c>
      <c r="P1285" s="3">
        <v>0.12761808999999999</v>
      </c>
      <c r="Q1285" s="3">
        <v>0.38137665199999998</v>
      </c>
      <c r="R1285" s="3">
        <v>0.32566246700000001</v>
      </c>
      <c r="S1285" s="3">
        <v>0.41802848199999998</v>
      </c>
      <c r="T1285" s="3">
        <v>2.2369661179999998</v>
      </c>
      <c r="U1285" s="3">
        <v>0.69106874699999998</v>
      </c>
      <c r="V1285" s="3">
        <v>4.0086150000000001E-3</v>
      </c>
      <c r="W1285" s="3">
        <v>0.30069395500000001</v>
      </c>
      <c r="X1285" s="3">
        <v>1.271820679</v>
      </c>
      <c r="Y1285" s="3">
        <v>0.39644884699999999</v>
      </c>
      <c r="Z1285" s="3">
        <v>3.2369661179999998</v>
      </c>
      <c r="AA1285" s="3">
        <v>0.36400079800000001</v>
      </c>
      <c r="AB1285" s="3">
        <v>20.003542580000001</v>
      </c>
      <c r="AC1285" s="3">
        <v>4.2296183850000002</v>
      </c>
      <c r="AD1285" s="3">
        <v>0.43712507</v>
      </c>
      <c r="AE1285" s="3">
        <v>6.3864177709999996</v>
      </c>
      <c r="AF1285" s="4">
        <v>42600</v>
      </c>
      <c r="AG1285" s="5">
        <f>YEAR(AF1285)</f>
        <v>2016</v>
      </c>
      <c r="AH1285" s="5" t="str">
        <f>"Q"&amp;ROUNDUP(MONTH(AF1285)/3,0)</f>
        <v>Q3</v>
      </c>
      <c r="AI1285" s="5">
        <f>INDEX(RatingLookup!$B$2:$B$11,MATCH(A1285,RatingLookup!$A$2:$A$11,0))</f>
        <v>7</v>
      </c>
      <c r="AJ1285" s="5" t="str">
        <f>INDEX(RatingLookup!$C$2:$C$11,MATCH(A1285,RatingLookup!$A$2:$A$11,0))</f>
        <v>Investment Grade</v>
      </c>
    </row>
    <row r="1286" spans="1:36" x14ac:dyDescent="0.3">
      <c r="A1286" s="3" t="s">
        <v>42</v>
      </c>
      <c r="B1286" s="3" t="s">
        <v>1380</v>
      </c>
      <c r="C1286" s="3" t="s">
        <v>1381</v>
      </c>
      <c r="D1286" s="3" t="s">
        <v>47</v>
      </c>
      <c r="E1286" s="3" t="s">
        <v>1384</v>
      </c>
      <c r="F1286" s="3" t="s">
        <v>53</v>
      </c>
      <c r="G1286" s="3">
        <v>1.968108534</v>
      </c>
      <c r="H1286" s="3">
        <v>1.092790664</v>
      </c>
      <c r="I1286" s="3">
        <v>0.67390011400000005</v>
      </c>
      <c r="J1286" s="3">
        <v>17.21963358</v>
      </c>
      <c r="K1286" s="3">
        <v>0.23650357699999999</v>
      </c>
      <c r="L1286" s="3">
        <v>0.21585642099999999</v>
      </c>
      <c r="M1286" s="3">
        <v>1</v>
      </c>
      <c r="N1286" s="3">
        <v>0.29902605799999998</v>
      </c>
      <c r="O1286" s="3">
        <v>0.10224126</v>
      </c>
      <c r="P1286" s="3">
        <v>0.10108903599999999</v>
      </c>
      <c r="Q1286" s="3">
        <v>0.28260568000000003</v>
      </c>
      <c r="R1286" s="3">
        <v>0.43230323100000001</v>
      </c>
      <c r="S1286" s="3">
        <v>0.53809741300000002</v>
      </c>
      <c r="T1286" s="3">
        <v>1.7641059910000001</v>
      </c>
      <c r="U1286" s="3">
        <v>0.63821937299999998</v>
      </c>
      <c r="V1286" s="3">
        <v>4.9435570000000003E-3</v>
      </c>
      <c r="W1286" s="3">
        <v>0.65415374100000001</v>
      </c>
      <c r="X1286" s="3">
        <v>3.3469340729999999</v>
      </c>
      <c r="Y1286" s="3">
        <v>2.2813527480000002</v>
      </c>
      <c r="Z1286" s="3">
        <v>2.7641059910000001</v>
      </c>
      <c r="AA1286" s="3">
        <v>0.21585642099999999</v>
      </c>
      <c r="AB1286" s="3">
        <v>8.9307129439999997</v>
      </c>
      <c r="AC1286" s="3">
        <v>5.1164334389999997</v>
      </c>
      <c r="AD1286" s="3">
        <v>0.33015033700000002</v>
      </c>
      <c r="AE1286" s="3">
        <v>0</v>
      </c>
      <c r="AF1286" s="4">
        <v>40753</v>
      </c>
      <c r="AG1286" s="5">
        <f>YEAR(AF1286)</f>
        <v>2011</v>
      </c>
      <c r="AH1286" s="5" t="str">
        <f>"Q"&amp;ROUNDUP(MONTH(AF1286)/3,0)</f>
        <v>Q3</v>
      </c>
      <c r="AI1286" s="5">
        <f>INDEX(RatingLookup!$B$2:$B$11,MATCH(A1286,RatingLookup!$A$2:$A$11,0))</f>
        <v>7</v>
      </c>
      <c r="AJ1286" s="5" t="str">
        <f>INDEX(RatingLookup!$C$2:$C$11,MATCH(A1286,RatingLookup!$A$2:$A$11,0))</f>
        <v>Investment Grade</v>
      </c>
    </row>
    <row r="1287" spans="1:36" x14ac:dyDescent="0.3">
      <c r="A1287" s="3" t="s">
        <v>42</v>
      </c>
      <c r="B1287" s="3" t="s">
        <v>1380</v>
      </c>
      <c r="C1287" s="3" t="s">
        <v>1381</v>
      </c>
      <c r="D1287" s="3" t="s">
        <v>47</v>
      </c>
      <c r="E1287" s="3" t="s">
        <v>1385</v>
      </c>
      <c r="F1287" s="3" t="s">
        <v>53</v>
      </c>
      <c r="G1287" s="3">
        <v>1.783602465</v>
      </c>
      <c r="H1287" s="3">
        <v>1.0096148949999999</v>
      </c>
      <c r="I1287" s="3">
        <v>0.83612144099999997</v>
      </c>
      <c r="J1287" s="3">
        <v>18.767054869999999</v>
      </c>
      <c r="K1287" s="3">
        <v>0.25270558700000001</v>
      </c>
      <c r="L1287" s="3">
        <v>0.247332786</v>
      </c>
      <c r="M1287" s="3">
        <v>1</v>
      </c>
      <c r="N1287" s="3">
        <v>0.31153213699999999</v>
      </c>
      <c r="O1287" s="3">
        <v>0.10131362300000001</v>
      </c>
      <c r="P1287" s="3">
        <v>0.10882626099999999</v>
      </c>
      <c r="Q1287" s="3">
        <v>0.29544923699999998</v>
      </c>
      <c r="R1287" s="3">
        <v>0.40091564200000002</v>
      </c>
      <c r="S1287" s="3">
        <v>0.51137649799999996</v>
      </c>
      <c r="T1287" s="3">
        <v>1.916184712</v>
      </c>
      <c r="U1287" s="3">
        <v>0.65708619300000004</v>
      </c>
      <c r="V1287" s="3">
        <v>5.9823130000000004E-3</v>
      </c>
      <c r="W1287" s="3">
        <v>0.45097978399999999</v>
      </c>
      <c r="X1287" s="3">
        <v>1.2851715560000001</v>
      </c>
      <c r="Y1287" s="3">
        <v>1.348598969</v>
      </c>
      <c r="Z1287" s="3">
        <v>2.9161847120000002</v>
      </c>
      <c r="AA1287" s="3">
        <v>0.247332786</v>
      </c>
      <c r="AB1287" s="3">
        <v>19.578205109999999</v>
      </c>
      <c r="AC1287" s="3">
        <v>2.8497320749999999</v>
      </c>
      <c r="AD1287" s="3">
        <v>0.36403163799999999</v>
      </c>
      <c r="AE1287" s="3">
        <v>0</v>
      </c>
      <c r="AF1287" s="4">
        <v>41114</v>
      </c>
      <c r="AG1287" s="5">
        <f>YEAR(AF1287)</f>
        <v>2012</v>
      </c>
      <c r="AH1287" s="5" t="str">
        <f>"Q"&amp;ROUNDUP(MONTH(AF1287)/3,0)</f>
        <v>Q3</v>
      </c>
      <c r="AI1287" s="5">
        <f>INDEX(RatingLookup!$B$2:$B$11,MATCH(A1287,RatingLookup!$A$2:$A$11,0))</f>
        <v>7</v>
      </c>
      <c r="AJ1287" s="5" t="str">
        <f>INDEX(RatingLookup!$C$2:$C$11,MATCH(A1287,RatingLookup!$A$2:$A$11,0))</f>
        <v>Investment Grade</v>
      </c>
    </row>
    <row r="1288" spans="1:36" x14ac:dyDescent="0.3">
      <c r="A1288" s="3" t="s">
        <v>42</v>
      </c>
      <c r="B1288" s="3" t="s">
        <v>1386</v>
      </c>
      <c r="C1288" s="3" t="s">
        <v>1387</v>
      </c>
      <c r="D1288" s="3" t="s">
        <v>47</v>
      </c>
      <c r="E1288" s="3" t="s">
        <v>62</v>
      </c>
      <c r="F1288" s="3" t="s">
        <v>53</v>
      </c>
      <c r="G1288" s="3">
        <v>1.418667568</v>
      </c>
      <c r="H1288" s="3">
        <v>0.83361514999999997</v>
      </c>
      <c r="I1288" s="3">
        <v>0.29861346</v>
      </c>
      <c r="J1288" s="3">
        <v>29.397719169999998</v>
      </c>
      <c r="K1288" s="3">
        <v>3.7878016E-2</v>
      </c>
      <c r="L1288" s="3">
        <v>6.0839018000000002E-2</v>
      </c>
      <c r="M1288" s="3">
        <v>0.20970369599999999</v>
      </c>
      <c r="N1288" s="3">
        <v>0.10253538299999999</v>
      </c>
      <c r="O1288" s="3">
        <v>3.0127556E-2</v>
      </c>
      <c r="P1288" s="3">
        <v>7.5443922999999996E-2</v>
      </c>
      <c r="Q1288" s="3">
        <v>7.3041429000000005E-2</v>
      </c>
      <c r="R1288" s="3">
        <v>0.79538368100000001</v>
      </c>
      <c r="S1288" s="3">
        <v>0.97295423000000003</v>
      </c>
      <c r="T1288" s="3">
        <v>1.424406048</v>
      </c>
      <c r="U1288" s="3">
        <v>0.58752784000000002</v>
      </c>
      <c r="V1288" s="3">
        <v>0.37740585799999998</v>
      </c>
      <c r="W1288" s="3">
        <v>0.13272830399999999</v>
      </c>
      <c r="X1288" s="3">
        <v>0.619010265</v>
      </c>
      <c r="Y1288" s="3">
        <v>1.1679189400000001</v>
      </c>
      <c r="Z1288" s="3">
        <v>2.4244060479999998</v>
      </c>
      <c r="AA1288" s="3">
        <v>8.3494552E-2</v>
      </c>
      <c r="AB1288" s="3">
        <v>5.9900111779999996</v>
      </c>
      <c r="AC1288" s="3">
        <v>4.6637397299999996</v>
      </c>
      <c r="AD1288" s="3">
        <v>0.17951328799999999</v>
      </c>
      <c r="AE1288" s="3">
        <v>5.9980680059999996</v>
      </c>
      <c r="AF1288" s="4">
        <v>42115</v>
      </c>
      <c r="AG1288" s="5">
        <f>YEAR(AF1288)</f>
        <v>2015</v>
      </c>
      <c r="AH1288" s="5" t="str">
        <f>"Q"&amp;ROUNDUP(MONTH(AF1288)/3,0)</f>
        <v>Q2</v>
      </c>
      <c r="AI1288" s="5">
        <f>INDEX(RatingLookup!$B$2:$B$11,MATCH(A1288,RatingLookup!$A$2:$A$11,0))</f>
        <v>7</v>
      </c>
      <c r="AJ1288" s="5" t="str">
        <f>INDEX(RatingLookup!$C$2:$C$11,MATCH(A1288,RatingLookup!$A$2:$A$11,0))</f>
        <v>Investment Grade</v>
      </c>
    </row>
    <row r="1289" spans="1:36" x14ac:dyDescent="0.3">
      <c r="A1289" s="3" t="s">
        <v>42</v>
      </c>
      <c r="B1289" s="3" t="s">
        <v>1386</v>
      </c>
      <c r="C1289" s="3" t="s">
        <v>1387</v>
      </c>
      <c r="D1289" s="3" t="s">
        <v>47</v>
      </c>
      <c r="E1289" s="3" t="s">
        <v>1388</v>
      </c>
      <c r="F1289" s="3" t="s">
        <v>53</v>
      </c>
      <c r="G1289" s="3">
        <v>1.154368359</v>
      </c>
      <c r="H1289" s="3">
        <v>1.2083825269999999</v>
      </c>
      <c r="I1289" s="3">
        <v>0.14610389600000001</v>
      </c>
      <c r="J1289" s="3">
        <v>83.692341999999996</v>
      </c>
      <c r="K1289" s="3">
        <v>9.4164118000000005E-2</v>
      </c>
      <c r="L1289" s="3">
        <v>0.140609072</v>
      </c>
      <c r="M1289" s="3">
        <v>0.24229102999999999</v>
      </c>
      <c r="N1289" s="3">
        <v>0.163098879</v>
      </c>
      <c r="O1289" s="3">
        <v>6.6594575000000003E-2</v>
      </c>
      <c r="P1289" s="3">
        <v>0.14112517299999999</v>
      </c>
      <c r="Q1289" s="3">
        <v>0.15750213099999999</v>
      </c>
      <c r="R1289" s="3">
        <v>0.70721816699999995</v>
      </c>
      <c r="S1289" s="3">
        <v>1.0323599050000001</v>
      </c>
      <c r="T1289" s="3">
        <v>1.3650895139999999</v>
      </c>
      <c r="U1289" s="3">
        <v>0.57718302200000005</v>
      </c>
      <c r="V1289" s="3">
        <v>0.33031264199999999</v>
      </c>
      <c r="W1289" s="3">
        <v>0.14695997599999999</v>
      </c>
      <c r="X1289" s="3">
        <v>0.63905429400000002</v>
      </c>
      <c r="Y1289" s="3">
        <v>0.65765462699999999</v>
      </c>
      <c r="Z1289" s="3">
        <v>2.3650895140000001</v>
      </c>
      <c r="AA1289" s="3">
        <v>0.169087666</v>
      </c>
      <c r="AB1289" s="3">
        <v>7.0327722010000002</v>
      </c>
      <c r="AC1289" s="3">
        <v>4.3484921119999997</v>
      </c>
      <c r="AD1289" s="3">
        <v>0.20852446499999999</v>
      </c>
      <c r="AE1289" s="3">
        <v>2.4756452960000002</v>
      </c>
      <c r="AF1289" s="4">
        <v>41067</v>
      </c>
      <c r="AG1289" s="5">
        <f>YEAR(AF1289)</f>
        <v>2012</v>
      </c>
      <c r="AH1289" s="5" t="str">
        <f>"Q"&amp;ROUNDUP(MONTH(AF1289)/3,0)</f>
        <v>Q2</v>
      </c>
      <c r="AI1289" s="5">
        <f>INDEX(RatingLookup!$B$2:$B$11,MATCH(A1289,RatingLookup!$A$2:$A$11,0))</f>
        <v>7</v>
      </c>
      <c r="AJ1289" s="5" t="str">
        <f>INDEX(RatingLookup!$C$2:$C$11,MATCH(A1289,RatingLookup!$A$2:$A$11,0))</f>
        <v>Investment Grade</v>
      </c>
    </row>
    <row r="1290" spans="1:36" x14ac:dyDescent="0.3">
      <c r="A1290" s="3" t="s">
        <v>42</v>
      </c>
      <c r="B1290" s="3" t="s">
        <v>1386</v>
      </c>
      <c r="C1290" s="3" t="s">
        <v>1387</v>
      </c>
      <c r="D1290" s="3" t="s">
        <v>47</v>
      </c>
      <c r="E1290" s="3" t="s">
        <v>1166</v>
      </c>
      <c r="F1290" s="3" t="s">
        <v>53</v>
      </c>
      <c r="G1290" s="3">
        <v>1.4003058100000001</v>
      </c>
      <c r="H1290" s="3">
        <v>1.3474006119999999</v>
      </c>
      <c r="I1290" s="3">
        <v>0.354740061</v>
      </c>
      <c r="J1290" s="3">
        <v>70.347345919999995</v>
      </c>
      <c r="K1290" s="3">
        <v>5.9078494000000002E-2</v>
      </c>
      <c r="L1290" s="3">
        <v>0.10556941</v>
      </c>
      <c r="M1290" s="3">
        <v>0.24444840300000001</v>
      </c>
      <c r="N1290" s="3">
        <v>0.124628904</v>
      </c>
      <c r="O1290" s="3">
        <v>4.1088537000000001E-2</v>
      </c>
      <c r="P1290" s="3">
        <v>0.106607467</v>
      </c>
      <c r="Q1290" s="3">
        <v>0.10171744000000001</v>
      </c>
      <c r="R1290" s="3">
        <v>0.69549058500000005</v>
      </c>
      <c r="S1290" s="3">
        <v>0.96587715799999996</v>
      </c>
      <c r="T1290" s="3">
        <v>1.475567369</v>
      </c>
      <c r="U1290" s="3">
        <v>0.59605219700000001</v>
      </c>
      <c r="V1290" s="3">
        <v>0.44038245199999998</v>
      </c>
      <c r="W1290" s="3">
        <v>-8.4795319999999997E-3</v>
      </c>
      <c r="X1290" s="3">
        <v>-3.8436084000000002E-2</v>
      </c>
      <c r="Y1290" s="3">
        <v>1.5374433679999999</v>
      </c>
      <c r="Z1290" s="3">
        <v>2.4755673690000002</v>
      </c>
      <c r="AA1290" s="3">
        <v>0.13258520400000001</v>
      </c>
      <c r="AB1290" s="3">
        <v>7.5260261420000001</v>
      </c>
      <c r="AC1290" s="3">
        <v>4.5328071699999999</v>
      </c>
      <c r="AD1290" s="3">
        <v>0.20306376900000001</v>
      </c>
      <c r="AE1290" s="3">
        <v>2.851860152</v>
      </c>
      <c r="AF1290" s="4">
        <v>41360</v>
      </c>
      <c r="AG1290" s="5">
        <f>YEAR(AF1290)</f>
        <v>2013</v>
      </c>
      <c r="AH1290" s="5" t="str">
        <f>"Q"&amp;ROUNDUP(MONTH(AF1290)/3,0)</f>
        <v>Q1</v>
      </c>
      <c r="AI1290" s="5">
        <f>INDEX(RatingLookup!$B$2:$B$11,MATCH(A1290,RatingLookup!$A$2:$A$11,0))</f>
        <v>7</v>
      </c>
      <c r="AJ1290" s="5" t="str">
        <f>INDEX(RatingLookup!$C$2:$C$11,MATCH(A1290,RatingLookup!$A$2:$A$11,0))</f>
        <v>Investment Grade</v>
      </c>
    </row>
    <row r="1291" spans="1:36" x14ac:dyDescent="0.3">
      <c r="A1291" s="3" t="s">
        <v>92</v>
      </c>
      <c r="B1291" s="3" t="s">
        <v>1386</v>
      </c>
      <c r="C1291" s="3" t="s">
        <v>1387</v>
      </c>
      <c r="D1291" s="3" t="s">
        <v>60</v>
      </c>
      <c r="E1291" s="3" t="s">
        <v>504</v>
      </c>
      <c r="F1291" s="3" t="s">
        <v>53</v>
      </c>
      <c r="G1291" s="3">
        <v>3.4838536059999998</v>
      </c>
      <c r="H1291" s="3">
        <v>2.8826695369999999</v>
      </c>
      <c r="I1291" s="3">
        <v>2.209364909</v>
      </c>
      <c r="J1291" s="3">
        <v>39.605776740000003</v>
      </c>
      <c r="K1291" s="3">
        <v>5.3603955000000002E-2</v>
      </c>
      <c r="L1291" s="3">
        <v>5.1522248E-2</v>
      </c>
      <c r="M1291" s="3">
        <v>9.1855321000000004E-2</v>
      </c>
      <c r="N1291" s="3">
        <v>0.19784890299999999</v>
      </c>
      <c r="O1291" s="3">
        <v>2.3961847000000001E-2</v>
      </c>
      <c r="P1291" s="3">
        <v>4.0738729000000001E-2</v>
      </c>
      <c r="Q1291" s="3">
        <v>4.9874909000000002E-2</v>
      </c>
      <c r="R1291" s="3">
        <v>0.44701640100000001</v>
      </c>
      <c r="S1291" s="3">
        <v>0.60967741900000005</v>
      </c>
      <c r="T1291" s="3">
        <v>1.0814300699999999</v>
      </c>
      <c r="U1291" s="3">
        <v>0.51956108700000003</v>
      </c>
      <c r="V1291" s="3">
        <v>-4.0404040000000002E-2</v>
      </c>
      <c r="W1291" s="3">
        <v>-0.162822252</v>
      </c>
      <c r="X1291" s="3">
        <v>-0.316997735</v>
      </c>
      <c r="Y1291" s="3">
        <v>5.4219820949999997</v>
      </c>
      <c r="Z1291" s="3">
        <v>2.0814300700000001</v>
      </c>
      <c r="AA1291" s="3">
        <v>8.4569347000000003E-2</v>
      </c>
      <c r="AB1291" s="3">
        <v>4.4868337220000001</v>
      </c>
      <c r="AC1291" s="3">
        <v>1.946894423</v>
      </c>
      <c r="AD1291" s="3">
        <v>0.127851505</v>
      </c>
      <c r="AE1291" s="3">
        <v>6.1515863690000003</v>
      </c>
      <c r="AF1291" s="4">
        <v>42418</v>
      </c>
      <c r="AG1291" s="5">
        <f>YEAR(AF1291)</f>
        <v>2016</v>
      </c>
      <c r="AH1291" s="5" t="str">
        <f>"Q"&amp;ROUNDUP(MONTH(AF1291)/3,0)</f>
        <v>Q1</v>
      </c>
      <c r="AI1291" s="5">
        <f>INDEX(RatingLookup!$B$2:$B$11,MATCH(A1291,RatingLookup!$A$2:$A$11,0))</f>
        <v>6</v>
      </c>
      <c r="AJ1291" s="5" t="str">
        <f>INDEX(RatingLookup!$C$2:$C$11,MATCH(A1291,RatingLookup!$A$2:$A$11,0))</f>
        <v>Speculative Grade</v>
      </c>
    </row>
    <row r="1292" spans="1:36" x14ac:dyDescent="0.3">
      <c r="A1292" s="3" t="s">
        <v>42</v>
      </c>
      <c r="B1292" s="3" t="s">
        <v>1386</v>
      </c>
      <c r="C1292" s="3" t="s">
        <v>1387</v>
      </c>
      <c r="D1292" s="3" t="s">
        <v>47</v>
      </c>
      <c r="E1292" s="3" t="s">
        <v>1092</v>
      </c>
      <c r="F1292" s="3" t="s">
        <v>53</v>
      </c>
      <c r="G1292" s="3">
        <v>2.5540995880000001</v>
      </c>
      <c r="H1292" s="3">
        <v>2.080868589</v>
      </c>
      <c r="I1292" s="3">
        <v>1.392736803</v>
      </c>
      <c r="J1292" s="3">
        <v>60.954933670000003</v>
      </c>
      <c r="K1292" s="3">
        <v>-4.9518444000000002E-2</v>
      </c>
      <c r="L1292" s="3">
        <v>-8.0683264000000005E-2</v>
      </c>
      <c r="M1292" s="3">
        <v>9.7583136000000001E-2</v>
      </c>
      <c r="N1292" s="3">
        <v>-5.7059786000000001E-2</v>
      </c>
      <c r="O1292" s="3">
        <v>-2.1577321999999999E-2</v>
      </c>
      <c r="P1292" s="3">
        <v>-2.2048081000000001E-2</v>
      </c>
      <c r="Q1292" s="3">
        <v>-4.7023295999999999E-2</v>
      </c>
      <c r="R1292" s="3">
        <v>0.43574313100000001</v>
      </c>
      <c r="S1292" s="3">
        <v>0.61107101200000002</v>
      </c>
      <c r="T1292" s="3">
        <v>1.179292494</v>
      </c>
      <c r="U1292" s="3">
        <v>0.54113548199999995</v>
      </c>
      <c r="V1292" s="3">
        <v>0.38626126100000002</v>
      </c>
      <c r="W1292" s="3">
        <v>-0.200929152</v>
      </c>
      <c r="X1292" s="3">
        <v>-0.20761083399999999</v>
      </c>
      <c r="Y1292" s="3">
        <v>4.4642329700000003</v>
      </c>
      <c r="Z1292" s="3">
        <v>2.1792924939999998</v>
      </c>
      <c r="AA1292" s="3">
        <v>-4.5248047E-2</v>
      </c>
      <c r="AB1292" s="3">
        <v>15.644653180000001</v>
      </c>
      <c r="AC1292" s="3">
        <v>1.033253921</v>
      </c>
      <c r="AD1292" s="3">
        <v>7.8230056000000006E-2</v>
      </c>
      <c r="AE1292" s="3">
        <v>4.3830538389999996</v>
      </c>
      <c r="AF1292" s="4">
        <v>42634</v>
      </c>
      <c r="AG1292" s="5">
        <f>YEAR(AF1292)</f>
        <v>2016</v>
      </c>
      <c r="AH1292" s="5" t="str">
        <f>"Q"&amp;ROUNDUP(MONTH(AF1292)/3,0)</f>
        <v>Q3</v>
      </c>
      <c r="AI1292" s="5">
        <f>INDEX(RatingLookup!$B$2:$B$11,MATCH(A1292,RatingLookup!$A$2:$A$11,0))</f>
        <v>7</v>
      </c>
      <c r="AJ1292" s="5" t="str">
        <f>INDEX(RatingLookup!$C$2:$C$11,MATCH(A1292,RatingLookup!$A$2:$A$11,0))</f>
        <v>Investment Grade</v>
      </c>
    </row>
    <row r="1293" spans="1:36" x14ac:dyDescent="0.3">
      <c r="A1293" s="3" t="s">
        <v>42</v>
      </c>
      <c r="B1293" s="3" t="s">
        <v>1386</v>
      </c>
      <c r="C1293" s="3" t="s">
        <v>1387</v>
      </c>
      <c r="D1293" s="3" t="s">
        <v>60</v>
      </c>
      <c r="E1293" s="3" t="s">
        <v>530</v>
      </c>
      <c r="F1293" s="3" t="s">
        <v>53</v>
      </c>
      <c r="G1293" s="3">
        <v>1.4845197139999999</v>
      </c>
      <c r="H1293" s="3">
        <v>1.144747288</v>
      </c>
      <c r="I1293" s="3">
        <v>0.64884890200000001</v>
      </c>
      <c r="J1293" s="3">
        <v>36.66237873</v>
      </c>
      <c r="K1293" s="3">
        <v>3.5482660999999999E-2</v>
      </c>
      <c r="L1293" s="3">
        <v>5.8637508999999997E-2</v>
      </c>
      <c r="M1293" s="3">
        <v>0.23406764199999999</v>
      </c>
      <c r="N1293" s="3">
        <v>9.3101785000000006E-2</v>
      </c>
      <c r="O1293" s="3">
        <v>2.6244845999999999E-2</v>
      </c>
      <c r="P1293" s="3">
        <v>7.5681976999999998E-2</v>
      </c>
      <c r="Q1293" s="3">
        <v>6.6559420999999994E-2</v>
      </c>
      <c r="R1293" s="3">
        <v>0.73965271200000005</v>
      </c>
      <c r="S1293" s="3">
        <v>0.99202424600000005</v>
      </c>
      <c r="T1293" s="3">
        <v>1.5360949129999999</v>
      </c>
      <c r="U1293" s="3">
        <v>0.60569299099999996</v>
      </c>
      <c r="V1293" s="3">
        <v>0.39488117</v>
      </c>
      <c r="W1293" s="3">
        <v>7.6292737999999999E-2</v>
      </c>
      <c r="X1293" s="3">
        <v>0.35721715500000001</v>
      </c>
      <c r="Y1293" s="3">
        <v>3.2440609739999999</v>
      </c>
      <c r="Z1293" s="3">
        <v>2.5360949129999999</v>
      </c>
      <c r="AA1293" s="3">
        <v>8.6991477999999997E-2</v>
      </c>
      <c r="AB1293" s="3">
        <v>7.1510035160000003</v>
      </c>
      <c r="AC1293" s="3">
        <v>4.6821907769999997</v>
      </c>
      <c r="AD1293" s="3">
        <v>0.189687517</v>
      </c>
      <c r="AE1293" s="3">
        <v>3.2025997309999998</v>
      </c>
      <c r="AF1293" s="4">
        <v>41498</v>
      </c>
      <c r="AG1293" s="5">
        <f>YEAR(AF1293)</f>
        <v>2013</v>
      </c>
      <c r="AH1293" s="5" t="str">
        <f>"Q"&amp;ROUNDUP(MONTH(AF1293)/3,0)</f>
        <v>Q3</v>
      </c>
      <c r="AI1293" s="5">
        <f>INDEX(RatingLookup!$B$2:$B$11,MATCH(A1293,RatingLookup!$A$2:$A$11,0))</f>
        <v>7</v>
      </c>
      <c r="AJ1293" s="5" t="str">
        <f>INDEX(RatingLookup!$C$2:$C$11,MATCH(A1293,RatingLookup!$A$2:$A$11,0))</f>
        <v>Investment Grade</v>
      </c>
    </row>
    <row r="1294" spans="1:36" x14ac:dyDescent="0.3">
      <c r="A1294" s="3" t="s">
        <v>42</v>
      </c>
      <c r="B1294" s="3" t="s">
        <v>1386</v>
      </c>
      <c r="C1294" s="3" t="s">
        <v>1387</v>
      </c>
      <c r="D1294" s="3" t="s">
        <v>47</v>
      </c>
      <c r="E1294" s="3" t="s">
        <v>1389</v>
      </c>
      <c r="F1294" s="3" t="s">
        <v>53</v>
      </c>
      <c r="G1294" s="3">
        <v>1.133067729</v>
      </c>
      <c r="H1294" s="3">
        <v>1.5338645420000001</v>
      </c>
      <c r="I1294" s="3">
        <v>0.11952191199999999</v>
      </c>
      <c r="J1294" s="3">
        <v>102.5037576</v>
      </c>
      <c r="K1294" s="3">
        <v>8.5515385999999999E-2</v>
      </c>
      <c r="L1294" s="3">
        <v>0.103156396</v>
      </c>
      <c r="M1294" s="3">
        <v>0.213986235</v>
      </c>
      <c r="N1294" s="3">
        <v>0.12609761899999999</v>
      </c>
      <c r="O1294" s="3">
        <v>5.4485886999999997E-2</v>
      </c>
      <c r="P1294" s="3">
        <v>0.103981535</v>
      </c>
      <c r="Q1294" s="3">
        <v>0.12876712300000001</v>
      </c>
      <c r="R1294" s="3">
        <v>0.63714717700000001</v>
      </c>
      <c r="S1294" s="3">
        <v>0.94760119899999995</v>
      </c>
      <c r="T1294" s="3">
        <v>1.363311495</v>
      </c>
      <c r="U1294" s="3">
        <v>0.57686491900000003</v>
      </c>
      <c r="V1294" s="3">
        <v>0.17101226999999999</v>
      </c>
      <c r="W1294" s="3">
        <v>0.150521034</v>
      </c>
      <c r="X1294" s="3">
        <v>0.51909430999999995</v>
      </c>
      <c r="Y1294" s="3">
        <v>0.39930331499999999</v>
      </c>
      <c r="Z1294" s="3">
        <v>2.363311495</v>
      </c>
      <c r="AA1294" s="3">
        <v>0.14255201300000001</v>
      </c>
      <c r="AB1294" s="3">
        <v>8.1953451150000003</v>
      </c>
      <c r="AC1294" s="3">
        <v>3.448649633</v>
      </c>
      <c r="AD1294" s="3">
        <v>0.204967961</v>
      </c>
      <c r="AE1294" s="3">
        <v>2.2778541950000002</v>
      </c>
      <c r="AF1294" s="4">
        <v>40571</v>
      </c>
      <c r="AG1294" s="5">
        <f>YEAR(AF1294)</f>
        <v>2011</v>
      </c>
      <c r="AH1294" s="5" t="str">
        <f>"Q"&amp;ROUNDUP(MONTH(AF1294)/3,0)</f>
        <v>Q1</v>
      </c>
      <c r="AI1294" s="5">
        <f>INDEX(RatingLookup!$B$2:$B$11,MATCH(A1294,RatingLookup!$A$2:$A$11,0))</f>
        <v>7</v>
      </c>
      <c r="AJ1294" s="5" t="str">
        <f>INDEX(RatingLookup!$C$2:$C$11,MATCH(A1294,RatingLookup!$A$2:$A$11,0))</f>
        <v>Investment Grade</v>
      </c>
    </row>
    <row r="1295" spans="1:36" x14ac:dyDescent="0.3">
      <c r="A1295" s="3" t="s">
        <v>92</v>
      </c>
      <c r="B1295" s="3" t="s">
        <v>1390</v>
      </c>
      <c r="C1295" s="3" t="s">
        <v>1391</v>
      </c>
      <c r="D1295" s="3" t="s">
        <v>47</v>
      </c>
      <c r="E1295" s="3" t="s">
        <v>1392</v>
      </c>
      <c r="F1295" s="3" t="s">
        <v>79</v>
      </c>
      <c r="G1295" s="3">
        <v>0.58975164999999996</v>
      </c>
      <c r="H1295" s="3">
        <v>0.39154354000000002</v>
      </c>
      <c r="I1295" s="3">
        <v>4.9512731999999997E-2</v>
      </c>
      <c r="J1295" s="3">
        <v>36.913903609999998</v>
      </c>
      <c r="K1295" s="3">
        <v>6.3231850000000006E-2</v>
      </c>
      <c r="L1295" s="3">
        <v>0.190496734</v>
      </c>
      <c r="M1295" s="3">
        <v>0.61309010200000003</v>
      </c>
      <c r="N1295" s="3">
        <v>0.27412794299999999</v>
      </c>
      <c r="O1295" s="3">
        <v>1.2332027000000001E-2</v>
      </c>
      <c r="P1295" s="3">
        <v>4.0228539000000001E-2</v>
      </c>
      <c r="Q1295" s="3">
        <v>3.0109167999999999E-2</v>
      </c>
      <c r="R1295" s="3">
        <v>0.19502872700000001</v>
      </c>
      <c r="S1295" s="3">
        <v>0.42075510799999999</v>
      </c>
      <c r="T1295" s="3">
        <v>1.4415424349999999</v>
      </c>
      <c r="U1295" s="3">
        <v>0.59042284700000003</v>
      </c>
      <c r="V1295" s="3">
        <v>0.20964089299999999</v>
      </c>
      <c r="W1295" s="3">
        <v>0.19028430700000001</v>
      </c>
      <c r="X1295" s="3">
        <v>0.74758135400000003</v>
      </c>
      <c r="Y1295" s="3">
        <v>0.74758135400000003</v>
      </c>
      <c r="Z1295" s="3">
        <v>2.4415424350000001</v>
      </c>
      <c r="AA1295" s="3">
        <v>0.190496734</v>
      </c>
      <c r="AB1295" s="3">
        <v>13.672409310000001</v>
      </c>
      <c r="AC1295" s="3">
        <v>3.9287598940000001</v>
      </c>
      <c r="AD1295" s="3">
        <v>0.27529890299999998</v>
      </c>
      <c r="AE1295" s="3">
        <v>3.9534005040000002</v>
      </c>
      <c r="AF1295" s="4">
        <v>41862</v>
      </c>
      <c r="AG1295" s="5">
        <f>YEAR(AF1295)</f>
        <v>2014</v>
      </c>
      <c r="AH1295" s="5" t="str">
        <f>"Q"&amp;ROUNDUP(MONTH(AF1295)/3,0)</f>
        <v>Q3</v>
      </c>
      <c r="AI1295" s="5">
        <f>INDEX(RatingLookup!$B$2:$B$11,MATCH(A1295,RatingLookup!$A$2:$A$11,0))</f>
        <v>6</v>
      </c>
      <c r="AJ1295" s="5" t="str">
        <f>INDEX(RatingLookup!$C$2:$C$11,MATCH(A1295,RatingLookup!$A$2:$A$11,0))</f>
        <v>Speculative Grade</v>
      </c>
    </row>
    <row r="1296" spans="1:36" x14ac:dyDescent="0.3">
      <c r="A1296" s="3" t="s">
        <v>92</v>
      </c>
      <c r="B1296" s="3" t="s">
        <v>1390</v>
      </c>
      <c r="C1296" s="3" t="s">
        <v>1391</v>
      </c>
      <c r="D1296" s="3" t="s">
        <v>47</v>
      </c>
      <c r="E1296" s="3" t="s">
        <v>576</v>
      </c>
      <c r="F1296" s="3" t="s">
        <v>79</v>
      </c>
      <c r="G1296" s="3">
        <v>0.36718922500000001</v>
      </c>
      <c r="H1296" s="3">
        <v>0.29255906399999998</v>
      </c>
      <c r="I1296" s="3">
        <v>9.0748510000000004E-2</v>
      </c>
      <c r="J1296" s="3">
        <v>42.000503590000001</v>
      </c>
      <c r="K1296" s="3">
        <v>7.4782827999999996E-2</v>
      </c>
      <c r="L1296" s="3">
        <v>0.12023165099999999</v>
      </c>
      <c r="M1296" s="3">
        <v>0.377691049</v>
      </c>
      <c r="N1296" s="3">
        <v>0.17915145399999999</v>
      </c>
      <c r="O1296" s="3">
        <v>1.9337825999999999E-2</v>
      </c>
      <c r="P1296" s="3">
        <v>6.2509545999999999E-2</v>
      </c>
      <c r="Q1296" s="3">
        <v>0.17886178899999999</v>
      </c>
      <c r="R1296" s="3">
        <v>0.25858645000000002</v>
      </c>
      <c r="S1296" s="3">
        <v>0.443099409</v>
      </c>
      <c r="T1296" s="3">
        <v>6.6693766940000003</v>
      </c>
      <c r="U1296" s="3">
        <v>0.72106650999999999</v>
      </c>
      <c r="V1296" s="3">
        <v>0.37801047100000001</v>
      </c>
      <c r="W1296" s="3">
        <v>0.50253592599999997</v>
      </c>
      <c r="X1296" s="3">
        <v>1.468872328</v>
      </c>
      <c r="Y1296" s="3">
        <v>0.50774308400000001</v>
      </c>
      <c r="Z1296" s="3">
        <v>9.2493224929999993</v>
      </c>
      <c r="AA1296" s="3">
        <v>0.206093416</v>
      </c>
      <c r="AB1296" s="3">
        <v>15.15624613</v>
      </c>
      <c r="AC1296" s="3">
        <v>2.9229200400000002</v>
      </c>
      <c r="AD1296" s="3">
        <v>0.29787234000000001</v>
      </c>
      <c r="AE1296" s="3">
        <v>6.7898351650000004</v>
      </c>
      <c r="AF1296" s="4">
        <v>41053</v>
      </c>
      <c r="AG1296" s="5">
        <f>YEAR(AF1296)</f>
        <v>2012</v>
      </c>
      <c r="AH1296" s="5" t="str">
        <f>"Q"&amp;ROUNDUP(MONTH(AF1296)/3,0)</f>
        <v>Q2</v>
      </c>
      <c r="AI1296" s="5">
        <f>INDEX(RatingLookup!$B$2:$B$11,MATCH(A1296,RatingLookup!$A$2:$A$11,0))</f>
        <v>6</v>
      </c>
      <c r="AJ1296" s="5" t="str">
        <f>INDEX(RatingLookup!$C$2:$C$11,MATCH(A1296,RatingLookup!$A$2:$A$11,0))</f>
        <v>Speculative Grade</v>
      </c>
    </row>
    <row r="1297" spans="1:36" x14ac:dyDescent="0.3">
      <c r="A1297" s="3" t="s">
        <v>92</v>
      </c>
      <c r="B1297" s="3" t="s">
        <v>1393</v>
      </c>
      <c r="C1297" s="3" t="s">
        <v>1394</v>
      </c>
      <c r="D1297" s="3" t="s">
        <v>47</v>
      </c>
      <c r="E1297" s="3" t="s">
        <v>508</v>
      </c>
      <c r="F1297" s="3" t="s">
        <v>219</v>
      </c>
      <c r="G1297" s="3">
        <v>3.006828499</v>
      </c>
      <c r="H1297" s="3">
        <v>1.8655502209999999</v>
      </c>
      <c r="I1297" s="3">
        <v>0.80945957899999998</v>
      </c>
      <c r="J1297" s="3">
        <v>48.0101023</v>
      </c>
      <c r="K1297" s="3">
        <v>-2.0318876999999999E-2</v>
      </c>
      <c r="L1297" s="3">
        <v>-1.5756108000000001E-2</v>
      </c>
      <c r="M1297" s="3">
        <v>0.14441911099999999</v>
      </c>
      <c r="N1297" s="3">
        <v>6.5206509999999997E-3</v>
      </c>
      <c r="O1297" s="3">
        <v>-2.2677705999999999E-2</v>
      </c>
      <c r="P1297" s="3">
        <v>-2.0545515E-2</v>
      </c>
      <c r="Q1297" s="3">
        <v>-5.2633508000000002E-2</v>
      </c>
      <c r="R1297" s="3">
        <v>1.1160905430000001</v>
      </c>
      <c r="S1297" s="3">
        <v>3.1891557939999999</v>
      </c>
      <c r="T1297" s="3">
        <v>1.320936127</v>
      </c>
      <c r="U1297" s="3">
        <v>0.56913937100000001</v>
      </c>
      <c r="V1297" s="3">
        <v>-0.15655327199999999</v>
      </c>
      <c r="W1297" s="3">
        <v>0.35198873200000003</v>
      </c>
      <c r="X1297" s="3">
        <v>0.92060967599999999</v>
      </c>
      <c r="Y1297" s="3">
        <v>6.788697891</v>
      </c>
      <c r="Z1297" s="3">
        <v>2.320936127</v>
      </c>
      <c r="AA1297" s="3">
        <v>-1.5756108000000001E-2</v>
      </c>
      <c r="AB1297" s="3">
        <v>23.30956209</v>
      </c>
      <c r="AC1297" s="3">
        <v>2.6154521220000002</v>
      </c>
      <c r="AD1297" s="3">
        <v>4.2110247000000003E-2</v>
      </c>
      <c r="AE1297" s="3">
        <v>16.01137486</v>
      </c>
      <c r="AF1297" s="4">
        <v>42072</v>
      </c>
      <c r="AG1297" s="5">
        <f>YEAR(AF1297)</f>
        <v>2015</v>
      </c>
      <c r="AH1297" s="5" t="str">
        <f>"Q"&amp;ROUNDUP(MONTH(AF1297)/3,0)</f>
        <v>Q1</v>
      </c>
      <c r="AI1297" s="5">
        <f>INDEX(RatingLookup!$B$2:$B$11,MATCH(A1297,RatingLookup!$A$2:$A$11,0))</f>
        <v>6</v>
      </c>
      <c r="AJ1297" s="5" t="str">
        <f>INDEX(RatingLookup!$C$2:$C$11,MATCH(A1297,RatingLookup!$A$2:$A$11,0))</f>
        <v>Speculative Grade</v>
      </c>
    </row>
    <row r="1298" spans="1:36" x14ac:dyDescent="0.3">
      <c r="A1298" s="3" t="s">
        <v>92</v>
      </c>
      <c r="B1298" s="3" t="s">
        <v>1395</v>
      </c>
      <c r="C1298" s="3" t="s">
        <v>1396</v>
      </c>
      <c r="D1298" s="3" t="s">
        <v>47</v>
      </c>
      <c r="E1298" s="3" t="s">
        <v>449</v>
      </c>
      <c r="F1298" s="3" t="s">
        <v>66</v>
      </c>
      <c r="G1298" s="3">
        <v>3.0908001199999999</v>
      </c>
      <c r="H1298" s="3">
        <v>1.8972130659999999</v>
      </c>
      <c r="I1298" s="3">
        <v>1.1081810009999999</v>
      </c>
      <c r="J1298" s="3">
        <v>38.525014030000001</v>
      </c>
      <c r="K1298" s="3">
        <v>3.5155936999999998E-2</v>
      </c>
      <c r="L1298" s="3">
        <v>4.4295678999999998E-2</v>
      </c>
      <c r="M1298" s="3">
        <v>0.384791149</v>
      </c>
      <c r="N1298" s="3">
        <v>6.4098453E-2</v>
      </c>
      <c r="O1298" s="3">
        <v>3.6065303999999999E-2</v>
      </c>
      <c r="P1298" s="3">
        <v>5.2669209000000002E-2</v>
      </c>
      <c r="Q1298" s="3">
        <v>9.0739783000000004E-2</v>
      </c>
      <c r="R1298" s="3">
        <v>1.0258666780000001</v>
      </c>
      <c r="S1298" s="3">
        <v>17.074606429999999</v>
      </c>
      <c r="T1298" s="3">
        <v>1.5159855149999999</v>
      </c>
      <c r="U1298" s="3">
        <v>0.60254143199999999</v>
      </c>
      <c r="V1298" s="3">
        <v>0.20814479599999999</v>
      </c>
      <c r="W1298" s="3">
        <v>0.81336483299999995</v>
      </c>
      <c r="X1298" s="3">
        <v>2.5288562429999999</v>
      </c>
      <c r="Y1298" s="3">
        <v>3.880377754</v>
      </c>
      <c r="Z1298" s="3">
        <v>2.5159855150000001</v>
      </c>
      <c r="AA1298" s="3">
        <v>4.4295678999999998E-2</v>
      </c>
      <c r="AB1298" s="3">
        <v>13.01165683</v>
      </c>
      <c r="AC1298" s="3">
        <v>3.1091290659999999</v>
      </c>
      <c r="AD1298" s="3">
        <v>0.118776557</v>
      </c>
      <c r="AE1298" s="3">
        <v>10.122015920000001</v>
      </c>
      <c r="AF1298" s="4">
        <v>42599</v>
      </c>
      <c r="AG1298" s="5">
        <f>YEAR(AF1298)</f>
        <v>2016</v>
      </c>
      <c r="AH1298" s="5" t="str">
        <f>"Q"&amp;ROUNDUP(MONTH(AF1298)/3,0)</f>
        <v>Q3</v>
      </c>
      <c r="AI1298" s="5">
        <f>INDEX(RatingLookup!$B$2:$B$11,MATCH(A1298,RatingLookup!$A$2:$A$11,0))</f>
        <v>6</v>
      </c>
      <c r="AJ1298" s="5" t="str">
        <f>INDEX(RatingLookup!$C$2:$C$11,MATCH(A1298,RatingLookup!$A$2:$A$11,0))</f>
        <v>Speculative Grade</v>
      </c>
    </row>
    <row r="1299" spans="1:36" x14ac:dyDescent="0.3">
      <c r="A1299" s="3" t="s">
        <v>42</v>
      </c>
      <c r="B1299" s="3" t="s">
        <v>1395</v>
      </c>
      <c r="C1299" s="3" t="s">
        <v>1396</v>
      </c>
      <c r="D1299" s="3" t="s">
        <v>47</v>
      </c>
      <c r="E1299" s="3" t="s">
        <v>228</v>
      </c>
      <c r="F1299" s="3" t="s">
        <v>66</v>
      </c>
      <c r="G1299" s="3">
        <v>3.0589961840000002</v>
      </c>
      <c r="H1299" s="3">
        <v>10.8438509</v>
      </c>
      <c r="I1299" s="3">
        <v>0.65688288800000005</v>
      </c>
      <c r="J1299" s="3">
        <v>41.33696715</v>
      </c>
      <c r="K1299" s="3">
        <v>4.8205425000000003E-2</v>
      </c>
      <c r="L1299" s="3">
        <v>6.5734670999999995E-2</v>
      </c>
      <c r="M1299" s="3">
        <v>0.393430155</v>
      </c>
      <c r="N1299" s="3">
        <v>8.3263917000000007E-2</v>
      </c>
      <c r="O1299" s="3">
        <v>5.3144339999999998E-2</v>
      </c>
      <c r="P1299" s="3">
        <v>8.3880210999999996E-2</v>
      </c>
      <c r="Q1299" s="3">
        <v>0.14258168199999999</v>
      </c>
      <c r="R1299" s="3">
        <v>1.10245558</v>
      </c>
      <c r="S1299" s="3">
        <v>20.18347953</v>
      </c>
      <c r="T1299" s="3">
        <v>1.6829137649999999</v>
      </c>
      <c r="U1299" s="3">
        <v>0.62727091199999996</v>
      </c>
      <c r="V1299" s="3">
        <v>0.26225895300000002</v>
      </c>
      <c r="W1299" s="3">
        <v>0.90464081399999996</v>
      </c>
      <c r="X1299" s="3">
        <v>2.898044267</v>
      </c>
      <c r="Y1299" s="3">
        <v>34.436423410000003</v>
      </c>
      <c r="Z1299" s="3">
        <v>2.6829137649999999</v>
      </c>
      <c r="AA1299" s="3">
        <v>6.5734670999999995E-2</v>
      </c>
      <c r="AB1299" s="3">
        <v>12.22482327</v>
      </c>
      <c r="AC1299" s="3">
        <v>3.2035303110000002</v>
      </c>
      <c r="AD1299" s="3">
        <v>0.113940096</v>
      </c>
      <c r="AE1299" s="3">
        <v>11.20348059</v>
      </c>
      <c r="AF1299" s="4">
        <v>42247</v>
      </c>
      <c r="AG1299" s="5">
        <f>YEAR(AF1299)</f>
        <v>2015</v>
      </c>
      <c r="AH1299" s="5" t="str">
        <f>"Q"&amp;ROUNDUP(MONTH(AF1299)/3,0)</f>
        <v>Q3</v>
      </c>
      <c r="AI1299" s="5">
        <f>INDEX(RatingLookup!$B$2:$B$11,MATCH(A1299,RatingLookup!$A$2:$A$11,0))</f>
        <v>7</v>
      </c>
      <c r="AJ1299" s="5" t="str">
        <f>INDEX(RatingLookup!$C$2:$C$11,MATCH(A1299,RatingLookup!$A$2:$A$11,0))</f>
        <v>Investment Grade</v>
      </c>
    </row>
    <row r="1300" spans="1:36" x14ac:dyDescent="0.3">
      <c r="A1300" s="3" t="s">
        <v>109</v>
      </c>
      <c r="B1300" s="3" t="s">
        <v>1395</v>
      </c>
      <c r="C1300" s="3" t="s">
        <v>1396</v>
      </c>
      <c r="D1300" s="3" t="s">
        <v>60</v>
      </c>
      <c r="E1300" s="3" t="s">
        <v>746</v>
      </c>
      <c r="F1300" s="3" t="s">
        <v>66</v>
      </c>
      <c r="G1300" s="3">
        <v>3.3661464169999999</v>
      </c>
      <c r="H1300" s="3">
        <v>1.6441280920000001</v>
      </c>
      <c r="I1300" s="3">
        <v>0.53677654100000005</v>
      </c>
      <c r="J1300" s="3">
        <v>78.66070569</v>
      </c>
      <c r="K1300" s="3">
        <v>4.9173653999999997E-2</v>
      </c>
      <c r="L1300" s="3">
        <v>5.7396282E-2</v>
      </c>
      <c r="M1300" s="3">
        <v>0.38282877399999998</v>
      </c>
      <c r="N1300" s="3">
        <v>6.9308487000000002E-2</v>
      </c>
      <c r="O1300" s="3">
        <v>3.0861746999999998E-2</v>
      </c>
      <c r="P1300" s="3">
        <v>4.1034378000000003E-2</v>
      </c>
      <c r="Q1300" s="3">
        <v>0.12560243600000001</v>
      </c>
      <c r="R1300" s="3">
        <v>0.62760735199999995</v>
      </c>
      <c r="S1300" s="3">
        <v>10.958791939999999</v>
      </c>
      <c r="T1300" s="3">
        <v>3.0698420899999999</v>
      </c>
      <c r="U1300" s="3">
        <v>0.75429022099999998</v>
      </c>
      <c r="V1300" s="3">
        <v>0.14243241500000001</v>
      </c>
      <c r="W1300" s="3">
        <v>0.83694893100000001</v>
      </c>
      <c r="X1300" s="3">
        <v>1.5711597850000001</v>
      </c>
      <c r="Y1300" s="3">
        <v>3.5113571389999998</v>
      </c>
      <c r="Z1300" s="3">
        <v>4.0698420899999999</v>
      </c>
      <c r="AA1300" s="3">
        <v>5.7396282E-2</v>
      </c>
      <c r="AB1300" s="3">
        <v>15.111832789999999</v>
      </c>
      <c r="AC1300" s="3">
        <v>1.877246899</v>
      </c>
      <c r="AD1300" s="3">
        <v>5.5849510999999998E-2</v>
      </c>
      <c r="AE1300" s="3">
        <v>6.2661798070000003</v>
      </c>
      <c r="AF1300" s="4">
        <v>41176</v>
      </c>
      <c r="AG1300" s="5">
        <f>YEAR(AF1300)</f>
        <v>2012</v>
      </c>
      <c r="AH1300" s="5" t="str">
        <f>"Q"&amp;ROUNDUP(MONTH(AF1300)/3,0)</f>
        <v>Q3</v>
      </c>
      <c r="AI1300" s="5">
        <f>INDEX(RatingLookup!$B$2:$B$11,MATCH(A1300,RatingLookup!$A$2:$A$11,0))</f>
        <v>5</v>
      </c>
      <c r="AJ1300" s="5" t="str">
        <f>INDEX(RatingLookup!$C$2:$C$11,MATCH(A1300,RatingLookup!$A$2:$A$11,0))</f>
        <v>Speculative Grade</v>
      </c>
    </row>
    <row r="1301" spans="1:36" x14ac:dyDescent="0.3">
      <c r="A1301" s="3" t="s">
        <v>109</v>
      </c>
      <c r="B1301" s="3" t="s">
        <v>1397</v>
      </c>
      <c r="C1301" s="3" t="s">
        <v>1398</v>
      </c>
      <c r="D1301" s="3" t="s">
        <v>47</v>
      </c>
      <c r="E1301" s="3" t="s">
        <v>315</v>
      </c>
      <c r="F1301" s="3" t="s">
        <v>174</v>
      </c>
      <c r="G1301" s="3">
        <v>2.1815982580000002</v>
      </c>
      <c r="H1301" s="3">
        <v>1.1212047979999999</v>
      </c>
      <c r="I1301" s="3">
        <v>0.11494417799999999</v>
      </c>
      <c r="J1301" s="3">
        <v>58.008897220000001</v>
      </c>
      <c r="K1301" s="3">
        <v>2.4760562999999999E-2</v>
      </c>
      <c r="L1301" s="3">
        <v>4.2161779000000003E-2</v>
      </c>
      <c r="M1301" s="3">
        <v>0.23670974</v>
      </c>
      <c r="N1301" s="3">
        <v>4.6549953999999998E-2</v>
      </c>
      <c r="O1301" s="3">
        <v>4.0284958000000003E-2</v>
      </c>
      <c r="P1301" s="3">
        <v>9.2319183999999999E-2</v>
      </c>
      <c r="Q1301" s="3">
        <v>7.0519614999999994E-2</v>
      </c>
      <c r="R1301" s="3">
        <v>1.6269807080000001</v>
      </c>
      <c r="S1301" s="3">
        <v>27.821127149999999</v>
      </c>
      <c r="T1301" s="3">
        <v>0.75051975100000001</v>
      </c>
      <c r="U1301" s="3">
        <v>0.42874109300000002</v>
      </c>
      <c r="V1301" s="3">
        <v>0.41272490699999997</v>
      </c>
      <c r="W1301" s="3">
        <v>0.809749406</v>
      </c>
      <c r="X1301" s="3">
        <v>1.7876917290000001</v>
      </c>
      <c r="Y1301" s="3">
        <v>0.92195206600000001</v>
      </c>
      <c r="Z1301" s="3">
        <v>1.7505197509999999</v>
      </c>
      <c r="AA1301" s="3">
        <v>4.2161779000000003E-2</v>
      </c>
      <c r="AB1301" s="3">
        <v>11.4561814</v>
      </c>
      <c r="AC1301" s="3">
        <v>2.207709838</v>
      </c>
      <c r="AD1301" s="3">
        <v>4.3472228000000002E-2</v>
      </c>
      <c r="AE1301" s="3">
        <v>7.8394224369999996</v>
      </c>
      <c r="AF1301" s="4">
        <v>42338</v>
      </c>
      <c r="AG1301" s="5">
        <f>YEAR(AF1301)</f>
        <v>2015</v>
      </c>
      <c r="AH1301" s="5" t="str">
        <f>"Q"&amp;ROUNDUP(MONTH(AF1301)/3,0)</f>
        <v>Q4</v>
      </c>
      <c r="AI1301" s="5">
        <f>INDEX(RatingLookup!$B$2:$B$11,MATCH(A1301,RatingLookup!$A$2:$A$11,0))</f>
        <v>5</v>
      </c>
      <c r="AJ1301" s="5" t="str">
        <f>INDEX(RatingLookup!$C$2:$C$11,MATCH(A1301,RatingLookup!$A$2:$A$11,0))</f>
        <v>Speculative Grade</v>
      </c>
    </row>
    <row r="1302" spans="1:36" x14ac:dyDescent="0.3">
      <c r="A1302" s="3" t="s">
        <v>92</v>
      </c>
      <c r="B1302" s="3" t="s">
        <v>1399</v>
      </c>
      <c r="C1302" s="3" t="s">
        <v>1400</v>
      </c>
      <c r="D1302" s="3" t="s">
        <v>47</v>
      </c>
      <c r="E1302" s="3" t="s">
        <v>283</v>
      </c>
      <c r="F1302" s="3" t="s">
        <v>53</v>
      </c>
      <c r="G1302" s="3">
        <v>0.71980454500000002</v>
      </c>
      <c r="H1302" s="3">
        <v>0.67077599799999998</v>
      </c>
      <c r="I1302" s="3">
        <v>5.5367199999999995E-4</v>
      </c>
      <c r="J1302" s="3">
        <v>41.939704489999997</v>
      </c>
      <c r="K1302" s="3">
        <v>8.9195060000000007E-3</v>
      </c>
      <c r="L1302" s="3">
        <v>1.7188675E-2</v>
      </c>
      <c r="M1302" s="3">
        <v>1</v>
      </c>
      <c r="N1302" s="3">
        <v>8.9195060000000007E-3</v>
      </c>
      <c r="O1302" s="3">
        <v>1.93231E-3</v>
      </c>
      <c r="P1302" s="3">
        <v>3.9938839999999996E-3</v>
      </c>
      <c r="Q1302" s="3">
        <v>5.5154169999999999E-3</v>
      </c>
      <c r="R1302" s="3">
        <v>0.21663863999999999</v>
      </c>
      <c r="S1302" s="3">
        <v>35.068780519999997</v>
      </c>
      <c r="T1302" s="3">
        <v>1.8543131559999999</v>
      </c>
      <c r="U1302" s="3">
        <v>0.64965301799999997</v>
      </c>
      <c r="V1302" s="3">
        <v>0.48108237500000001</v>
      </c>
      <c r="W1302" s="3">
        <v>0.99264100200000005</v>
      </c>
      <c r="X1302" s="3">
        <v>4.0289341470000002</v>
      </c>
      <c r="Y1302" s="3">
        <v>0.86434884099999998</v>
      </c>
      <c r="Z1302" s="3">
        <v>2.8543131559999999</v>
      </c>
      <c r="AA1302" s="3">
        <v>1.7188675E-2</v>
      </c>
      <c r="AB1302" s="3">
        <v>23.60987231</v>
      </c>
      <c r="AC1302" s="3">
        <v>4.0588028679999999</v>
      </c>
      <c r="AD1302" s="3">
        <v>0.443916598</v>
      </c>
      <c r="AE1302" s="3">
        <v>0</v>
      </c>
      <c r="AF1302" s="4">
        <v>41337</v>
      </c>
      <c r="AG1302" s="5">
        <f>YEAR(AF1302)</f>
        <v>2013</v>
      </c>
      <c r="AH1302" s="5" t="str">
        <f>"Q"&amp;ROUNDUP(MONTH(AF1302)/3,0)</f>
        <v>Q1</v>
      </c>
      <c r="AI1302" s="5">
        <f>INDEX(RatingLookup!$B$2:$B$11,MATCH(A1302,RatingLookup!$A$2:$A$11,0))</f>
        <v>6</v>
      </c>
      <c r="AJ1302" s="5" t="str">
        <f>INDEX(RatingLookup!$C$2:$C$11,MATCH(A1302,RatingLookup!$A$2:$A$11,0))</f>
        <v>Speculative Grade</v>
      </c>
    </row>
    <row r="1303" spans="1:36" x14ac:dyDescent="0.3">
      <c r="A1303" s="3" t="s">
        <v>92</v>
      </c>
      <c r="B1303" s="3" t="s">
        <v>1399</v>
      </c>
      <c r="C1303" s="3" t="s">
        <v>1400</v>
      </c>
      <c r="D1303" s="3" t="s">
        <v>47</v>
      </c>
      <c r="E1303" s="3" t="s">
        <v>1401</v>
      </c>
      <c r="F1303" s="3" t="s">
        <v>53</v>
      </c>
      <c r="G1303" s="3">
        <v>0.401169567</v>
      </c>
      <c r="H1303" s="3">
        <v>0.36335146899999998</v>
      </c>
      <c r="I1303" s="3">
        <v>4.46878E-4</v>
      </c>
      <c r="J1303" s="3">
        <v>80.210875329999993</v>
      </c>
      <c r="K1303" s="3">
        <v>-0.47401537700000002</v>
      </c>
      <c r="L1303" s="3">
        <v>-0.72925680400000004</v>
      </c>
      <c r="M1303" s="3">
        <v>1</v>
      </c>
      <c r="N1303" s="3">
        <v>-0.47401537700000002</v>
      </c>
      <c r="O1303" s="3">
        <v>-4.6213142999999998E-2</v>
      </c>
      <c r="P1303" s="3">
        <v>-7.5819369999999997E-2</v>
      </c>
      <c r="Q1303" s="3">
        <v>-9.6403943000000006E-2</v>
      </c>
      <c r="R1303" s="3">
        <v>9.7492918999999997E-2</v>
      </c>
      <c r="S1303" s="3">
        <v>65.189296510000005</v>
      </c>
      <c r="T1303" s="3">
        <v>1.0860719910000001</v>
      </c>
      <c r="U1303" s="3">
        <v>0.52063015800000001</v>
      </c>
      <c r="V1303" s="3">
        <v>0.350002119</v>
      </c>
      <c r="W1303" s="3">
        <v>0.99211508100000001</v>
      </c>
      <c r="X1303" s="3">
        <v>2.0225419769999999</v>
      </c>
      <c r="Y1303" s="3">
        <v>7.1586575999999999E-2</v>
      </c>
      <c r="Z1303" s="3">
        <v>2.0860719909999998</v>
      </c>
      <c r="AA1303" s="3">
        <v>-0.72925680400000004</v>
      </c>
      <c r="AB1303" s="3">
        <v>138.3460489</v>
      </c>
      <c r="AC1303" s="3">
        <v>2.0386163019999999</v>
      </c>
      <c r="AD1303" s="3">
        <v>0.35189951400000002</v>
      </c>
      <c r="AE1303" s="3">
        <v>0</v>
      </c>
      <c r="AF1303" s="4">
        <v>42635</v>
      </c>
      <c r="AG1303" s="5">
        <f>YEAR(AF1303)</f>
        <v>2016</v>
      </c>
      <c r="AH1303" s="5" t="str">
        <f>"Q"&amp;ROUNDUP(MONTH(AF1303)/3,0)</f>
        <v>Q3</v>
      </c>
      <c r="AI1303" s="5">
        <f>INDEX(RatingLookup!$B$2:$B$11,MATCH(A1303,RatingLookup!$A$2:$A$11,0))</f>
        <v>6</v>
      </c>
      <c r="AJ1303" s="5" t="str">
        <f>INDEX(RatingLookup!$C$2:$C$11,MATCH(A1303,RatingLookup!$A$2:$A$11,0))</f>
        <v>Speculative Grade</v>
      </c>
    </row>
    <row r="1304" spans="1:36" x14ac:dyDescent="0.3">
      <c r="A1304" s="3" t="s">
        <v>92</v>
      </c>
      <c r="B1304" s="3" t="s">
        <v>1399</v>
      </c>
      <c r="C1304" s="3" t="s">
        <v>1400</v>
      </c>
      <c r="D1304" s="3" t="s">
        <v>47</v>
      </c>
      <c r="E1304" s="3" t="s">
        <v>1012</v>
      </c>
      <c r="F1304" s="3" t="s">
        <v>53</v>
      </c>
      <c r="G1304" s="3">
        <v>1.2483623340000001</v>
      </c>
      <c r="H1304" s="3">
        <v>1.153920732</v>
      </c>
      <c r="I1304" s="3">
        <v>1.3391329999999999E-3</v>
      </c>
      <c r="J1304" s="3">
        <v>28.285611129999999</v>
      </c>
      <c r="K1304" s="3">
        <v>-0.44659238499999998</v>
      </c>
      <c r="L1304" s="3">
        <v>-0.65852141500000005</v>
      </c>
      <c r="M1304" s="3">
        <v>1</v>
      </c>
      <c r="N1304" s="3">
        <v>-0.44659238499999998</v>
      </c>
      <c r="O1304" s="3">
        <v>-0.103432144</v>
      </c>
      <c r="P1304" s="3">
        <v>-0.160707395</v>
      </c>
      <c r="Q1304" s="3">
        <v>-0.25861356699999999</v>
      </c>
      <c r="R1304" s="3">
        <v>0.23160301699999999</v>
      </c>
      <c r="S1304" s="3">
        <v>82.141763040000001</v>
      </c>
      <c r="T1304" s="3">
        <v>1.500321054</v>
      </c>
      <c r="U1304" s="3">
        <v>0.60005136199999998</v>
      </c>
      <c r="V1304" s="3">
        <v>0.32182557000000001</v>
      </c>
      <c r="W1304" s="3">
        <v>0.99350446100000001</v>
      </c>
      <c r="X1304" s="3">
        <v>4.0823552039999997</v>
      </c>
      <c r="Y1304" s="3">
        <v>1.694913726</v>
      </c>
      <c r="Z1304" s="3">
        <v>2.500321054</v>
      </c>
      <c r="AA1304" s="3">
        <v>-0.65852141500000005</v>
      </c>
      <c r="AB1304" s="3">
        <v>10.746317749999999</v>
      </c>
      <c r="AC1304" s="3">
        <v>4.1090456700000004</v>
      </c>
      <c r="AD1304" s="3">
        <v>0.42782910400000002</v>
      </c>
      <c r="AE1304" s="3">
        <v>0</v>
      </c>
      <c r="AF1304" s="4">
        <v>42495</v>
      </c>
      <c r="AG1304" s="5">
        <f>YEAR(AF1304)</f>
        <v>2016</v>
      </c>
      <c r="AH1304" s="5" t="str">
        <f>"Q"&amp;ROUNDUP(MONTH(AF1304)/3,0)</f>
        <v>Q2</v>
      </c>
      <c r="AI1304" s="5">
        <f>INDEX(RatingLookup!$B$2:$B$11,MATCH(A1304,RatingLookup!$A$2:$A$11,0))</f>
        <v>6</v>
      </c>
      <c r="AJ1304" s="5" t="str">
        <f>INDEX(RatingLookup!$C$2:$C$11,MATCH(A1304,RatingLookup!$A$2:$A$11,0))</f>
        <v>Speculative Grade</v>
      </c>
    </row>
    <row r="1305" spans="1:36" x14ac:dyDescent="0.3">
      <c r="A1305" s="3" t="s">
        <v>92</v>
      </c>
      <c r="B1305" s="3" t="s">
        <v>1399</v>
      </c>
      <c r="C1305" s="3" t="s">
        <v>1400</v>
      </c>
      <c r="D1305" s="3" t="s">
        <v>39</v>
      </c>
      <c r="E1305" s="3" t="s">
        <v>1402</v>
      </c>
      <c r="F1305" s="3" t="s">
        <v>53</v>
      </c>
      <c r="G1305" s="3">
        <v>0.50105032500000002</v>
      </c>
      <c r="H1305" s="3">
        <v>0.37217618000000002</v>
      </c>
      <c r="I1305" s="3">
        <v>7.0223400000000004E-4</v>
      </c>
      <c r="J1305" s="3">
        <v>35.205769089999997</v>
      </c>
      <c r="K1305" s="3">
        <v>6.2125313000000001E-2</v>
      </c>
      <c r="L1305" s="3">
        <v>8.0301429999999993E-2</v>
      </c>
      <c r="M1305" s="3">
        <v>1</v>
      </c>
      <c r="N1305" s="3">
        <v>6.2125313000000001E-2</v>
      </c>
      <c r="O1305" s="3">
        <v>1.5854314000000001E-2</v>
      </c>
      <c r="P1305" s="3">
        <v>2.1985515000000001E-2</v>
      </c>
      <c r="Q1305" s="3">
        <v>4.7928888000000003E-2</v>
      </c>
      <c r="R1305" s="3">
        <v>0.25519893900000001</v>
      </c>
      <c r="S1305" s="3">
        <v>56.817929479999997</v>
      </c>
      <c r="T1305" s="3">
        <v>2.0230818419999999</v>
      </c>
      <c r="U1305" s="3">
        <v>0.669211734</v>
      </c>
      <c r="V1305" s="3">
        <v>0.226348618</v>
      </c>
      <c r="W1305" s="3">
        <v>0.99203134199999998</v>
      </c>
      <c r="X1305" s="3">
        <v>4.5974956059999998</v>
      </c>
      <c r="Y1305" s="3">
        <v>2.9724878E-2</v>
      </c>
      <c r="Z1305" s="3">
        <v>3.0230818419999999</v>
      </c>
      <c r="AA1305" s="3">
        <v>8.0301429999999993E-2</v>
      </c>
      <c r="AB1305" s="3">
        <v>23.07408598</v>
      </c>
      <c r="AC1305" s="3">
        <v>4.634425759</v>
      </c>
      <c r="AD1305" s="3">
        <v>0.39916809800000003</v>
      </c>
      <c r="AE1305" s="3">
        <v>0</v>
      </c>
      <c r="AF1305" s="4">
        <v>41788</v>
      </c>
      <c r="AG1305" s="5">
        <f>YEAR(AF1305)</f>
        <v>2014</v>
      </c>
      <c r="AH1305" s="5" t="str">
        <f>"Q"&amp;ROUNDUP(MONTH(AF1305)/3,0)</f>
        <v>Q2</v>
      </c>
      <c r="AI1305" s="5">
        <f>INDEX(RatingLookup!$B$2:$B$11,MATCH(A1305,RatingLookup!$A$2:$A$11,0))</f>
        <v>6</v>
      </c>
      <c r="AJ1305" s="5" t="str">
        <f>INDEX(RatingLookup!$C$2:$C$11,MATCH(A1305,RatingLookup!$A$2:$A$11,0))</f>
        <v>Speculative Grade</v>
      </c>
    </row>
    <row r="1306" spans="1:36" x14ac:dyDescent="0.3">
      <c r="A1306" s="3" t="s">
        <v>92</v>
      </c>
      <c r="B1306" s="3" t="s">
        <v>1399</v>
      </c>
      <c r="C1306" s="3" t="s">
        <v>1400</v>
      </c>
      <c r="D1306" s="3" t="s">
        <v>39</v>
      </c>
      <c r="E1306" s="3" t="s">
        <v>319</v>
      </c>
      <c r="F1306" s="3" t="s">
        <v>53</v>
      </c>
      <c r="G1306" s="3">
        <v>0.75508961100000005</v>
      </c>
      <c r="H1306" s="3">
        <v>0.73145019499999997</v>
      </c>
      <c r="I1306" s="3">
        <v>5.9316999999999996E-4</v>
      </c>
      <c r="J1306" s="3">
        <v>25.431866419999999</v>
      </c>
      <c r="K1306" s="3">
        <v>0.233942977</v>
      </c>
      <c r="L1306" s="3">
        <v>0.38016259200000002</v>
      </c>
      <c r="M1306" s="3">
        <v>1</v>
      </c>
      <c r="N1306" s="3">
        <v>0.233942977</v>
      </c>
      <c r="O1306" s="3">
        <v>7.252749E-2</v>
      </c>
      <c r="P1306" s="3">
        <v>0.128997427</v>
      </c>
      <c r="Q1306" s="3">
        <v>0.18348373900000001</v>
      </c>
      <c r="R1306" s="3">
        <v>0.31002208799999997</v>
      </c>
      <c r="S1306" s="3">
        <v>72.156009690000005</v>
      </c>
      <c r="T1306" s="3">
        <v>1.529850938</v>
      </c>
      <c r="U1306" s="3">
        <v>0.60471979399999998</v>
      </c>
      <c r="V1306" s="3">
        <v>0.384623891</v>
      </c>
      <c r="W1306" s="3">
        <v>0.98756674899999997</v>
      </c>
      <c r="X1306" s="3">
        <v>5.7587288010000002</v>
      </c>
      <c r="Y1306" s="3">
        <v>2.2215248280000002</v>
      </c>
      <c r="Z1306" s="3">
        <v>2.529850938</v>
      </c>
      <c r="AA1306" s="3">
        <v>0.38016259200000002</v>
      </c>
      <c r="AB1306" s="3">
        <v>6.8346967459999997</v>
      </c>
      <c r="AC1306" s="3">
        <v>5.8312299469999997</v>
      </c>
      <c r="AD1306" s="3">
        <v>0.35185926099999998</v>
      </c>
      <c r="AE1306" s="3">
        <v>0</v>
      </c>
      <c r="AF1306" s="4">
        <v>41960</v>
      </c>
      <c r="AG1306" s="5">
        <f>YEAR(AF1306)</f>
        <v>2014</v>
      </c>
      <c r="AH1306" s="5" t="str">
        <f>"Q"&amp;ROUNDUP(MONTH(AF1306)/3,0)</f>
        <v>Q4</v>
      </c>
      <c r="AI1306" s="5">
        <f>INDEX(RatingLookup!$B$2:$B$11,MATCH(A1306,RatingLookup!$A$2:$A$11,0))</f>
        <v>6</v>
      </c>
      <c r="AJ1306" s="5" t="str">
        <f>INDEX(RatingLookup!$C$2:$C$11,MATCH(A1306,RatingLookup!$A$2:$A$11,0))</f>
        <v>Speculative Grade</v>
      </c>
    </row>
    <row r="1307" spans="1:36" x14ac:dyDescent="0.3">
      <c r="A1307" s="3" t="s">
        <v>42</v>
      </c>
      <c r="B1307" s="3" t="s">
        <v>1403</v>
      </c>
      <c r="C1307" s="3" t="s">
        <v>1404</v>
      </c>
      <c r="D1307" s="3" t="s">
        <v>60</v>
      </c>
      <c r="E1307" s="3" t="s">
        <v>1308</v>
      </c>
      <c r="F1307" s="3" t="s">
        <v>232</v>
      </c>
      <c r="G1307" s="3">
        <v>4.8890640579999998</v>
      </c>
      <c r="H1307" s="3">
        <v>4.8890640579999998</v>
      </c>
      <c r="I1307" s="3">
        <v>0.20122409899999999</v>
      </c>
      <c r="J1307" s="3">
        <v>6.162771598</v>
      </c>
      <c r="K1307" s="3">
        <v>9.1021258999999993E-2</v>
      </c>
      <c r="L1307" s="3">
        <v>0.13356790800000001</v>
      </c>
      <c r="M1307" s="3">
        <v>0.51036579400000004</v>
      </c>
      <c r="N1307" s="3">
        <v>0.13356790800000001</v>
      </c>
      <c r="O1307" s="3">
        <v>2.9879506E-2</v>
      </c>
      <c r="P1307" s="3">
        <v>5.1848406999999999E-2</v>
      </c>
      <c r="Q1307" s="3">
        <v>0.14137075700000001</v>
      </c>
      <c r="R1307" s="3">
        <v>0.32826953199999998</v>
      </c>
      <c r="S1307" s="3">
        <v>21.46633825</v>
      </c>
      <c r="T1307" s="3">
        <v>3.7313619230000001</v>
      </c>
      <c r="U1307" s="3">
        <v>0.78864436599999999</v>
      </c>
      <c r="V1307" s="3">
        <v>0.31778436399999999</v>
      </c>
      <c r="W1307" s="3">
        <v>0.94290240000000003</v>
      </c>
      <c r="X1307" s="3">
        <v>5.4185415499999996</v>
      </c>
      <c r="Y1307" s="3">
        <v>127.20570360000001</v>
      </c>
      <c r="Z1307" s="3">
        <v>4.7313619229999997</v>
      </c>
      <c r="AA1307" s="3">
        <v>0.13356790800000001</v>
      </c>
      <c r="AB1307" s="3">
        <v>3.596121256</v>
      </c>
      <c r="AC1307" s="3">
        <v>5.7466621680000003</v>
      </c>
      <c r="AD1307" s="3">
        <v>0.103079593</v>
      </c>
      <c r="AE1307" s="3">
        <v>14.711371010000001</v>
      </c>
      <c r="AF1307" s="4">
        <v>41850</v>
      </c>
      <c r="AG1307" s="5">
        <f>YEAR(AF1307)</f>
        <v>2014</v>
      </c>
      <c r="AH1307" s="5" t="str">
        <f>"Q"&amp;ROUNDUP(MONTH(AF1307)/3,0)</f>
        <v>Q3</v>
      </c>
      <c r="AI1307" s="5">
        <f>INDEX(RatingLookup!$B$2:$B$11,MATCH(A1307,RatingLookup!$A$2:$A$11,0))</f>
        <v>7</v>
      </c>
      <c r="AJ1307" s="5" t="str">
        <f>INDEX(RatingLookup!$C$2:$C$11,MATCH(A1307,RatingLookup!$A$2:$A$11,0))</f>
        <v>Investment Grade</v>
      </c>
    </row>
    <row r="1308" spans="1:36" x14ac:dyDescent="0.3">
      <c r="A1308" s="3" t="s">
        <v>42</v>
      </c>
      <c r="B1308" s="3" t="s">
        <v>1403</v>
      </c>
      <c r="C1308" s="3" t="s">
        <v>1404</v>
      </c>
      <c r="D1308" s="3" t="s">
        <v>60</v>
      </c>
      <c r="E1308" s="3" t="s">
        <v>46</v>
      </c>
      <c r="F1308" s="3" t="s">
        <v>232</v>
      </c>
      <c r="G1308" s="3">
        <v>4.5286777950000001</v>
      </c>
      <c r="H1308" s="3">
        <v>4.5286777950000001</v>
      </c>
      <c r="I1308" s="3">
        <v>0.34099415999999999</v>
      </c>
      <c r="J1308" s="3">
        <v>0</v>
      </c>
      <c r="K1308" s="3">
        <v>7.6571805000000007E-2</v>
      </c>
      <c r="L1308" s="3">
        <v>9.1731471999999994E-2</v>
      </c>
      <c r="M1308" s="3">
        <v>0.48441170500000003</v>
      </c>
      <c r="N1308" s="3">
        <v>7.6571805000000007E-2</v>
      </c>
      <c r="O1308" s="3">
        <v>2.1354865000000001E-2</v>
      </c>
      <c r="P1308" s="3">
        <v>2.9908140999999999E-2</v>
      </c>
      <c r="Q1308" s="3">
        <v>9.8493274000000006E-2</v>
      </c>
      <c r="R1308" s="3">
        <v>0.27888679300000002</v>
      </c>
      <c r="S1308" s="3">
        <v>19.65869412</v>
      </c>
      <c r="T1308" s="3">
        <v>3.612217115</v>
      </c>
      <c r="U1308" s="3">
        <v>0.78318453499999996</v>
      </c>
      <c r="V1308" s="3">
        <v>0.26122385100000001</v>
      </c>
      <c r="W1308" s="3">
        <v>0.93238636399999997</v>
      </c>
      <c r="X1308" s="3">
        <v>4.473963404</v>
      </c>
      <c r="Y1308" s="3">
        <v>86.683680769999995</v>
      </c>
      <c r="Z1308" s="3">
        <v>4.612217115</v>
      </c>
      <c r="AA1308" s="3">
        <v>9.1731471999999994E-2</v>
      </c>
      <c r="AB1308" s="3">
        <v>8.3857639880000008</v>
      </c>
      <c r="AC1308" s="3">
        <v>4.7984007220000002</v>
      </c>
      <c r="AD1308" s="3">
        <v>0.13000020900000001</v>
      </c>
      <c r="AE1308" s="3">
        <v>11.021230989999999</v>
      </c>
      <c r="AF1308" s="4">
        <v>41075</v>
      </c>
      <c r="AG1308" s="5">
        <f>YEAR(AF1308)</f>
        <v>2012</v>
      </c>
      <c r="AH1308" s="5" t="str">
        <f>"Q"&amp;ROUNDUP(MONTH(AF1308)/3,0)</f>
        <v>Q2</v>
      </c>
      <c r="AI1308" s="5">
        <f>INDEX(RatingLookup!$B$2:$B$11,MATCH(A1308,RatingLookup!$A$2:$A$11,0))</f>
        <v>7</v>
      </c>
      <c r="AJ1308" s="5" t="str">
        <f>INDEX(RatingLookup!$C$2:$C$11,MATCH(A1308,RatingLookup!$A$2:$A$11,0))</f>
        <v>Investment Grade</v>
      </c>
    </row>
    <row r="1309" spans="1:36" x14ac:dyDescent="0.3">
      <c r="A1309" s="3" t="s">
        <v>42</v>
      </c>
      <c r="B1309" s="3" t="s">
        <v>1403</v>
      </c>
      <c r="C1309" s="3" t="s">
        <v>1404</v>
      </c>
      <c r="D1309" s="3" t="s">
        <v>60</v>
      </c>
      <c r="E1309" s="3" t="s">
        <v>487</v>
      </c>
      <c r="F1309" s="3" t="s">
        <v>232</v>
      </c>
      <c r="G1309" s="3">
        <v>4.632152864</v>
      </c>
      <c r="H1309" s="3">
        <v>4.632152864</v>
      </c>
      <c r="I1309" s="3">
        <v>0.21783461300000001</v>
      </c>
      <c r="J1309" s="3">
        <v>6.2381361599999998</v>
      </c>
      <c r="K1309" s="3">
        <v>6.9894817999999997E-2</v>
      </c>
      <c r="L1309" s="3">
        <v>0.101579736</v>
      </c>
      <c r="M1309" s="3">
        <v>0.492639726</v>
      </c>
      <c r="N1309" s="3">
        <v>0.101579736</v>
      </c>
      <c r="O1309" s="3">
        <v>2.3178628E-2</v>
      </c>
      <c r="P1309" s="3">
        <v>4.0165344999999998E-2</v>
      </c>
      <c r="Q1309" s="3">
        <v>0.10949283999999999</v>
      </c>
      <c r="R1309" s="3">
        <v>0.33162155199999999</v>
      </c>
      <c r="S1309" s="3">
        <v>20.69488892</v>
      </c>
      <c r="T1309" s="3">
        <v>3.723870636</v>
      </c>
      <c r="U1309" s="3">
        <v>0.78830918999999999</v>
      </c>
      <c r="V1309" s="3">
        <v>0.31135745799999998</v>
      </c>
      <c r="W1309" s="3">
        <v>0.92787732700000003</v>
      </c>
      <c r="X1309" s="3">
        <v>6.592550278</v>
      </c>
      <c r="Y1309" s="3">
        <v>129.91823070000001</v>
      </c>
      <c r="Z1309" s="3">
        <v>4.723870636</v>
      </c>
      <c r="AA1309" s="3">
        <v>0.101579736</v>
      </c>
      <c r="AB1309" s="3">
        <v>4.4158034180000003</v>
      </c>
      <c r="AC1309" s="3">
        <v>7.1049804590000001</v>
      </c>
      <c r="AD1309" s="3">
        <v>0.12229366</v>
      </c>
      <c r="AE1309" s="3">
        <v>16.268019859999999</v>
      </c>
      <c r="AF1309" s="4">
        <v>42439</v>
      </c>
      <c r="AG1309" s="5">
        <f>YEAR(AF1309)</f>
        <v>2016</v>
      </c>
      <c r="AH1309" s="5" t="str">
        <f>"Q"&amp;ROUNDUP(MONTH(AF1309)/3,0)</f>
        <v>Q1</v>
      </c>
      <c r="AI1309" s="5">
        <f>INDEX(RatingLookup!$B$2:$B$11,MATCH(A1309,RatingLookup!$A$2:$A$11,0))</f>
        <v>7</v>
      </c>
      <c r="AJ1309" s="5" t="str">
        <f>INDEX(RatingLookup!$C$2:$C$11,MATCH(A1309,RatingLookup!$A$2:$A$11,0))</f>
        <v>Investment Grade</v>
      </c>
    </row>
    <row r="1310" spans="1:36" x14ac:dyDescent="0.3">
      <c r="A1310" s="3" t="s">
        <v>42</v>
      </c>
      <c r="B1310" s="3" t="s">
        <v>1403</v>
      </c>
      <c r="C1310" s="3" t="s">
        <v>1404</v>
      </c>
      <c r="D1310" s="3" t="s">
        <v>60</v>
      </c>
      <c r="E1310" s="3" t="s">
        <v>1405</v>
      </c>
      <c r="F1310" s="3" t="s">
        <v>232</v>
      </c>
      <c r="G1310" s="3">
        <v>4.1892727299999999</v>
      </c>
      <c r="H1310" s="3">
        <v>4.1892727299999999</v>
      </c>
      <c r="I1310" s="3">
        <v>0.29765398700000001</v>
      </c>
      <c r="J1310" s="3">
        <v>0</v>
      </c>
      <c r="K1310" s="3">
        <v>8.7677043999999996E-2</v>
      </c>
      <c r="L1310" s="3">
        <v>0.10672177200000001</v>
      </c>
      <c r="M1310" s="3">
        <v>0.49369766300000001</v>
      </c>
      <c r="N1310" s="3">
        <v>8.7677043999999996E-2</v>
      </c>
      <c r="O1310" s="3">
        <v>2.5332140999999999E-2</v>
      </c>
      <c r="P1310" s="3">
        <v>3.6316991E-2</v>
      </c>
      <c r="Q1310" s="3">
        <v>0.118570894</v>
      </c>
      <c r="R1310" s="3">
        <v>0.28892558299999999</v>
      </c>
      <c r="S1310" s="3">
        <v>21.79253593</v>
      </c>
      <c r="T1310" s="3">
        <v>3.6806503249999998</v>
      </c>
      <c r="U1310" s="3">
        <v>0.78635447400000003</v>
      </c>
      <c r="V1310" s="3">
        <v>0.307779566</v>
      </c>
      <c r="W1310" s="3">
        <v>0.93995777700000005</v>
      </c>
      <c r="X1310" s="3">
        <v>4.6310422549999997</v>
      </c>
      <c r="Y1310" s="3">
        <v>92.975593919999994</v>
      </c>
      <c r="Z1310" s="3">
        <v>4.6806503250000002</v>
      </c>
      <c r="AA1310" s="3">
        <v>0.10672177200000001</v>
      </c>
      <c r="AB1310" s="3">
        <v>8.0312153199999994</v>
      </c>
      <c r="AC1310" s="3">
        <v>4.9268620030000001</v>
      </c>
      <c r="AD1310" s="3">
        <v>0.115987248</v>
      </c>
      <c r="AE1310" s="3">
        <v>9.3191872010000001</v>
      </c>
      <c r="AF1310" s="4">
        <v>41389</v>
      </c>
      <c r="AG1310" s="5">
        <f>YEAR(AF1310)</f>
        <v>2013</v>
      </c>
      <c r="AH1310" s="5" t="str">
        <f>"Q"&amp;ROUNDUP(MONTH(AF1310)/3,0)</f>
        <v>Q2</v>
      </c>
      <c r="AI1310" s="5">
        <f>INDEX(RatingLookup!$B$2:$B$11,MATCH(A1310,RatingLookup!$A$2:$A$11,0))</f>
        <v>7</v>
      </c>
      <c r="AJ1310" s="5" t="str">
        <f>INDEX(RatingLookup!$C$2:$C$11,MATCH(A1310,RatingLookup!$A$2:$A$11,0))</f>
        <v>Investment Grade</v>
      </c>
    </row>
    <row r="1311" spans="1:36" x14ac:dyDescent="0.3">
      <c r="A1311" s="3" t="s">
        <v>36</v>
      </c>
      <c r="B1311" s="3" t="s">
        <v>1406</v>
      </c>
      <c r="C1311" s="3" t="s">
        <v>1407</v>
      </c>
      <c r="D1311" s="3" t="s">
        <v>47</v>
      </c>
      <c r="E1311" s="3" t="s">
        <v>1408</v>
      </c>
      <c r="F1311" s="3" t="s">
        <v>174</v>
      </c>
      <c r="G1311" s="3">
        <v>1.865714286</v>
      </c>
      <c r="H1311" s="3">
        <v>1.084285714</v>
      </c>
      <c r="I1311" s="3">
        <v>0.29535714299999999</v>
      </c>
      <c r="J1311" s="3">
        <v>59.698282239999998</v>
      </c>
      <c r="K1311" s="3">
        <v>5.3309639999999998E-2</v>
      </c>
      <c r="L1311" s="3">
        <v>8.7738783000000001E-2</v>
      </c>
      <c r="M1311" s="3">
        <v>0.34828964899999998</v>
      </c>
      <c r="N1311" s="3">
        <v>5.3309639999999998E-2</v>
      </c>
      <c r="O1311" s="3">
        <v>7.7879934999999997E-2</v>
      </c>
      <c r="P1311" s="3">
        <v>0.18386346000000001</v>
      </c>
      <c r="Q1311" s="3">
        <v>0.295081967</v>
      </c>
      <c r="R1311" s="3">
        <v>1.4608977830000001</v>
      </c>
      <c r="S1311" s="3">
        <v>4.0437125749999998</v>
      </c>
      <c r="T1311" s="3">
        <v>2.788934426</v>
      </c>
      <c r="U1311" s="3">
        <v>0.73607355299999999</v>
      </c>
      <c r="V1311" s="3">
        <v>0.392405063</v>
      </c>
      <c r="W1311" s="3">
        <v>0.29426229500000001</v>
      </c>
      <c r="X1311" s="3">
        <v>1.8894736839999999</v>
      </c>
      <c r="Y1311" s="3">
        <v>4.3526315789999996</v>
      </c>
      <c r="Z1311" s="3">
        <v>3.788934426</v>
      </c>
      <c r="AA1311" s="3">
        <v>8.7738783000000001E-2</v>
      </c>
      <c r="AB1311" s="3">
        <v>15.30659722</v>
      </c>
      <c r="AC1311" s="3">
        <v>6.4210526320000003</v>
      </c>
      <c r="AD1311" s="3">
        <v>9.0330224000000001E-2</v>
      </c>
      <c r="AE1311" s="3">
        <v>6.6280120480000004</v>
      </c>
      <c r="AF1311" s="4">
        <v>42376</v>
      </c>
      <c r="AG1311" s="5">
        <f>YEAR(AF1311)</f>
        <v>2016</v>
      </c>
      <c r="AH1311" s="5" t="str">
        <f>"Q"&amp;ROUNDUP(MONTH(AF1311)/3,0)</f>
        <v>Q1</v>
      </c>
      <c r="AI1311" s="5">
        <f>INDEX(RatingLookup!$B$2:$B$11,MATCH(A1311,RatingLookup!$A$2:$A$11,0))</f>
        <v>8</v>
      </c>
      <c r="AJ1311" s="5" t="str">
        <f>INDEX(RatingLookup!$C$2:$C$11,MATCH(A1311,RatingLookup!$A$2:$A$11,0))</f>
        <v>Investment Grade</v>
      </c>
    </row>
    <row r="1312" spans="1:36" x14ac:dyDescent="0.3">
      <c r="A1312" s="3" t="s">
        <v>109</v>
      </c>
      <c r="B1312" s="3" t="s">
        <v>1409</v>
      </c>
      <c r="C1312" s="3" t="s">
        <v>1410</v>
      </c>
      <c r="D1312" s="3" t="s">
        <v>60</v>
      </c>
      <c r="E1312" s="3" t="s">
        <v>117</v>
      </c>
      <c r="F1312" s="3" t="s">
        <v>174</v>
      </c>
      <c r="G1312" s="3">
        <v>0.694482461</v>
      </c>
      <c r="H1312" s="3">
        <v>3.9430240909999998</v>
      </c>
      <c r="I1312" s="3">
        <v>0.224962631</v>
      </c>
      <c r="J1312" s="3">
        <v>0</v>
      </c>
      <c r="K1312" s="3">
        <v>6.3284464999999998E-2</v>
      </c>
      <c r="L1312" s="3">
        <v>0.101922811</v>
      </c>
      <c r="M1312" s="3">
        <v>0.21789302599999999</v>
      </c>
      <c r="N1312" s="3">
        <v>0.16585444999999999</v>
      </c>
      <c r="O1312" s="3">
        <v>1.5753078E-2</v>
      </c>
      <c r="P1312" s="3">
        <v>2.6498836000000001E-2</v>
      </c>
      <c r="Q1312" s="3">
        <v>0.113583718</v>
      </c>
      <c r="R1312" s="3">
        <v>0.24892487999999999</v>
      </c>
      <c r="S1312" s="3">
        <v>1.4688194080000001</v>
      </c>
      <c r="T1312" s="3">
        <v>6.2102556389999997</v>
      </c>
      <c r="U1312" s="3">
        <v>0.861308662</v>
      </c>
      <c r="V1312" s="3">
        <v>0.37262651499999999</v>
      </c>
      <c r="W1312" s="3">
        <v>0.68685375100000001</v>
      </c>
      <c r="X1312" s="3">
        <v>1.175725041</v>
      </c>
      <c r="Y1312" s="3">
        <v>7.5328957130000003</v>
      </c>
      <c r="Z1312" s="3">
        <v>7.2102556389999997</v>
      </c>
      <c r="AA1312" s="3">
        <v>0.101922811</v>
      </c>
      <c r="AB1312" s="3">
        <v>8.5779858860000004</v>
      </c>
      <c r="AC1312" s="3">
        <v>1.7117545620000001</v>
      </c>
      <c r="AD1312" s="3">
        <v>0.15318353500000001</v>
      </c>
      <c r="AE1312" s="3">
        <v>5.0437125280000004</v>
      </c>
      <c r="AF1312" s="4">
        <v>41442</v>
      </c>
      <c r="AG1312" s="5">
        <f>YEAR(AF1312)</f>
        <v>2013</v>
      </c>
      <c r="AH1312" s="5" t="str">
        <f>"Q"&amp;ROUNDUP(MONTH(AF1312)/3,0)</f>
        <v>Q2</v>
      </c>
      <c r="AI1312" s="5">
        <f>INDEX(RatingLookup!$B$2:$B$11,MATCH(A1312,RatingLookup!$A$2:$A$11,0))</f>
        <v>5</v>
      </c>
      <c r="AJ1312" s="5" t="str">
        <f>INDEX(RatingLookup!$C$2:$C$11,MATCH(A1312,RatingLookup!$A$2:$A$11,0))</f>
        <v>Speculative Grade</v>
      </c>
    </row>
    <row r="1313" spans="1:36" x14ac:dyDescent="0.3">
      <c r="A1313" s="3" t="s">
        <v>92</v>
      </c>
      <c r="B1313" s="3" t="s">
        <v>1409</v>
      </c>
      <c r="C1313" s="3" t="s">
        <v>1410</v>
      </c>
      <c r="D1313" s="3" t="s">
        <v>39</v>
      </c>
      <c r="E1313" s="3" t="s">
        <v>761</v>
      </c>
      <c r="F1313" s="3" t="s">
        <v>174</v>
      </c>
      <c r="G1313" s="3">
        <v>0.61275568599999997</v>
      </c>
      <c r="H1313" s="3">
        <v>3.1369392949999999</v>
      </c>
      <c r="I1313" s="3">
        <v>0.22545379300000001</v>
      </c>
      <c r="J1313" s="3">
        <v>0</v>
      </c>
      <c r="K1313" s="3">
        <v>5.6270150999999997E-2</v>
      </c>
      <c r="L1313" s="3">
        <v>9.6119829000000004E-2</v>
      </c>
      <c r="M1313" s="3">
        <v>0.214979217</v>
      </c>
      <c r="N1313" s="3">
        <v>0.15184350399999999</v>
      </c>
      <c r="O1313" s="3">
        <v>1.1145763E-2</v>
      </c>
      <c r="P1313" s="3">
        <v>2.0036636E-2</v>
      </c>
      <c r="Q1313" s="3">
        <v>0.101714714</v>
      </c>
      <c r="R1313" s="3">
        <v>0.198075944</v>
      </c>
      <c r="S1313" s="3">
        <v>1.3293987759999999</v>
      </c>
      <c r="T1313" s="3">
        <v>8.1258635439999995</v>
      </c>
      <c r="U1313" s="3">
        <v>0.89042132900000004</v>
      </c>
      <c r="V1313" s="3">
        <v>0.39319303799999999</v>
      </c>
      <c r="W1313" s="3">
        <v>0.70605314699999999</v>
      </c>
      <c r="X1313" s="3">
        <v>1.2823932659999999</v>
      </c>
      <c r="Y1313" s="3">
        <v>9.516724816</v>
      </c>
      <c r="Z1313" s="3">
        <v>9.1258635439999995</v>
      </c>
      <c r="AA1313" s="3">
        <v>9.6119829000000004E-2</v>
      </c>
      <c r="AB1313" s="3">
        <v>11.527001</v>
      </c>
      <c r="AC1313" s="3">
        <v>1.8162843289999999</v>
      </c>
      <c r="AD1313" s="3">
        <v>0.15048963700000001</v>
      </c>
      <c r="AE1313" s="3">
        <v>4.1237465269999998</v>
      </c>
      <c r="AF1313" s="4">
        <v>41708</v>
      </c>
      <c r="AG1313" s="5">
        <f>YEAR(AF1313)</f>
        <v>2014</v>
      </c>
      <c r="AH1313" s="5" t="str">
        <f>"Q"&amp;ROUNDUP(MONTH(AF1313)/3,0)</f>
        <v>Q1</v>
      </c>
      <c r="AI1313" s="5">
        <f>INDEX(RatingLookup!$B$2:$B$11,MATCH(A1313,RatingLookup!$A$2:$A$11,0))</f>
        <v>6</v>
      </c>
      <c r="AJ1313" s="5" t="str">
        <f>INDEX(RatingLookup!$C$2:$C$11,MATCH(A1313,RatingLookup!$A$2:$A$11,0))</f>
        <v>Speculative Grade</v>
      </c>
    </row>
    <row r="1314" spans="1:36" x14ac:dyDescent="0.3">
      <c r="A1314" s="3" t="s">
        <v>92</v>
      </c>
      <c r="B1314" s="3" t="s">
        <v>1409</v>
      </c>
      <c r="C1314" s="3" t="s">
        <v>1410</v>
      </c>
      <c r="D1314" s="3" t="s">
        <v>39</v>
      </c>
      <c r="E1314" s="3" t="s">
        <v>364</v>
      </c>
      <c r="F1314" s="3" t="s">
        <v>174</v>
      </c>
      <c r="G1314" s="3">
        <v>0.71893161000000005</v>
      </c>
      <c r="H1314" s="3">
        <v>3.6600157969999998</v>
      </c>
      <c r="I1314" s="3">
        <v>0.32125440199999999</v>
      </c>
      <c r="J1314" s="3">
        <v>0</v>
      </c>
      <c r="K1314" s="3">
        <v>5.7604646000000002E-2</v>
      </c>
      <c r="L1314" s="3">
        <v>0.13446839899999999</v>
      </c>
      <c r="M1314" s="3">
        <v>0.22572154</v>
      </c>
      <c r="N1314" s="3">
        <v>0.20292136399999999</v>
      </c>
      <c r="O1314" s="3">
        <v>1.4464454E-2</v>
      </c>
      <c r="P1314" s="3">
        <v>3.5403877E-2</v>
      </c>
      <c r="Q1314" s="3">
        <v>0.126006958</v>
      </c>
      <c r="R1314" s="3">
        <v>0.25109874100000001</v>
      </c>
      <c r="S1314" s="3">
        <v>1.6084706</v>
      </c>
      <c r="T1314" s="3">
        <v>7.711490832</v>
      </c>
      <c r="U1314" s="3">
        <v>0.88520908499999995</v>
      </c>
      <c r="V1314" s="3">
        <v>0.56130153999999999</v>
      </c>
      <c r="W1314" s="3">
        <v>0.544677097</v>
      </c>
      <c r="X1314" s="3">
        <v>0.82022957100000005</v>
      </c>
      <c r="Y1314" s="3">
        <v>9.5869242339999996</v>
      </c>
      <c r="Z1314" s="3">
        <v>8.7114908320000009</v>
      </c>
      <c r="AA1314" s="3">
        <v>0.13446839899999999</v>
      </c>
      <c r="AB1314" s="3">
        <v>8.959416525</v>
      </c>
      <c r="AC1314" s="3">
        <v>1.5059006079999999</v>
      </c>
      <c r="AD1314" s="3">
        <v>0.105996569</v>
      </c>
      <c r="AE1314" s="3">
        <v>5.117120796</v>
      </c>
      <c r="AF1314" s="4">
        <v>41947</v>
      </c>
      <c r="AG1314" s="5">
        <f>YEAR(AF1314)</f>
        <v>2014</v>
      </c>
      <c r="AH1314" s="5" t="str">
        <f>"Q"&amp;ROUNDUP(MONTH(AF1314)/3,0)</f>
        <v>Q4</v>
      </c>
      <c r="AI1314" s="5">
        <f>INDEX(RatingLookup!$B$2:$B$11,MATCH(A1314,RatingLookup!$A$2:$A$11,0))</f>
        <v>6</v>
      </c>
      <c r="AJ1314" s="5" t="str">
        <f>INDEX(RatingLookup!$C$2:$C$11,MATCH(A1314,RatingLookup!$A$2:$A$11,0))</f>
        <v>Speculative Grade</v>
      </c>
    </row>
    <row r="1315" spans="1:36" x14ac:dyDescent="0.3">
      <c r="A1315" s="3" t="s">
        <v>42</v>
      </c>
      <c r="B1315" s="3" t="s">
        <v>1409</v>
      </c>
      <c r="C1315" s="3" t="s">
        <v>1410</v>
      </c>
      <c r="D1315" s="3" t="s">
        <v>60</v>
      </c>
      <c r="E1315" s="3" t="s">
        <v>46</v>
      </c>
      <c r="F1315" s="3" t="s">
        <v>174</v>
      </c>
      <c r="G1315" s="3">
        <v>0.850845937</v>
      </c>
      <c r="H1315" s="3">
        <v>4.1685701540000002</v>
      </c>
      <c r="I1315" s="3">
        <v>0.33341891200000001</v>
      </c>
      <c r="J1315" s="3">
        <v>0</v>
      </c>
      <c r="K1315" s="3">
        <v>6.2564982000000005E-2</v>
      </c>
      <c r="L1315" s="3">
        <v>9.7423187999999994E-2</v>
      </c>
      <c r="M1315" s="3">
        <v>0.20661819300000001</v>
      </c>
      <c r="N1315" s="3">
        <v>0.157034853</v>
      </c>
      <c r="O1315" s="3">
        <v>1.5534511000000001E-2</v>
      </c>
      <c r="P1315" s="3">
        <v>2.5232705000000001E-2</v>
      </c>
      <c r="Q1315" s="3">
        <v>0.104089954</v>
      </c>
      <c r="R1315" s="3">
        <v>0.248294027</v>
      </c>
      <c r="S1315" s="3">
        <v>1.431102208</v>
      </c>
      <c r="T1315" s="3">
        <v>5.7005618870000001</v>
      </c>
      <c r="U1315" s="3">
        <v>0.85075878500000002</v>
      </c>
      <c r="V1315" s="3">
        <v>0.35191192900000001</v>
      </c>
      <c r="W1315" s="3">
        <v>0.69499783599999998</v>
      </c>
      <c r="X1315" s="3">
        <v>1.1515313220000001</v>
      </c>
      <c r="Y1315" s="3">
        <v>6.8622791809999999</v>
      </c>
      <c r="Z1315" s="3">
        <v>6.7005618870000001</v>
      </c>
      <c r="AA1315" s="3">
        <v>9.7423187999999994E-2</v>
      </c>
      <c r="AB1315" s="3">
        <v>7.8984768919999997</v>
      </c>
      <c r="AC1315" s="3">
        <v>1.6568847600000001</v>
      </c>
      <c r="AD1315" s="3">
        <v>0.16757569</v>
      </c>
      <c r="AE1315" s="3">
        <v>5.1197646170000004</v>
      </c>
      <c r="AF1315" s="4">
        <v>41075</v>
      </c>
      <c r="AG1315" s="5">
        <f>YEAR(AF1315)</f>
        <v>2012</v>
      </c>
      <c r="AH1315" s="5" t="str">
        <f>"Q"&amp;ROUNDUP(MONTH(AF1315)/3,0)</f>
        <v>Q2</v>
      </c>
      <c r="AI1315" s="5">
        <f>INDEX(RatingLookup!$B$2:$B$11,MATCH(A1315,RatingLookup!$A$2:$A$11,0))</f>
        <v>7</v>
      </c>
      <c r="AJ1315" s="5" t="str">
        <f>INDEX(RatingLookup!$C$2:$C$11,MATCH(A1315,RatingLookup!$A$2:$A$11,0))</f>
        <v>Investment Grade</v>
      </c>
    </row>
    <row r="1316" spans="1:36" x14ac:dyDescent="0.3">
      <c r="A1316" s="3" t="s">
        <v>42</v>
      </c>
      <c r="B1316" s="3" t="s">
        <v>1409</v>
      </c>
      <c r="C1316" s="3" t="s">
        <v>1410</v>
      </c>
      <c r="D1316" s="3" t="s">
        <v>39</v>
      </c>
      <c r="E1316" s="3" t="s">
        <v>1411</v>
      </c>
      <c r="F1316" s="3" t="s">
        <v>174</v>
      </c>
      <c r="G1316" s="3">
        <v>0.59378393399999996</v>
      </c>
      <c r="H1316" s="3">
        <v>3.6482683730000001</v>
      </c>
      <c r="I1316" s="3">
        <v>0.259145238</v>
      </c>
      <c r="J1316" s="3">
        <v>0</v>
      </c>
      <c r="K1316" s="3">
        <v>7.8279388000000005E-2</v>
      </c>
      <c r="L1316" s="3">
        <v>0.12401335400000001</v>
      </c>
      <c r="M1316" s="3">
        <v>0.225003181</v>
      </c>
      <c r="N1316" s="3">
        <v>0.18426288699999999</v>
      </c>
      <c r="O1316" s="3">
        <v>1.9948309000000001E-2</v>
      </c>
      <c r="P1316" s="3">
        <v>3.3068553000000001E-2</v>
      </c>
      <c r="Q1316" s="3">
        <v>0.19732723799999999</v>
      </c>
      <c r="R1316" s="3">
        <v>0.25483475900000002</v>
      </c>
      <c r="S1316" s="3">
        <v>1.6171248300000001</v>
      </c>
      <c r="T1316" s="3">
        <v>8.8919280290000007</v>
      </c>
      <c r="U1316" s="3">
        <v>0.89890747299999996</v>
      </c>
      <c r="V1316" s="3">
        <v>0.36459196799999999</v>
      </c>
      <c r="W1316" s="3">
        <v>0.68024041400000002</v>
      </c>
      <c r="X1316" s="3">
        <v>1.6031463990000001</v>
      </c>
      <c r="Y1316" s="3">
        <v>9.4576453909999998</v>
      </c>
      <c r="Z1316" s="3">
        <v>9.8919280290000007</v>
      </c>
      <c r="AA1316" s="3">
        <v>0.12401335400000001</v>
      </c>
      <c r="AB1316" s="3">
        <v>9.9101695400000001</v>
      </c>
      <c r="AC1316" s="3">
        <v>2.3567350120000001</v>
      </c>
      <c r="AD1316" s="3">
        <v>0.158113167</v>
      </c>
      <c r="AE1316" s="3">
        <v>5.4735220250000003</v>
      </c>
      <c r="AF1316" s="4">
        <v>42258</v>
      </c>
      <c r="AG1316" s="5">
        <f>YEAR(AF1316)</f>
        <v>2015</v>
      </c>
      <c r="AH1316" s="5" t="str">
        <f>"Q"&amp;ROUNDUP(MONTH(AF1316)/3,0)</f>
        <v>Q3</v>
      </c>
      <c r="AI1316" s="5">
        <f>INDEX(RatingLookup!$B$2:$B$11,MATCH(A1316,RatingLookup!$A$2:$A$11,0))</f>
        <v>7</v>
      </c>
      <c r="AJ1316" s="5" t="str">
        <f>INDEX(RatingLookup!$C$2:$C$11,MATCH(A1316,RatingLookup!$A$2:$A$11,0))</f>
        <v>Investment Grade</v>
      </c>
    </row>
    <row r="1317" spans="1:36" x14ac:dyDescent="0.3">
      <c r="A1317" s="3" t="s">
        <v>109</v>
      </c>
      <c r="B1317" s="3" t="s">
        <v>1412</v>
      </c>
      <c r="C1317" s="3" t="s">
        <v>1413</v>
      </c>
      <c r="D1317" s="3" t="s">
        <v>47</v>
      </c>
      <c r="E1317" s="3" t="s">
        <v>324</v>
      </c>
      <c r="F1317" s="3" t="s">
        <v>53</v>
      </c>
      <c r="G1317" s="3">
        <v>0.92821018799999999</v>
      </c>
      <c r="H1317" s="3">
        <v>0.362727472</v>
      </c>
      <c r="I1317" s="3">
        <v>0.12228312500000001</v>
      </c>
      <c r="J1317" s="3">
        <v>19.182272770000001</v>
      </c>
      <c r="K1317" s="3">
        <v>-2.1492429679999998</v>
      </c>
      <c r="L1317" s="3">
        <v>-2.6153481209999998</v>
      </c>
      <c r="M1317" s="3">
        <v>1</v>
      </c>
      <c r="N1317" s="3">
        <v>-2.556895205</v>
      </c>
      <c r="O1317" s="3">
        <v>-0.59562383100000005</v>
      </c>
      <c r="P1317" s="3">
        <v>-0.82357218099999996</v>
      </c>
      <c r="Q1317" s="3">
        <v>-1.392458653</v>
      </c>
      <c r="R1317" s="3">
        <v>0.277131921</v>
      </c>
      <c r="S1317" s="3">
        <v>0.312294672</v>
      </c>
      <c r="T1317" s="3">
        <v>1.3378155460000001</v>
      </c>
      <c r="U1317" s="3">
        <v>0.57225025699999998</v>
      </c>
      <c r="V1317" s="3">
        <v>0.17821916300000001</v>
      </c>
      <c r="W1317" s="3">
        <v>1</v>
      </c>
      <c r="X1317" s="3">
        <v>2.5575505600000001</v>
      </c>
      <c r="Y1317" s="3">
        <v>0.40492046599999998</v>
      </c>
      <c r="Z1317" s="3">
        <v>2.3378155459999999</v>
      </c>
      <c r="AA1317" s="3">
        <v>-2.6153481209999998</v>
      </c>
      <c r="AB1317" s="3">
        <v>-2.0525568299999999</v>
      </c>
      <c r="AC1317" s="3">
        <v>2.5575505600000001</v>
      </c>
      <c r="AD1317" s="3">
        <v>0.65956814200000002</v>
      </c>
      <c r="AE1317" s="3">
        <v>0</v>
      </c>
      <c r="AF1317" s="4">
        <v>42409</v>
      </c>
      <c r="AG1317" s="5">
        <f>YEAR(AF1317)</f>
        <v>2016</v>
      </c>
      <c r="AH1317" s="5" t="str">
        <f>"Q"&amp;ROUNDUP(MONTH(AF1317)/3,0)</f>
        <v>Q1</v>
      </c>
      <c r="AI1317" s="5">
        <f>INDEX(RatingLookup!$B$2:$B$11,MATCH(A1317,RatingLookup!$A$2:$A$11,0))</f>
        <v>5</v>
      </c>
      <c r="AJ1317" s="5" t="str">
        <f>INDEX(RatingLookup!$C$2:$C$11,MATCH(A1317,RatingLookup!$A$2:$A$11,0))</f>
        <v>Speculative Grade</v>
      </c>
    </row>
    <row r="1318" spans="1:36" x14ac:dyDescent="0.3">
      <c r="A1318" s="3" t="s">
        <v>109</v>
      </c>
      <c r="B1318" s="3" t="s">
        <v>1414</v>
      </c>
      <c r="C1318" s="3" t="s">
        <v>1415</v>
      </c>
      <c r="D1318" s="3" t="s">
        <v>47</v>
      </c>
      <c r="E1318" s="3" t="s">
        <v>740</v>
      </c>
      <c r="F1318" s="3" t="s">
        <v>219</v>
      </c>
      <c r="G1318" s="3">
        <v>1.7335191750000001</v>
      </c>
      <c r="H1318" s="3">
        <v>1.1458732810000001</v>
      </c>
      <c r="I1318" s="3">
        <v>0.66337015399999999</v>
      </c>
      <c r="J1318" s="3">
        <v>47.486136889999997</v>
      </c>
      <c r="K1318" s="3">
        <v>-4.884227E-2</v>
      </c>
      <c r="L1318" s="3">
        <v>-8.1928290000000001E-2</v>
      </c>
      <c r="M1318" s="3">
        <v>0.14570211899999999</v>
      </c>
      <c r="N1318" s="3">
        <v>-7.1302830999999997E-2</v>
      </c>
      <c r="O1318" s="3">
        <v>-2.5528206000000001E-2</v>
      </c>
      <c r="P1318" s="3">
        <v>-4.9845842000000001E-2</v>
      </c>
      <c r="Q1318" s="3">
        <v>-8.2463589000000004E-2</v>
      </c>
      <c r="R1318" s="3">
        <v>0.522666242</v>
      </c>
      <c r="S1318" s="3">
        <v>0.70789606599999999</v>
      </c>
      <c r="T1318" s="3">
        <v>2.2302931830000001</v>
      </c>
      <c r="U1318" s="3">
        <v>0.69043057600000002</v>
      </c>
      <c r="V1318" s="3">
        <v>0.40384120699999998</v>
      </c>
      <c r="W1318" s="3">
        <v>-12.913980199999999</v>
      </c>
      <c r="X1318" s="3">
        <v>-17.935773879999999</v>
      </c>
      <c r="Y1318" s="3">
        <v>5.5940379819999997</v>
      </c>
      <c r="Z1318" s="3">
        <v>3.2302931830000001</v>
      </c>
      <c r="AA1318" s="3">
        <v>-8.1928290000000001E-2</v>
      </c>
      <c r="AB1318" s="3">
        <v>-50.756404910000001</v>
      </c>
      <c r="AC1318" s="3">
        <v>1.388864906</v>
      </c>
      <c r="AD1318" s="3">
        <v>4.4408322E-2</v>
      </c>
      <c r="AE1318" s="3">
        <v>5.6302012929999998</v>
      </c>
      <c r="AF1318" s="4">
        <v>42314</v>
      </c>
      <c r="AG1318" s="5">
        <f>YEAR(AF1318)</f>
        <v>2015</v>
      </c>
      <c r="AH1318" s="5" t="str">
        <f>"Q"&amp;ROUNDUP(MONTH(AF1318)/3,0)</f>
        <v>Q4</v>
      </c>
      <c r="AI1318" s="5">
        <f>INDEX(RatingLookup!$B$2:$B$11,MATCH(A1318,RatingLookup!$A$2:$A$11,0))</f>
        <v>5</v>
      </c>
      <c r="AJ1318" s="5" t="str">
        <f>INDEX(RatingLookup!$C$2:$C$11,MATCH(A1318,RatingLookup!$A$2:$A$11,0))</f>
        <v>Speculative Grade</v>
      </c>
    </row>
    <row r="1319" spans="1:36" x14ac:dyDescent="0.3">
      <c r="A1319" s="3" t="s">
        <v>109</v>
      </c>
      <c r="B1319" s="3" t="s">
        <v>1414</v>
      </c>
      <c r="C1319" s="3" t="s">
        <v>1415</v>
      </c>
      <c r="D1319" s="3" t="s">
        <v>47</v>
      </c>
      <c r="E1319" s="3" t="s">
        <v>435</v>
      </c>
      <c r="F1319" s="3" t="s">
        <v>219</v>
      </c>
      <c r="G1319" s="3">
        <v>1.506461753</v>
      </c>
      <c r="H1319" s="3">
        <v>0.92573557500000003</v>
      </c>
      <c r="I1319" s="3">
        <v>0.49911847399999998</v>
      </c>
      <c r="J1319" s="3">
        <v>49.986344889999998</v>
      </c>
      <c r="K1319" s="3">
        <v>0.29944605400000002</v>
      </c>
      <c r="L1319" s="3">
        <v>0.18743943299999999</v>
      </c>
      <c r="M1319" s="3">
        <v>-0.13162833500000001</v>
      </c>
      <c r="N1319" s="3">
        <v>-0.24086121999999999</v>
      </c>
      <c r="O1319" s="3">
        <v>8.8292061000000005E-2</v>
      </c>
      <c r="P1319" s="3">
        <v>6.1044676999999999E-2</v>
      </c>
      <c r="Q1319" s="3">
        <v>0.227746273</v>
      </c>
      <c r="R1319" s="3">
        <v>0.29485130900000001</v>
      </c>
      <c r="S1319" s="3">
        <v>0.34717292100000002</v>
      </c>
      <c r="T1319" s="3">
        <v>1.5794649080000001</v>
      </c>
      <c r="U1319" s="3">
        <v>0.612322696</v>
      </c>
      <c r="V1319" s="3">
        <v>-0.59756167000000004</v>
      </c>
      <c r="W1319" s="3">
        <v>10.579618699999999</v>
      </c>
      <c r="X1319" s="3">
        <v>-9.2216206520000004</v>
      </c>
      <c r="Y1319" s="3">
        <v>2.3578324319999999</v>
      </c>
      <c r="Z1319" s="3">
        <v>2.5794649079999998</v>
      </c>
      <c r="AA1319" s="3">
        <v>0.18743943299999999</v>
      </c>
      <c r="AB1319" s="3">
        <v>-22.131287830000002</v>
      </c>
      <c r="AC1319" s="3">
        <v>-0.87164017100000002</v>
      </c>
      <c r="AD1319" s="3">
        <v>-5.9230881999999999E-2</v>
      </c>
      <c r="AE1319" s="3">
        <v>7.8142351510000001</v>
      </c>
      <c r="AF1319" s="4">
        <v>42556</v>
      </c>
      <c r="AG1319" s="5">
        <f>YEAR(AF1319)</f>
        <v>2016</v>
      </c>
      <c r="AH1319" s="5" t="str">
        <f>"Q"&amp;ROUNDUP(MONTH(AF1319)/3,0)</f>
        <v>Q3</v>
      </c>
      <c r="AI1319" s="5">
        <f>INDEX(RatingLookup!$B$2:$B$11,MATCH(A1319,RatingLookup!$A$2:$A$11,0))</f>
        <v>5</v>
      </c>
      <c r="AJ1319" s="5" t="str">
        <f>INDEX(RatingLookup!$C$2:$C$11,MATCH(A1319,RatingLookup!$A$2:$A$11,0))</f>
        <v>Speculative Grade</v>
      </c>
    </row>
    <row r="1320" spans="1:36" x14ac:dyDescent="0.3">
      <c r="A1320" s="3" t="s">
        <v>109</v>
      </c>
      <c r="B1320" s="3" t="s">
        <v>1414</v>
      </c>
      <c r="C1320" s="3" t="s">
        <v>1415</v>
      </c>
      <c r="D1320" s="3" t="s">
        <v>47</v>
      </c>
      <c r="E1320" s="3" t="s">
        <v>1032</v>
      </c>
      <c r="F1320" s="3" t="s">
        <v>219</v>
      </c>
      <c r="G1320" s="3">
        <v>2.6979910729999999</v>
      </c>
      <c r="H1320" s="3">
        <v>1.863909518</v>
      </c>
      <c r="I1320" s="3">
        <v>1.203237213</v>
      </c>
      <c r="J1320" s="3">
        <v>43.886103939999998</v>
      </c>
      <c r="K1320" s="3">
        <v>2.6803730000000001E-2</v>
      </c>
      <c r="L1320" s="3">
        <v>4.3731826000000001E-2</v>
      </c>
      <c r="M1320" s="3">
        <v>0.209355504</v>
      </c>
      <c r="N1320" s="3">
        <v>7.2848151999999999E-2</v>
      </c>
      <c r="O1320" s="3">
        <v>1.7268174000000001E-2</v>
      </c>
      <c r="P1320" s="3">
        <v>3.2629554999999998E-2</v>
      </c>
      <c r="Q1320" s="3">
        <v>4.5234627999999999E-2</v>
      </c>
      <c r="R1320" s="3">
        <v>0.64424518799999997</v>
      </c>
      <c r="S1320" s="3">
        <v>1.1829846340000001</v>
      </c>
      <c r="T1320" s="3">
        <v>1.6195374709999999</v>
      </c>
      <c r="U1320" s="3">
        <v>0.61825321799999999</v>
      </c>
      <c r="V1320" s="3">
        <v>0.387088718</v>
      </c>
      <c r="W1320" s="3">
        <v>-2.2938091809999999</v>
      </c>
      <c r="X1320" s="3">
        <v>-6.7817338009999997</v>
      </c>
      <c r="Y1320" s="3">
        <v>8.9174098510000004</v>
      </c>
      <c r="Z1320" s="3">
        <v>2.6195374710000001</v>
      </c>
      <c r="AA1320" s="3">
        <v>4.3731826000000001E-2</v>
      </c>
      <c r="AB1320" s="3">
        <v>10.960299859999999</v>
      </c>
      <c r="AC1320" s="3">
        <v>2.9565379090000001</v>
      </c>
      <c r="AD1320" s="3">
        <v>9.1116845000000002E-2</v>
      </c>
      <c r="AE1320" s="3">
        <v>7.1100348650000003</v>
      </c>
      <c r="AF1320" s="4">
        <v>41849</v>
      </c>
      <c r="AG1320" s="5">
        <f>YEAR(AF1320)</f>
        <v>2014</v>
      </c>
      <c r="AH1320" s="5" t="str">
        <f>"Q"&amp;ROUNDUP(MONTH(AF1320)/3,0)</f>
        <v>Q3</v>
      </c>
      <c r="AI1320" s="5">
        <f>INDEX(RatingLookup!$B$2:$B$11,MATCH(A1320,RatingLookup!$A$2:$A$11,0))</f>
        <v>5</v>
      </c>
      <c r="AJ1320" s="5" t="str">
        <f>INDEX(RatingLookup!$C$2:$C$11,MATCH(A1320,RatingLookup!$A$2:$A$11,0))</f>
        <v>Speculative Grade</v>
      </c>
    </row>
    <row r="1321" spans="1:36" x14ac:dyDescent="0.3">
      <c r="A1321" s="3" t="s">
        <v>109</v>
      </c>
      <c r="B1321" s="3" t="s">
        <v>1414</v>
      </c>
      <c r="C1321" s="3" t="s">
        <v>1415</v>
      </c>
      <c r="D1321" s="3" t="s">
        <v>47</v>
      </c>
      <c r="E1321" s="3" t="s">
        <v>1416</v>
      </c>
      <c r="F1321" s="3" t="s">
        <v>219</v>
      </c>
      <c r="G1321" s="3">
        <v>2.6426997679999999</v>
      </c>
      <c r="H1321" s="3">
        <v>3.2437095290000002</v>
      </c>
      <c r="I1321" s="3">
        <v>1.073618486</v>
      </c>
      <c r="J1321" s="3">
        <v>43.292525840000003</v>
      </c>
      <c r="K1321" s="3">
        <v>8.0911308000000001E-2</v>
      </c>
      <c r="L1321" s="3">
        <v>0.132677351</v>
      </c>
      <c r="M1321" s="3">
        <v>0.211333354</v>
      </c>
      <c r="N1321" s="3">
        <v>0.155027257</v>
      </c>
      <c r="O1321" s="3">
        <v>5.0745223999999998E-2</v>
      </c>
      <c r="P1321" s="3">
        <v>9.4949031000000003E-2</v>
      </c>
      <c r="Q1321" s="3">
        <v>0.13349525800000001</v>
      </c>
      <c r="R1321" s="3">
        <v>0.62717097399999999</v>
      </c>
      <c r="S1321" s="3">
        <v>1.629763364</v>
      </c>
      <c r="T1321" s="3">
        <v>1.6306959910000001</v>
      </c>
      <c r="U1321" s="3">
        <v>0.61987245800000002</v>
      </c>
      <c r="V1321" s="3">
        <v>0.39301644400000002</v>
      </c>
      <c r="W1321" s="3">
        <v>-1.9114235500000001</v>
      </c>
      <c r="X1321" s="3">
        <v>-4.5992072349999997</v>
      </c>
      <c r="Y1321" s="3">
        <v>15.74614862</v>
      </c>
      <c r="Z1321" s="3">
        <v>2.6306959910000001</v>
      </c>
      <c r="AA1321" s="3">
        <v>0.132677351</v>
      </c>
      <c r="AB1321" s="3">
        <v>8.0213773289999999</v>
      </c>
      <c r="AC1321" s="3">
        <v>2.406168552</v>
      </c>
      <c r="AD1321" s="3">
        <v>7.9576085000000005E-2</v>
      </c>
      <c r="AE1321" s="3">
        <v>8.6722946180000005</v>
      </c>
      <c r="AF1321" s="4">
        <v>41513</v>
      </c>
      <c r="AG1321" s="5">
        <f>YEAR(AF1321)</f>
        <v>2013</v>
      </c>
      <c r="AH1321" s="5" t="str">
        <f>"Q"&amp;ROUNDUP(MONTH(AF1321)/3,0)</f>
        <v>Q3</v>
      </c>
      <c r="AI1321" s="5">
        <f>INDEX(RatingLookup!$B$2:$B$11,MATCH(A1321,RatingLookup!$A$2:$A$11,0))</f>
        <v>5</v>
      </c>
      <c r="AJ1321" s="5" t="str">
        <f>INDEX(RatingLookup!$C$2:$C$11,MATCH(A1321,RatingLookup!$A$2:$A$11,0))</f>
        <v>Speculative Grade</v>
      </c>
    </row>
    <row r="1322" spans="1:36" x14ac:dyDescent="0.3">
      <c r="A1322" s="3" t="s">
        <v>42</v>
      </c>
      <c r="B1322" s="3" t="s">
        <v>1417</v>
      </c>
      <c r="C1322" s="3" t="s">
        <v>1418</v>
      </c>
      <c r="D1322" s="3" t="s">
        <v>60</v>
      </c>
      <c r="E1322" s="3" t="s">
        <v>496</v>
      </c>
      <c r="F1322" s="3" t="s">
        <v>59</v>
      </c>
      <c r="G1322" s="3">
        <v>1.82747181</v>
      </c>
      <c r="H1322" s="3">
        <v>2.6306621080000001</v>
      </c>
      <c r="I1322" s="3">
        <v>0.233492224</v>
      </c>
      <c r="J1322" s="3">
        <v>85.111358710000005</v>
      </c>
      <c r="K1322" s="3">
        <v>9.7995425999999997E-2</v>
      </c>
      <c r="L1322" s="3">
        <v>9.9123463999999994E-2</v>
      </c>
      <c r="M1322" s="3">
        <v>0.34071136400000002</v>
      </c>
      <c r="N1322" s="3">
        <v>0.15344933699999999</v>
      </c>
      <c r="O1322" s="3">
        <v>9.6397804000000004E-2</v>
      </c>
      <c r="P1322" s="3">
        <v>0.14118156700000001</v>
      </c>
      <c r="Q1322" s="3">
        <v>0.25958909899999999</v>
      </c>
      <c r="R1322" s="3">
        <v>0.98369697199999995</v>
      </c>
      <c r="S1322" s="3">
        <v>6.9170669939999998</v>
      </c>
      <c r="T1322" s="3">
        <v>1.6928943279999999</v>
      </c>
      <c r="U1322" s="3">
        <v>0.62865234299999995</v>
      </c>
      <c r="V1322" s="3">
        <v>0.41680529599999999</v>
      </c>
      <c r="W1322" s="3">
        <v>0.71483868100000003</v>
      </c>
      <c r="X1322" s="3">
        <v>2.4623690850000002</v>
      </c>
      <c r="Y1322" s="3">
        <v>20.78761149</v>
      </c>
      <c r="Z1322" s="3">
        <v>2.6928943279999999</v>
      </c>
      <c r="AA1322" s="3">
        <v>9.9123463999999994E-2</v>
      </c>
      <c r="AB1322" s="3">
        <v>12.81689729</v>
      </c>
      <c r="AC1322" s="3">
        <v>3.4446500329999998</v>
      </c>
      <c r="AD1322" s="3">
        <v>9.8445308999999995E-2</v>
      </c>
      <c r="AE1322" s="3">
        <v>5.3366552739999999</v>
      </c>
      <c r="AF1322" s="4">
        <v>41575</v>
      </c>
      <c r="AG1322" s="5">
        <f>YEAR(AF1322)</f>
        <v>2013</v>
      </c>
      <c r="AH1322" s="5" t="str">
        <f>"Q"&amp;ROUNDUP(MONTH(AF1322)/3,0)</f>
        <v>Q4</v>
      </c>
      <c r="AI1322" s="5">
        <f>INDEX(RatingLookup!$B$2:$B$11,MATCH(A1322,RatingLookup!$A$2:$A$11,0))</f>
        <v>7</v>
      </c>
      <c r="AJ1322" s="5" t="str">
        <f>INDEX(RatingLookup!$C$2:$C$11,MATCH(A1322,RatingLookup!$A$2:$A$11,0))</f>
        <v>Investment Grade</v>
      </c>
    </row>
    <row r="1323" spans="1:36" x14ac:dyDescent="0.3">
      <c r="A1323" s="3" t="s">
        <v>42</v>
      </c>
      <c r="B1323" s="3" t="s">
        <v>1417</v>
      </c>
      <c r="C1323" s="3" t="s">
        <v>1418</v>
      </c>
      <c r="D1323" s="3" t="s">
        <v>44</v>
      </c>
      <c r="E1323" s="3" t="s">
        <v>1036</v>
      </c>
      <c r="F1323" s="3" t="s">
        <v>59</v>
      </c>
      <c r="G1323" s="3">
        <v>1.8983697660000001</v>
      </c>
      <c r="H1323" s="3">
        <v>2.8229231420000001</v>
      </c>
      <c r="I1323" s="3">
        <v>0.30597027599999999</v>
      </c>
      <c r="J1323" s="3">
        <v>80.996816240000001</v>
      </c>
      <c r="K1323" s="3">
        <v>0.106362491</v>
      </c>
      <c r="L1323" s="3">
        <v>7.5040514000000003E-2</v>
      </c>
      <c r="M1323" s="3">
        <v>0.35150828699999997</v>
      </c>
      <c r="N1323" s="3">
        <v>0.16192099600000001</v>
      </c>
      <c r="O1323" s="3">
        <v>0.104432752</v>
      </c>
      <c r="P1323" s="3">
        <v>0.104697889</v>
      </c>
      <c r="Q1323" s="3">
        <v>0.26860333800000002</v>
      </c>
      <c r="R1323" s="3">
        <v>0.98185695699999997</v>
      </c>
      <c r="S1323" s="3">
        <v>7.0298581459999996</v>
      </c>
      <c r="T1323" s="3">
        <v>1.5720220220000001</v>
      </c>
      <c r="U1323" s="3">
        <v>0.61120084100000005</v>
      </c>
      <c r="V1323" s="3">
        <v>0.56907870500000002</v>
      </c>
      <c r="W1323" s="3">
        <v>0.76772709900000002</v>
      </c>
      <c r="X1323" s="3">
        <v>3.2016404700000001</v>
      </c>
      <c r="Y1323" s="3">
        <v>22.441736299999999</v>
      </c>
      <c r="Z1323" s="3">
        <v>2.5720220220000001</v>
      </c>
      <c r="AA1323" s="3">
        <v>7.5040514000000003E-2</v>
      </c>
      <c r="AB1323" s="3">
        <v>9.0710201539999993</v>
      </c>
      <c r="AC1323" s="3">
        <v>4.170284562</v>
      </c>
      <c r="AD1323" s="3">
        <v>0.11705114</v>
      </c>
      <c r="AE1323" s="3">
        <v>5.1711466939999999</v>
      </c>
      <c r="AF1323" s="4">
        <v>42073</v>
      </c>
      <c r="AG1323" s="5">
        <f>YEAR(AF1323)</f>
        <v>2015</v>
      </c>
      <c r="AH1323" s="5" t="str">
        <f>"Q"&amp;ROUNDUP(MONTH(AF1323)/3,0)</f>
        <v>Q1</v>
      </c>
      <c r="AI1323" s="5">
        <f>INDEX(RatingLookup!$B$2:$B$11,MATCH(A1323,RatingLookup!$A$2:$A$11,0))</f>
        <v>7</v>
      </c>
      <c r="AJ1323" s="5" t="str">
        <f>INDEX(RatingLookup!$C$2:$C$11,MATCH(A1323,RatingLookup!$A$2:$A$11,0))</f>
        <v>Investment Grade</v>
      </c>
    </row>
    <row r="1324" spans="1:36" x14ac:dyDescent="0.3">
      <c r="A1324" s="3" t="s">
        <v>36</v>
      </c>
      <c r="B1324" s="3" t="s">
        <v>1417</v>
      </c>
      <c r="C1324" s="3" t="s">
        <v>1418</v>
      </c>
      <c r="D1324" s="3" t="s">
        <v>39</v>
      </c>
      <c r="E1324" s="3" t="s">
        <v>1419</v>
      </c>
      <c r="F1324" s="3" t="s">
        <v>59</v>
      </c>
      <c r="G1324" s="3">
        <v>1.9351952480000001</v>
      </c>
      <c r="H1324" s="3">
        <v>0.99623004199999998</v>
      </c>
      <c r="I1324" s="3">
        <v>0.26945164599999999</v>
      </c>
      <c r="J1324" s="3">
        <v>79.096764329999999</v>
      </c>
      <c r="K1324" s="3">
        <v>5.8686085999999998E-2</v>
      </c>
      <c r="L1324" s="3">
        <v>2.5229827E-2</v>
      </c>
      <c r="M1324" s="3">
        <v>0.326092571</v>
      </c>
      <c r="N1324" s="3">
        <v>0.115230112</v>
      </c>
      <c r="O1324" s="3">
        <v>5.2444526999999998E-2</v>
      </c>
      <c r="P1324" s="3">
        <v>3.0736495999999999E-2</v>
      </c>
      <c r="Q1324" s="3">
        <v>0.16061967899999999</v>
      </c>
      <c r="R1324" s="3">
        <v>0.893644993</v>
      </c>
      <c r="S1324" s="3">
        <v>6.0138022510000004</v>
      </c>
      <c r="T1324" s="3">
        <v>2.0626585309999999</v>
      </c>
      <c r="U1324" s="3">
        <v>0.67348629000000004</v>
      </c>
      <c r="V1324" s="3">
        <v>1.294141161</v>
      </c>
      <c r="W1324" s="3">
        <v>0.56397869099999998</v>
      </c>
      <c r="X1324" s="3">
        <v>1.767670619</v>
      </c>
      <c r="Y1324" s="3">
        <v>2.753685919</v>
      </c>
      <c r="Z1324" s="3">
        <v>3.0626585309999999</v>
      </c>
      <c r="AA1324" s="3">
        <v>2.5229827E-2</v>
      </c>
      <c r="AB1324" s="3">
        <v>9.8165268940000008</v>
      </c>
      <c r="AC1324" s="3">
        <v>3.1342861869999998</v>
      </c>
      <c r="AD1324" s="3">
        <v>9.1446888000000004E-2</v>
      </c>
      <c r="AE1324" s="3">
        <v>6.2552902250000004</v>
      </c>
      <c r="AF1324" s="4">
        <v>42250</v>
      </c>
      <c r="AG1324" s="5">
        <f>YEAR(AF1324)</f>
        <v>2015</v>
      </c>
      <c r="AH1324" s="5" t="str">
        <f>"Q"&amp;ROUNDUP(MONTH(AF1324)/3,0)</f>
        <v>Q3</v>
      </c>
      <c r="AI1324" s="5">
        <f>INDEX(RatingLookup!$B$2:$B$11,MATCH(A1324,RatingLookup!$A$2:$A$11,0))</f>
        <v>8</v>
      </c>
      <c r="AJ1324" s="5" t="str">
        <f>INDEX(RatingLookup!$C$2:$C$11,MATCH(A1324,RatingLookup!$A$2:$A$11,0))</f>
        <v>Investment Grade</v>
      </c>
    </row>
    <row r="1325" spans="1:36" x14ac:dyDescent="0.3">
      <c r="A1325" s="3" t="s">
        <v>42</v>
      </c>
      <c r="B1325" s="3" t="s">
        <v>1417</v>
      </c>
      <c r="C1325" s="3" t="s">
        <v>1418</v>
      </c>
      <c r="D1325" s="3" t="s">
        <v>44</v>
      </c>
      <c r="E1325" s="3" t="s">
        <v>1420</v>
      </c>
      <c r="F1325" s="3" t="s">
        <v>59</v>
      </c>
      <c r="G1325" s="3">
        <v>1.9497750410000001</v>
      </c>
      <c r="H1325" s="3">
        <v>1.060556431</v>
      </c>
      <c r="I1325" s="3">
        <v>0.31156666700000002</v>
      </c>
      <c r="J1325" s="3">
        <v>80.732720090000001</v>
      </c>
      <c r="K1325" s="3">
        <v>3.3192691000000003E-2</v>
      </c>
      <c r="L1325" s="3">
        <v>1.2451864E-2</v>
      </c>
      <c r="M1325" s="3">
        <v>0.30854204000000002</v>
      </c>
      <c r="N1325" s="3">
        <v>6.7150952E-2</v>
      </c>
      <c r="O1325" s="3">
        <v>2.8128513000000001E-2</v>
      </c>
      <c r="P1325" s="3">
        <v>1.407427E-2</v>
      </c>
      <c r="Q1325" s="3">
        <v>8.1943076000000004E-2</v>
      </c>
      <c r="R1325" s="3">
        <v>0.847430931</v>
      </c>
      <c r="S1325" s="3">
        <v>5.5056008170000004</v>
      </c>
      <c r="T1325" s="3">
        <v>1.9131677460000001</v>
      </c>
      <c r="U1325" s="3">
        <v>0.656731061</v>
      </c>
      <c r="V1325" s="3">
        <v>1.5572863210000001</v>
      </c>
      <c r="W1325" s="3">
        <v>0.62699396200000002</v>
      </c>
      <c r="X1325" s="3">
        <v>1.155981661</v>
      </c>
      <c r="Y1325" s="3">
        <v>2.8149687189999999</v>
      </c>
      <c r="Z1325" s="3">
        <v>2.9131677460000001</v>
      </c>
      <c r="AA1325" s="3">
        <v>1.2451864E-2</v>
      </c>
      <c r="AB1325" s="3">
        <v>20.242589639999998</v>
      </c>
      <c r="AC1325" s="3">
        <v>1.8436886649999999</v>
      </c>
      <c r="AD1325" s="3">
        <v>6.0262319000000002E-2</v>
      </c>
      <c r="AE1325" s="3">
        <v>6.695804527</v>
      </c>
      <c r="AF1325" s="4">
        <v>42647</v>
      </c>
      <c r="AG1325" s="5">
        <f>YEAR(AF1325)</f>
        <v>2016</v>
      </c>
      <c r="AH1325" s="5" t="str">
        <f>"Q"&amp;ROUNDUP(MONTH(AF1325)/3,0)</f>
        <v>Q4</v>
      </c>
      <c r="AI1325" s="5">
        <f>INDEX(RatingLookup!$B$2:$B$11,MATCH(A1325,RatingLookup!$A$2:$A$11,0))</f>
        <v>7</v>
      </c>
      <c r="AJ1325" s="5" t="str">
        <f>INDEX(RatingLookup!$C$2:$C$11,MATCH(A1325,RatingLookup!$A$2:$A$11,0))</f>
        <v>Investment Grade</v>
      </c>
    </row>
    <row r="1326" spans="1:36" x14ac:dyDescent="0.3">
      <c r="A1326" s="3" t="s">
        <v>42</v>
      </c>
      <c r="B1326" s="3" t="s">
        <v>1417</v>
      </c>
      <c r="C1326" s="3" t="s">
        <v>1418</v>
      </c>
      <c r="D1326" s="3" t="s">
        <v>60</v>
      </c>
      <c r="E1326" s="3" t="s">
        <v>1421</v>
      </c>
      <c r="F1326" s="3" t="s">
        <v>59</v>
      </c>
      <c r="G1326" s="3">
        <v>1.722729116</v>
      </c>
      <c r="H1326" s="3">
        <v>2.3447217290000002</v>
      </c>
      <c r="I1326" s="3">
        <v>0.191278271</v>
      </c>
      <c r="J1326" s="3">
        <v>84.788574339999997</v>
      </c>
      <c r="K1326" s="3">
        <v>9.4360557999999997E-2</v>
      </c>
      <c r="L1326" s="3">
        <v>9.3127642999999996E-2</v>
      </c>
      <c r="M1326" s="3">
        <v>0.33273799199999998</v>
      </c>
      <c r="N1326" s="3">
        <v>0.14222895899999999</v>
      </c>
      <c r="O1326" s="3">
        <v>9.3191210999999996E-2</v>
      </c>
      <c r="P1326" s="3">
        <v>0.13740225</v>
      </c>
      <c r="Q1326" s="3">
        <v>0.237188918</v>
      </c>
      <c r="R1326" s="3">
        <v>0.98760766600000005</v>
      </c>
      <c r="S1326" s="3">
        <v>7.2630564419999999</v>
      </c>
      <c r="T1326" s="3">
        <v>1.5451855050000001</v>
      </c>
      <c r="U1326" s="3">
        <v>0.60710132999999999</v>
      </c>
      <c r="V1326" s="3">
        <v>0.36332859499999998</v>
      </c>
      <c r="W1326" s="3">
        <v>0.73790149500000002</v>
      </c>
      <c r="X1326" s="3">
        <v>7.2985674119999997</v>
      </c>
      <c r="Y1326" s="3">
        <v>50.223762979999997</v>
      </c>
      <c r="Z1326" s="3">
        <v>2.5451855050000001</v>
      </c>
      <c r="AA1326" s="3">
        <v>9.3127642999999996E-2</v>
      </c>
      <c r="AB1326" s="3">
        <v>4.2902280580000003</v>
      </c>
      <c r="AC1326" s="3">
        <v>9.8909779469999997</v>
      </c>
      <c r="AD1326" s="3">
        <v>0.108838793</v>
      </c>
      <c r="AE1326" s="3">
        <v>5.1392251580000003</v>
      </c>
      <c r="AF1326" s="4">
        <v>41158</v>
      </c>
      <c r="AG1326" s="5">
        <f>YEAR(AF1326)</f>
        <v>2012</v>
      </c>
      <c r="AH1326" s="5" t="str">
        <f>"Q"&amp;ROUNDUP(MONTH(AF1326)/3,0)</f>
        <v>Q3</v>
      </c>
      <c r="AI1326" s="5">
        <f>INDEX(RatingLookup!$B$2:$B$11,MATCH(A1326,RatingLookup!$A$2:$A$11,0))</f>
        <v>7</v>
      </c>
      <c r="AJ1326" s="5" t="str">
        <f>INDEX(RatingLookup!$C$2:$C$11,MATCH(A1326,RatingLookup!$A$2:$A$11,0))</f>
        <v>Investment Grade</v>
      </c>
    </row>
    <row r="1327" spans="1:36" x14ac:dyDescent="0.3">
      <c r="A1327" s="3" t="s">
        <v>92</v>
      </c>
      <c r="B1327" s="3" t="s">
        <v>1417</v>
      </c>
      <c r="C1327" s="3" t="s">
        <v>1418</v>
      </c>
      <c r="D1327" s="3" t="s">
        <v>44</v>
      </c>
      <c r="E1327" s="3" t="s">
        <v>46</v>
      </c>
      <c r="F1327" s="3" t="s">
        <v>59</v>
      </c>
      <c r="G1327" s="3">
        <v>1.7876055639999999</v>
      </c>
      <c r="H1327" s="3">
        <v>0.95054413299999996</v>
      </c>
      <c r="I1327" s="3">
        <v>0.22944377499999999</v>
      </c>
      <c r="J1327" s="3">
        <v>85.803467519999998</v>
      </c>
      <c r="K1327" s="3">
        <v>9.5025032999999995E-2</v>
      </c>
      <c r="L1327" s="3">
        <v>8.0615476000000005E-2</v>
      </c>
      <c r="M1327" s="3">
        <v>0.33560499900000001</v>
      </c>
      <c r="N1327" s="3">
        <v>0.137172822</v>
      </c>
      <c r="O1327" s="3">
        <v>9.2714209000000006E-2</v>
      </c>
      <c r="P1327" s="3">
        <v>0.11534207</v>
      </c>
      <c r="Q1327" s="3">
        <v>0.18881819799999999</v>
      </c>
      <c r="R1327" s="3">
        <v>0.97568194100000005</v>
      </c>
      <c r="S1327" s="3">
        <v>7.532745104</v>
      </c>
      <c r="T1327" s="3">
        <v>1.0365616019999999</v>
      </c>
      <c r="U1327" s="3">
        <v>0.50897630599999999</v>
      </c>
      <c r="V1327" s="3">
        <v>0.43599419099999998</v>
      </c>
      <c r="W1327" s="3">
        <v>0.50522196200000002</v>
      </c>
      <c r="X1327" s="3">
        <v>1.9848765820000001</v>
      </c>
      <c r="Y1327" s="3">
        <v>6.073780674</v>
      </c>
      <c r="Z1327" s="3">
        <v>2.0365616019999999</v>
      </c>
      <c r="AA1327" s="3">
        <v>8.0615476000000005E-2</v>
      </c>
      <c r="AB1327" s="3">
        <v>3.0035522100000001</v>
      </c>
      <c r="AC1327" s="3">
        <v>3.9287218909999999</v>
      </c>
      <c r="AD1327" s="3">
        <v>4.8382100999999997E-2</v>
      </c>
      <c r="AE1327" s="3">
        <v>5.016481346</v>
      </c>
      <c r="AF1327" s="4">
        <v>41075</v>
      </c>
      <c r="AG1327" s="5">
        <f>YEAR(AF1327)</f>
        <v>2012</v>
      </c>
      <c r="AH1327" s="5" t="str">
        <f>"Q"&amp;ROUNDUP(MONTH(AF1327)/3,0)</f>
        <v>Q2</v>
      </c>
      <c r="AI1327" s="5">
        <f>INDEX(RatingLookup!$B$2:$B$11,MATCH(A1327,RatingLookup!$A$2:$A$11,0))</f>
        <v>6</v>
      </c>
      <c r="AJ1327" s="5" t="str">
        <f>INDEX(RatingLookup!$C$2:$C$11,MATCH(A1327,RatingLookup!$A$2:$A$11,0))</f>
        <v>Speculative Grade</v>
      </c>
    </row>
    <row r="1328" spans="1:36" x14ac:dyDescent="0.3">
      <c r="A1328" s="3" t="s">
        <v>36</v>
      </c>
      <c r="B1328" s="3" t="s">
        <v>1422</v>
      </c>
      <c r="C1328" s="3" t="s">
        <v>1423</v>
      </c>
      <c r="D1328" s="3" t="s">
        <v>39</v>
      </c>
      <c r="E1328" s="3" t="s">
        <v>1424</v>
      </c>
      <c r="F1328" s="3" t="s">
        <v>219</v>
      </c>
      <c r="G1328" s="3">
        <v>1.7287004260000001</v>
      </c>
      <c r="H1328" s="3">
        <v>1.071785816</v>
      </c>
      <c r="I1328" s="3">
        <v>0.59838275699999999</v>
      </c>
      <c r="J1328" s="3">
        <v>24.948118059999999</v>
      </c>
      <c r="K1328" s="3">
        <v>2.372836E-2</v>
      </c>
      <c r="L1328" s="3">
        <v>5.5960091000000003E-2</v>
      </c>
      <c r="M1328" s="3">
        <v>6.4975872000000004E-2</v>
      </c>
      <c r="N1328" s="3">
        <v>5.5960091000000003E-2</v>
      </c>
      <c r="O1328" s="3">
        <v>6.2348333999999998E-2</v>
      </c>
      <c r="P1328" s="3">
        <v>0.24774137399999999</v>
      </c>
      <c r="Q1328" s="3">
        <v>0.16423342499999999</v>
      </c>
      <c r="R1328" s="3">
        <v>2.6275872300000001</v>
      </c>
      <c r="S1328" s="3">
        <v>21.965102219999999</v>
      </c>
      <c r="T1328" s="3">
        <v>1.634126905</v>
      </c>
      <c r="U1328" s="3">
        <v>0.62036756900000001</v>
      </c>
      <c r="V1328" s="3">
        <v>0.29281464400000001</v>
      </c>
      <c r="W1328" s="3">
        <v>0.49468232499999998</v>
      </c>
      <c r="X1328" s="3">
        <v>2.0183888190000001</v>
      </c>
      <c r="Y1328" s="3">
        <v>13.323360020000001</v>
      </c>
      <c r="Z1328" s="3">
        <v>2.634126905</v>
      </c>
      <c r="AA1328" s="3">
        <v>5.5960091000000003E-2</v>
      </c>
      <c r="AB1328" s="3">
        <v>5.3431229340000002</v>
      </c>
      <c r="AC1328" s="3">
        <v>4.0801716969999999</v>
      </c>
      <c r="AD1328" s="3">
        <v>2.9843332E-2</v>
      </c>
      <c r="AE1328" s="3">
        <v>14.15707089</v>
      </c>
      <c r="AF1328" s="4">
        <v>41967</v>
      </c>
      <c r="AG1328" s="5">
        <f>YEAR(AF1328)</f>
        <v>2014</v>
      </c>
      <c r="AH1328" s="5" t="str">
        <f>"Q"&amp;ROUNDUP(MONTH(AF1328)/3,0)</f>
        <v>Q4</v>
      </c>
      <c r="AI1328" s="5">
        <f>INDEX(RatingLookup!$B$2:$B$11,MATCH(A1328,RatingLookup!$A$2:$A$11,0))</f>
        <v>8</v>
      </c>
      <c r="AJ1328" s="5" t="str">
        <f>INDEX(RatingLookup!$C$2:$C$11,MATCH(A1328,RatingLookup!$A$2:$A$11,0))</f>
        <v>Investment Grade</v>
      </c>
    </row>
    <row r="1329" spans="1:36" x14ac:dyDescent="0.3">
      <c r="A1329" s="3" t="s">
        <v>36</v>
      </c>
      <c r="B1329" s="3" t="s">
        <v>1422</v>
      </c>
      <c r="C1329" s="3" t="s">
        <v>1423</v>
      </c>
      <c r="D1329" s="3" t="s">
        <v>39</v>
      </c>
      <c r="E1329" s="3" t="s">
        <v>464</v>
      </c>
      <c r="F1329" s="3" t="s">
        <v>219</v>
      </c>
      <c r="G1329" s="3">
        <v>1.7620783879999999</v>
      </c>
      <c r="H1329" s="3">
        <v>1.0987535070000001</v>
      </c>
      <c r="I1329" s="3">
        <v>0.67023033799999998</v>
      </c>
      <c r="J1329" s="3">
        <v>17.001536260000002</v>
      </c>
      <c r="K1329" s="3">
        <v>2.4412161000000002E-2</v>
      </c>
      <c r="L1329" s="3">
        <v>4.3054160000000001E-2</v>
      </c>
      <c r="M1329" s="3">
        <v>4.9912705000000002E-2</v>
      </c>
      <c r="N1329" s="3">
        <v>4.3054160000000001E-2</v>
      </c>
      <c r="O1329" s="3">
        <v>8.0216605999999996E-2</v>
      </c>
      <c r="P1329" s="3">
        <v>0.239510524</v>
      </c>
      <c r="Q1329" s="3">
        <v>0.17772512900000001</v>
      </c>
      <c r="R1329" s="3">
        <v>3.2859281459999998</v>
      </c>
      <c r="S1329" s="3">
        <v>28.28635208</v>
      </c>
      <c r="T1329" s="3">
        <v>1.215565292</v>
      </c>
      <c r="U1329" s="3">
        <v>0.54864792100000004</v>
      </c>
      <c r="V1329" s="3">
        <v>0.30109825200000001</v>
      </c>
      <c r="W1329" s="3">
        <v>0.63432018499999998</v>
      </c>
      <c r="X1329" s="3">
        <v>3.0782512949999998</v>
      </c>
      <c r="Y1329" s="3">
        <v>15.19139919</v>
      </c>
      <c r="Z1329" s="3">
        <v>2.215565292</v>
      </c>
      <c r="AA1329" s="3">
        <v>4.3054160000000001E-2</v>
      </c>
      <c r="AB1329" s="3">
        <v>7.6946617919999998</v>
      </c>
      <c r="AC1329" s="3">
        <v>4.8528351560000003</v>
      </c>
      <c r="AD1329" s="3">
        <v>2.8843166999999999E-2</v>
      </c>
      <c r="AE1329" s="3">
        <v>15.834647179999999</v>
      </c>
      <c r="AF1329" s="4">
        <v>41716</v>
      </c>
      <c r="AG1329" s="5">
        <f>YEAR(AF1329)</f>
        <v>2014</v>
      </c>
      <c r="AH1329" s="5" t="str">
        <f>"Q"&amp;ROUNDUP(MONTH(AF1329)/3,0)</f>
        <v>Q1</v>
      </c>
      <c r="AI1329" s="5">
        <f>INDEX(RatingLookup!$B$2:$B$11,MATCH(A1329,RatingLookup!$A$2:$A$11,0))</f>
        <v>8</v>
      </c>
      <c r="AJ1329" s="5" t="str">
        <f>INDEX(RatingLookup!$C$2:$C$11,MATCH(A1329,RatingLookup!$A$2:$A$11,0))</f>
        <v>Investment Grade</v>
      </c>
    </row>
    <row r="1330" spans="1:36" x14ac:dyDescent="0.3">
      <c r="A1330" s="3" t="s">
        <v>36</v>
      </c>
      <c r="B1330" s="3" t="s">
        <v>1422</v>
      </c>
      <c r="C1330" s="3" t="s">
        <v>1423</v>
      </c>
      <c r="D1330" s="3" t="s">
        <v>60</v>
      </c>
      <c r="E1330" s="3" t="s">
        <v>823</v>
      </c>
      <c r="F1330" s="3" t="s">
        <v>219</v>
      </c>
      <c r="G1330" s="3">
        <v>1.798178549</v>
      </c>
      <c r="H1330" s="3">
        <v>1.141260741</v>
      </c>
      <c r="I1330" s="3">
        <v>0.66427672000000004</v>
      </c>
      <c r="J1330" s="3">
        <v>24.24106196</v>
      </c>
      <c r="K1330" s="3">
        <v>2.2773043E-2</v>
      </c>
      <c r="L1330" s="3">
        <v>4.0109864000000002E-2</v>
      </c>
      <c r="M1330" s="3">
        <v>6.0433538000000002E-2</v>
      </c>
      <c r="N1330" s="3">
        <v>4.0109864000000002E-2</v>
      </c>
      <c r="O1330" s="3">
        <v>5.4053812999999999E-2</v>
      </c>
      <c r="P1330" s="3">
        <v>0.154712133</v>
      </c>
      <c r="Q1330" s="3">
        <v>0.13762570700000001</v>
      </c>
      <c r="R1330" s="3">
        <v>2.3735875989999999</v>
      </c>
      <c r="S1330" s="3">
        <v>20.299491230000001</v>
      </c>
      <c r="T1330" s="3">
        <v>1.5460869230000001</v>
      </c>
      <c r="U1330" s="3">
        <v>0.607240432</v>
      </c>
      <c r="V1330" s="3">
        <v>0.338431386</v>
      </c>
      <c r="W1330" s="3">
        <v>0.71709934399999997</v>
      </c>
      <c r="X1330" s="3">
        <v>4.2050481680000003</v>
      </c>
      <c r="Y1330" s="3">
        <v>14.826684159999999</v>
      </c>
      <c r="Z1330" s="3">
        <v>2.5460869229999998</v>
      </c>
      <c r="AA1330" s="3">
        <v>4.0109864000000002E-2</v>
      </c>
      <c r="AB1330" s="3">
        <v>7.904783911</v>
      </c>
      <c r="AC1330" s="3">
        <v>5.863968786</v>
      </c>
      <c r="AD1330" s="3">
        <v>4.6876987000000002E-2</v>
      </c>
      <c r="AE1330" s="3">
        <v>13.438003200000001</v>
      </c>
      <c r="AF1330" s="4">
        <v>42443</v>
      </c>
      <c r="AG1330" s="5">
        <f>YEAR(AF1330)</f>
        <v>2016</v>
      </c>
      <c r="AH1330" s="5" t="str">
        <f>"Q"&amp;ROUNDUP(MONTH(AF1330)/3,0)</f>
        <v>Q1</v>
      </c>
      <c r="AI1330" s="5">
        <f>INDEX(RatingLookup!$B$2:$B$11,MATCH(A1330,RatingLookup!$A$2:$A$11,0))</f>
        <v>8</v>
      </c>
      <c r="AJ1330" s="5" t="str">
        <f>INDEX(RatingLookup!$C$2:$C$11,MATCH(A1330,RatingLookup!$A$2:$A$11,0))</f>
        <v>Investment Grade</v>
      </c>
    </row>
    <row r="1331" spans="1:36" x14ac:dyDescent="0.3">
      <c r="A1331" s="3" t="s">
        <v>36</v>
      </c>
      <c r="B1331" s="3" t="s">
        <v>1422</v>
      </c>
      <c r="C1331" s="3" t="s">
        <v>1423</v>
      </c>
      <c r="D1331" s="3" t="s">
        <v>44</v>
      </c>
      <c r="E1331" s="3" t="s">
        <v>46</v>
      </c>
      <c r="F1331" s="3" t="s">
        <v>219</v>
      </c>
      <c r="G1331" s="3">
        <v>1.531367973</v>
      </c>
      <c r="H1331" s="3">
        <v>0.90981328400000006</v>
      </c>
      <c r="I1331" s="3">
        <v>0.56285117799999995</v>
      </c>
      <c r="J1331" s="3">
        <v>19.293810220000001</v>
      </c>
      <c r="K1331" s="3">
        <v>2.5393176999999999E-2</v>
      </c>
      <c r="L1331" s="3">
        <v>4.2846708999999997E-2</v>
      </c>
      <c r="M1331" s="3">
        <v>4.9138034999999997E-2</v>
      </c>
      <c r="N1331" s="3">
        <v>4.2846708999999997E-2</v>
      </c>
      <c r="O1331" s="3">
        <v>7.1790591000000001E-2</v>
      </c>
      <c r="P1331" s="3">
        <v>0.22613514400000001</v>
      </c>
      <c r="Q1331" s="3">
        <v>0.174856024</v>
      </c>
      <c r="R1331" s="3">
        <v>2.8271606650000001</v>
      </c>
      <c r="S1331" s="3">
        <v>25.370854560000001</v>
      </c>
      <c r="T1331" s="3">
        <v>1.4356398500000001</v>
      </c>
      <c r="U1331" s="3">
        <v>0.58943026799999998</v>
      </c>
      <c r="V1331" s="3">
        <v>0.303178428</v>
      </c>
      <c r="W1331" s="3">
        <v>0.61993843299999996</v>
      </c>
      <c r="X1331" s="3">
        <v>3.1976742159999998</v>
      </c>
      <c r="Y1331" s="3">
        <v>13.08890383</v>
      </c>
      <c r="Z1331" s="3">
        <v>2.4356398499999998</v>
      </c>
      <c r="AA1331" s="3">
        <v>4.2846708999999997E-2</v>
      </c>
      <c r="AB1331" s="3">
        <v>6.6993517699999998</v>
      </c>
      <c r="AC1331" s="3">
        <v>5.1580512580000004</v>
      </c>
      <c r="AD1331" s="3">
        <v>3.8054565999999998E-2</v>
      </c>
      <c r="AE1331" s="3">
        <v>12.81643075</v>
      </c>
      <c r="AF1331" s="4">
        <v>41075</v>
      </c>
      <c r="AG1331" s="5">
        <f>YEAR(AF1331)</f>
        <v>2012</v>
      </c>
      <c r="AH1331" s="5" t="str">
        <f>"Q"&amp;ROUNDUP(MONTH(AF1331)/3,0)</f>
        <v>Q2</v>
      </c>
      <c r="AI1331" s="5">
        <f>INDEX(RatingLookup!$B$2:$B$11,MATCH(A1331,RatingLookup!$A$2:$A$11,0))</f>
        <v>8</v>
      </c>
      <c r="AJ1331" s="5" t="str">
        <f>INDEX(RatingLookup!$C$2:$C$11,MATCH(A1331,RatingLookup!$A$2:$A$11,0))</f>
        <v>Investment Grade</v>
      </c>
    </row>
    <row r="1332" spans="1:36" x14ac:dyDescent="0.3">
      <c r="A1332" s="3" t="s">
        <v>92</v>
      </c>
      <c r="B1332" s="3" t="s">
        <v>1425</v>
      </c>
      <c r="C1332" s="3" t="s">
        <v>1426</v>
      </c>
      <c r="D1332" s="3" t="s">
        <v>60</v>
      </c>
      <c r="E1332" s="3" t="s">
        <v>1427</v>
      </c>
      <c r="F1332" s="3" t="s">
        <v>53</v>
      </c>
      <c r="G1332" s="3">
        <v>1.7083003059999999</v>
      </c>
      <c r="H1332" s="3">
        <v>0.83025704899999997</v>
      </c>
      <c r="I1332" s="3">
        <v>0.40369154099999999</v>
      </c>
      <c r="J1332" s="3">
        <v>34.176205789999997</v>
      </c>
      <c r="K1332" s="3">
        <v>0.19786495200000001</v>
      </c>
      <c r="L1332" s="3">
        <v>5.9061093000000002E-2</v>
      </c>
      <c r="M1332" s="3">
        <v>0.26114469499999998</v>
      </c>
      <c r="N1332" s="3">
        <v>7.8250803999999993E-2</v>
      </c>
      <c r="O1332" s="3">
        <v>0.26380410199999998</v>
      </c>
      <c r="P1332" s="3">
        <v>0.112953215</v>
      </c>
      <c r="Q1332" s="3">
        <v>0.74075500800000005</v>
      </c>
      <c r="R1332" s="3">
        <v>1.3332533099999999</v>
      </c>
      <c r="S1332" s="3">
        <v>6.2924894790000003</v>
      </c>
      <c r="T1332" s="3">
        <v>1.8079738059999999</v>
      </c>
      <c r="U1332" s="3">
        <v>0.64387132199999997</v>
      </c>
      <c r="V1332" s="3">
        <v>-2.3763066199999998</v>
      </c>
      <c r="W1332" s="3">
        <v>0.12933568500000001</v>
      </c>
      <c r="X1332" s="3">
        <v>0.24122806999999999</v>
      </c>
      <c r="Y1332" s="3">
        <v>4.0482456139999998</v>
      </c>
      <c r="Z1332" s="3">
        <v>2.8079738060000001</v>
      </c>
      <c r="AA1332" s="3">
        <v>5.9061093000000002E-2</v>
      </c>
      <c r="AB1332" s="3">
        <v>10.16137861</v>
      </c>
      <c r="AC1332" s="3">
        <v>1.865131579</v>
      </c>
      <c r="AD1332" s="3">
        <v>4.3755626999999998E-2</v>
      </c>
      <c r="AE1332" s="3">
        <v>9.1010773129999993</v>
      </c>
      <c r="AF1332" s="4">
        <v>41813</v>
      </c>
      <c r="AG1332" s="5">
        <f>YEAR(AF1332)</f>
        <v>2014</v>
      </c>
      <c r="AH1332" s="5" t="str">
        <f>"Q"&amp;ROUNDUP(MONTH(AF1332)/3,0)</f>
        <v>Q2</v>
      </c>
      <c r="AI1332" s="5">
        <f>INDEX(RatingLookup!$B$2:$B$11,MATCH(A1332,RatingLookup!$A$2:$A$11,0))</f>
        <v>6</v>
      </c>
      <c r="AJ1332" s="5" t="str">
        <f>INDEX(RatingLookup!$C$2:$C$11,MATCH(A1332,RatingLookup!$A$2:$A$11,0))</f>
        <v>Speculative Grade</v>
      </c>
    </row>
    <row r="1333" spans="1:36" x14ac:dyDescent="0.3">
      <c r="A1333" s="3" t="s">
        <v>92</v>
      </c>
      <c r="B1333" s="3" t="s">
        <v>1425</v>
      </c>
      <c r="C1333" s="3" t="s">
        <v>1426</v>
      </c>
      <c r="D1333" s="3" t="s">
        <v>60</v>
      </c>
      <c r="E1333" s="3" t="s">
        <v>46</v>
      </c>
      <c r="F1333" s="3" t="s">
        <v>53</v>
      </c>
      <c r="G1333" s="3">
        <v>1.4933377379999999</v>
      </c>
      <c r="H1333" s="3">
        <v>0.83790331500000004</v>
      </c>
      <c r="I1333" s="3">
        <v>0.37242594400000001</v>
      </c>
      <c r="J1333" s="3">
        <v>33.695304159999999</v>
      </c>
      <c r="K1333" s="3">
        <v>1.9183565E-2</v>
      </c>
      <c r="L1333" s="3">
        <v>6.4834580000000001E-3</v>
      </c>
      <c r="M1333" s="3">
        <v>0.233564568</v>
      </c>
      <c r="N1333" s="3">
        <v>5.1334045000000002E-2</v>
      </c>
      <c r="O1333" s="3">
        <v>2.8829190000000001E-2</v>
      </c>
      <c r="P1333" s="3">
        <v>1.5322529999999999E-2</v>
      </c>
      <c r="Q1333" s="3">
        <v>2.3268608409999998</v>
      </c>
      <c r="R1333" s="3">
        <v>1.5028067359999999</v>
      </c>
      <c r="S1333" s="3">
        <v>6.4013663540000003</v>
      </c>
      <c r="T1333" s="3">
        <v>79.71197411</v>
      </c>
      <c r="U1333" s="3">
        <v>0.98761026500000004</v>
      </c>
      <c r="V1333" s="3">
        <v>0.71604938299999998</v>
      </c>
      <c r="W1333" s="3">
        <v>-1.0101010000000001E-2</v>
      </c>
      <c r="X1333" s="3">
        <v>-1.0078386999999999E-2</v>
      </c>
      <c r="Y1333" s="3">
        <v>4.6461366179999999</v>
      </c>
      <c r="Z1333" s="3">
        <v>80.71197411</v>
      </c>
      <c r="AA1333" s="3">
        <v>6.4834580000000001E-3</v>
      </c>
      <c r="AB1333" s="3">
        <v>7.498555069</v>
      </c>
      <c r="AC1333" s="3">
        <v>0.99776035799999996</v>
      </c>
      <c r="AD1333" s="3">
        <v>2.3772679000000001E-2</v>
      </c>
      <c r="AE1333" s="3">
        <v>10.186524820000001</v>
      </c>
      <c r="AF1333" s="4">
        <v>41075</v>
      </c>
      <c r="AG1333" s="5">
        <f>YEAR(AF1333)</f>
        <v>2012</v>
      </c>
      <c r="AH1333" s="5" t="str">
        <f>"Q"&amp;ROUNDUP(MONTH(AF1333)/3,0)</f>
        <v>Q2</v>
      </c>
      <c r="AI1333" s="5">
        <f>INDEX(RatingLookup!$B$2:$B$11,MATCH(A1333,RatingLookup!$A$2:$A$11,0))</f>
        <v>6</v>
      </c>
      <c r="AJ1333" s="5" t="str">
        <f>INDEX(RatingLookup!$C$2:$C$11,MATCH(A1333,RatingLookup!$A$2:$A$11,0))</f>
        <v>Speculative Grade</v>
      </c>
    </row>
    <row r="1334" spans="1:36" x14ac:dyDescent="0.3">
      <c r="A1334" s="3" t="s">
        <v>42</v>
      </c>
      <c r="B1334" s="3" t="s">
        <v>1425</v>
      </c>
      <c r="C1334" s="3" t="s">
        <v>1426</v>
      </c>
      <c r="D1334" s="3" t="s">
        <v>60</v>
      </c>
      <c r="E1334" s="3" t="s">
        <v>1428</v>
      </c>
      <c r="F1334" s="3" t="s">
        <v>53</v>
      </c>
      <c r="G1334" s="3">
        <v>2.1857724919999999</v>
      </c>
      <c r="H1334" s="3">
        <v>0.79781962299999998</v>
      </c>
      <c r="I1334" s="3">
        <v>0.72381896300000004</v>
      </c>
      <c r="J1334" s="3">
        <v>4.9517743620000001</v>
      </c>
      <c r="K1334" s="3">
        <v>5.8796307999999999E-2</v>
      </c>
      <c r="L1334" s="3">
        <v>7.6771318000000005E-2</v>
      </c>
      <c r="M1334" s="3">
        <v>0.27147623999999998</v>
      </c>
      <c r="N1334" s="3">
        <v>8.0790121000000006E-2</v>
      </c>
      <c r="O1334" s="3">
        <v>7.6574147999999995E-2</v>
      </c>
      <c r="P1334" s="3">
        <v>0.14043842500000001</v>
      </c>
      <c r="Q1334" s="3">
        <v>0.188402404</v>
      </c>
      <c r="R1334" s="3">
        <v>1.3023632039999999</v>
      </c>
      <c r="S1334" s="3">
        <v>8.1268804429999992</v>
      </c>
      <c r="T1334" s="3">
        <v>1.4603917900000001</v>
      </c>
      <c r="U1334" s="3">
        <v>0.59356066600000001</v>
      </c>
      <c r="V1334" s="3">
        <v>0.27855329899999998</v>
      </c>
      <c r="W1334" s="3">
        <v>0.59041731099999994</v>
      </c>
      <c r="X1334" s="3">
        <v>2.0537634410000001</v>
      </c>
      <c r="Y1334" s="3">
        <v>7.1913978490000003</v>
      </c>
      <c r="Z1334" s="3">
        <v>2.4603917900000001</v>
      </c>
      <c r="AA1334" s="3">
        <v>7.6771318000000005E-2</v>
      </c>
      <c r="AB1334" s="3">
        <v>8.3149072749999995</v>
      </c>
      <c r="AC1334" s="3">
        <v>3.4784946240000001</v>
      </c>
      <c r="AD1334" s="3">
        <v>7.8792898E-2</v>
      </c>
      <c r="AE1334" s="3">
        <v>8.8207018579999996</v>
      </c>
      <c r="AF1334" s="4">
        <v>42543</v>
      </c>
      <c r="AG1334" s="5">
        <f>YEAR(AF1334)</f>
        <v>2016</v>
      </c>
      <c r="AH1334" s="5" t="str">
        <f>"Q"&amp;ROUNDUP(MONTH(AF1334)/3,0)</f>
        <v>Q2</v>
      </c>
      <c r="AI1334" s="5">
        <f>INDEX(RatingLookup!$B$2:$B$11,MATCH(A1334,RatingLookup!$A$2:$A$11,0))</f>
        <v>7</v>
      </c>
      <c r="AJ1334" s="5" t="str">
        <f>INDEX(RatingLookup!$C$2:$C$11,MATCH(A1334,RatingLookup!$A$2:$A$11,0))</f>
        <v>Investment Grade</v>
      </c>
    </row>
    <row r="1335" spans="1:36" x14ac:dyDescent="0.3">
      <c r="A1335" s="3" t="s">
        <v>42</v>
      </c>
      <c r="B1335" s="3" t="s">
        <v>1425</v>
      </c>
      <c r="C1335" s="3" t="s">
        <v>1426</v>
      </c>
      <c r="D1335" s="3" t="s">
        <v>39</v>
      </c>
      <c r="E1335" s="3" t="s">
        <v>1308</v>
      </c>
      <c r="F1335" s="3" t="s">
        <v>53</v>
      </c>
      <c r="G1335" s="3">
        <v>2.1862015330000002</v>
      </c>
      <c r="H1335" s="3">
        <v>0.77102544200000001</v>
      </c>
      <c r="I1335" s="3">
        <v>0.61404288399999996</v>
      </c>
      <c r="J1335" s="3">
        <v>5.5243962800000004</v>
      </c>
      <c r="K1335" s="3">
        <v>6.4006043999999998E-2</v>
      </c>
      <c r="L1335" s="3">
        <v>7.4999349000000007E-2</v>
      </c>
      <c r="M1335" s="3">
        <v>0.27009143699999999</v>
      </c>
      <c r="N1335" s="3">
        <v>8.5575845999999997E-2</v>
      </c>
      <c r="O1335" s="3">
        <v>7.8388208000000001E-2</v>
      </c>
      <c r="P1335" s="3">
        <v>0.128854675</v>
      </c>
      <c r="Q1335" s="3">
        <v>0.209731114</v>
      </c>
      <c r="R1335" s="3">
        <v>1.2247001019999999</v>
      </c>
      <c r="S1335" s="3">
        <v>8.3395611560000003</v>
      </c>
      <c r="T1335" s="3">
        <v>1.6755441740000001</v>
      </c>
      <c r="U1335" s="3">
        <v>0.62624425699999997</v>
      </c>
      <c r="V1335" s="3">
        <v>0.32302882900000002</v>
      </c>
      <c r="W1335" s="3">
        <v>0.47252747299999998</v>
      </c>
      <c r="X1335" s="3">
        <v>1.1944444439999999</v>
      </c>
      <c r="Y1335" s="3">
        <v>6.7938034189999996</v>
      </c>
      <c r="Z1335" s="3">
        <v>2.6755441740000001</v>
      </c>
      <c r="AA1335" s="3">
        <v>7.4999349000000007E-2</v>
      </c>
      <c r="AB1335" s="3">
        <v>12.16404198</v>
      </c>
      <c r="AC1335" s="3">
        <v>2.5277777779999999</v>
      </c>
      <c r="AD1335" s="3">
        <v>6.1635450000000001E-2</v>
      </c>
      <c r="AE1335" s="3">
        <v>8.827662256</v>
      </c>
      <c r="AF1335" s="4">
        <v>41850</v>
      </c>
      <c r="AG1335" s="5">
        <f>YEAR(AF1335)</f>
        <v>2014</v>
      </c>
      <c r="AH1335" s="5" t="str">
        <f>"Q"&amp;ROUNDUP(MONTH(AF1335)/3,0)</f>
        <v>Q3</v>
      </c>
      <c r="AI1335" s="5">
        <f>INDEX(RatingLookup!$B$2:$B$11,MATCH(A1335,RatingLookup!$A$2:$A$11,0))</f>
        <v>7</v>
      </c>
      <c r="AJ1335" s="5" t="str">
        <f>INDEX(RatingLookup!$C$2:$C$11,MATCH(A1335,RatingLookup!$A$2:$A$11,0))</f>
        <v>Investment Grade</v>
      </c>
    </row>
    <row r="1336" spans="1:36" x14ac:dyDescent="0.3">
      <c r="A1336" s="3" t="s">
        <v>42</v>
      </c>
      <c r="B1336" s="3" t="s">
        <v>1425</v>
      </c>
      <c r="C1336" s="3" t="s">
        <v>1426</v>
      </c>
      <c r="D1336" s="3" t="s">
        <v>44</v>
      </c>
      <c r="E1336" s="3" t="s">
        <v>1429</v>
      </c>
      <c r="F1336" s="3" t="s">
        <v>53</v>
      </c>
      <c r="G1336" s="3">
        <v>1.7499222720000001</v>
      </c>
      <c r="H1336" s="3">
        <v>0.53466680499999997</v>
      </c>
      <c r="I1336" s="3">
        <v>0.43776557199999999</v>
      </c>
      <c r="J1336" s="3">
        <v>4.6921020389999999</v>
      </c>
      <c r="K1336" s="3">
        <v>6.1490476000000002E-2</v>
      </c>
      <c r="L1336" s="3">
        <v>8.6821878000000005E-2</v>
      </c>
      <c r="M1336" s="3">
        <v>0.27294196300000001</v>
      </c>
      <c r="N1336" s="3">
        <v>9.1121755999999998E-2</v>
      </c>
      <c r="O1336" s="3">
        <v>8.4025937999999994E-2</v>
      </c>
      <c r="P1336" s="3">
        <v>0.16798862000000001</v>
      </c>
      <c r="Q1336" s="3">
        <v>0.191653357</v>
      </c>
      <c r="R1336" s="3">
        <v>1.366487046</v>
      </c>
      <c r="S1336" s="3">
        <v>6.9556795290000002</v>
      </c>
      <c r="T1336" s="3">
        <v>1.2808832720000001</v>
      </c>
      <c r="U1336" s="3">
        <v>0.56157335500000005</v>
      </c>
      <c r="V1336" s="3">
        <v>0.295868617</v>
      </c>
      <c r="W1336" s="3">
        <v>0.54041242</v>
      </c>
      <c r="X1336" s="3">
        <v>2.5</v>
      </c>
      <c r="Y1336" s="3">
        <v>5.0241228070000004</v>
      </c>
      <c r="Z1336" s="3">
        <v>2.2808832720000001</v>
      </c>
      <c r="AA1336" s="3">
        <v>8.6821878000000005E-2</v>
      </c>
      <c r="AB1336" s="3">
        <v>10.558377849999999</v>
      </c>
      <c r="AC1336" s="3">
        <v>4.6260964910000002</v>
      </c>
      <c r="AD1336" s="3">
        <v>9.3995766999999994E-2</v>
      </c>
      <c r="AE1336" s="3">
        <v>8.3101604279999997</v>
      </c>
      <c r="AF1336" s="4">
        <v>42615</v>
      </c>
      <c r="AG1336" s="5">
        <f>YEAR(AF1336)</f>
        <v>2016</v>
      </c>
      <c r="AH1336" s="5" t="str">
        <f>"Q"&amp;ROUNDUP(MONTH(AF1336)/3,0)</f>
        <v>Q3</v>
      </c>
      <c r="AI1336" s="5">
        <f>INDEX(RatingLookup!$B$2:$B$11,MATCH(A1336,RatingLookup!$A$2:$A$11,0))</f>
        <v>7</v>
      </c>
      <c r="AJ1336" s="5" t="str">
        <f>INDEX(RatingLookup!$C$2:$C$11,MATCH(A1336,RatingLookup!$A$2:$A$11,0))</f>
        <v>Investment Grade</v>
      </c>
    </row>
    <row r="1337" spans="1:36" x14ac:dyDescent="0.3">
      <c r="A1337" s="3" t="s">
        <v>36</v>
      </c>
      <c r="B1337" s="3" t="s">
        <v>1430</v>
      </c>
      <c r="C1337" s="3" t="s">
        <v>1431</v>
      </c>
      <c r="D1337" s="3" t="s">
        <v>60</v>
      </c>
      <c r="E1337" s="3" t="s">
        <v>696</v>
      </c>
      <c r="F1337" s="3" t="s">
        <v>66</v>
      </c>
      <c r="G1337" s="3">
        <v>0.95147014100000005</v>
      </c>
      <c r="H1337" s="3">
        <v>0.46000221000000002</v>
      </c>
      <c r="I1337" s="3">
        <v>0.15552546</v>
      </c>
      <c r="J1337" s="3">
        <v>28.52135788</v>
      </c>
      <c r="K1337" s="3">
        <v>9.6777752999999994E-2</v>
      </c>
      <c r="L1337" s="3">
        <v>0.14777610899999999</v>
      </c>
      <c r="M1337" s="3">
        <v>0.424437389</v>
      </c>
      <c r="N1337" s="3">
        <v>0.162063665</v>
      </c>
      <c r="O1337" s="3">
        <v>0.130340441</v>
      </c>
      <c r="P1337" s="3">
        <v>0.304153377</v>
      </c>
      <c r="Q1337" s="3">
        <v>0.91625437700000001</v>
      </c>
      <c r="R1337" s="3">
        <v>1.3468016860000001</v>
      </c>
      <c r="S1337" s="3">
        <v>3.417240939</v>
      </c>
      <c r="T1337" s="3">
        <v>6.0297013699999997</v>
      </c>
      <c r="U1337" s="3">
        <v>0.85774644600000005</v>
      </c>
      <c r="V1337" s="3">
        <v>0.34510555399999998</v>
      </c>
      <c r="W1337" s="3">
        <v>0.72599608500000001</v>
      </c>
      <c r="X1337" s="3">
        <v>11.7782745</v>
      </c>
      <c r="Y1337" s="3">
        <v>4.8988287689999996</v>
      </c>
      <c r="Z1337" s="3">
        <v>7.0297013699999997</v>
      </c>
      <c r="AA1337" s="3">
        <v>0.14777610899999999</v>
      </c>
      <c r="AB1337" s="3">
        <v>5.5850110769999999</v>
      </c>
      <c r="AC1337" s="3">
        <v>16.223606069999999</v>
      </c>
      <c r="AD1337" s="3">
        <v>0.13218428400000001</v>
      </c>
      <c r="AE1337" s="3">
        <v>8.1952056889999998</v>
      </c>
      <c r="AF1337" s="4">
        <v>42584</v>
      </c>
      <c r="AG1337" s="5">
        <f>YEAR(AF1337)</f>
        <v>2016</v>
      </c>
      <c r="AH1337" s="5" t="str">
        <f>"Q"&amp;ROUNDUP(MONTH(AF1337)/3,0)</f>
        <v>Q3</v>
      </c>
      <c r="AI1337" s="5">
        <f>INDEX(RatingLookup!$B$2:$B$11,MATCH(A1337,RatingLookup!$A$2:$A$11,0))</f>
        <v>8</v>
      </c>
      <c r="AJ1337" s="5" t="str">
        <f>INDEX(RatingLookup!$C$2:$C$11,MATCH(A1337,RatingLookup!$A$2:$A$11,0))</f>
        <v>Investment Grade</v>
      </c>
    </row>
    <row r="1338" spans="1:36" x14ac:dyDescent="0.3">
      <c r="A1338" s="3" t="s">
        <v>36</v>
      </c>
      <c r="B1338" s="3" t="s">
        <v>1430</v>
      </c>
      <c r="C1338" s="3" t="s">
        <v>1431</v>
      </c>
      <c r="D1338" s="3" t="s">
        <v>60</v>
      </c>
      <c r="E1338" s="3" t="s">
        <v>359</v>
      </c>
      <c r="F1338" s="3" t="s">
        <v>66</v>
      </c>
      <c r="G1338" s="3">
        <v>0.83348572899999995</v>
      </c>
      <c r="H1338" s="3">
        <v>0.42634784399999998</v>
      </c>
      <c r="I1338" s="3">
        <v>0.156241095</v>
      </c>
      <c r="J1338" s="3">
        <v>29.602371229999999</v>
      </c>
      <c r="K1338" s="3">
        <v>6.9443207000000007E-2</v>
      </c>
      <c r="L1338" s="3">
        <v>0.122091873</v>
      </c>
      <c r="M1338" s="3">
        <v>0.45794588800000002</v>
      </c>
      <c r="N1338" s="3">
        <v>0.14049161299999999</v>
      </c>
      <c r="O1338" s="3">
        <v>9.5979676999999999E-2</v>
      </c>
      <c r="P1338" s="3">
        <v>0.28845636499999999</v>
      </c>
      <c r="Q1338" s="3">
        <v>0.51398050299999998</v>
      </c>
      <c r="R1338" s="3">
        <v>1.3821319670000001</v>
      </c>
      <c r="S1338" s="3">
        <v>3.2969238459999999</v>
      </c>
      <c r="T1338" s="3">
        <v>4.35509726</v>
      </c>
      <c r="U1338" s="3">
        <v>0.81326202800000003</v>
      </c>
      <c r="V1338" s="3">
        <v>0.43122170399999998</v>
      </c>
      <c r="W1338" s="3">
        <v>0.72851465999999998</v>
      </c>
      <c r="X1338" s="3">
        <v>14.59500165</v>
      </c>
      <c r="Y1338" s="3">
        <v>5.7164137249999998</v>
      </c>
      <c r="Z1338" s="3">
        <v>5.35509726</v>
      </c>
      <c r="AA1338" s="3">
        <v>0.122091873</v>
      </c>
      <c r="AB1338" s="3">
        <v>5.4976102510000002</v>
      </c>
      <c r="AC1338" s="3">
        <v>20.0339162</v>
      </c>
      <c r="AD1338" s="3">
        <v>0.16441281899999999</v>
      </c>
      <c r="AE1338" s="3">
        <v>8.4424162809999999</v>
      </c>
      <c r="AF1338" s="4">
        <v>42234</v>
      </c>
      <c r="AG1338" s="5">
        <f>YEAR(AF1338)</f>
        <v>2015</v>
      </c>
      <c r="AH1338" s="5" t="str">
        <f>"Q"&amp;ROUNDUP(MONTH(AF1338)/3,0)</f>
        <v>Q3</v>
      </c>
      <c r="AI1338" s="5">
        <f>INDEX(RatingLookup!$B$2:$B$11,MATCH(A1338,RatingLookup!$A$2:$A$11,0))</f>
        <v>8</v>
      </c>
      <c r="AJ1338" s="5" t="str">
        <f>INDEX(RatingLookup!$C$2:$C$11,MATCH(A1338,RatingLookup!$A$2:$A$11,0))</f>
        <v>Investment Grade</v>
      </c>
    </row>
    <row r="1339" spans="1:36" x14ac:dyDescent="0.3">
      <c r="A1339" s="3" t="s">
        <v>36</v>
      </c>
      <c r="B1339" s="3" t="s">
        <v>1430</v>
      </c>
      <c r="C1339" s="3" t="s">
        <v>1431</v>
      </c>
      <c r="D1339" s="3" t="s">
        <v>60</v>
      </c>
      <c r="E1339" s="3" t="s">
        <v>1257</v>
      </c>
      <c r="F1339" s="3" t="s">
        <v>66</v>
      </c>
      <c r="G1339" s="3">
        <v>1.4366600730000001</v>
      </c>
      <c r="H1339" s="3">
        <v>0.80867848099999995</v>
      </c>
      <c r="I1339" s="3">
        <v>0.49504931699999999</v>
      </c>
      <c r="J1339" s="3">
        <v>25.345937360000001</v>
      </c>
      <c r="K1339" s="3">
        <v>9.9474101999999995E-2</v>
      </c>
      <c r="L1339" s="3">
        <v>0.152850765</v>
      </c>
      <c r="M1339" s="3">
        <v>0.43042949000000003</v>
      </c>
      <c r="N1339" s="3">
        <v>0.152850765</v>
      </c>
      <c r="O1339" s="3">
        <v>0.139001762</v>
      </c>
      <c r="P1339" s="3">
        <v>0.30927613100000001</v>
      </c>
      <c r="Q1339" s="3">
        <v>0.63750338799999995</v>
      </c>
      <c r="R1339" s="3">
        <v>1.3973663460000001</v>
      </c>
      <c r="S1339" s="3">
        <v>3.968918881</v>
      </c>
      <c r="T1339" s="3">
        <v>3.586297165</v>
      </c>
      <c r="U1339" s="3">
        <v>0.781959179</v>
      </c>
      <c r="V1339" s="3">
        <v>0.34920769299999999</v>
      </c>
      <c r="W1339" s="3">
        <v>0.76368229899999995</v>
      </c>
      <c r="X1339" s="3">
        <v>5.0855808180000004</v>
      </c>
      <c r="Y1339" s="3">
        <v>4.429716677</v>
      </c>
      <c r="Z1339" s="3">
        <v>4.5862971650000004</v>
      </c>
      <c r="AA1339" s="3">
        <v>0.152850765</v>
      </c>
      <c r="AB1339" s="3">
        <v>11.365819869999999</v>
      </c>
      <c r="AC1339" s="3">
        <v>6.6592885900000001</v>
      </c>
      <c r="AD1339" s="3">
        <v>0.164778067</v>
      </c>
      <c r="AE1339" s="3">
        <v>8.5623686299999999</v>
      </c>
      <c r="AF1339" s="4">
        <v>41408</v>
      </c>
      <c r="AG1339" s="5">
        <f>YEAR(AF1339)</f>
        <v>2013</v>
      </c>
      <c r="AH1339" s="5" t="str">
        <f>"Q"&amp;ROUNDUP(MONTH(AF1339)/3,0)</f>
        <v>Q2</v>
      </c>
      <c r="AI1339" s="5">
        <f>INDEX(RatingLookup!$B$2:$B$11,MATCH(A1339,RatingLookup!$A$2:$A$11,0))</f>
        <v>8</v>
      </c>
      <c r="AJ1339" s="5" t="str">
        <f>INDEX(RatingLookup!$C$2:$C$11,MATCH(A1339,RatingLookup!$A$2:$A$11,0))</f>
        <v>Investment Grade</v>
      </c>
    </row>
    <row r="1340" spans="1:36" x14ac:dyDescent="0.3">
      <c r="A1340" s="3" t="s">
        <v>36</v>
      </c>
      <c r="B1340" s="3" t="s">
        <v>1430</v>
      </c>
      <c r="C1340" s="3" t="s">
        <v>1431</v>
      </c>
      <c r="D1340" s="3" t="s">
        <v>60</v>
      </c>
      <c r="E1340" s="3" t="s">
        <v>1073</v>
      </c>
      <c r="F1340" s="3" t="s">
        <v>66</v>
      </c>
      <c r="G1340" s="3">
        <v>1.766544841</v>
      </c>
      <c r="H1340" s="3">
        <v>1.133803307</v>
      </c>
      <c r="I1340" s="3">
        <v>0.79438247399999995</v>
      </c>
      <c r="J1340" s="3">
        <v>24.410292689999999</v>
      </c>
      <c r="K1340" s="3">
        <v>0.11481401199999999</v>
      </c>
      <c r="L1340" s="3">
        <v>0.18746994</v>
      </c>
      <c r="M1340" s="3">
        <v>0.45911163300000002</v>
      </c>
      <c r="N1340" s="3">
        <v>0.11481401199999999</v>
      </c>
      <c r="O1340" s="3">
        <v>0.153144533</v>
      </c>
      <c r="P1340" s="3">
        <v>0.33920408499999999</v>
      </c>
      <c r="Q1340" s="3">
        <v>0.51124913900000002</v>
      </c>
      <c r="R1340" s="3">
        <v>1.333848811</v>
      </c>
      <c r="S1340" s="3">
        <v>3.9582899669999998</v>
      </c>
      <c r="T1340" s="3">
        <v>2.3383440279999999</v>
      </c>
      <c r="U1340" s="3">
        <v>0.70045028600000003</v>
      </c>
      <c r="V1340" s="3">
        <v>0.32160710599999998</v>
      </c>
      <c r="W1340" s="3">
        <v>0.72774348799999999</v>
      </c>
      <c r="X1340" s="3">
        <v>5.2880421159999997</v>
      </c>
      <c r="Y1340" s="3">
        <v>6.8389779209999997</v>
      </c>
      <c r="Z1340" s="3">
        <v>3.3383440279999999</v>
      </c>
      <c r="AA1340" s="3">
        <v>0.18746994</v>
      </c>
      <c r="AB1340" s="3">
        <v>16.553829260000001</v>
      </c>
      <c r="AC1340" s="3">
        <v>7.2663544260000004</v>
      </c>
      <c r="AD1340" s="3">
        <v>0.166301688</v>
      </c>
      <c r="AE1340" s="3">
        <v>8.3751110480000008</v>
      </c>
      <c r="AF1340" s="4">
        <v>41488</v>
      </c>
      <c r="AG1340" s="5">
        <f>YEAR(AF1340)</f>
        <v>2013</v>
      </c>
      <c r="AH1340" s="5" t="str">
        <f>"Q"&amp;ROUNDUP(MONTH(AF1340)/3,0)</f>
        <v>Q3</v>
      </c>
      <c r="AI1340" s="5">
        <f>INDEX(RatingLookup!$B$2:$B$11,MATCH(A1340,RatingLookup!$A$2:$A$11,0))</f>
        <v>8</v>
      </c>
      <c r="AJ1340" s="5" t="str">
        <f>INDEX(RatingLookup!$C$2:$C$11,MATCH(A1340,RatingLookup!$A$2:$A$11,0))</f>
        <v>Investment Grade</v>
      </c>
    </row>
    <row r="1341" spans="1:36" x14ac:dyDescent="0.3">
      <c r="A1341" s="3" t="s">
        <v>109</v>
      </c>
      <c r="B1341" s="3" t="s">
        <v>1432</v>
      </c>
      <c r="C1341" s="3" t="s">
        <v>1433</v>
      </c>
      <c r="D1341" s="3" t="s">
        <v>47</v>
      </c>
      <c r="E1341" s="3" t="s">
        <v>1434</v>
      </c>
      <c r="F1341" s="3" t="s">
        <v>219</v>
      </c>
      <c r="G1341" s="3">
        <v>2.977089694</v>
      </c>
      <c r="H1341" s="3">
        <v>2.356461951</v>
      </c>
      <c r="I1341" s="3">
        <v>1.527280696</v>
      </c>
      <c r="J1341" s="3">
        <v>8.5199882270000007</v>
      </c>
      <c r="K1341" s="3">
        <v>4.9929126999999997E-2</v>
      </c>
      <c r="L1341" s="3">
        <v>6.1400266000000002E-2</v>
      </c>
      <c r="M1341" s="3">
        <v>0.34043658599999999</v>
      </c>
      <c r="N1341" s="3">
        <v>9.7265938999999996E-2</v>
      </c>
      <c r="O1341" s="3">
        <v>3.7544431000000003E-2</v>
      </c>
      <c r="P1341" s="3">
        <v>5.4059102999999997E-2</v>
      </c>
      <c r="Q1341" s="3">
        <v>0.12350022300000001</v>
      </c>
      <c r="R1341" s="3">
        <v>0.75195448099999995</v>
      </c>
      <c r="S1341" s="3">
        <v>6.878165772</v>
      </c>
      <c r="T1341" s="3">
        <v>2.28944188</v>
      </c>
      <c r="U1341" s="3">
        <v>0.69599706100000003</v>
      </c>
      <c r="V1341" s="3">
        <v>0.17564089399999999</v>
      </c>
      <c r="W1341" s="3">
        <v>0.75571837399999997</v>
      </c>
      <c r="X1341" s="3">
        <v>2.8354037970000001</v>
      </c>
      <c r="Y1341" s="3">
        <v>20.468532740000001</v>
      </c>
      <c r="Z1341" s="3">
        <v>3.28944188</v>
      </c>
      <c r="AA1341" s="3">
        <v>6.1400266000000002E-2</v>
      </c>
      <c r="AB1341" s="3">
        <v>12.325568710000001</v>
      </c>
      <c r="AC1341" s="3">
        <v>3.7519317999999999</v>
      </c>
      <c r="AD1341" s="3">
        <v>7.9548404000000003E-2</v>
      </c>
      <c r="AE1341" s="3">
        <v>6.8273360780000001</v>
      </c>
      <c r="AF1341" s="4">
        <v>41725</v>
      </c>
      <c r="AG1341" s="5">
        <f>YEAR(AF1341)</f>
        <v>2014</v>
      </c>
      <c r="AH1341" s="5" t="str">
        <f>"Q"&amp;ROUNDUP(MONTH(AF1341)/3,0)</f>
        <v>Q1</v>
      </c>
      <c r="AI1341" s="5">
        <f>INDEX(RatingLookup!$B$2:$B$11,MATCH(A1341,RatingLookup!$A$2:$A$11,0))</f>
        <v>5</v>
      </c>
      <c r="AJ1341" s="5" t="str">
        <f>INDEX(RatingLookup!$C$2:$C$11,MATCH(A1341,RatingLookup!$A$2:$A$11,0))</f>
        <v>Speculative Grade</v>
      </c>
    </row>
    <row r="1342" spans="1:36" x14ac:dyDescent="0.3">
      <c r="A1342" s="3" t="s">
        <v>109</v>
      </c>
      <c r="B1342" s="3" t="s">
        <v>1432</v>
      </c>
      <c r="C1342" s="3" t="s">
        <v>1433</v>
      </c>
      <c r="D1342" s="3" t="s">
        <v>47</v>
      </c>
      <c r="E1342" s="3" t="s">
        <v>1435</v>
      </c>
      <c r="F1342" s="3" t="s">
        <v>219</v>
      </c>
      <c r="G1342" s="3">
        <v>2.691778384</v>
      </c>
      <c r="H1342" s="3">
        <v>2.1758378559999998</v>
      </c>
      <c r="I1342" s="3">
        <v>1.4107724429999999</v>
      </c>
      <c r="J1342" s="3">
        <v>5.9930293969999999</v>
      </c>
      <c r="K1342" s="3">
        <v>3.2253229000000001E-2</v>
      </c>
      <c r="L1342" s="3">
        <v>3.5327833000000003E-2</v>
      </c>
      <c r="M1342" s="3">
        <v>0.35500646600000002</v>
      </c>
      <c r="N1342" s="3">
        <v>7.0667362999999997E-2</v>
      </c>
      <c r="O1342" s="3">
        <v>2.281733E-2</v>
      </c>
      <c r="P1342" s="3">
        <v>2.9788841E-2</v>
      </c>
      <c r="Q1342" s="3">
        <v>9.2232769000000006E-2</v>
      </c>
      <c r="R1342" s="3">
        <v>0.70744326899999999</v>
      </c>
      <c r="S1342" s="3">
        <v>7.2957472699999997</v>
      </c>
      <c r="T1342" s="3">
        <v>3.0422244690000002</v>
      </c>
      <c r="U1342" s="3">
        <v>0.75261146199999995</v>
      </c>
      <c r="V1342" s="3">
        <v>8.7239103999999998E-2</v>
      </c>
      <c r="W1342" s="3">
        <v>0.76570907300000002</v>
      </c>
      <c r="X1342" s="3">
        <v>3.433295588</v>
      </c>
      <c r="Y1342" s="3">
        <v>25.540082730000002</v>
      </c>
      <c r="Z1342" s="3">
        <v>4.0422244689999998</v>
      </c>
      <c r="AA1342" s="3">
        <v>3.5327833000000003E-2</v>
      </c>
      <c r="AB1342" s="3">
        <v>17.39974827</v>
      </c>
      <c r="AC1342" s="3">
        <v>4.4838120769999996</v>
      </c>
      <c r="AD1342" s="3">
        <v>8.4057939999999998E-2</v>
      </c>
      <c r="AE1342" s="3">
        <v>5.4647682599999996</v>
      </c>
      <c r="AF1342" s="4">
        <v>42088</v>
      </c>
      <c r="AG1342" s="5">
        <f>YEAR(AF1342)</f>
        <v>2015</v>
      </c>
      <c r="AH1342" s="5" t="str">
        <f>"Q"&amp;ROUNDUP(MONTH(AF1342)/3,0)</f>
        <v>Q1</v>
      </c>
      <c r="AI1342" s="5">
        <f>INDEX(RatingLookup!$B$2:$B$11,MATCH(A1342,RatingLookup!$A$2:$A$11,0))</f>
        <v>5</v>
      </c>
      <c r="AJ1342" s="5" t="str">
        <f>INDEX(RatingLookup!$C$2:$C$11,MATCH(A1342,RatingLookup!$A$2:$A$11,0))</f>
        <v>Speculative Grade</v>
      </c>
    </row>
    <row r="1343" spans="1:36" x14ac:dyDescent="0.3">
      <c r="A1343" s="3" t="s">
        <v>92</v>
      </c>
      <c r="B1343" s="3" t="s">
        <v>1432</v>
      </c>
      <c r="C1343" s="3" t="s">
        <v>1433</v>
      </c>
      <c r="D1343" s="3" t="s">
        <v>60</v>
      </c>
      <c r="E1343" s="3" t="s">
        <v>1436</v>
      </c>
      <c r="F1343" s="3" t="s">
        <v>219</v>
      </c>
      <c r="G1343" s="3">
        <v>2.1207075639999999</v>
      </c>
      <c r="H1343" s="3">
        <v>1.5820386230000001</v>
      </c>
      <c r="I1343" s="3">
        <v>0.87317285499999997</v>
      </c>
      <c r="J1343" s="3">
        <v>6.2461326670000004</v>
      </c>
      <c r="K1343" s="3">
        <v>0.10565865100000001</v>
      </c>
      <c r="L1343" s="3">
        <v>2.7391170000000001E-3</v>
      </c>
      <c r="M1343" s="3">
        <v>0.307809526</v>
      </c>
      <c r="N1343" s="3">
        <v>5.8942087999999997E-2</v>
      </c>
      <c r="O1343" s="3">
        <v>7.5250049999999999E-2</v>
      </c>
      <c r="P1343" s="3">
        <v>2.3648039999999999E-3</v>
      </c>
      <c r="Q1343" s="3">
        <v>0.23956100799999999</v>
      </c>
      <c r="R1343" s="3">
        <v>0.71219960800000004</v>
      </c>
      <c r="S1343" s="3">
        <v>5.9949551860000003</v>
      </c>
      <c r="T1343" s="3">
        <v>2.183532875</v>
      </c>
      <c r="U1343" s="3">
        <v>0.68588356399999995</v>
      </c>
      <c r="V1343" s="3">
        <v>-7.575168584</v>
      </c>
      <c r="W1343" s="3">
        <v>0.70578529000000001</v>
      </c>
      <c r="X1343" s="3">
        <v>2181.4754859999998</v>
      </c>
      <c r="Y1343" s="3">
        <v>15174.93403</v>
      </c>
      <c r="Z1343" s="3">
        <v>3.183532875</v>
      </c>
      <c r="AA1343" s="3">
        <v>2.7391170000000001E-3</v>
      </c>
      <c r="AB1343" s="3">
        <v>4.5174897850000004</v>
      </c>
      <c r="AC1343" s="3">
        <v>3090.8486149999999</v>
      </c>
      <c r="AD1343" s="3">
        <v>7.5723935000000006E-2</v>
      </c>
      <c r="AE1343" s="3">
        <v>6.9370508299999996</v>
      </c>
      <c r="AF1343" s="4">
        <v>41344</v>
      </c>
      <c r="AG1343" s="5">
        <f>YEAR(AF1343)</f>
        <v>2013</v>
      </c>
      <c r="AH1343" s="5" t="str">
        <f>"Q"&amp;ROUNDUP(MONTH(AF1343)/3,0)</f>
        <v>Q1</v>
      </c>
      <c r="AI1343" s="5">
        <f>INDEX(RatingLookup!$B$2:$B$11,MATCH(A1343,RatingLookup!$A$2:$A$11,0))</f>
        <v>6</v>
      </c>
      <c r="AJ1343" s="5" t="str">
        <f>INDEX(RatingLookup!$C$2:$C$11,MATCH(A1343,RatingLookup!$A$2:$A$11,0))</f>
        <v>Speculative Grade</v>
      </c>
    </row>
    <row r="1344" spans="1:36" x14ac:dyDescent="0.3">
      <c r="A1344" s="3" t="s">
        <v>109</v>
      </c>
      <c r="B1344" s="3" t="s">
        <v>1432</v>
      </c>
      <c r="C1344" s="3" t="s">
        <v>1433</v>
      </c>
      <c r="D1344" s="3" t="s">
        <v>47</v>
      </c>
      <c r="E1344" s="3" t="s">
        <v>1437</v>
      </c>
      <c r="F1344" s="3" t="s">
        <v>219</v>
      </c>
      <c r="G1344" s="3">
        <v>2.593383239</v>
      </c>
      <c r="H1344" s="3">
        <v>2.2083366209999999</v>
      </c>
      <c r="I1344" s="3">
        <v>1.4871948639999999</v>
      </c>
      <c r="J1344" s="3">
        <v>4.1043047140000004</v>
      </c>
      <c r="K1344" s="3">
        <v>5.4315152999999998E-2</v>
      </c>
      <c r="L1344" s="3">
        <v>5.3660840000000001E-2</v>
      </c>
      <c r="M1344" s="3">
        <v>0.41626242400000002</v>
      </c>
      <c r="N1344" s="3">
        <v>9.4986914000000006E-2</v>
      </c>
      <c r="O1344" s="3">
        <v>3.3624803000000002E-2</v>
      </c>
      <c r="P1344" s="3">
        <v>3.9073091999999997E-2</v>
      </c>
      <c r="Q1344" s="3">
        <v>8.7654495999999998E-2</v>
      </c>
      <c r="R1344" s="3">
        <v>0.61906854600000005</v>
      </c>
      <c r="S1344" s="3">
        <v>7.6195944920000001</v>
      </c>
      <c r="T1344" s="3">
        <v>1.6068404510000001</v>
      </c>
      <c r="U1344" s="3">
        <v>0.61639386100000004</v>
      </c>
      <c r="V1344" s="3">
        <v>-9.3704779999999998E-3</v>
      </c>
      <c r="W1344" s="3">
        <v>0.82854183999999997</v>
      </c>
      <c r="X1344" s="3">
        <v>6.1962796659999997</v>
      </c>
      <c r="Y1344" s="3">
        <v>29.28914546</v>
      </c>
      <c r="Z1344" s="3">
        <v>2.6068404510000001</v>
      </c>
      <c r="AA1344" s="3">
        <v>5.3660840000000001E-2</v>
      </c>
      <c r="AB1344" s="3">
        <v>10.78529138</v>
      </c>
      <c r="AC1344" s="3">
        <v>7.478535624</v>
      </c>
      <c r="AD1344" s="3">
        <v>0.13357565199999999</v>
      </c>
      <c r="AE1344" s="3">
        <v>5.3278931690000002</v>
      </c>
      <c r="AF1344" s="4">
        <v>42571</v>
      </c>
      <c r="AG1344" s="5">
        <f>YEAR(AF1344)</f>
        <v>2016</v>
      </c>
      <c r="AH1344" s="5" t="str">
        <f>"Q"&amp;ROUNDUP(MONTH(AF1344)/3,0)</f>
        <v>Q3</v>
      </c>
      <c r="AI1344" s="5">
        <f>INDEX(RatingLookup!$B$2:$B$11,MATCH(A1344,RatingLookup!$A$2:$A$11,0))</f>
        <v>5</v>
      </c>
      <c r="AJ1344" s="5" t="str">
        <f>INDEX(RatingLookup!$C$2:$C$11,MATCH(A1344,RatingLookup!$A$2:$A$11,0))</f>
        <v>Speculative Grade</v>
      </c>
    </row>
    <row r="1345" spans="1:36" x14ac:dyDescent="0.3">
      <c r="A1345" s="3" t="s">
        <v>109</v>
      </c>
      <c r="B1345" s="3" t="s">
        <v>1432</v>
      </c>
      <c r="C1345" s="3" t="s">
        <v>1433</v>
      </c>
      <c r="D1345" s="3" t="s">
        <v>47</v>
      </c>
      <c r="E1345" s="3" t="s">
        <v>1438</v>
      </c>
      <c r="F1345" s="3" t="s">
        <v>219</v>
      </c>
      <c r="G1345" s="3">
        <v>1.5350824649999999</v>
      </c>
      <c r="H1345" s="3">
        <v>1.099904781</v>
      </c>
      <c r="I1345" s="3">
        <v>0.39462152</v>
      </c>
      <c r="J1345" s="3">
        <v>4.9157248630000003</v>
      </c>
      <c r="K1345" s="3">
        <v>2.8669396E-2</v>
      </c>
      <c r="L1345" s="3">
        <v>1.7295867999999999E-2</v>
      </c>
      <c r="M1345" s="3">
        <v>0.39761140299999997</v>
      </c>
      <c r="N1345" s="3">
        <v>6.0865954E-2</v>
      </c>
      <c r="O1345" s="3">
        <v>1.9965975E-2</v>
      </c>
      <c r="P1345" s="3">
        <v>1.4436607000000001E-2</v>
      </c>
      <c r="Q1345" s="3">
        <v>8.0335007999999999E-2</v>
      </c>
      <c r="R1345" s="3">
        <v>0.69642121000000001</v>
      </c>
      <c r="S1345" s="3">
        <v>7.4340193609999998</v>
      </c>
      <c r="T1345" s="3">
        <v>3.0235954660000002</v>
      </c>
      <c r="U1345" s="3">
        <v>0.75146606800000004</v>
      </c>
      <c r="V1345" s="3">
        <v>-0.66519779700000004</v>
      </c>
      <c r="W1345" s="3">
        <v>0.76748445499999995</v>
      </c>
      <c r="X1345" s="3">
        <v>4.2802783680000003</v>
      </c>
      <c r="Y1345" s="3">
        <v>13.518211839999999</v>
      </c>
      <c r="Z1345" s="3">
        <v>4.0235954659999997</v>
      </c>
      <c r="AA1345" s="3">
        <v>1.7295867999999999E-2</v>
      </c>
      <c r="AB1345" s="3">
        <v>11.50645697</v>
      </c>
      <c r="AC1345" s="3">
        <v>5.5770228829999997</v>
      </c>
      <c r="AD1345" s="3">
        <v>0.102376471</v>
      </c>
      <c r="AE1345" s="3">
        <v>6.2235430440000004</v>
      </c>
      <c r="AF1345" s="4">
        <v>42449</v>
      </c>
      <c r="AG1345" s="5">
        <f>YEAR(AF1345)</f>
        <v>2016</v>
      </c>
      <c r="AH1345" s="5" t="str">
        <f>"Q"&amp;ROUNDUP(MONTH(AF1345)/3,0)</f>
        <v>Q1</v>
      </c>
      <c r="AI1345" s="5">
        <f>INDEX(RatingLookup!$B$2:$B$11,MATCH(A1345,RatingLookup!$A$2:$A$11,0))</f>
        <v>5</v>
      </c>
      <c r="AJ1345" s="5" t="str">
        <f>INDEX(RatingLookup!$C$2:$C$11,MATCH(A1345,RatingLookup!$A$2:$A$11,0))</f>
        <v>Speculative Grade</v>
      </c>
    </row>
    <row r="1346" spans="1:36" x14ac:dyDescent="0.3">
      <c r="A1346" s="3" t="s">
        <v>92</v>
      </c>
      <c r="B1346" s="3" t="s">
        <v>1439</v>
      </c>
      <c r="C1346" s="3" t="s">
        <v>1440</v>
      </c>
      <c r="D1346" s="3" t="s">
        <v>47</v>
      </c>
      <c r="E1346" s="3" t="s">
        <v>1441</v>
      </c>
      <c r="F1346" s="3" t="s">
        <v>219</v>
      </c>
      <c r="G1346" s="3">
        <v>5.0129574479999999</v>
      </c>
      <c r="H1346" s="3">
        <v>3.5620195529999998</v>
      </c>
      <c r="I1346" s="3">
        <v>1.2202142419999999</v>
      </c>
      <c r="J1346" s="3">
        <v>50.277123000000003</v>
      </c>
      <c r="K1346" s="3">
        <v>0.137835289</v>
      </c>
      <c r="L1346" s="3">
        <v>0.175860143</v>
      </c>
      <c r="M1346" s="3">
        <v>0.36158136200000002</v>
      </c>
      <c r="N1346" s="3">
        <v>0.203743693</v>
      </c>
      <c r="O1346" s="3">
        <v>8.7156224000000004E-2</v>
      </c>
      <c r="P1346" s="3">
        <v>0.120122153</v>
      </c>
      <c r="Q1346" s="3">
        <v>0.243315422</v>
      </c>
      <c r="R1346" s="3">
        <v>0.63232155199999995</v>
      </c>
      <c r="S1346" s="3">
        <v>1.23493608</v>
      </c>
      <c r="T1346" s="3">
        <v>1.7917159730000001</v>
      </c>
      <c r="U1346" s="3">
        <v>0.64179737100000001</v>
      </c>
      <c r="V1346" s="3">
        <v>0.21622212699999999</v>
      </c>
      <c r="W1346" s="3">
        <v>-0.30180189899999998</v>
      </c>
      <c r="X1346" s="3">
        <v>-264.3348732</v>
      </c>
      <c r="Y1346" s="3">
        <v>2889.3372300000001</v>
      </c>
      <c r="Z1346" s="3">
        <v>2.7917159730000001</v>
      </c>
      <c r="AA1346" s="3">
        <v>0.175860143</v>
      </c>
      <c r="AB1346" s="3">
        <v>1.994300191</v>
      </c>
      <c r="AC1346" s="3">
        <v>875.85556710000003</v>
      </c>
      <c r="AD1346" s="3">
        <v>8.5077428999999996E-2</v>
      </c>
      <c r="AE1346" s="3">
        <v>9.3259578340000004</v>
      </c>
      <c r="AF1346" s="4">
        <v>41467</v>
      </c>
      <c r="AG1346" s="5">
        <f>YEAR(AF1346)</f>
        <v>2013</v>
      </c>
      <c r="AH1346" s="5" t="str">
        <f>"Q"&amp;ROUNDUP(MONTH(AF1346)/3,0)</f>
        <v>Q3</v>
      </c>
      <c r="AI1346" s="5">
        <f>INDEX(RatingLookup!$B$2:$B$11,MATCH(A1346,RatingLookup!$A$2:$A$11,0))</f>
        <v>6</v>
      </c>
      <c r="AJ1346" s="5" t="str">
        <f>INDEX(RatingLookup!$C$2:$C$11,MATCH(A1346,RatingLookup!$A$2:$A$11,0))</f>
        <v>Speculative Grade</v>
      </c>
    </row>
    <row r="1347" spans="1:36" x14ac:dyDescent="0.3">
      <c r="A1347" s="3" t="s">
        <v>109</v>
      </c>
      <c r="B1347" s="3" t="s">
        <v>1439</v>
      </c>
      <c r="C1347" s="3" t="s">
        <v>1440</v>
      </c>
      <c r="D1347" s="3" t="s">
        <v>47</v>
      </c>
      <c r="E1347" s="3" t="s">
        <v>1362</v>
      </c>
      <c r="F1347" s="3" t="s">
        <v>219</v>
      </c>
      <c r="G1347" s="3">
        <v>5.232965514</v>
      </c>
      <c r="H1347" s="3">
        <v>4.2616840250000001</v>
      </c>
      <c r="I1347" s="3">
        <v>3.3017588600000001</v>
      </c>
      <c r="J1347" s="3">
        <v>33.325126869999998</v>
      </c>
      <c r="K1347" s="3">
        <v>1.8457547000000001E-2</v>
      </c>
      <c r="L1347" s="3">
        <v>1.8196299999999999E-4</v>
      </c>
      <c r="M1347" s="3">
        <v>0.23005525800000001</v>
      </c>
      <c r="N1347" s="3">
        <v>4.1481270000000001E-2</v>
      </c>
      <c r="O1347" s="3">
        <v>1.0705210999999999E-2</v>
      </c>
      <c r="P1347" s="3">
        <v>1.1417999999999999E-4</v>
      </c>
      <c r="Q1347" s="3">
        <v>3.0892815000000001E-2</v>
      </c>
      <c r="R1347" s="3">
        <v>0.579990962</v>
      </c>
      <c r="S1347" s="3">
        <v>1.1457476529999999</v>
      </c>
      <c r="T1347" s="3">
        <v>1.8857736350000001</v>
      </c>
      <c r="U1347" s="3">
        <v>0.653472473</v>
      </c>
      <c r="V1347" s="3">
        <v>-100.4358974</v>
      </c>
      <c r="W1347" s="3">
        <v>0.12759383299999999</v>
      </c>
      <c r="X1347" s="3">
        <v>0.147083083</v>
      </c>
      <c r="Y1347" s="3">
        <v>5.6037417520000004</v>
      </c>
      <c r="Z1347" s="3">
        <v>2.8857736350000001</v>
      </c>
      <c r="AA1347" s="3">
        <v>1.8196299999999999E-4</v>
      </c>
      <c r="AB1347" s="3">
        <v>14.14149284</v>
      </c>
      <c r="AC1347" s="3">
        <v>1.152744451</v>
      </c>
      <c r="AD1347" s="3">
        <v>9.5634606999999996E-2</v>
      </c>
      <c r="AE1347" s="3">
        <v>9.9749350200000002</v>
      </c>
      <c r="AF1347" s="4">
        <v>42458</v>
      </c>
      <c r="AG1347" s="5">
        <f>YEAR(AF1347)</f>
        <v>2016</v>
      </c>
      <c r="AH1347" s="5" t="str">
        <f>"Q"&amp;ROUNDUP(MONTH(AF1347)/3,0)</f>
        <v>Q1</v>
      </c>
      <c r="AI1347" s="5">
        <f>INDEX(RatingLookup!$B$2:$B$11,MATCH(A1347,RatingLookup!$A$2:$A$11,0))</f>
        <v>5</v>
      </c>
      <c r="AJ1347" s="5" t="str">
        <f>INDEX(RatingLookup!$C$2:$C$11,MATCH(A1347,RatingLookup!$A$2:$A$11,0))</f>
        <v>Speculative Grade</v>
      </c>
    </row>
    <row r="1348" spans="1:36" x14ac:dyDescent="0.3">
      <c r="A1348" s="3" t="s">
        <v>92</v>
      </c>
      <c r="B1348" s="3" t="s">
        <v>1439</v>
      </c>
      <c r="C1348" s="3" t="s">
        <v>1440</v>
      </c>
      <c r="D1348" s="3" t="s">
        <v>47</v>
      </c>
      <c r="E1348" s="3" t="s">
        <v>1442</v>
      </c>
      <c r="F1348" s="3" t="s">
        <v>219</v>
      </c>
      <c r="G1348" s="3">
        <v>3.8446680930000001</v>
      </c>
      <c r="H1348" s="3">
        <v>3.1676591850000002</v>
      </c>
      <c r="I1348" s="3">
        <v>1.8274249460000001</v>
      </c>
      <c r="J1348" s="3">
        <v>50.324514309999998</v>
      </c>
      <c r="K1348" s="3">
        <v>0.13862702900000001</v>
      </c>
      <c r="L1348" s="3">
        <v>0.18103750099999999</v>
      </c>
      <c r="M1348" s="3">
        <v>0.35376125899999999</v>
      </c>
      <c r="N1348" s="3">
        <v>0.20093391299999999</v>
      </c>
      <c r="O1348" s="3">
        <v>9.8162342999999999E-2</v>
      </c>
      <c r="P1348" s="3">
        <v>0.14536510899999999</v>
      </c>
      <c r="Q1348" s="3">
        <v>0.30097866400000001</v>
      </c>
      <c r="R1348" s="3">
        <v>0.70810392600000005</v>
      </c>
      <c r="S1348" s="3">
        <v>1.549683167</v>
      </c>
      <c r="T1348" s="3">
        <v>2.0661316040000002</v>
      </c>
      <c r="U1348" s="3">
        <v>0.67385613899999997</v>
      </c>
      <c r="V1348" s="3">
        <v>0.234263465</v>
      </c>
      <c r="W1348" s="3">
        <v>0.45972545500000001</v>
      </c>
      <c r="X1348" s="3">
        <v>1466.929764</v>
      </c>
      <c r="Y1348" s="3">
        <v>6374.355442</v>
      </c>
      <c r="Z1348" s="3">
        <v>3.0661316040000002</v>
      </c>
      <c r="AA1348" s="3">
        <v>0.18103750099999999</v>
      </c>
      <c r="AB1348" s="3">
        <v>1.0673342969999999</v>
      </c>
      <c r="AC1348" s="3">
        <v>3190.8821830000002</v>
      </c>
      <c r="AD1348" s="3">
        <v>0.19550927800000001</v>
      </c>
      <c r="AE1348" s="3">
        <v>6.6050057710000001</v>
      </c>
      <c r="AF1348" s="4">
        <v>41890</v>
      </c>
      <c r="AG1348" s="5">
        <f>YEAR(AF1348)</f>
        <v>2014</v>
      </c>
      <c r="AH1348" s="5" t="str">
        <f>"Q"&amp;ROUNDUP(MONTH(AF1348)/3,0)</f>
        <v>Q3</v>
      </c>
      <c r="AI1348" s="5">
        <f>INDEX(RatingLookup!$B$2:$B$11,MATCH(A1348,RatingLookup!$A$2:$A$11,0))</f>
        <v>6</v>
      </c>
      <c r="AJ1348" s="5" t="str">
        <f>INDEX(RatingLookup!$C$2:$C$11,MATCH(A1348,RatingLookup!$A$2:$A$11,0))</f>
        <v>Speculative Grade</v>
      </c>
    </row>
    <row r="1349" spans="1:36" x14ac:dyDescent="0.3">
      <c r="A1349" s="3" t="s">
        <v>109</v>
      </c>
      <c r="B1349" s="3" t="s">
        <v>1439</v>
      </c>
      <c r="C1349" s="3" t="s">
        <v>1440</v>
      </c>
      <c r="D1349" s="3" t="s">
        <v>47</v>
      </c>
      <c r="E1349" s="3" t="s">
        <v>1443</v>
      </c>
      <c r="F1349" s="3" t="s">
        <v>219</v>
      </c>
      <c r="G1349" s="3">
        <v>8.1206347759999993</v>
      </c>
      <c r="H1349" s="3">
        <v>7.277473627</v>
      </c>
      <c r="I1349" s="3">
        <v>6.4680338300000004</v>
      </c>
      <c r="J1349" s="3">
        <v>58.051713200000002</v>
      </c>
      <c r="K1349" s="3">
        <v>-7.3363413000000002E-2</v>
      </c>
      <c r="L1349" s="3">
        <v>-0.13892338600000001</v>
      </c>
      <c r="M1349" s="3">
        <v>0.14711637299999999</v>
      </c>
      <c r="N1349" s="3">
        <v>-9.5655125999999993E-2</v>
      </c>
      <c r="O1349" s="3">
        <v>-1.9803011999999998E-2</v>
      </c>
      <c r="P1349" s="3">
        <v>-3.9599951000000001E-2</v>
      </c>
      <c r="Q1349" s="3">
        <v>-3.2244029E-2</v>
      </c>
      <c r="R1349" s="3">
        <v>0.26993034999999999</v>
      </c>
      <c r="S1349" s="3">
        <v>0.71443343800000003</v>
      </c>
      <c r="T1349" s="3">
        <v>0.62823865700000003</v>
      </c>
      <c r="U1349" s="3">
        <v>0.38583941900000002</v>
      </c>
      <c r="V1349" s="3">
        <v>0.47191459299999999</v>
      </c>
      <c r="W1349" s="3">
        <v>-120.9160105</v>
      </c>
      <c r="X1349" s="3">
        <v>-0.70835063099999995</v>
      </c>
      <c r="Y1349" s="3">
        <v>10.93569814</v>
      </c>
      <c r="Z1349" s="3">
        <v>1.628238657</v>
      </c>
      <c r="AA1349" s="3">
        <v>-0.13892338600000001</v>
      </c>
      <c r="AB1349" s="3">
        <v>235.10642809999999</v>
      </c>
      <c r="AC1349" s="3">
        <v>5.8582039999999997E-3</v>
      </c>
      <c r="AD1349" s="3">
        <v>6.8081299999999995E-4</v>
      </c>
      <c r="AE1349" s="3">
        <v>6.7435502559999998</v>
      </c>
      <c r="AF1349" s="4">
        <v>42636</v>
      </c>
      <c r="AG1349" s="5">
        <f>YEAR(AF1349)</f>
        <v>2016</v>
      </c>
      <c r="AH1349" s="5" t="str">
        <f>"Q"&amp;ROUNDUP(MONTH(AF1349)/3,0)</f>
        <v>Q3</v>
      </c>
      <c r="AI1349" s="5">
        <f>INDEX(RatingLookup!$B$2:$B$11,MATCH(A1349,RatingLookup!$A$2:$A$11,0))</f>
        <v>5</v>
      </c>
      <c r="AJ1349" s="5" t="str">
        <f>INDEX(RatingLookup!$C$2:$C$11,MATCH(A1349,RatingLookup!$A$2:$A$11,0))</f>
        <v>Speculative Grade</v>
      </c>
    </row>
    <row r="1350" spans="1:36" x14ac:dyDescent="0.3">
      <c r="A1350" s="3" t="s">
        <v>109</v>
      </c>
      <c r="B1350" s="3" t="s">
        <v>1444</v>
      </c>
      <c r="C1350" s="3" t="s">
        <v>1445</v>
      </c>
      <c r="D1350" s="3" t="s">
        <v>47</v>
      </c>
      <c r="E1350" s="3" t="s">
        <v>1237</v>
      </c>
      <c r="F1350" s="3" t="s">
        <v>219</v>
      </c>
      <c r="G1350" s="3">
        <v>2.6286889520000001</v>
      </c>
      <c r="H1350" s="3">
        <v>1.39817547</v>
      </c>
      <c r="I1350" s="3">
        <v>0.74117076500000001</v>
      </c>
      <c r="J1350" s="3">
        <v>46.421229719999999</v>
      </c>
      <c r="K1350" s="3">
        <v>-5.4226106000000003E-2</v>
      </c>
      <c r="L1350" s="3">
        <v>-3.7286408E-2</v>
      </c>
      <c r="M1350" s="3">
        <v>9.8804032999999999E-2</v>
      </c>
      <c r="N1350" s="3">
        <v>-1.7407158999999998E-2</v>
      </c>
      <c r="O1350" s="3">
        <v>-5.9311114999999998E-2</v>
      </c>
      <c r="P1350" s="3">
        <v>-5.1742424000000002E-2</v>
      </c>
      <c r="Q1350" s="3">
        <v>-0.21918860300000001</v>
      </c>
      <c r="R1350" s="3">
        <v>1.093774188</v>
      </c>
      <c r="S1350" s="3">
        <v>3.099353362</v>
      </c>
      <c r="T1350" s="3">
        <v>2.6955738</v>
      </c>
      <c r="U1350" s="3">
        <v>0.72940602600000004</v>
      </c>
      <c r="V1350" s="3">
        <v>-0.736088144</v>
      </c>
      <c r="W1350" s="3">
        <v>0.24246832500000001</v>
      </c>
      <c r="X1350" s="3">
        <v>0.28868072099999997</v>
      </c>
      <c r="Y1350" s="3">
        <v>3.7294025629999998</v>
      </c>
      <c r="Z1350" s="3">
        <v>3.6955738</v>
      </c>
      <c r="AA1350" s="3">
        <v>-3.7286408E-2</v>
      </c>
      <c r="AB1350" s="3">
        <v>10.42206489</v>
      </c>
      <c r="AC1350" s="3">
        <v>1.190591478</v>
      </c>
      <c r="AD1350" s="3">
        <v>4.5835480999999997E-2</v>
      </c>
      <c r="AE1350" s="3">
        <v>10.206424480000001</v>
      </c>
      <c r="AF1350" s="4">
        <v>42501</v>
      </c>
      <c r="AG1350" s="5">
        <f>YEAR(AF1350)</f>
        <v>2016</v>
      </c>
      <c r="AH1350" s="5" t="str">
        <f>"Q"&amp;ROUNDUP(MONTH(AF1350)/3,0)</f>
        <v>Q2</v>
      </c>
      <c r="AI1350" s="5">
        <f>INDEX(RatingLookup!$B$2:$B$11,MATCH(A1350,RatingLookup!$A$2:$A$11,0))</f>
        <v>5</v>
      </c>
      <c r="AJ1350" s="5" t="str">
        <f>INDEX(RatingLookup!$C$2:$C$11,MATCH(A1350,RatingLookup!$A$2:$A$11,0))</f>
        <v>Speculative Grade</v>
      </c>
    </row>
    <row r="1351" spans="1:36" x14ac:dyDescent="0.3">
      <c r="A1351" s="3" t="s">
        <v>92</v>
      </c>
      <c r="B1351" s="3" t="s">
        <v>1444</v>
      </c>
      <c r="C1351" s="3" t="s">
        <v>1445</v>
      </c>
      <c r="D1351" s="3" t="s">
        <v>47</v>
      </c>
      <c r="E1351" s="3" t="s">
        <v>1094</v>
      </c>
      <c r="F1351" s="3" t="s">
        <v>219</v>
      </c>
      <c r="G1351" s="3">
        <v>2.7720556049999998</v>
      </c>
      <c r="H1351" s="3">
        <v>1.332744167</v>
      </c>
      <c r="I1351" s="3">
        <v>0.66803844099999998</v>
      </c>
      <c r="J1351" s="3">
        <v>38.391945880000002</v>
      </c>
      <c r="K1351" s="3">
        <v>-4.2447826000000001E-2</v>
      </c>
      <c r="L1351" s="3">
        <v>-8.0317504999999997E-2</v>
      </c>
      <c r="M1351" s="3">
        <v>7.4197308000000003E-2</v>
      </c>
      <c r="N1351" s="3">
        <v>-5.1502827000000001E-2</v>
      </c>
      <c r="O1351" s="3">
        <v>-5.3794015000000001E-2</v>
      </c>
      <c r="P1351" s="3">
        <v>-0.12748959900000001</v>
      </c>
      <c r="Q1351" s="3">
        <v>-0.15730554599999999</v>
      </c>
      <c r="R1351" s="3">
        <v>1.2672973089999999</v>
      </c>
      <c r="S1351" s="3">
        <v>3.5940020549999998</v>
      </c>
      <c r="T1351" s="3">
        <v>1.9242201779999999</v>
      </c>
      <c r="U1351" s="3">
        <v>0.65802848700000005</v>
      </c>
      <c r="V1351" s="3">
        <v>0.143315993</v>
      </c>
      <c r="W1351" s="3">
        <v>0.48770075000000002</v>
      </c>
      <c r="X1351" s="3">
        <v>1.0399274730000001</v>
      </c>
      <c r="Y1351" s="3">
        <v>3.785614147</v>
      </c>
      <c r="Z1351" s="3">
        <v>2.9242201780000001</v>
      </c>
      <c r="AA1351" s="3">
        <v>-8.0317504999999997E-2</v>
      </c>
      <c r="AB1351" s="3">
        <v>-89.625398500000003</v>
      </c>
      <c r="AC1351" s="3">
        <v>2.1323064839999999</v>
      </c>
      <c r="AD1351" s="3">
        <v>6.0179570000000002E-2</v>
      </c>
      <c r="AE1351" s="3">
        <v>11.72175934</v>
      </c>
      <c r="AF1351" s="4">
        <v>41964</v>
      </c>
      <c r="AG1351" s="5">
        <f>YEAR(AF1351)</f>
        <v>2014</v>
      </c>
      <c r="AH1351" s="5" t="str">
        <f>"Q"&amp;ROUNDUP(MONTH(AF1351)/3,0)</f>
        <v>Q4</v>
      </c>
      <c r="AI1351" s="5">
        <f>INDEX(RatingLookup!$B$2:$B$11,MATCH(A1351,RatingLookup!$A$2:$A$11,0))</f>
        <v>6</v>
      </c>
      <c r="AJ1351" s="5" t="str">
        <f>INDEX(RatingLookup!$C$2:$C$11,MATCH(A1351,RatingLookup!$A$2:$A$11,0))</f>
        <v>Speculative Grade</v>
      </c>
    </row>
    <row r="1352" spans="1:36" x14ac:dyDescent="0.3">
      <c r="A1352" s="3" t="s">
        <v>109</v>
      </c>
      <c r="B1352" s="3" t="s">
        <v>1444</v>
      </c>
      <c r="C1352" s="3" t="s">
        <v>1445</v>
      </c>
      <c r="D1352" s="3" t="s">
        <v>47</v>
      </c>
      <c r="E1352" s="3" t="s">
        <v>238</v>
      </c>
      <c r="F1352" s="3" t="s">
        <v>219</v>
      </c>
      <c r="G1352" s="3">
        <v>2.6072260979999999</v>
      </c>
      <c r="H1352" s="3">
        <v>1.1800186770000001</v>
      </c>
      <c r="I1352" s="3">
        <v>0.48984533200000002</v>
      </c>
      <c r="J1352" s="3">
        <v>44.377226329999999</v>
      </c>
      <c r="K1352" s="3">
        <v>1.6271529999999999E-2</v>
      </c>
      <c r="L1352" s="3">
        <v>2.5297711000000001E-2</v>
      </c>
      <c r="M1352" s="3">
        <v>0.13643496099999999</v>
      </c>
      <c r="N1352" s="3">
        <v>4.7326325000000002E-2</v>
      </c>
      <c r="O1352" s="3">
        <v>1.9330331999999999E-2</v>
      </c>
      <c r="P1352" s="3">
        <v>3.8151200000000003E-2</v>
      </c>
      <c r="Q1352" s="3">
        <v>5.1190668000000002E-2</v>
      </c>
      <c r="R1352" s="3">
        <v>1.18798494</v>
      </c>
      <c r="S1352" s="3">
        <v>3.3869306379999999</v>
      </c>
      <c r="T1352" s="3">
        <v>1.648204292</v>
      </c>
      <c r="U1352" s="3">
        <v>0.62238562799999997</v>
      </c>
      <c r="V1352" s="3">
        <v>0.45761318400000001</v>
      </c>
      <c r="W1352" s="3">
        <v>0.31305883499999998</v>
      </c>
      <c r="X1352" s="3">
        <v>0.68851222700000003</v>
      </c>
      <c r="Y1352" s="3">
        <v>3.64086804</v>
      </c>
      <c r="Z1352" s="3">
        <v>2.648204292</v>
      </c>
      <c r="AA1352" s="3">
        <v>2.5297711000000001E-2</v>
      </c>
      <c r="AB1352" s="3">
        <v>7.3044448319999997</v>
      </c>
      <c r="AC1352" s="3">
        <v>2.1993061709999999</v>
      </c>
      <c r="AD1352" s="3">
        <v>5.3914433999999997E-2</v>
      </c>
      <c r="AE1352" s="3">
        <v>10.572745429999999</v>
      </c>
      <c r="AF1352" s="4">
        <v>41541</v>
      </c>
      <c r="AG1352" s="5">
        <f>YEAR(AF1352)</f>
        <v>2013</v>
      </c>
      <c r="AH1352" s="5" t="str">
        <f>"Q"&amp;ROUNDUP(MONTH(AF1352)/3,0)</f>
        <v>Q3</v>
      </c>
      <c r="AI1352" s="5">
        <f>INDEX(RatingLookup!$B$2:$B$11,MATCH(A1352,RatingLookup!$A$2:$A$11,0))</f>
        <v>5</v>
      </c>
      <c r="AJ1352" s="5" t="str">
        <f>INDEX(RatingLookup!$C$2:$C$11,MATCH(A1352,RatingLookup!$A$2:$A$11,0))</f>
        <v>Speculative Grade</v>
      </c>
    </row>
    <row r="1353" spans="1:36" x14ac:dyDescent="0.3">
      <c r="A1353" s="3" t="s">
        <v>109</v>
      </c>
      <c r="B1353" s="3" t="s">
        <v>1444</v>
      </c>
      <c r="C1353" s="3" t="s">
        <v>1445</v>
      </c>
      <c r="D1353" s="3" t="s">
        <v>47</v>
      </c>
      <c r="E1353" s="3" t="s">
        <v>200</v>
      </c>
      <c r="F1353" s="3" t="s">
        <v>219</v>
      </c>
      <c r="G1353" s="3">
        <v>1.983687695</v>
      </c>
      <c r="H1353" s="3">
        <v>1.0303383740000001</v>
      </c>
      <c r="I1353" s="3">
        <v>0.40378417100000003</v>
      </c>
      <c r="J1353" s="3">
        <v>51.738692389999997</v>
      </c>
      <c r="K1353" s="3">
        <v>-2.6856642E-2</v>
      </c>
      <c r="L1353" s="3">
        <v>-2.5962921999999999E-2</v>
      </c>
      <c r="M1353" s="3">
        <v>0.112589757</v>
      </c>
      <c r="N1353" s="3">
        <v>-1.6857409E-2</v>
      </c>
      <c r="O1353" s="3">
        <v>-2.6910783000000001E-2</v>
      </c>
      <c r="P1353" s="3">
        <v>-3.6635011000000002E-2</v>
      </c>
      <c r="Q1353" s="3">
        <v>-0.11565239300000001</v>
      </c>
      <c r="R1353" s="3">
        <v>1.002015914</v>
      </c>
      <c r="S1353" s="3">
        <v>2.8945427850000001</v>
      </c>
      <c r="T1353" s="3">
        <v>3.2976227749999998</v>
      </c>
      <c r="U1353" s="3">
        <v>0.76731322099999999</v>
      </c>
      <c r="V1353" s="3">
        <v>-9.9859994999999993E-2</v>
      </c>
      <c r="W1353" s="3">
        <v>3.5678161E-2</v>
      </c>
      <c r="X1353" s="3">
        <v>2.8785518E-2</v>
      </c>
      <c r="Y1353" s="3">
        <v>3.6691705620000001</v>
      </c>
      <c r="Z1353" s="3">
        <v>4.2976227749999998</v>
      </c>
      <c r="AA1353" s="3">
        <v>-2.5962921999999999E-2</v>
      </c>
      <c r="AB1353" s="3">
        <v>27.854178739999998</v>
      </c>
      <c r="AC1353" s="3">
        <v>0.80681059399999999</v>
      </c>
      <c r="AD1353" s="3">
        <v>3.4373846999999999E-2</v>
      </c>
      <c r="AE1353" s="3">
        <v>7.5748878619999997</v>
      </c>
      <c r="AF1353" s="4">
        <v>42606</v>
      </c>
      <c r="AG1353" s="5">
        <f>YEAR(AF1353)</f>
        <v>2016</v>
      </c>
      <c r="AH1353" s="5" t="str">
        <f>"Q"&amp;ROUNDUP(MONTH(AF1353)/3,0)</f>
        <v>Q3</v>
      </c>
      <c r="AI1353" s="5">
        <f>INDEX(RatingLookup!$B$2:$B$11,MATCH(A1353,RatingLookup!$A$2:$A$11,0))</f>
        <v>5</v>
      </c>
      <c r="AJ1353" s="5" t="str">
        <f>INDEX(RatingLookup!$C$2:$C$11,MATCH(A1353,RatingLookup!$A$2:$A$11,0))</f>
        <v>Speculative Grade</v>
      </c>
    </row>
    <row r="1354" spans="1:36" x14ac:dyDescent="0.3">
      <c r="A1354" s="3" t="s">
        <v>36</v>
      </c>
      <c r="B1354" s="3" t="s">
        <v>1446</v>
      </c>
      <c r="C1354" s="3" t="s">
        <v>1447</v>
      </c>
      <c r="D1354" s="3" t="s">
        <v>60</v>
      </c>
      <c r="E1354" s="3" t="s">
        <v>46</v>
      </c>
      <c r="F1354" s="3" t="s">
        <v>96</v>
      </c>
      <c r="G1354" s="3">
        <v>9.2786738349999993</v>
      </c>
      <c r="H1354" s="3">
        <v>6.966845878</v>
      </c>
      <c r="I1354" s="3">
        <v>5.3405017920000004</v>
      </c>
      <c r="J1354" s="3">
        <v>53.1691547</v>
      </c>
      <c r="K1354" s="3">
        <v>0.18313207200000001</v>
      </c>
      <c r="L1354" s="3">
        <v>0.226110107</v>
      </c>
      <c r="M1354" s="3">
        <v>0.41456689200000002</v>
      </c>
      <c r="N1354" s="3">
        <v>0.22801178999999999</v>
      </c>
      <c r="O1354" s="3">
        <v>0.13895101400000001</v>
      </c>
      <c r="P1354" s="3">
        <v>0.18658297400000001</v>
      </c>
      <c r="Q1354" s="3">
        <v>-1.1336080049999999</v>
      </c>
      <c r="R1354" s="3">
        <v>0.75874756499999996</v>
      </c>
      <c r="S1354" s="3">
        <v>12.144341799999999</v>
      </c>
      <c r="T1354" s="3">
        <v>-1</v>
      </c>
      <c r="U1354" s="3">
        <v>0.122574129</v>
      </c>
      <c r="V1354" s="3">
        <v>0.19007569399999999</v>
      </c>
      <c r="W1354" s="3">
        <v>1</v>
      </c>
      <c r="X1354" s="3">
        <v>1.8392721759999999</v>
      </c>
      <c r="Y1354" s="3">
        <v>4.7331311600000001</v>
      </c>
      <c r="Z1354" s="3">
        <v>-8.1583284280000008</v>
      </c>
      <c r="AA1354" s="3">
        <v>0.226110107</v>
      </c>
      <c r="AB1354" s="3">
        <v>3.434096067</v>
      </c>
      <c r="AC1354" s="3">
        <v>1.8392721759999999</v>
      </c>
      <c r="AD1354" s="3">
        <v>0.230674147</v>
      </c>
      <c r="AE1354" s="3">
        <v>4.0506578949999996</v>
      </c>
      <c r="AF1354" s="4">
        <v>41075</v>
      </c>
      <c r="AG1354" s="5">
        <f>YEAR(AF1354)</f>
        <v>2012</v>
      </c>
      <c r="AH1354" s="5" t="str">
        <f>"Q"&amp;ROUNDUP(MONTH(AF1354)/3,0)</f>
        <v>Q2</v>
      </c>
      <c r="AI1354" s="5">
        <f>INDEX(RatingLookup!$B$2:$B$11,MATCH(A1354,RatingLookup!$A$2:$A$11,0))</f>
        <v>8</v>
      </c>
      <c r="AJ1354" s="5" t="str">
        <f>INDEX(RatingLookup!$C$2:$C$11,MATCH(A1354,RatingLookup!$A$2:$A$11,0))</f>
        <v>Investment Grade</v>
      </c>
    </row>
    <row r="1355" spans="1:36" x14ac:dyDescent="0.3">
      <c r="A1355" s="3" t="s">
        <v>36</v>
      </c>
      <c r="B1355" s="3" t="s">
        <v>1446</v>
      </c>
      <c r="C1355" s="3" t="s">
        <v>1447</v>
      </c>
      <c r="D1355" s="3" t="s">
        <v>60</v>
      </c>
      <c r="E1355" s="3" t="s">
        <v>633</v>
      </c>
      <c r="F1355" s="3" t="s">
        <v>96</v>
      </c>
      <c r="G1355" s="3">
        <v>2.4383886260000001</v>
      </c>
      <c r="H1355" s="3">
        <v>1.765139547</v>
      </c>
      <c r="I1355" s="3">
        <v>1.2630331749999999</v>
      </c>
      <c r="J1355" s="3">
        <v>65.71435966</v>
      </c>
      <c r="K1355" s="3">
        <v>0.14256134200000001</v>
      </c>
      <c r="L1355" s="3">
        <v>0.16544155699999999</v>
      </c>
      <c r="M1355" s="3">
        <v>0.40915208600000003</v>
      </c>
      <c r="N1355" s="3">
        <v>0.17527694399999999</v>
      </c>
      <c r="O1355" s="3">
        <v>8.9952965999999995E-2</v>
      </c>
      <c r="P1355" s="3">
        <v>0.13883579500000001</v>
      </c>
      <c r="Q1355" s="3">
        <v>0.18087481899999999</v>
      </c>
      <c r="R1355" s="3">
        <v>0.63097726700000001</v>
      </c>
      <c r="S1355" s="3">
        <v>10.828475340000001</v>
      </c>
      <c r="T1355" s="3">
        <v>1.01077105</v>
      </c>
      <c r="U1355" s="3">
        <v>0.50267833799999995</v>
      </c>
      <c r="V1355" s="3">
        <v>0.13829787199999999</v>
      </c>
      <c r="W1355" s="3">
        <v>0.81513327599999996</v>
      </c>
      <c r="X1355" s="3">
        <v>0.78088962100000003</v>
      </c>
      <c r="Y1355" s="3">
        <v>4.0897858319999996</v>
      </c>
      <c r="Z1355" s="3">
        <v>2.0107710499999998</v>
      </c>
      <c r="AA1355" s="3">
        <v>0.16544155699999999</v>
      </c>
      <c r="AB1355" s="3">
        <v>10.68717054</v>
      </c>
      <c r="AC1355" s="3">
        <v>0.95799011499999998</v>
      </c>
      <c r="AD1355" s="3">
        <v>0.120405839</v>
      </c>
      <c r="AE1355" s="3">
        <v>3.1134751770000002</v>
      </c>
      <c r="AF1355" s="4">
        <v>42268</v>
      </c>
      <c r="AG1355" s="5">
        <f>YEAR(AF1355)</f>
        <v>2015</v>
      </c>
      <c r="AH1355" s="5" t="str">
        <f>"Q"&amp;ROUNDUP(MONTH(AF1355)/3,0)</f>
        <v>Q3</v>
      </c>
      <c r="AI1355" s="5">
        <f>INDEX(RatingLookup!$B$2:$B$11,MATCH(A1355,RatingLookup!$A$2:$A$11,0))</f>
        <v>8</v>
      </c>
      <c r="AJ1355" s="5" t="str">
        <f>INDEX(RatingLookup!$C$2:$C$11,MATCH(A1355,RatingLookup!$A$2:$A$11,0))</f>
        <v>Investment Grade</v>
      </c>
    </row>
    <row r="1356" spans="1:36" x14ac:dyDescent="0.3">
      <c r="A1356" s="3" t="s">
        <v>109</v>
      </c>
      <c r="B1356" s="3" t="s">
        <v>1448</v>
      </c>
      <c r="C1356" s="3" t="s">
        <v>1449</v>
      </c>
      <c r="D1356" s="3" t="s">
        <v>39</v>
      </c>
      <c r="E1356" s="3" t="s">
        <v>675</v>
      </c>
      <c r="F1356" s="3" t="s">
        <v>79</v>
      </c>
      <c r="G1356" s="3">
        <v>2.7947750789999999</v>
      </c>
      <c r="H1356" s="3">
        <v>2.214085039</v>
      </c>
      <c r="I1356" s="3">
        <v>1.185803122</v>
      </c>
      <c r="J1356" s="3">
        <v>82.20208049</v>
      </c>
      <c r="K1356" s="3">
        <v>4.7704740000000002E-3</v>
      </c>
      <c r="L1356" s="3">
        <v>9.7167690000000001E-3</v>
      </c>
      <c r="M1356" s="3">
        <v>0.43978273400000001</v>
      </c>
      <c r="N1356" s="3">
        <v>4.1071788999999997E-2</v>
      </c>
      <c r="O1356" s="3">
        <v>4.3290459999999996E-3</v>
      </c>
      <c r="P1356" s="3">
        <v>1.171785E-2</v>
      </c>
      <c r="Q1356" s="3">
        <v>1.8791192000000002E-2</v>
      </c>
      <c r="R1356" s="3">
        <v>0.90746668600000002</v>
      </c>
      <c r="S1356" s="3">
        <v>12.73965089</v>
      </c>
      <c r="T1356" s="3">
        <v>3.3407234290000001</v>
      </c>
      <c r="U1356" s="3">
        <v>0.76962365499999996</v>
      </c>
      <c r="V1356" s="3">
        <v>0.50904729800000004</v>
      </c>
      <c r="W1356" s="3">
        <v>0.76304404199999998</v>
      </c>
      <c r="X1356" s="3">
        <v>1.688986286</v>
      </c>
      <c r="Y1356" s="3">
        <v>7.8205478990000001</v>
      </c>
      <c r="Z1356" s="3">
        <v>4.3407234289999996</v>
      </c>
      <c r="AA1356" s="3">
        <v>9.7167690000000001E-3</v>
      </c>
      <c r="AB1356" s="3">
        <v>14.598161169999999</v>
      </c>
      <c r="AC1356" s="3">
        <v>2.2134846640000001</v>
      </c>
      <c r="AD1356" s="3">
        <v>0.10717394700000001</v>
      </c>
      <c r="AE1356" s="3">
        <v>6.1677590709999999</v>
      </c>
      <c r="AF1356" s="4">
        <v>42277</v>
      </c>
      <c r="AG1356" s="5">
        <f>YEAR(AF1356)</f>
        <v>2015</v>
      </c>
      <c r="AH1356" s="5" t="str">
        <f>"Q"&amp;ROUNDUP(MONTH(AF1356)/3,0)</f>
        <v>Q3</v>
      </c>
      <c r="AI1356" s="5">
        <f>INDEX(RatingLookup!$B$2:$B$11,MATCH(A1356,RatingLookup!$A$2:$A$11,0))</f>
        <v>5</v>
      </c>
      <c r="AJ1356" s="5" t="str">
        <f>INDEX(RatingLookup!$C$2:$C$11,MATCH(A1356,RatingLookup!$A$2:$A$11,0))</f>
        <v>Speculative Grade</v>
      </c>
    </row>
    <row r="1357" spans="1:36" x14ac:dyDescent="0.3">
      <c r="A1357" s="3" t="s">
        <v>109</v>
      </c>
      <c r="B1357" s="3" t="s">
        <v>1448</v>
      </c>
      <c r="C1357" s="3" t="s">
        <v>1449</v>
      </c>
      <c r="D1357" s="3" t="s">
        <v>39</v>
      </c>
      <c r="E1357" s="3" t="s">
        <v>1222</v>
      </c>
      <c r="F1357" s="3" t="s">
        <v>79</v>
      </c>
      <c r="G1357" s="3">
        <v>2.269393794</v>
      </c>
      <c r="H1357" s="3">
        <v>1.5609075610000001</v>
      </c>
      <c r="I1357" s="3">
        <v>0.56334311599999998</v>
      </c>
      <c r="J1357" s="3">
        <v>85.631227350000003</v>
      </c>
      <c r="K1357" s="3">
        <v>-4.1022383000000003E-2</v>
      </c>
      <c r="L1357" s="3">
        <v>-3.8506232000000001E-2</v>
      </c>
      <c r="M1357" s="3">
        <v>0.41544100299999998</v>
      </c>
      <c r="N1357" s="3">
        <v>-8.5232199999999998E-4</v>
      </c>
      <c r="O1357" s="3">
        <v>-4.7388740999999998E-2</v>
      </c>
      <c r="P1357" s="3">
        <v>-6.7517039000000001E-2</v>
      </c>
      <c r="Q1357" s="3">
        <v>1.033310352</v>
      </c>
      <c r="R1357" s="3">
        <v>1.155192287</v>
      </c>
      <c r="S1357" s="3">
        <v>17.393831070000001</v>
      </c>
      <c r="T1357" s="3">
        <v>-22.804975989999999</v>
      </c>
      <c r="U1357" s="3">
        <v>1.045861092</v>
      </c>
      <c r="V1357" s="3">
        <v>-6.5343991000000004E-2</v>
      </c>
      <c r="W1357" s="3">
        <v>1.9338377E-2</v>
      </c>
      <c r="X1357" s="3">
        <v>8.4416219999999993E-3</v>
      </c>
      <c r="Y1357" s="3">
        <v>4.6064093799999997</v>
      </c>
      <c r="Z1357" s="3">
        <v>-21.804975989999999</v>
      </c>
      <c r="AA1357" s="3">
        <v>-3.8506232000000001E-2</v>
      </c>
      <c r="AB1357" s="3">
        <v>25.06328654</v>
      </c>
      <c r="AC1357" s="3">
        <v>0.43652173900000002</v>
      </c>
      <c r="AD1357" s="3">
        <v>2.1453547999999999E-2</v>
      </c>
      <c r="AE1357" s="3">
        <v>4.7768325559999996</v>
      </c>
      <c r="AF1357" s="4">
        <v>41522</v>
      </c>
      <c r="AG1357" s="5">
        <f>YEAR(AF1357)</f>
        <v>2013</v>
      </c>
      <c r="AH1357" s="5" t="str">
        <f>"Q"&amp;ROUNDUP(MONTH(AF1357)/3,0)</f>
        <v>Q3</v>
      </c>
      <c r="AI1357" s="5">
        <f>INDEX(RatingLookup!$B$2:$B$11,MATCH(A1357,RatingLookup!$A$2:$A$11,0))</f>
        <v>5</v>
      </c>
      <c r="AJ1357" s="5" t="str">
        <f>INDEX(RatingLookup!$C$2:$C$11,MATCH(A1357,RatingLookup!$A$2:$A$11,0))</f>
        <v>Speculative Grade</v>
      </c>
    </row>
    <row r="1358" spans="1:36" x14ac:dyDescent="0.3">
      <c r="A1358" s="3" t="s">
        <v>42</v>
      </c>
      <c r="B1358" s="3" t="s">
        <v>1450</v>
      </c>
      <c r="C1358" s="3" t="s">
        <v>1451</v>
      </c>
      <c r="D1358" s="3" t="s">
        <v>39</v>
      </c>
      <c r="E1358" s="3" t="s">
        <v>364</v>
      </c>
      <c r="F1358" s="3" t="s">
        <v>219</v>
      </c>
      <c r="G1358" s="3">
        <v>1.1104500070000001</v>
      </c>
      <c r="H1358" s="3">
        <v>0.68834632699999998</v>
      </c>
      <c r="I1358" s="3">
        <v>4.7781880999999998E-2</v>
      </c>
      <c r="J1358" s="3">
        <v>67.13668989</v>
      </c>
      <c r="K1358" s="3">
        <v>8.4226743000000007E-2</v>
      </c>
      <c r="L1358" s="3">
        <v>0.11893141</v>
      </c>
      <c r="M1358" s="3">
        <v>0.46226672699999999</v>
      </c>
      <c r="N1358" s="3">
        <v>0.13689996800000001</v>
      </c>
      <c r="O1358" s="3">
        <v>6.1787565000000003E-2</v>
      </c>
      <c r="P1358" s="3">
        <v>0.112625248</v>
      </c>
      <c r="Q1358" s="3">
        <v>0.16440902700000001</v>
      </c>
      <c r="R1358" s="3">
        <v>0.73358607300000001</v>
      </c>
      <c r="S1358" s="3">
        <v>4.6812102539999998</v>
      </c>
      <c r="T1358" s="3">
        <v>1.660875627</v>
      </c>
      <c r="U1358" s="3">
        <v>0.62418386299999995</v>
      </c>
      <c r="V1358" s="3">
        <v>0.28038153599999999</v>
      </c>
      <c r="W1358" s="3">
        <v>0.58762943400000001</v>
      </c>
      <c r="X1358" s="3">
        <v>3.5551482839999999</v>
      </c>
      <c r="Y1358" s="3">
        <v>1.3088970339999999</v>
      </c>
      <c r="Z1358" s="3">
        <v>2.6608756269999998</v>
      </c>
      <c r="AA1358" s="3">
        <v>0.11893141</v>
      </c>
      <c r="AB1358" s="3">
        <v>13.26536151</v>
      </c>
      <c r="AC1358" s="3">
        <v>6.0499833389999997</v>
      </c>
      <c r="AD1358" s="3">
        <v>0.12713840600000001</v>
      </c>
      <c r="AE1358" s="3">
        <v>6.6062456989999996</v>
      </c>
      <c r="AF1358" s="4">
        <v>41947</v>
      </c>
      <c r="AG1358" s="5">
        <f>YEAR(AF1358)</f>
        <v>2014</v>
      </c>
      <c r="AH1358" s="5" t="str">
        <f>"Q"&amp;ROUNDUP(MONTH(AF1358)/3,0)</f>
        <v>Q4</v>
      </c>
      <c r="AI1358" s="5">
        <f>INDEX(RatingLookup!$B$2:$B$11,MATCH(A1358,RatingLookup!$A$2:$A$11,0))</f>
        <v>7</v>
      </c>
      <c r="AJ1358" s="5" t="str">
        <f>INDEX(RatingLookup!$C$2:$C$11,MATCH(A1358,RatingLookup!$A$2:$A$11,0))</f>
        <v>Investment Grade</v>
      </c>
    </row>
    <row r="1359" spans="1:36" x14ac:dyDescent="0.3">
      <c r="A1359" s="3" t="s">
        <v>42</v>
      </c>
      <c r="B1359" s="3" t="s">
        <v>1450</v>
      </c>
      <c r="C1359" s="3" t="s">
        <v>1451</v>
      </c>
      <c r="D1359" s="3" t="s">
        <v>39</v>
      </c>
      <c r="E1359" s="3" t="s">
        <v>1070</v>
      </c>
      <c r="F1359" s="3" t="s">
        <v>219</v>
      </c>
      <c r="G1359" s="3">
        <v>1.346748072</v>
      </c>
      <c r="H1359" s="3">
        <v>0.88004127600000004</v>
      </c>
      <c r="I1359" s="3">
        <v>9.7228194000000004E-2</v>
      </c>
      <c r="J1359" s="3">
        <v>70.722984289999999</v>
      </c>
      <c r="K1359" s="3">
        <v>7.3022772E-2</v>
      </c>
      <c r="L1359" s="3">
        <v>8.3910544000000004E-2</v>
      </c>
      <c r="M1359" s="3">
        <v>0.453717537</v>
      </c>
      <c r="N1359" s="3">
        <v>0.117750917</v>
      </c>
      <c r="O1359" s="3">
        <v>4.9285769E-2</v>
      </c>
      <c r="P1359" s="3">
        <v>6.8870062999999995E-2</v>
      </c>
      <c r="Q1359" s="3">
        <v>0.13177566299999999</v>
      </c>
      <c r="R1359" s="3">
        <v>0.67493698000000002</v>
      </c>
      <c r="S1359" s="3">
        <v>4.5986814709999999</v>
      </c>
      <c r="T1359" s="3">
        <v>1.6737061390000001</v>
      </c>
      <c r="U1359" s="3">
        <v>0.62598732000000001</v>
      </c>
      <c r="V1359" s="3">
        <v>0.29197014700000001</v>
      </c>
      <c r="W1359" s="3">
        <v>0.59924349300000002</v>
      </c>
      <c r="X1359" s="3">
        <v>3.1167055690000001</v>
      </c>
      <c r="Y1359" s="3">
        <v>1.6745581860000001</v>
      </c>
      <c r="Z1359" s="3">
        <v>2.6737061390000001</v>
      </c>
      <c r="AA1359" s="3">
        <v>8.3910544000000004E-2</v>
      </c>
      <c r="AB1359" s="3">
        <v>15.484776589999999</v>
      </c>
      <c r="AC1359" s="3">
        <v>5.2010670220000002</v>
      </c>
      <c r="AD1359" s="3">
        <v>0.117690555</v>
      </c>
      <c r="AE1359" s="3">
        <v>7.0849398179999996</v>
      </c>
      <c r="AF1359" s="4">
        <v>41649</v>
      </c>
      <c r="AG1359" s="5">
        <f>YEAR(AF1359)</f>
        <v>2014</v>
      </c>
      <c r="AH1359" s="5" t="str">
        <f>"Q"&amp;ROUNDUP(MONTH(AF1359)/3,0)</f>
        <v>Q1</v>
      </c>
      <c r="AI1359" s="5">
        <f>INDEX(RatingLookup!$B$2:$B$11,MATCH(A1359,RatingLookup!$A$2:$A$11,0))</f>
        <v>7</v>
      </c>
      <c r="AJ1359" s="5" t="str">
        <f>INDEX(RatingLookup!$C$2:$C$11,MATCH(A1359,RatingLookup!$A$2:$A$11,0))</f>
        <v>Investment Grade</v>
      </c>
    </row>
    <row r="1360" spans="1:36" x14ac:dyDescent="0.3">
      <c r="A1360" s="3" t="s">
        <v>42</v>
      </c>
      <c r="B1360" s="3" t="s">
        <v>1450</v>
      </c>
      <c r="C1360" s="3" t="s">
        <v>1451</v>
      </c>
      <c r="D1360" s="3" t="s">
        <v>39</v>
      </c>
      <c r="E1360" s="3" t="s">
        <v>670</v>
      </c>
      <c r="F1360" s="3" t="s">
        <v>219</v>
      </c>
      <c r="G1360" s="3">
        <v>0.93348585299999998</v>
      </c>
      <c r="H1360" s="3">
        <v>0.573629418</v>
      </c>
      <c r="I1360" s="3">
        <v>1.9477794E-2</v>
      </c>
      <c r="J1360" s="3">
        <v>64.408752980000003</v>
      </c>
      <c r="K1360" s="3">
        <v>7.3982473000000007E-2</v>
      </c>
      <c r="L1360" s="3">
        <v>9.7282411999999999E-2</v>
      </c>
      <c r="M1360" s="3">
        <v>0.46670751799999999</v>
      </c>
      <c r="N1360" s="3">
        <v>0.115266775</v>
      </c>
      <c r="O1360" s="3">
        <v>5.3755826999999999E-2</v>
      </c>
      <c r="P1360" s="3">
        <v>9.4953628999999998E-2</v>
      </c>
      <c r="Q1360" s="3">
        <v>0.14502380600000001</v>
      </c>
      <c r="R1360" s="3">
        <v>0.72660218799999998</v>
      </c>
      <c r="S1360" s="3">
        <v>4.195737695</v>
      </c>
      <c r="T1360" s="3">
        <v>1.6978248600000001</v>
      </c>
      <c r="U1360" s="3">
        <v>0.62933101599999997</v>
      </c>
      <c r="V1360" s="3">
        <v>0.22804887300000001</v>
      </c>
      <c r="W1360" s="3">
        <v>0.61446144599999997</v>
      </c>
      <c r="X1360" s="3">
        <v>4.1457489880000002</v>
      </c>
      <c r="Y1360" s="3">
        <v>1.1565452089999999</v>
      </c>
      <c r="Z1360" s="3">
        <v>2.6978248599999999</v>
      </c>
      <c r="AA1360" s="3">
        <v>9.7282411999999999E-2</v>
      </c>
      <c r="AB1360" s="3">
        <v>15.83995704</v>
      </c>
      <c r="AC1360" s="3">
        <v>6.7469635630000004</v>
      </c>
      <c r="AD1360" s="3">
        <v>0.14764010599999999</v>
      </c>
      <c r="AE1360" s="3">
        <v>6.8821455790000003</v>
      </c>
      <c r="AF1360" s="4">
        <v>42226</v>
      </c>
      <c r="AG1360" s="5">
        <f>YEAR(AF1360)</f>
        <v>2015</v>
      </c>
      <c r="AH1360" s="5" t="str">
        <f>"Q"&amp;ROUNDUP(MONTH(AF1360)/3,0)</f>
        <v>Q3</v>
      </c>
      <c r="AI1360" s="5">
        <f>INDEX(RatingLookup!$B$2:$B$11,MATCH(A1360,RatingLookup!$A$2:$A$11,0))</f>
        <v>7</v>
      </c>
      <c r="AJ1360" s="5" t="str">
        <f>INDEX(RatingLookup!$C$2:$C$11,MATCH(A1360,RatingLookup!$A$2:$A$11,0))</f>
        <v>Investment Grade</v>
      </c>
    </row>
    <row r="1361" spans="1:36" x14ac:dyDescent="0.3">
      <c r="A1361" s="3" t="s">
        <v>42</v>
      </c>
      <c r="B1361" s="3" t="s">
        <v>1450</v>
      </c>
      <c r="C1361" s="3" t="s">
        <v>1451</v>
      </c>
      <c r="D1361" s="3" t="s">
        <v>60</v>
      </c>
      <c r="E1361" s="3" t="s">
        <v>581</v>
      </c>
      <c r="F1361" s="3" t="s">
        <v>219</v>
      </c>
      <c r="G1361" s="3">
        <v>1.4173014509999999</v>
      </c>
      <c r="H1361" s="3">
        <v>0.88381797699999998</v>
      </c>
      <c r="I1361" s="3">
        <v>0.108432139</v>
      </c>
      <c r="J1361" s="3">
        <v>64.970044400000006</v>
      </c>
      <c r="K1361" s="3">
        <v>9.3485797999999995E-2</v>
      </c>
      <c r="L1361" s="3">
        <v>0.12547898499999999</v>
      </c>
      <c r="M1361" s="3">
        <v>0.47548050600000002</v>
      </c>
      <c r="N1361" s="3">
        <v>0.145596375</v>
      </c>
      <c r="O1361" s="3">
        <v>6.7080556E-2</v>
      </c>
      <c r="P1361" s="3">
        <v>0.107793192</v>
      </c>
      <c r="Q1361" s="3">
        <v>0.17817449399999999</v>
      </c>
      <c r="R1361" s="3">
        <v>0.71754808999999997</v>
      </c>
      <c r="S1361" s="3">
        <v>3.9087072809999999</v>
      </c>
      <c r="T1361" s="3">
        <v>1.6561272840000001</v>
      </c>
      <c r="U1361" s="3">
        <v>0.623512018</v>
      </c>
      <c r="V1361" s="3">
        <v>0.244365002</v>
      </c>
      <c r="W1361" s="3">
        <v>0.63530442899999995</v>
      </c>
      <c r="X1361" s="3">
        <v>4.2129914529999999</v>
      </c>
      <c r="Y1361" s="3">
        <v>1.119316239</v>
      </c>
      <c r="Z1361" s="3">
        <v>2.6561272840000001</v>
      </c>
      <c r="AA1361" s="3">
        <v>0.12547898499999999</v>
      </c>
      <c r="AB1361" s="3">
        <v>15.148217450000001</v>
      </c>
      <c r="AC1361" s="3">
        <v>6.6314529909999997</v>
      </c>
      <c r="AD1361" s="3">
        <v>0.147474302</v>
      </c>
      <c r="AE1361" s="3">
        <v>7.0167819370000002</v>
      </c>
      <c r="AF1361" s="4">
        <v>42705</v>
      </c>
      <c r="AG1361" s="5">
        <f>YEAR(AF1361)</f>
        <v>2016</v>
      </c>
      <c r="AH1361" s="5" t="str">
        <f>"Q"&amp;ROUNDUP(MONTH(AF1361)/3,0)</f>
        <v>Q4</v>
      </c>
      <c r="AI1361" s="5">
        <f>INDEX(RatingLookup!$B$2:$B$11,MATCH(A1361,RatingLookup!$A$2:$A$11,0))</f>
        <v>7</v>
      </c>
      <c r="AJ1361" s="5" t="str">
        <f>INDEX(RatingLookup!$C$2:$C$11,MATCH(A1361,RatingLookup!$A$2:$A$11,0))</f>
        <v>Investment Grade</v>
      </c>
    </row>
    <row r="1362" spans="1:36" x14ac:dyDescent="0.3">
      <c r="A1362" s="3" t="s">
        <v>42</v>
      </c>
      <c r="B1362" s="3" t="s">
        <v>1452</v>
      </c>
      <c r="C1362" s="3" t="s">
        <v>1453</v>
      </c>
      <c r="D1362" s="3" t="s">
        <v>60</v>
      </c>
      <c r="E1362" s="3" t="s">
        <v>644</v>
      </c>
      <c r="F1362" s="3" t="s">
        <v>79</v>
      </c>
      <c r="G1362" s="3">
        <v>0.54918864099999998</v>
      </c>
      <c r="H1362" s="3">
        <v>0.35395537500000002</v>
      </c>
      <c r="I1362" s="3">
        <v>6.8204868000000002E-2</v>
      </c>
      <c r="J1362" s="3">
        <v>60.157209709999997</v>
      </c>
      <c r="K1362" s="3">
        <v>9.6519450000000007E-2</v>
      </c>
      <c r="L1362" s="3">
        <v>0.11772448100000001</v>
      </c>
      <c r="M1362" s="3">
        <v>0.36063176400000002</v>
      </c>
      <c r="N1362" s="3">
        <v>0.21687628</v>
      </c>
      <c r="O1362" s="3">
        <v>1.3777555E-2</v>
      </c>
      <c r="P1362" s="3">
        <v>1.8312102E-2</v>
      </c>
      <c r="Q1362" s="3">
        <v>4.5214770000000001E-2</v>
      </c>
      <c r="R1362" s="3">
        <v>0.14274382099999999</v>
      </c>
      <c r="S1362" s="3">
        <v>0.233084501</v>
      </c>
      <c r="T1362" s="3">
        <v>2.154826334</v>
      </c>
      <c r="U1362" s="3">
        <v>0.65660487599999995</v>
      </c>
      <c r="V1362" s="3">
        <v>0.180124224</v>
      </c>
      <c r="W1362" s="3">
        <v>-6.7409765999999996E-2</v>
      </c>
      <c r="X1362" s="3">
        <v>-0.31632452700000002</v>
      </c>
      <c r="Y1362" s="3">
        <v>0.67001021900000002</v>
      </c>
      <c r="Z1362" s="3">
        <v>3.281770227</v>
      </c>
      <c r="AA1362" s="3">
        <v>0.11772448100000001</v>
      </c>
      <c r="AB1362" s="3">
        <v>20.62626629</v>
      </c>
      <c r="AC1362" s="3">
        <v>4.6925622740000001</v>
      </c>
      <c r="AD1362" s="3">
        <v>0.27551915799999999</v>
      </c>
      <c r="AE1362" s="3">
        <v>2.21928934</v>
      </c>
      <c r="AF1362" s="4">
        <v>42690</v>
      </c>
      <c r="AG1362" s="5">
        <f>YEAR(AF1362)</f>
        <v>2016</v>
      </c>
      <c r="AH1362" s="5" t="str">
        <f>"Q"&amp;ROUNDUP(MONTH(AF1362)/3,0)</f>
        <v>Q4</v>
      </c>
      <c r="AI1362" s="5">
        <f>INDEX(RatingLookup!$B$2:$B$11,MATCH(A1362,RatingLookup!$A$2:$A$11,0))</f>
        <v>7</v>
      </c>
      <c r="AJ1362" s="5" t="str">
        <f>INDEX(RatingLookup!$C$2:$C$11,MATCH(A1362,RatingLookup!$A$2:$A$11,0))</f>
        <v>Investment Grade</v>
      </c>
    </row>
    <row r="1363" spans="1:36" x14ac:dyDescent="0.3">
      <c r="A1363" s="3" t="s">
        <v>42</v>
      </c>
      <c r="B1363" s="3" t="s">
        <v>1452</v>
      </c>
      <c r="C1363" s="3" t="s">
        <v>1453</v>
      </c>
      <c r="D1363" s="3" t="s">
        <v>47</v>
      </c>
      <c r="E1363" s="3" t="s">
        <v>324</v>
      </c>
      <c r="F1363" s="3" t="s">
        <v>79</v>
      </c>
      <c r="G1363" s="3">
        <v>0.70394238099999995</v>
      </c>
      <c r="H1363" s="3">
        <v>0.45716451899999999</v>
      </c>
      <c r="I1363" s="3">
        <v>9.1736163999999995E-2</v>
      </c>
      <c r="J1363" s="3">
        <v>52.073405360000002</v>
      </c>
      <c r="K1363" s="3">
        <v>0.11913571100000001</v>
      </c>
      <c r="L1363" s="3">
        <v>0.152138523</v>
      </c>
      <c r="M1363" s="3">
        <v>0.33920378899999998</v>
      </c>
      <c r="N1363" s="3">
        <v>0.21000443999999999</v>
      </c>
      <c r="O1363" s="3">
        <v>2.7947507E-2</v>
      </c>
      <c r="P1363" s="3">
        <v>3.9287625E-2</v>
      </c>
      <c r="Q1363" s="3">
        <v>8.1477732999999997E-2</v>
      </c>
      <c r="R1363" s="3">
        <v>0.23458547399999999</v>
      </c>
      <c r="S1363" s="3">
        <v>0.34483286600000002</v>
      </c>
      <c r="T1363" s="3">
        <v>1.867510121</v>
      </c>
      <c r="U1363" s="3">
        <v>0.64057075399999996</v>
      </c>
      <c r="V1363" s="3">
        <v>0.21692607</v>
      </c>
      <c r="W1363" s="3">
        <v>-0.30543933099999998</v>
      </c>
      <c r="X1363" s="3">
        <v>-1.272770341</v>
      </c>
      <c r="Y1363" s="3">
        <v>0.60276012199999995</v>
      </c>
      <c r="Z1363" s="3">
        <v>2.9153846149999998</v>
      </c>
      <c r="AA1363" s="3">
        <v>0.152138523</v>
      </c>
      <c r="AB1363" s="3">
        <v>12.70991154</v>
      </c>
      <c r="AC1363" s="3">
        <v>4.1670152260000002</v>
      </c>
      <c r="AD1363" s="3">
        <v>0.24759508699999999</v>
      </c>
      <c r="AE1363" s="3">
        <v>3.1465820999999998</v>
      </c>
      <c r="AF1363" s="4">
        <v>42409</v>
      </c>
      <c r="AG1363" s="5">
        <f>YEAR(AF1363)</f>
        <v>2016</v>
      </c>
      <c r="AH1363" s="5" t="str">
        <f>"Q"&amp;ROUNDUP(MONTH(AF1363)/3,0)</f>
        <v>Q1</v>
      </c>
      <c r="AI1363" s="5">
        <f>INDEX(RatingLookup!$B$2:$B$11,MATCH(A1363,RatingLookup!$A$2:$A$11,0))</f>
        <v>7</v>
      </c>
      <c r="AJ1363" s="5" t="str">
        <f>INDEX(RatingLookup!$C$2:$C$11,MATCH(A1363,RatingLookup!$A$2:$A$11,0))</f>
        <v>Investment Grade</v>
      </c>
    </row>
    <row r="1364" spans="1:36" x14ac:dyDescent="0.3">
      <c r="A1364" s="3" t="s">
        <v>42</v>
      </c>
      <c r="B1364" s="3" t="s">
        <v>1454</v>
      </c>
      <c r="C1364" s="3" t="s">
        <v>1455</v>
      </c>
      <c r="D1364" s="3" t="s">
        <v>60</v>
      </c>
      <c r="E1364" s="3" t="s">
        <v>315</v>
      </c>
      <c r="F1364" s="3" t="s">
        <v>53</v>
      </c>
      <c r="G1364" s="3">
        <v>2.1846785230000001</v>
      </c>
      <c r="H1364" s="3">
        <v>1.6887824899999999</v>
      </c>
      <c r="I1364" s="3">
        <v>0.95143638900000005</v>
      </c>
      <c r="J1364" s="3">
        <v>29.048704659999999</v>
      </c>
      <c r="K1364" s="3">
        <v>-5.6580311000000001E-2</v>
      </c>
      <c r="L1364" s="3">
        <v>-8.7253886000000003E-2</v>
      </c>
      <c r="M1364" s="3">
        <v>1</v>
      </c>
      <c r="N1364" s="3">
        <v>-8.7253886000000003E-2</v>
      </c>
      <c r="O1364" s="3">
        <v>-1.8015046E-2</v>
      </c>
      <c r="P1364" s="3">
        <v>-3.0747882000000001E-2</v>
      </c>
      <c r="Q1364" s="3">
        <v>-3.2624282999999997E-2</v>
      </c>
      <c r="R1364" s="3">
        <v>0.31839778299999999</v>
      </c>
      <c r="S1364" s="3">
        <v>3.1680892969999999</v>
      </c>
      <c r="T1364" s="3">
        <v>0.81094646299999995</v>
      </c>
      <c r="U1364" s="3">
        <v>0.44780256000000002</v>
      </c>
      <c r="V1364" s="3">
        <v>0.36817102099999999</v>
      </c>
      <c r="W1364" s="3">
        <v>1</v>
      </c>
      <c r="X1364" s="3">
        <v>8.3758389260000001</v>
      </c>
      <c r="Y1364" s="3">
        <v>13.993288590000001</v>
      </c>
      <c r="Z1364" s="3">
        <v>1.8109464630000001</v>
      </c>
      <c r="AA1364" s="3">
        <v>-8.7253886000000003E-2</v>
      </c>
      <c r="AB1364" s="3">
        <v>19.340065299999999</v>
      </c>
      <c r="AC1364" s="3">
        <v>8.3758389260000001</v>
      </c>
      <c r="AD1364" s="3">
        <v>0.25865284999999999</v>
      </c>
      <c r="AE1364" s="3">
        <v>0</v>
      </c>
      <c r="AF1364" s="4">
        <v>42338</v>
      </c>
      <c r="AG1364" s="5">
        <f>YEAR(AF1364)</f>
        <v>2015</v>
      </c>
      <c r="AH1364" s="5" t="str">
        <f>"Q"&amp;ROUNDUP(MONTH(AF1364)/3,0)</f>
        <v>Q4</v>
      </c>
      <c r="AI1364" s="5">
        <f>INDEX(RatingLookup!$B$2:$B$11,MATCH(A1364,RatingLookup!$A$2:$A$11,0))</f>
        <v>7</v>
      </c>
      <c r="AJ1364" s="5" t="str">
        <f>INDEX(RatingLookup!$C$2:$C$11,MATCH(A1364,RatingLookup!$A$2:$A$11,0))</f>
        <v>Investment Grade</v>
      </c>
    </row>
    <row r="1365" spans="1:36" x14ac:dyDescent="0.3">
      <c r="A1365" s="3" t="s">
        <v>42</v>
      </c>
      <c r="B1365" s="3" t="s">
        <v>1454</v>
      </c>
      <c r="C1365" s="3" t="s">
        <v>1455</v>
      </c>
      <c r="D1365" s="3" t="s">
        <v>60</v>
      </c>
      <c r="E1365" s="3" t="s">
        <v>46</v>
      </c>
      <c r="F1365" s="3" t="s">
        <v>53</v>
      </c>
      <c r="G1365" s="3">
        <v>1.462047761</v>
      </c>
      <c r="H1365" s="3">
        <v>1.040039613</v>
      </c>
      <c r="I1365" s="3">
        <v>0.53121670499999996</v>
      </c>
      <c r="J1365" s="3">
        <v>36.150598309999999</v>
      </c>
      <c r="K1365" s="3">
        <v>0.29946655100000003</v>
      </c>
      <c r="L1365" s="3">
        <v>0.235559296</v>
      </c>
      <c r="M1365" s="3">
        <v>1</v>
      </c>
      <c r="N1365" s="3">
        <v>0.235559296</v>
      </c>
      <c r="O1365" s="3">
        <v>7.2412125999999993E-2</v>
      </c>
      <c r="P1365" s="3">
        <v>6.2441337E-2</v>
      </c>
      <c r="Q1365" s="3">
        <v>0.15203503700000001</v>
      </c>
      <c r="R1365" s="3">
        <v>0.24180372</v>
      </c>
      <c r="S1365" s="3">
        <v>0.32398884900000002</v>
      </c>
      <c r="T1365" s="3">
        <v>1.0995797979999999</v>
      </c>
      <c r="U1365" s="3">
        <v>0.52371422099999998</v>
      </c>
      <c r="V1365" s="3">
        <v>0.30110023400000002</v>
      </c>
      <c r="W1365" s="3">
        <v>1</v>
      </c>
      <c r="X1365" s="3">
        <v>13.08521522</v>
      </c>
      <c r="Y1365" s="3">
        <v>6.6406538700000004</v>
      </c>
      <c r="Z1365" s="3">
        <v>2.0995797980000002</v>
      </c>
      <c r="AA1365" s="3">
        <v>0.235559296</v>
      </c>
      <c r="AB1365" s="3">
        <v>10.665778169999999</v>
      </c>
      <c r="AC1365" s="3">
        <v>13.08521522</v>
      </c>
      <c r="AD1365" s="3">
        <v>0.548956518</v>
      </c>
      <c r="AE1365" s="3">
        <v>0</v>
      </c>
      <c r="AF1365" s="4">
        <v>41075</v>
      </c>
      <c r="AG1365" s="5">
        <f>YEAR(AF1365)</f>
        <v>2012</v>
      </c>
      <c r="AH1365" s="5" t="str">
        <f>"Q"&amp;ROUNDUP(MONTH(AF1365)/3,0)</f>
        <v>Q2</v>
      </c>
      <c r="AI1365" s="5">
        <f>INDEX(RatingLookup!$B$2:$B$11,MATCH(A1365,RatingLookup!$A$2:$A$11,0))</f>
        <v>7</v>
      </c>
      <c r="AJ1365" s="5" t="str">
        <f>INDEX(RatingLookup!$C$2:$C$11,MATCH(A1365,RatingLookup!$A$2:$A$11,0))</f>
        <v>Investment Grade</v>
      </c>
    </row>
    <row r="1366" spans="1:36" x14ac:dyDescent="0.3">
      <c r="A1366" s="3" t="s">
        <v>92</v>
      </c>
      <c r="B1366" s="3" t="s">
        <v>1456</v>
      </c>
      <c r="C1366" s="3" t="s">
        <v>1457</v>
      </c>
      <c r="D1366" s="3" t="s">
        <v>60</v>
      </c>
      <c r="E1366" s="3" t="s">
        <v>1458</v>
      </c>
      <c r="F1366" s="3" t="s">
        <v>59</v>
      </c>
      <c r="G1366" s="3">
        <v>1.3753457570000001</v>
      </c>
      <c r="H1366" s="3">
        <v>0.95789444300000004</v>
      </c>
      <c r="I1366" s="3">
        <v>0.31787320800000002</v>
      </c>
      <c r="J1366" s="3">
        <v>51.224559569999997</v>
      </c>
      <c r="K1366" s="3">
        <v>2.6573856999999999E-2</v>
      </c>
      <c r="L1366" s="3">
        <v>3.6466674999999997E-2</v>
      </c>
      <c r="M1366" s="3">
        <v>8.0060366999999993E-2</v>
      </c>
      <c r="N1366" s="3">
        <v>2.6573856999999999E-2</v>
      </c>
      <c r="O1366" s="3">
        <v>5.1783121000000001E-2</v>
      </c>
      <c r="P1366" s="3">
        <v>0.124584368</v>
      </c>
      <c r="Q1366" s="3">
        <v>0.141633015</v>
      </c>
      <c r="R1366" s="3">
        <v>1.9486490059999999</v>
      </c>
      <c r="S1366" s="3">
        <v>10.228074599999999</v>
      </c>
      <c r="T1366" s="3">
        <v>1.7351193410000001</v>
      </c>
      <c r="U1366" s="3">
        <v>0.63438523999999996</v>
      </c>
      <c r="V1366" s="3">
        <v>0.32550675699999998</v>
      </c>
      <c r="W1366" s="3">
        <v>0.43836117499999999</v>
      </c>
      <c r="X1366" s="3">
        <v>4.224695563</v>
      </c>
      <c r="Y1366" s="3">
        <v>13.51550033</v>
      </c>
      <c r="Z1366" s="3">
        <v>2.7351193409999999</v>
      </c>
      <c r="AA1366" s="3">
        <v>3.6466674999999997E-2</v>
      </c>
      <c r="AB1366" s="3">
        <v>10.59909509</v>
      </c>
      <c r="AC1366" s="3">
        <v>9.6374765819999997</v>
      </c>
      <c r="AD1366" s="3">
        <v>5.0517433E-2</v>
      </c>
      <c r="AE1366" s="3">
        <v>6.1238774759999997</v>
      </c>
      <c r="AF1366" s="4">
        <v>41709</v>
      </c>
      <c r="AG1366" s="5">
        <f>YEAR(AF1366)</f>
        <v>2014</v>
      </c>
      <c r="AH1366" s="5" t="str">
        <f>"Q"&amp;ROUNDUP(MONTH(AF1366)/3,0)</f>
        <v>Q1</v>
      </c>
      <c r="AI1366" s="5">
        <f>INDEX(RatingLookup!$B$2:$B$11,MATCH(A1366,RatingLookup!$A$2:$A$11,0))</f>
        <v>6</v>
      </c>
      <c r="AJ1366" s="5" t="str">
        <f>INDEX(RatingLookup!$C$2:$C$11,MATCH(A1366,RatingLookup!$A$2:$A$11,0))</f>
        <v>Speculative Grade</v>
      </c>
    </row>
    <row r="1367" spans="1:36" x14ac:dyDescent="0.3">
      <c r="A1367" s="3" t="s">
        <v>42</v>
      </c>
      <c r="B1367" s="3" t="s">
        <v>1456</v>
      </c>
      <c r="C1367" s="3" t="s">
        <v>1457</v>
      </c>
      <c r="D1367" s="3" t="s">
        <v>39</v>
      </c>
      <c r="E1367" s="3" t="s">
        <v>221</v>
      </c>
      <c r="F1367" s="3" t="s">
        <v>59</v>
      </c>
      <c r="G1367" s="3">
        <v>1.3592399820000001</v>
      </c>
      <c r="H1367" s="3">
        <v>0.90148567400000001</v>
      </c>
      <c r="I1367" s="3">
        <v>0.276441457</v>
      </c>
      <c r="J1367" s="3">
        <v>50.89159094</v>
      </c>
      <c r="K1367" s="3">
        <v>3.7930197999999998E-2</v>
      </c>
      <c r="L1367" s="3">
        <v>4.4417367999999999E-2</v>
      </c>
      <c r="M1367" s="3">
        <v>8.4209100999999995E-2</v>
      </c>
      <c r="N1367" s="3">
        <v>4.4417367999999999E-2</v>
      </c>
      <c r="O1367" s="3">
        <v>7.3484732999999997E-2</v>
      </c>
      <c r="P1367" s="3">
        <v>0.15164471199999999</v>
      </c>
      <c r="Q1367" s="3">
        <v>0.227254292</v>
      </c>
      <c r="R1367" s="3">
        <v>1.9373674890000001</v>
      </c>
      <c r="S1367" s="3">
        <v>10.911122049999999</v>
      </c>
      <c r="T1367" s="3">
        <v>2.0925375150000001</v>
      </c>
      <c r="U1367" s="3">
        <v>0.67664094799999996</v>
      </c>
      <c r="V1367" s="3">
        <v>0.15417830799999999</v>
      </c>
      <c r="W1367" s="3">
        <v>0.54225048499999995</v>
      </c>
      <c r="X1367" s="3">
        <v>6.2740439549999998</v>
      </c>
      <c r="Y1367" s="3">
        <v>13.670457130000001</v>
      </c>
      <c r="Z1367" s="3">
        <v>3.0925375150000001</v>
      </c>
      <c r="AA1367" s="3">
        <v>4.4417367999999999E-2</v>
      </c>
      <c r="AB1367" s="3">
        <v>8.7558201130000004</v>
      </c>
      <c r="AC1367" s="3">
        <v>11.57037961</v>
      </c>
      <c r="AD1367" s="3">
        <v>5.2337355000000002E-2</v>
      </c>
      <c r="AE1367" s="3">
        <v>6.4287411399999996</v>
      </c>
      <c r="AF1367" s="4">
        <v>42137</v>
      </c>
      <c r="AG1367" s="5">
        <f>YEAR(AF1367)</f>
        <v>2015</v>
      </c>
      <c r="AH1367" s="5" t="str">
        <f>"Q"&amp;ROUNDUP(MONTH(AF1367)/3,0)</f>
        <v>Q2</v>
      </c>
      <c r="AI1367" s="5">
        <f>INDEX(RatingLookup!$B$2:$B$11,MATCH(A1367,RatingLookup!$A$2:$A$11,0))</f>
        <v>7</v>
      </c>
      <c r="AJ1367" s="5" t="str">
        <f>INDEX(RatingLookup!$C$2:$C$11,MATCH(A1367,RatingLookup!$A$2:$A$11,0))</f>
        <v>Investment Grade</v>
      </c>
    </row>
    <row r="1368" spans="1:36" x14ac:dyDescent="0.3">
      <c r="A1368" s="3" t="s">
        <v>36</v>
      </c>
      <c r="B1368" s="3" t="s">
        <v>1456</v>
      </c>
      <c r="C1368" s="3" t="s">
        <v>1457</v>
      </c>
      <c r="D1368" s="3" t="s">
        <v>39</v>
      </c>
      <c r="E1368" s="3" t="s">
        <v>177</v>
      </c>
      <c r="F1368" s="3" t="s">
        <v>59</v>
      </c>
      <c r="G1368" s="3">
        <v>1.3768621729999999</v>
      </c>
      <c r="H1368" s="3">
        <v>0.98713407600000003</v>
      </c>
      <c r="I1368" s="3">
        <v>0.31164704700000001</v>
      </c>
      <c r="J1368" s="3">
        <v>51.909792770000003</v>
      </c>
      <c r="K1368" s="3">
        <v>4.0935896999999999E-2</v>
      </c>
      <c r="L1368" s="3">
        <v>5.6640346000000001E-2</v>
      </c>
      <c r="M1368" s="3">
        <v>9.9926420000000002E-2</v>
      </c>
      <c r="N1368" s="3">
        <v>5.6640346000000001E-2</v>
      </c>
      <c r="O1368" s="3">
        <v>7.9259605999999996E-2</v>
      </c>
      <c r="P1368" s="3">
        <v>0.18531493700000001</v>
      </c>
      <c r="Q1368" s="3">
        <v>0.25466284099999997</v>
      </c>
      <c r="R1368" s="3">
        <v>1.9361883090000001</v>
      </c>
      <c r="S1368" s="3">
        <v>9.9706542569999996</v>
      </c>
      <c r="T1368" s="3">
        <v>2.2130217939999999</v>
      </c>
      <c r="U1368" s="3">
        <v>0.688766506</v>
      </c>
      <c r="V1368" s="3">
        <v>0.27678138600000002</v>
      </c>
      <c r="W1368" s="3">
        <v>0.61781134500000001</v>
      </c>
      <c r="X1368" s="3">
        <v>10.231352599999999</v>
      </c>
      <c r="Y1368" s="3">
        <v>15.636915050000001</v>
      </c>
      <c r="Z1368" s="3">
        <v>3.2130217939999999</v>
      </c>
      <c r="AA1368" s="3">
        <v>5.6640346000000001E-2</v>
      </c>
      <c r="AB1368" s="3">
        <v>6.3275544510000001</v>
      </c>
      <c r="AC1368" s="3">
        <v>16.56064216</v>
      </c>
      <c r="AD1368" s="3">
        <v>6.9796940000000002E-2</v>
      </c>
      <c r="AE1368" s="3">
        <v>6.5451205879999996</v>
      </c>
      <c r="AF1368" s="4">
        <v>42317</v>
      </c>
      <c r="AG1368" s="5">
        <f>YEAR(AF1368)</f>
        <v>2015</v>
      </c>
      <c r="AH1368" s="5" t="str">
        <f>"Q"&amp;ROUNDUP(MONTH(AF1368)/3,0)</f>
        <v>Q4</v>
      </c>
      <c r="AI1368" s="5">
        <f>INDEX(RatingLookup!$B$2:$B$11,MATCH(A1368,RatingLookup!$A$2:$A$11,0))</f>
        <v>8</v>
      </c>
      <c r="AJ1368" s="5" t="str">
        <f>INDEX(RatingLookup!$C$2:$C$11,MATCH(A1368,RatingLookup!$A$2:$A$11,0))</f>
        <v>Investment Grade</v>
      </c>
    </row>
    <row r="1369" spans="1:36" x14ac:dyDescent="0.3">
      <c r="A1369" s="3" t="s">
        <v>42</v>
      </c>
      <c r="B1369" s="3" t="s">
        <v>1456</v>
      </c>
      <c r="C1369" s="3" t="s">
        <v>1457</v>
      </c>
      <c r="D1369" s="3" t="s">
        <v>60</v>
      </c>
      <c r="E1369" s="3" t="s">
        <v>1401</v>
      </c>
      <c r="F1369" s="3" t="s">
        <v>59</v>
      </c>
      <c r="G1369" s="3">
        <v>1.3507639339999999</v>
      </c>
      <c r="H1369" s="3">
        <v>0.96215001300000003</v>
      </c>
      <c r="I1369" s="3">
        <v>0.30404323</v>
      </c>
      <c r="J1369" s="3">
        <v>54.019512220000003</v>
      </c>
      <c r="K1369" s="3">
        <v>5.2544510000000003E-2</v>
      </c>
      <c r="L1369" s="3">
        <v>7.2116005999999996E-2</v>
      </c>
      <c r="M1369" s="3">
        <v>0.113274346</v>
      </c>
      <c r="N1369" s="3">
        <v>7.2116005999999996E-2</v>
      </c>
      <c r="O1369" s="3">
        <v>9.8488980000000004E-2</v>
      </c>
      <c r="P1369" s="3">
        <v>0.23403808800000001</v>
      </c>
      <c r="Q1369" s="3">
        <v>0.31895198200000002</v>
      </c>
      <c r="R1369" s="3">
        <v>1.8743914509999999</v>
      </c>
      <c r="S1369" s="3">
        <v>9.1901153870000005</v>
      </c>
      <c r="T1369" s="3">
        <v>2.2384534870000001</v>
      </c>
      <c r="U1369" s="3">
        <v>0.69121063400000005</v>
      </c>
      <c r="V1369" s="3">
        <v>0.27661959200000003</v>
      </c>
      <c r="W1369" s="3">
        <v>0.67374791599999995</v>
      </c>
      <c r="X1369" s="3">
        <v>15.080426080000001</v>
      </c>
      <c r="Y1369" s="3">
        <v>17.658335770000001</v>
      </c>
      <c r="Z1369" s="3">
        <v>3.2384534870000001</v>
      </c>
      <c r="AA1369" s="3">
        <v>7.2116005999999996E-2</v>
      </c>
      <c r="AB1369" s="3">
        <v>6.3271401760000003</v>
      </c>
      <c r="AC1369" s="3">
        <v>22.382890880000001</v>
      </c>
      <c r="AD1369" s="3">
        <v>8.7258051000000003E-2</v>
      </c>
      <c r="AE1369" s="3">
        <v>6.2319636430000003</v>
      </c>
      <c r="AF1369" s="4">
        <v>42635</v>
      </c>
      <c r="AG1369" s="5">
        <f>YEAR(AF1369)</f>
        <v>2016</v>
      </c>
      <c r="AH1369" s="5" t="str">
        <f>"Q"&amp;ROUNDUP(MONTH(AF1369)/3,0)</f>
        <v>Q3</v>
      </c>
      <c r="AI1369" s="5">
        <f>INDEX(RatingLookup!$B$2:$B$11,MATCH(A1369,RatingLookup!$A$2:$A$11,0))</f>
        <v>7</v>
      </c>
      <c r="AJ1369" s="5" t="str">
        <f>INDEX(RatingLookup!$C$2:$C$11,MATCH(A1369,RatingLookup!$A$2:$A$11,0))</f>
        <v>Investment Grade</v>
      </c>
    </row>
    <row r="1370" spans="1:36" x14ac:dyDescent="0.3">
      <c r="A1370" s="3" t="s">
        <v>92</v>
      </c>
      <c r="B1370" s="3" t="s">
        <v>1456</v>
      </c>
      <c r="C1370" s="3" t="s">
        <v>1457</v>
      </c>
      <c r="D1370" s="3" t="s">
        <v>60</v>
      </c>
      <c r="E1370" s="3" t="s">
        <v>46</v>
      </c>
      <c r="F1370" s="3" t="s">
        <v>59</v>
      </c>
      <c r="G1370" s="3">
        <v>1.5542679939999999</v>
      </c>
      <c r="H1370" s="3">
        <v>1.1864207609999999</v>
      </c>
      <c r="I1370" s="3">
        <v>0.57264566699999997</v>
      </c>
      <c r="J1370" s="3">
        <v>48.475011479999999</v>
      </c>
      <c r="K1370" s="3">
        <v>3.8194469000000002E-2</v>
      </c>
      <c r="L1370" s="3">
        <v>4.3492388999999999E-2</v>
      </c>
      <c r="M1370" s="3">
        <v>8.4286369999999999E-2</v>
      </c>
      <c r="N1370" s="3">
        <v>4.3492388999999999E-2</v>
      </c>
      <c r="O1370" s="3">
        <v>7.7122765999999995E-2</v>
      </c>
      <c r="P1370" s="3">
        <v>0.15597608600000001</v>
      </c>
      <c r="Q1370" s="3">
        <v>0.22192579200000001</v>
      </c>
      <c r="R1370" s="3">
        <v>2.0192129400000001</v>
      </c>
      <c r="S1370" s="3">
        <v>13.205690300000001</v>
      </c>
      <c r="T1370" s="3">
        <v>1.8775652599999999</v>
      </c>
      <c r="U1370" s="3">
        <v>0.65248398900000004</v>
      </c>
      <c r="V1370" s="3">
        <v>0.111742732</v>
      </c>
      <c r="W1370" s="3">
        <v>0.58306972000000001</v>
      </c>
      <c r="X1370" s="3">
        <v>4.4414362369999996</v>
      </c>
      <c r="Y1370" s="3">
        <v>16.910807030000001</v>
      </c>
      <c r="Z1370" s="3">
        <v>2.8775652599999999</v>
      </c>
      <c r="AA1370" s="3">
        <v>4.3492388999999999E-2</v>
      </c>
      <c r="AB1370" s="3">
        <v>5.0077544070000002</v>
      </c>
      <c r="AC1370" s="3">
        <v>7.6173330249999998</v>
      </c>
      <c r="AD1370" s="3">
        <v>5.5825946000000001E-2</v>
      </c>
      <c r="AE1370" s="3">
        <v>6.4356352079999999</v>
      </c>
      <c r="AF1370" s="4">
        <v>41075</v>
      </c>
      <c r="AG1370" s="5">
        <f>YEAR(AF1370)</f>
        <v>2012</v>
      </c>
      <c r="AH1370" s="5" t="str">
        <f>"Q"&amp;ROUNDUP(MONTH(AF1370)/3,0)</f>
        <v>Q2</v>
      </c>
      <c r="AI1370" s="5">
        <f>INDEX(RatingLookup!$B$2:$B$11,MATCH(A1370,RatingLookup!$A$2:$A$11,0))</f>
        <v>6</v>
      </c>
      <c r="AJ1370" s="5" t="str">
        <f>INDEX(RatingLookup!$C$2:$C$11,MATCH(A1370,RatingLookup!$A$2:$A$11,0))</f>
        <v>Speculative Grade</v>
      </c>
    </row>
    <row r="1371" spans="1:36" x14ac:dyDescent="0.3">
      <c r="A1371" s="3" t="s">
        <v>92</v>
      </c>
      <c r="B1371" s="3" t="s">
        <v>1456</v>
      </c>
      <c r="C1371" s="3" t="s">
        <v>1457</v>
      </c>
      <c r="D1371" s="3" t="s">
        <v>47</v>
      </c>
      <c r="E1371" s="3" t="s">
        <v>1459</v>
      </c>
      <c r="F1371" s="3" t="s">
        <v>59</v>
      </c>
      <c r="G1371" s="3">
        <v>1.5149678259999999</v>
      </c>
      <c r="H1371" s="3">
        <v>1.0771861110000001</v>
      </c>
      <c r="I1371" s="3">
        <v>0.43588547999999999</v>
      </c>
      <c r="J1371" s="3">
        <v>51.13307476</v>
      </c>
      <c r="K1371" s="3">
        <v>8.8062057999999999E-2</v>
      </c>
      <c r="L1371" s="3">
        <v>4.4545890999999997E-2</v>
      </c>
      <c r="M1371" s="3">
        <v>8.3579322999999997E-2</v>
      </c>
      <c r="N1371" s="3">
        <v>4.4545890999999997E-2</v>
      </c>
      <c r="O1371" s="3">
        <v>0.15655166500000001</v>
      </c>
      <c r="P1371" s="3">
        <v>0.130374508</v>
      </c>
      <c r="Q1371" s="3">
        <v>0.36787015000000001</v>
      </c>
      <c r="R1371" s="3">
        <v>1.777742522</v>
      </c>
      <c r="S1371" s="3">
        <v>10.382011260000001</v>
      </c>
      <c r="T1371" s="3">
        <v>1.3498322389999999</v>
      </c>
      <c r="U1371" s="3">
        <v>0.57443770500000002</v>
      </c>
      <c r="V1371" s="3">
        <v>-0.98320234200000001</v>
      </c>
      <c r="W1371" s="3">
        <v>0.37201973100000002</v>
      </c>
      <c r="X1371" s="3">
        <v>2.759476469</v>
      </c>
      <c r="Y1371" s="3">
        <v>14.478358119999999</v>
      </c>
      <c r="Z1371" s="3">
        <v>2.3498322389999999</v>
      </c>
      <c r="AA1371" s="3">
        <v>4.4545890999999997E-2</v>
      </c>
      <c r="AB1371" s="3">
        <v>5.6297551419999996</v>
      </c>
      <c r="AC1371" s="3">
        <v>7.4175540590000004</v>
      </c>
      <c r="AD1371" s="3">
        <v>5.0099539999999998E-2</v>
      </c>
      <c r="AE1371" s="3">
        <v>5.9782803400000004</v>
      </c>
      <c r="AF1371" s="4">
        <v>41288</v>
      </c>
      <c r="AG1371" s="5">
        <f>YEAR(AF1371)</f>
        <v>2013</v>
      </c>
      <c r="AH1371" s="5" t="str">
        <f>"Q"&amp;ROUNDUP(MONTH(AF1371)/3,0)</f>
        <v>Q1</v>
      </c>
      <c r="AI1371" s="5">
        <f>INDEX(RatingLookup!$B$2:$B$11,MATCH(A1371,RatingLookup!$A$2:$A$11,0))</f>
        <v>6</v>
      </c>
      <c r="AJ1371" s="5" t="str">
        <f>INDEX(RatingLookup!$C$2:$C$11,MATCH(A1371,RatingLookup!$A$2:$A$11,0))</f>
        <v>Speculative Grade</v>
      </c>
    </row>
    <row r="1372" spans="1:36" x14ac:dyDescent="0.3">
      <c r="A1372" s="3" t="s">
        <v>42</v>
      </c>
      <c r="B1372" s="3" t="s">
        <v>1460</v>
      </c>
      <c r="C1372" s="3" t="s">
        <v>1461</v>
      </c>
      <c r="D1372" s="3" t="s">
        <v>47</v>
      </c>
      <c r="E1372" s="3" t="s">
        <v>1462</v>
      </c>
      <c r="F1372" s="3" t="s">
        <v>113</v>
      </c>
      <c r="G1372" s="3">
        <v>0.93184768500000004</v>
      </c>
      <c r="H1372" s="3">
        <v>0.460352661</v>
      </c>
      <c r="I1372" s="3">
        <v>5.3440069E-2</v>
      </c>
      <c r="J1372" s="3">
        <v>125.3661599</v>
      </c>
      <c r="K1372" s="3">
        <v>1.5020772999999999E-2</v>
      </c>
      <c r="L1372" s="3">
        <v>3.8807468999999997E-2</v>
      </c>
      <c r="M1372" s="3">
        <v>0.53202757599999995</v>
      </c>
      <c r="N1372" s="3">
        <v>6.3233346999999995E-2</v>
      </c>
      <c r="O1372" s="3">
        <v>3.5354679999999999E-3</v>
      </c>
      <c r="P1372" s="3">
        <v>2.9234669000000001E-2</v>
      </c>
      <c r="Q1372" s="3">
        <v>9.8689139999999995E-3</v>
      </c>
      <c r="R1372" s="3">
        <v>0.23537186900000001</v>
      </c>
      <c r="S1372" s="3">
        <v>2.7131178</v>
      </c>
      <c r="T1372" s="3">
        <v>1.7417284099999999</v>
      </c>
      <c r="U1372" s="3">
        <v>0.62396165800000003</v>
      </c>
      <c r="V1372" s="3">
        <v>0.61294117599999998</v>
      </c>
      <c r="W1372" s="3">
        <v>0.76838046299999996</v>
      </c>
      <c r="X1372" s="3">
        <v>3.2930722800000001</v>
      </c>
      <c r="Y1372" s="3">
        <v>1.0885096729999999</v>
      </c>
      <c r="Z1372" s="3">
        <v>2.7914029459999998</v>
      </c>
      <c r="AA1372" s="3">
        <v>9.9529745000000003E-2</v>
      </c>
      <c r="AB1372" s="3">
        <v>17.857593999999999</v>
      </c>
      <c r="AC1372" s="3">
        <v>4.2857314049999999</v>
      </c>
      <c r="AD1372" s="3">
        <v>0.17760124199999999</v>
      </c>
      <c r="AE1372" s="3">
        <v>4.7519703289999997</v>
      </c>
      <c r="AF1372" s="4">
        <v>42564</v>
      </c>
      <c r="AG1372" s="5">
        <f>YEAR(AF1372)</f>
        <v>2016</v>
      </c>
      <c r="AH1372" s="5" t="str">
        <f>"Q"&amp;ROUNDUP(MONTH(AF1372)/3,0)</f>
        <v>Q3</v>
      </c>
      <c r="AI1372" s="5">
        <f>INDEX(RatingLookup!$B$2:$B$11,MATCH(A1372,RatingLookup!$A$2:$A$11,0))</f>
        <v>7</v>
      </c>
      <c r="AJ1372" s="5" t="str">
        <f>INDEX(RatingLookup!$C$2:$C$11,MATCH(A1372,RatingLookup!$A$2:$A$11,0))</f>
        <v>Investment Grade</v>
      </c>
    </row>
    <row r="1373" spans="1:36" x14ac:dyDescent="0.3">
      <c r="A1373" s="3" t="s">
        <v>42</v>
      </c>
      <c r="B1373" s="3" t="s">
        <v>1460</v>
      </c>
      <c r="C1373" s="3" t="s">
        <v>1461</v>
      </c>
      <c r="D1373" s="3" t="s">
        <v>47</v>
      </c>
      <c r="E1373" s="3" t="s">
        <v>1463</v>
      </c>
      <c r="F1373" s="3" t="s">
        <v>113</v>
      </c>
      <c r="G1373" s="3">
        <v>1.414686659</v>
      </c>
      <c r="H1373" s="3">
        <v>0.94548250700000003</v>
      </c>
      <c r="I1373" s="3">
        <v>0.53410226800000005</v>
      </c>
      <c r="J1373" s="3">
        <v>99.366476689999999</v>
      </c>
      <c r="K1373" s="3">
        <v>8.0806025000000004E-2</v>
      </c>
      <c r="L1373" s="3">
        <v>0.113067372</v>
      </c>
      <c r="M1373" s="3">
        <v>0.57785467099999999</v>
      </c>
      <c r="N1373" s="3">
        <v>0.16212090400000001</v>
      </c>
      <c r="O1373" s="3">
        <v>2.9281064999999998E-2</v>
      </c>
      <c r="P1373" s="3">
        <v>7.8150770999999994E-2</v>
      </c>
      <c r="Q1373" s="3">
        <v>5.3344083E-2</v>
      </c>
      <c r="R1373" s="3">
        <v>0.362362399</v>
      </c>
      <c r="S1373" s="3">
        <v>3.0030562349999999</v>
      </c>
      <c r="T1373" s="3">
        <v>0.81648695000000004</v>
      </c>
      <c r="U1373" s="3">
        <v>0.44817730900000002</v>
      </c>
      <c r="V1373" s="3">
        <v>0.285328533</v>
      </c>
      <c r="W1373" s="3">
        <v>0.86070010799999996</v>
      </c>
      <c r="X1373" s="3">
        <v>5.5994335150000003</v>
      </c>
      <c r="Y1373" s="3">
        <v>8.1538082169999999</v>
      </c>
      <c r="Z1373" s="3">
        <v>1.821794484</v>
      </c>
      <c r="AA1373" s="3">
        <v>0.16395277799999999</v>
      </c>
      <c r="AB1373" s="3">
        <v>12.22297653</v>
      </c>
      <c r="AC1373" s="3">
        <v>6.5056730690000002</v>
      </c>
      <c r="AD1373" s="3">
        <v>0.28200691999999999</v>
      </c>
      <c r="AE1373" s="3">
        <v>4.3253388949999998</v>
      </c>
      <c r="AF1373" s="4">
        <v>42452</v>
      </c>
      <c r="AG1373" s="5">
        <f>YEAR(AF1373)</f>
        <v>2016</v>
      </c>
      <c r="AH1373" s="5" t="str">
        <f>"Q"&amp;ROUNDUP(MONTH(AF1373)/3,0)</f>
        <v>Q1</v>
      </c>
      <c r="AI1373" s="5">
        <f>INDEX(RatingLookup!$B$2:$B$11,MATCH(A1373,RatingLookup!$A$2:$A$11,0))</f>
        <v>7</v>
      </c>
      <c r="AJ1373" s="5" t="str">
        <f>INDEX(RatingLookup!$C$2:$C$11,MATCH(A1373,RatingLookup!$A$2:$A$11,0))</f>
        <v>Investment Grade</v>
      </c>
    </row>
    <row r="1374" spans="1:36" x14ac:dyDescent="0.3">
      <c r="A1374" s="3" t="s">
        <v>36</v>
      </c>
      <c r="B1374" s="3" t="s">
        <v>1460</v>
      </c>
      <c r="C1374" s="3" t="s">
        <v>1461</v>
      </c>
      <c r="D1374" s="3" t="s">
        <v>44</v>
      </c>
      <c r="E1374" s="3" t="s">
        <v>1464</v>
      </c>
      <c r="F1374" s="3" t="s">
        <v>113</v>
      </c>
      <c r="G1374" s="3">
        <v>1.2690099319999999</v>
      </c>
      <c r="H1374" s="3">
        <v>0.65572625699999998</v>
      </c>
      <c r="I1374" s="3">
        <v>0.22338609600000001</v>
      </c>
      <c r="J1374" s="3">
        <v>100.1023773</v>
      </c>
      <c r="K1374" s="3">
        <v>9.6618595000000002E-2</v>
      </c>
      <c r="L1374" s="3">
        <v>8.9875473999999997E-2</v>
      </c>
      <c r="M1374" s="3">
        <v>0.52429000299999995</v>
      </c>
      <c r="N1374" s="3">
        <v>0.10852980299999999</v>
      </c>
      <c r="O1374" s="3">
        <v>3.8787567000000002E-2</v>
      </c>
      <c r="P1374" s="3">
        <v>5.8641075000000001E-2</v>
      </c>
      <c r="Q1374" s="3">
        <v>8.6217498000000004E-2</v>
      </c>
      <c r="R1374" s="3">
        <v>0.40145033499999999</v>
      </c>
      <c r="S1374" s="3">
        <v>3.2172604910000002</v>
      </c>
      <c r="T1374" s="3">
        <v>1.2184645119999999</v>
      </c>
      <c r="U1374" s="3">
        <v>0.54816337000000004</v>
      </c>
      <c r="V1374" s="3">
        <v>-7.5027382000000004E-2</v>
      </c>
      <c r="W1374" s="3">
        <v>0.75853018400000005</v>
      </c>
      <c r="X1374" s="3">
        <v>3.6815866380000002</v>
      </c>
      <c r="Y1374" s="3">
        <v>3.0563113980000001</v>
      </c>
      <c r="Z1374" s="3">
        <v>2.2228127199999999</v>
      </c>
      <c r="AA1374" s="3">
        <v>0.108874342</v>
      </c>
      <c r="AB1374" s="3">
        <v>12.00505749</v>
      </c>
      <c r="AC1374" s="3">
        <v>4.8535796160000002</v>
      </c>
      <c r="AD1374" s="3">
        <v>0.225033223</v>
      </c>
      <c r="AE1374" s="3">
        <v>2.8628554500000001</v>
      </c>
      <c r="AF1374" s="4">
        <v>41297</v>
      </c>
      <c r="AG1374" s="5">
        <f>YEAR(AF1374)</f>
        <v>2013</v>
      </c>
      <c r="AH1374" s="5" t="str">
        <f>"Q"&amp;ROUNDUP(MONTH(AF1374)/3,0)</f>
        <v>Q1</v>
      </c>
      <c r="AI1374" s="5">
        <f>INDEX(RatingLookup!$B$2:$B$11,MATCH(A1374,RatingLookup!$A$2:$A$11,0))</f>
        <v>8</v>
      </c>
      <c r="AJ1374" s="5" t="str">
        <f>INDEX(RatingLookup!$C$2:$C$11,MATCH(A1374,RatingLookup!$A$2:$A$11,0))</f>
        <v>Investment Grade</v>
      </c>
    </row>
    <row r="1375" spans="1:36" x14ac:dyDescent="0.3">
      <c r="A1375" s="3" t="s">
        <v>116</v>
      </c>
      <c r="B1375" s="3" t="s">
        <v>1465</v>
      </c>
      <c r="C1375" s="3" t="s">
        <v>1466</v>
      </c>
      <c r="D1375" s="3" t="s">
        <v>47</v>
      </c>
      <c r="E1375" s="3" t="s">
        <v>250</v>
      </c>
      <c r="F1375" s="3" t="s">
        <v>53</v>
      </c>
      <c r="G1375" s="3">
        <v>1.1741128709999999</v>
      </c>
      <c r="H1375" s="3">
        <v>0.69484234700000003</v>
      </c>
      <c r="I1375" s="3">
        <v>0.55375360200000001</v>
      </c>
      <c r="J1375" s="3">
        <v>28.334770379999998</v>
      </c>
      <c r="K1375" s="3">
        <v>-0.37699643500000002</v>
      </c>
      <c r="L1375" s="3">
        <v>-0.34897689900000001</v>
      </c>
      <c r="M1375" s="3">
        <v>0.87840262000000002</v>
      </c>
      <c r="N1375" s="3">
        <v>-0.24982061</v>
      </c>
      <c r="O1375" s="3">
        <v>-0.207997037</v>
      </c>
      <c r="P1375" s="3">
        <v>-0.27646309099999999</v>
      </c>
      <c r="Q1375" s="3">
        <v>-1.231787328</v>
      </c>
      <c r="R1375" s="3">
        <v>0.55172149599999998</v>
      </c>
      <c r="S1375" s="3">
        <v>2.5605737319999999</v>
      </c>
      <c r="T1375" s="3">
        <v>4.9221388189999997</v>
      </c>
      <c r="U1375" s="3">
        <v>0.83114208700000003</v>
      </c>
      <c r="V1375" s="3">
        <v>-7.3309454999999996E-2</v>
      </c>
      <c r="W1375" s="3">
        <v>5.2832590999999998E-2</v>
      </c>
      <c r="X1375" s="3">
        <v>7.280702E-3</v>
      </c>
      <c r="Y1375" s="3">
        <v>4.6185964909999999</v>
      </c>
      <c r="Z1375" s="3">
        <v>5.9221388189999997</v>
      </c>
      <c r="AA1375" s="3">
        <v>-0.34897689900000001</v>
      </c>
      <c r="AB1375" s="3">
        <v>14.09654832</v>
      </c>
      <c r="AC1375" s="3">
        <v>0.137807018</v>
      </c>
      <c r="AD1375" s="3">
        <v>9.0910139999999997E-3</v>
      </c>
      <c r="AE1375" s="3">
        <v>0.78147197700000004</v>
      </c>
      <c r="AF1375" s="4">
        <v>42657</v>
      </c>
      <c r="AG1375" s="5">
        <f>YEAR(AF1375)</f>
        <v>2016</v>
      </c>
      <c r="AH1375" s="5" t="str">
        <f>"Q"&amp;ROUNDUP(MONTH(AF1375)/3,0)</f>
        <v>Q4</v>
      </c>
      <c r="AI1375" s="5">
        <f>INDEX(RatingLookup!$B$2:$B$11,MATCH(A1375,RatingLookup!$A$2:$A$11,0))</f>
        <v>4</v>
      </c>
      <c r="AJ1375" s="5" t="str">
        <f>INDEX(RatingLookup!$C$2:$C$11,MATCH(A1375,RatingLookup!$A$2:$A$11,0))</f>
        <v>Speculative Grade</v>
      </c>
    </row>
    <row r="1376" spans="1:36" x14ac:dyDescent="0.3">
      <c r="A1376" s="3" t="s">
        <v>293</v>
      </c>
      <c r="B1376" s="3" t="s">
        <v>1465</v>
      </c>
      <c r="C1376" s="3" t="s">
        <v>1466</v>
      </c>
      <c r="D1376" s="3" t="s">
        <v>47</v>
      </c>
      <c r="E1376" s="3" t="s">
        <v>1368</v>
      </c>
      <c r="F1376" s="3" t="s">
        <v>53</v>
      </c>
      <c r="G1376" s="3">
        <v>1.899201761</v>
      </c>
      <c r="H1376" s="3">
        <v>1.0122293760000001</v>
      </c>
      <c r="I1376" s="3">
        <v>0.81979286299999998</v>
      </c>
      <c r="J1376" s="3">
        <v>32.851367639999999</v>
      </c>
      <c r="K1376" s="3">
        <v>-0.113410951</v>
      </c>
      <c r="L1376" s="3">
        <v>-9.5299147000000001E-2</v>
      </c>
      <c r="M1376" s="3">
        <v>0.84969279499999995</v>
      </c>
      <c r="N1376" s="3">
        <v>-0.45429387900000001</v>
      </c>
      <c r="O1376" s="3">
        <v>-5.7301741000000003E-2</v>
      </c>
      <c r="P1376" s="3">
        <v>-6.3050121000000001E-2</v>
      </c>
      <c r="Q1376" s="3">
        <v>-0.22438571299999999</v>
      </c>
      <c r="R1376" s="3">
        <v>0.50525756399999999</v>
      </c>
      <c r="S1376" s="3">
        <v>3.0754161629999999</v>
      </c>
      <c r="T1376" s="3">
        <v>2.915862057</v>
      </c>
      <c r="U1376" s="3">
        <v>0.74462838899999995</v>
      </c>
      <c r="V1376" s="3">
        <v>-0.191567977</v>
      </c>
      <c r="W1376" s="3">
        <v>2.1644274989999999</v>
      </c>
      <c r="X1376" s="3">
        <v>-3.264123391</v>
      </c>
      <c r="Y1376" s="3">
        <v>7.7514830699999999</v>
      </c>
      <c r="Z1376" s="3">
        <v>3.915862057</v>
      </c>
      <c r="AA1376" s="3">
        <v>-9.5299147000000001E-2</v>
      </c>
      <c r="AB1376" s="3">
        <v>-4.575735237</v>
      </c>
      <c r="AC1376" s="3">
        <v>-1.508077028</v>
      </c>
      <c r="AD1376" s="3">
        <v>-7.4596072999999999E-2</v>
      </c>
      <c r="AE1376" s="3">
        <v>1.1173193729999999</v>
      </c>
      <c r="AF1376" s="4">
        <v>42430</v>
      </c>
      <c r="AG1376" s="5">
        <f>YEAR(AF1376)</f>
        <v>2016</v>
      </c>
      <c r="AH1376" s="5" t="str">
        <f>"Q"&amp;ROUNDUP(MONTH(AF1376)/3,0)</f>
        <v>Q1</v>
      </c>
      <c r="AI1376" s="5">
        <f>INDEX(RatingLookup!$B$2:$B$11,MATCH(A1376,RatingLookup!$A$2:$A$11,0))</f>
        <v>3</v>
      </c>
      <c r="AJ1376" s="5" t="str">
        <f>INDEX(RatingLookup!$C$2:$C$11,MATCH(A1376,RatingLookup!$A$2:$A$11,0))</f>
        <v>Speculative Grade</v>
      </c>
    </row>
    <row r="1377" spans="1:36" x14ac:dyDescent="0.3">
      <c r="A1377" s="3" t="s">
        <v>116</v>
      </c>
      <c r="B1377" s="3" t="s">
        <v>1465</v>
      </c>
      <c r="C1377" s="3" t="s">
        <v>1466</v>
      </c>
      <c r="D1377" s="3" t="s">
        <v>60</v>
      </c>
      <c r="E1377" s="3" t="s">
        <v>358</v>
      </c>
      <c r="F1377" s="3" t="s">
        <v>53</v>
      </c>
      <c r="G1377" s="3">
        <v>2.3820781960000001</v>
      </c>
      <c r="H1377" s="3">
        <v>1.396140175</v>
      </c>
      <c r="I1377" s="3">
        <v>0.82225924699999997</v>
      </c>
      <c r="J1377" s="3">
        <v>32.878559709999998</v>
      </c>
      <c r="K1377" s="3">
        <v>-0.44769623800000002</v>
      </c>
      <c r="L1377" s="3">
        <v>-0.40205984700000003</v>
      </c>
      <c r="M1377" s="3">
        <v>0.79542470700000001</v>
      </c>
      <c r="N1377" s="3">
        <v>2.9856127999999999E-2</v>
      </c>
      <c r="O1377" s="3">
        <v>-0.28433936100000001</v>
      </c>
      <c r="P1377" s="3">
        <v>-0.32251599800000003</v>
      </c>
      <c r="Q1377" s="3">
        <v>-0.95388483199999996</v>
      </c>
      <c r="R1377" s="3">
        <v>0.63511670899999995</v>
      </c>
      <c r="S1377" s="3">
        <v>11.76349499</v>
      </c>
      <c r="T1377" s="3">
        <v>2.3547407140000001</v>
      </c>
      <c r="U1377" s="3">
        <v>0.70191437000000001</v>
      </c>
      <c r="V1377" s="3">
        <v>-0.116486562</v>
      </c>
      <c r="W1377" s="3">
        <v>0.88539641000000002</v>
      </c>
      <c r="X1377" s="3">
        <v>0.82440412399999996</v>
      </c>
      <c r="Y1377" s="3">
        <v>1.2739013029999999</v>
      </c>
      <c r="Z1377" s="3">
        <v>3.3547407140000001</v>
      </c>
      <c r="AA1377" s="3">
        <v>-0.40205984700000003</v>
      </c>
      <c r="AB1377" s="3">
        <v>61.568408509999998</v>
      </c>
      <c r="AC1377" s="3">
        <v>0.93111301800000001</v>
      </c>
      <c r="AD1377" s="3">
        <v>0.26874703</v>
      </c>
      <c r="AE1377" s="3">
        <v>4.9592125009999997</v>
      </c>
      <c r="AF1377" s="4">
        <v>41612</v>
      </c>
      <c r="AG1377" s="5">
        <f>YEAR(AF1377)</f>
        <v>2013</v>
      </c>
      <c r="AH1377" s="5" t="str">
        <f>"Q"&amp;ROUNDUP(MONTH(AF1377)/3,0)</f>
        <v>Q4</v>
      </c>
      <c r="AI1377" s="5">
        <f>INDEX(RatingLookup!$B$2:$B$11,MATCH(A1377,RatingLookup!$A$2:$A$11,0))</f>
        <v>4</v>
      </c>
      <c r="AJ1377" s="5" t="str">
        <f>INDEX(RatingLookup!$C$2:$C$11,MATCH(A1377,RatingLookup!$A$2:$A$11,0))</f>
        <v>Speculative Grade</v>
      </c>
    </row>
    <row r="1378" spans="1:36" x14ac:dyDescent="0.3">
      <c r="A1378" s="3" t="s">
        <v>109</v>
      </c>
      <c r="B1378" s="3" t="s">
        <v>1465</v>
      </c>
      <c r="C1378" s="3" t="s">
        <v>1466</v>
      </c>
      <c r="D1378" s="3" t="s">
        <v>47</v>
      </c>
      <c r="E1378" s="3" t="s">
        <v>320</v>
      </c>
      <c r="F1378" s="3" t="s">
        <v>53</v>
      </c>
      <c r="G1378" s="3">
        <v>1.786206666</v>
      </c>
      <c r="H1378" s="3">
        <v>1.072570867</v>
      </c>
      <c r="I1378" s="3">
        <v>0.29106159100000001</v>
      </c>
      <c r="J1378" s="3">
        <v>62.26506079</v>
      </c>
      <c r="K1378" s="3">
        <v>0.120298223</v>
      </c>
      <c r="L1378" s="3">
        <v>0.16469732100000001</v>
      </c>
      <c r="M1378" s="3">
        <v>0.82673559900000004</v>
      </c>
      <c r="N1378" s="3">
        <v>0.14160097399999999</v>
      </c>
      <c r="O1378" s="3">
        <v>7.7158557000000003E-2</v>
      </c>
      <c r="P1378" s="3">
        <v>0.14184632799999999</v>
      </c>
      <c r="Q1378" s="3">
        <v>0.12701485500000001</v>
      </c>
      <c r="R1378" s="3">
        <v>0.641393985</v>
      </c>
      <c r="S1378" s="3">
        <v>15.584419049999999</v>
      </c>
      <c r="T1378" s="3">
        <v>0.64615384600000003</v>
      </c>
      <c r="U1378" s="3">
        <v>0.39252336399999999</v>
      </c>
      <c r="V1378" s="3">
        <v>0.27522120799999999</v>
      </c>
      <c r="W1378" s="3">
        <v>0.91201258600000001</v>
      </c>
      <c r="X1378" s="3">
        <v>0.98974974500000001</v>
      </c>
      <c r="Y1378" s="3">
        <v>0.86582242700000001</v>
      </c>
      <c r="Z1378" s="3">
        <v>1.646153846</v>
      </c>
      <c r="AA1378" s="3">
        <v>0.16469732100000001</v>
      </c>
      <c r="AB1378" s="3">
        <v>88.497732869999993</v>
      </c>
      <c r="AC1378" s="3">
        <v>1.0852369369999999</v>
      </c>
      <c r="AD1378" s="3">
        <v>0.32125316100000001</v>
      </c>
      <c r="AE1378" s="3">
        <v>3.1787506969999999</v>
      </c>
      <c r="AF1378" s="4">
        <v>41395</v>
      </c>
      <c r="AG1378" s="5">
        <f>YEAR(AF1378)</f>
        <v>2013</v>
      </c>
      <c r="AH1378" s="5" t="str">
        <f>"Q"&amp;ROUNDUP(MONTH(AF1378)/3,0)</f>
        <v>Q2</v>
      </c>
      <c r="AI1378" s="5">
        <f>INDEX(RatingLookup!$B$2:$B$11,MATCH(A1378,RatingLookup!$A$2:$A$11,0))</f>
        <v>5</v>
      </c>
      <c r="AJ1378" s="5" t="str">
        <f>INDEX(RatingLookup!$C$2:$C$11,MATCH(A1378,RatingLookup!$A$2:$A$11,0))</f>
        <v>Speculative Grade</v>
      </c>
    </row>
    <row r="1379" spans="1:36" x14ac:dyDescent="0.3">
      <c r="A1379" s="3" t="s">
        <v>109</v>
      </c>
      <c r="B1379" s="3" t="s">
        <v>1465</v>
      </c>
      <c r="C1379" s="3" t="s">
        <v>1466</v>
      </c>
      <c r="D1379" s="3" t="s">
        <v>47</v>
      </c>
      <c r="E1379" s="3" t="s">
        <v>1424</v>
      </c>
      <c r="F1379" s="3" t="s">
        <v>53</v>
      </c>
      <c r="G1379" s="3">
        <v>2.4491931849999999</v>
      </c>
      <c r="H1379" s="3">
        <v>1.280248211</v>
      </c>
      <c r="I1379" s="3">
        <v>1.132790019</v>
      </c>
      <c r="J1379" s="3">
        <v>16.187823559999998</v>
      </c>
      <c r="K1379" s="3">
        <v>-0.25169264299999999</v>
      </c>
      <c r="L1379" s="3">
        <v>-0.20986030999999999</v>
      </c>
      <c r="M1379" s="3">
        <v>0.86535782000000006</v>
      </c>
      <c r="N1379" s="3">
        <v>-0.23143390899999999</v>
      </c>
      <c r="O1379" s="3">
        <v>-0.20777731199999999</v>
      </c>
      <c r="P1379" s="3">
        <v>-0.23046551700000001</v>
      </c>
      <c r="Q1379" s="3">
        <v>-0.94572054299999997</v>
      </c>
      <c r="R1379" s="3">
        <v>0.82552000199999997</v>
      </c>
      <c r="S1379" s="3">
        <v>7.2960767469999999</v>
      </c>
      <c r="T1379" s="3">
        <v>3.5516064090000001</v>
      </c>
      <c r="U1379" s="3">
        <v>0.78029734799999995</v>
      </c>
      <c r="V1379" s="3">
        <v>-0.192470263</v>
      </c>
      <c r="W1379" s="3">
        <v>0.93632300800000001</v>
      </c>
      <c r="X1379" s="3">
        <v>0.74054933599999995</v>
      </c>
      <c r="Y1379" s="3">
        <v>1.058011201</v>
      </c>
      <c r="Z1379" s="3">
        <v>4.5516064089999997</v>
      </c>
      <c r="AA1379" s="3">
        <v>-0.20986030999999999</v>
      </c>
      <c r="AB1379" s="3">
        <v>-214.48665009999999</v>
      </c>
      <c r="AC1379" s="3">
        <v>0.79091224900000001</v>
      </c>
      <c r="AD1379" s="3">
        <v>0.25469132100000003</v>
      </c>
      <c r="AE1379" s="3">
        <v>1.861161598</v>
      </c>
      <c r="AF1379" s="4">
        <v>41967</v>
      </c>
      <c r="AG1379" s="5">
        <f>YEAR(AF1379)</f>
        <v>2014</v>
      </c>
      <c r="AH1379" s="5" t="str">
        <f>"Q"&amp;ROUNDUP(MONTH(AF1379)/3,0)</f>
        <v>Q4</v>
      </c>
      <c r="AI1379" s="5">
        <f>INDEX(RatingLookup!$B$2:$B$11,MATCH(A1379,RatingLookup!$A$2:$A$11,0))</f>
        <v>5</v>
      </c>
      <c r="AJ1379" s="5" t="str">
        <f>INDEX(RatingLookup!$C$2:$C$11,MATCH(A1379,RatingLookup!$A$2:$A$11,0))</f>
        <v>Speculative Grade</v>
      </c>
    </row>
    <row r="1380" spans="1:36" x14ac:dyDescent="0.3">
      <c r="A1380" s="3" t="s">
        <v>109</v>
      </c>
      <c r="B1380" s="3" t="s">
        <v>1467</v>
      </c>
      <c r="C1380" s="3" t="s">
        <v>1468</v>
      </c>
      <c r="D1380" s="3" t="s">
        <v>47</v>
      </c>
      <c r="E1380" s="3" t="s">
        <v>709</v>
      </c>
      <c r="F1380" s="3" t="s">
        <v>219</v>
      </c>
      <c r="G1380" s="3">
        <v>2.810071942</v>
      </c>
      <c r="H1380" s="3">
        <v>1.5244604319999999</v>
      </c>
      <c r="I1380" s="3">
        <v>0.19352517999999999</v>
      </c>
      <c r="J1380" s="3">
        <v>56.46501963</v>
      </c>
      <c r="K1380" s="3">
        <v>-5.8877856999999999E-2</v>
      </c>
      <c r="L1380" s="3">
        <v>-9.2299699999999998E-2</v>
      </c>
      <c r="M1380" s="3">
        <v>6.4765642999999998E-2</v>
      </c>
      <c r="N1380" s="3">
        <v>-7.6541214999999996E-2</v>
      </c>
      <c r="O1380" s="3">
        <v>-6.2997962000000005E-2</v>
      </c>
      <c r="P1380" s="3">
        <v>-0.119230482</v>
      </c>
      <c r="Q1380" s="3">
        <v>-0.10907924300000001</v>
      </c>
      <c r="R1380" s="3">
        <v>1.069977148</v>
      </c>
      <c r="S1380" s="3">
        <v>3.2302815589999998</v>
      </c>
      <c r="T1380" s="3">
        <v>0.73147256999999999</v>
      </c>
      <c r="U1380" s="3">
        <v>0.42245692099999999</v>
      </c>
      <c r="V1380" s="3">
        <v>0.36210131299999998</v>
      </c>
      <c r="W1380" s="3">
        <v>0.481595092</v>
      </c>
      <c r="X1380" s="3">
        <v>0.54184641899999997</v>
      </c>
      <c r="Y1380" s="3">
        <v>1.3442622950000001</v>
      </c>
      <c r="Z1380" s="3">
        <v>1.73147257</v>
      </c>
      <c r="AA1380" s="3">
        <v>-9.2299699999999998E-2</v>
      </c>
      <c r="AB1380" s="3">
        <v>-23.980424759999998</v>
      </c>
      <c r="AC1380" s="3">
        <v>1.125107852</v>
      </c>
      <c r="AD1380" s="3">
        <v>7.5271299999999999E-2</v>
      </c>
      <c r="AE1380" s="3">
        <v>6.6867519599999996</v>
      </c>
      <c r="AF1380" s="4">
        <v>41681</v>
      </c>
      <c r="AG1380" s="5">
        <f>YEAR(AF1380)</f>
        <v>2014</v>
      </c>
      <c r="AH1380" s="5" t="str">
        <f>"Q"&amp;ROUNDUP(MONTH(AF1380)/3,0)</f>
        <v>Q1</v>
      </c>
      <c r="AI1380" s="5">
        <f>INDEX(RatingLookup!$B$2:$B$11,MATCH(A1380,RatingLookup!$A$2:$A$11,0))</f>
        <v>5</v>
      </c>
      <c r="AJ1380" s="5" t="str">
        <f>INDEX(RatingLookup!$C$2:$C$11,MATCH(A1380,RatingLookup!$A$2:$A$11,0))</f>
        <v>Speculative Grade</v>
      </c>
    </row>
    <row r="1381" spans="1:36" x14ac:dyDescent="0.3">
      <c r="A1381" s="3" t="s">
        <v>109</v>
      </c>
      <c r="B1381" s="3" t="s">
        <v>1467</v>
      </c>
      <c r="C1381" s="3" t="s">
        <v>1468</v>
      </c>
      <c r="D1381" s="3" t="s">
        <v>47</v>
      </c>
      <c r="E1381" s="3" t="s">
        <v>551</v>
      </c>
      <c r="F1381" s="3" t="s">
        <v>219</v>
      </c>
      <c r="G1381" s="3">
        <v>3.5240456120000001</v>
      </c>
      <c r="H1381" s="3">
        <v>1.945959346</v>
      </c>
      <c r="I1381" s="3">
        <v>0.45860188400000002</v>
      </c>
      <c r="J1381" s="3">
        <v>58.993179120000001</v>
      </c>
      <c r="K1381" s="3">
        <v>-0.12870699899999999</v>
      </c>
      <c r="L1381" s="3">
        <v>-2.2835113000000001E-2</v>
      </c>
      <c r="M1381" s="3">
        <v>0.14257117399999999</v>
      </c>
      <c r="N1381" s="3">
        <v>-8.1554000000000001E-4</v>
      </c>
      <c r="O1381" s="3">
        <v>-0.139695824</v>
      </c>
      <c r="P1381" s="3">
        <v>-2.9586936000000001E-2</v>
      </c>
      <c r="Q1381" s="3">
        <v>-0.37583892600000002</v>
      </c>
      <c r="R1381" s="3">
        <v>1.0853786110000001</v>
      </c>
      <c r="S1381" s="3">
        <v>3.1403958090000001</v>
      </c>
      <c r="T1381" s="3">
        <v>1.690409179</v>
      </c>
      <c r="U1381" s="3">
        <v>0.628309326</v>
      </c>
      <c r="V1381" s="3">
        <v>-4.6363636359999996</v>
      </c>
      <c r="W1381" s="3">
        <v>9.5969289999999999E-2</v>
      </c>
      <c r="X1381" s="3">
        <v>4.3140638000000002E-2</v>
      </c>
      <c r="Y1381" s="3">
        <v>1.5056082829999999</v>
      </c>
      <c r="Z1381" s="3">
        <v>2.690409179</v>
      </c>
      <c r="AA1381" s="3">
        <v>-2.2835113000000001E-2</v>
      </c>
      <c r="AB1381" s="3">
        <v>19.347073170000002</v>
      </c>
      <c r="AC1381" s="3">
        <v>0.44952545300000002</v>
      </c>
      <c r="AD1381" s="3">
        <v>3.8626927999999998E-2</v>
      </c>
      <c r="AE1381" s="3">
        <v>6.696583671</v>
      </c>
      <c r="AF1381" s="4">
        <v>42228</v>
      </c>
      <c r="AG1381" s="5">
        <f>YEAR(AF1381)</f>
        <v>2015</v>
      </c>
      <c r="AH1381" s="5" t="str">
        <f>"Q"&amp;ROUNDUP(MONTH(AF1381)/3,0)</f>
        <v>Q3</v>
      </c>
      <c r="AI1381" s="5">
        <f>INDEX(RatingLookup!$B$2:$B$11,MATCH(A1381,RatingLookup!$A$2:$A$11,0))</f>
        <v>5</v>
      </c>
      <c r="AJ1381" s="5" t="str">
        <f>INDEX(RatingLookup!$C$2:$C$11,MATCH(A1381,RatingLookup!$A$2:$A$11,0))</f>
        <v>Speculative Grade</v>
      </c>
    </row>
    <row r="1382" spans="1:36" x14ac:dyDescent="0.3">
      <c r="A1382" s="3" t="s">
        <v>109</v>
      </c>
      <c r="B1382" s="3" t="s">
        <v>1467</v>
      </c>
      <c r="C1382" s="3" t="s">
        <v>1468</v>
      </c>
      <c r="D1382" s="3" t="s">
        <v>47</v>
      </c>
      <c r="E1382" s="3" t="s">
        <v>1469</v>
      </c>
      <c r="F1382" s="3" t="s">
        <v>219</v>
      </c>
      <c r="G1382" s="3">
        <v>3.7250945780000002</v>
      </c>
      <c r="H1382" s="3">
        <v>2.1719209749999999</v>
      </c>
      <c r="I1382" s="3">
        <v>0.704918033</v>
      </c>
      <c r="J1382" s="3">
        <v>57.448998119999999</v>
      </c>
      <c r="K1382" s="3">
        <v>6.0052060999999997E-2</v>
      </c>
      <c r="L1382" s="3">
        <v>8.0937102999999996E-2</v>
      </c>
      <c r="M1382" s="3">
        <v>0.211695623</v>
      </c>
      <c r="N1382" s="3">
        <v>9.0622918999999996E-2</v>
      </c>
      <c r="O1382" s="3">
        <v>6.0395737999999997E-2</v>
      </c>
      <c r="P1382" s="3">
        <v>9.5187242000000005E-2</v>
      </c>
      <c r="Q1382" s="3">
        <v>0.12700038399999999</v>
      </c>
      <c r="R1382" s="3">
        <v>1.0057229830000001</v>
      </c>
      <c r="S1382" s="3">
        <v>3.44361059</v>
      </c>
      <c r="T1382" s="3">
        <v>1.102803738</v>
      </c>
      <c r="U1382" s="3">
        <v>0.52444444400000001</v>
      </c>
      <c r="V1382" s="3">
        <v>0.25804038899999998</v>
      </c>
      <c r="W1382" s="3">
        <v>0.30216647699999999</v>
      </c>
      <c r="X1382" s="3">
        <v>0.22864538400000001</v>
      </c>
      <c r="Y1382" s="3">
        <v>2.2148403800000001</v>
      </c>
      <c r="Z1382" s="3">
        <v>2.102803738</v>
      </c>
      <c r="AA1382" s="3">
        <v>8.0937102999999996E-2</v>
      </c>
      <c r="AB1382" s="3">
        <v>7.4532780289999998</v>
      </c>
      <c r="AC1382" s="3">
        <v>0.75668679900000002</v>
      </c>
      <c r="AD1382" s="3">
        <v>5.3090380999999999E-2</v>
      </c>
      <c r="AE1382" s="3">
        <v>6.4274432380000004</v>
      </c>
      <c r="AF1382" s="4">
        <v>42059</v>
      </c>
      <c r="AG1382" s="5">
        <f>YEAR(AF1382)</f>
        <v>2015</v>
      </c>
      <c r="AH1382" s="5" t="str">
        <f>"Q"&amp;ROUNDUP(MONTH(AF1382)/3,0)</f>
        <v>Q1</v>
      </c>
      <c r="AI1382" s="5">
        <f>INDEX(RatingLookup!$B$2:$B$11,MATCH(A1382,RatingLookup!$A$2:$A$11,0))</f>
        <v>5</v>
      </c>
      <c r="AJ1382" s="5" t="str">
        <f>INDEX(RatingLookup!$C$2:$C$11,MATCH(A1382,RatingLookup!$A$2:$A$11,0))</f>
        <v>Speculative Grade</v>
      </c>
    </row>
    <row r="1383" spans="1:36" x14ac:dyDescent="0.3">
      <c r="A1383" s="3" t="s">
        <v>42</v>
      </c>
      <c r="B1383" s="3" t="s">
        <v>1470</v>
      </c>
      <c r="C1383" s="3" t="s">
        <v>1471</v>
      </c>
      <c r="D1383" s="3" t="s">
        <v>47</v>
      </c>
      <c r="E1383" s="3" t="s">
        <v>1061</v>
      </c>
      <c r="F1383" s="3" t="s">
        <v>174</v>
      </c>
      <c r="G1383" s="3">
        <v>0.89076028100000004</v>
      </c>
      <c r="H1383" s="3">
        <v>0.65693124800000002</v>
      </c>
      <c r="I1383" s="3">
        <v>0.26989332100000002</v>
      </c>
      <c r="J1383" s="3">
        <v>35.920710849999999</v>
      </c>
      <c r="K1383" s="3">
        <v>0.13693614600000001</v>
      </c>
      <c r="L1383" s="3">
        <v>0.116576095</v>
      </c>
      <c r="M1383" s="3">
        <v>0.779278048</v>
      </c>
      <c r="N1383" s="3">
        <v>0.13905704499999999</v>
      </c>
      <c r="O1383" s="3">
        <v>7.2601886000000004E-2</v>
      </c>
      <c r="P1383" s="3">
        <v>0.101741415</v>
      </c>
      <c r="Q1383" s="3">
        <v>0.214692363</v>
      </c>
      <c r="R1383" s="3">
        <v>0.53018788800000005</v>
      </c>
      <c r="S1383" s="3">
        <v>10.76866324</v>
      </c>
      <c r="T1383" s="3">
        <v>1.9571182579999999</v>
      </c>
      <c r="U1383" s="3">
        <v>0.66183293600000004</v>
      </c>
      <c r="V1383" s="3">
        <v>0.18835183699999999</v>
      </c>
      <c r="W1383" s="3">
        <v>0.74829877600000005</v>
      </c>
      <c r="X1383" s="3">
        <v>4547.068174</v>
      </c>
      <c r="Y1383" s="3">
        <v>9845.9981750000006</v>
      </c>
      <c r="Z1383" s="3">
        <v>2.9571182579999999</v>
      </c>
      <c r="AA1383" s="3">
        <v>0.116576095</v>
      </c>
      <c r="AB1383" s="3">
        <v>0.91167037900000003</v>
      </c>
      <c r="AC1383" s="3">
        <v>6076.5409749999999</v>
      </c>
      <c r="AD1383" s="3">
        <v>0.23941050899999999</v>
      </c>
      <c r="AE1383" s="3">
        <v>4.3787754159999999</v>
      </c>
      <c r="AF1383" s="4">
        <v>40899</v>
      </c>
      <c r="AG1383" s="5">
        <f>YEAR(AF1383)</f>
        <v>2011</v>
      </c>
      <c r="AH1383" s="5" t="str">
        <f>"Q"&amp;ROUNDUP(MONTH(AF1383)/3,0)</f>
        <v>Q4</v>
      </c>
      <c r="AI1383" s="5">
        <f>INDEX(RatingLookup!$B$2:$B$11,MATCH(A1383,RatingLookup!$A$2:$A$11,0))</f>
        <v>7</v>
      </c>
      <c r="AJ1383" s="5" t="str">
        <f>INDEX(RatingLookup!$C$2:$C$11,MATCH(A1383,RatingLookup!$A$2:$A$11,0))</f>
        <v>Investment Grade</v>
      </c>
    </row>
    <row r="1384" spans="1:36" x14ac:dyDescent="0.3">
      <c r="A1384" s="3" t="s">
        <v>42</v>
      </c>
      <c r="B1384" s="3" t="s">
        <v>1470</v>
      </c>
      <c r="C1384" s="3" t="s">
        <v>1471</v>
      </c>
      <c r="D1384" s="3" t="s">
        <v>47</v>
      </c>
      <c r="E1384" s="3" t="s">
        <v>1472</v>
      </c>
      <c r="F1384" s="3" t="s">
        <v>174</v>
      </c>
      <c r="G1384" s="3">
        <v>0.90060812300000004</v>
      </c>
      <c r="H1384" s="3">
        <v>0.82481766899999998</v>
      </c>
      <c r="I1384" s="3">
        <v>0.37806946000000002</v>
      </c>
      <c r="J1384" s="3">
        <v>35.80851758</v>
      </c>
      <c r="K1384" s="3">
        <v>0.125891959</v>
      </c>
      <c r="L1384" s="3">
        <v>0.18534880400000001</v>
      </c>
      <c r="M1384" s="3">
        <v>0.79306766900000003</v>
      </c>
      <c r="N1384" s="3">
        <v>0.21860548699999999</v>
      </c>
      <c r="O1384" s="3">
        <v>6.3373985999999993E-2</v>
      </c>
      <c r="P1384" s="3">
        <v>0.13032833299999999</v>
      </c>
      <c r="Q1384" s="3">
        <v>0.15771489599999999</v>
      </c>
      <c r="R1384" s="3">
        <v>0.50339979300000004</v>
      </c>
      <c r="S1384" s="3">
        <v>12.08437492</v>
      </c>
      <c r="T1384" s="3">
        <v>1.488637792</v>
      </c>
      <c r="U1384" s="3">
        <v>0.59817374700000003</v>
      </c>
      <c r="V1384" s="3">
        <v>0.314241147</v>
      </c>
      <c r="W1384" s="3">
        <v>0.80039563599999997</v>
      </c>
      <c r="X1384" s="3">
        <v>2203.083568</v>
      </c>
      <c r="Y1384" s="3">
        <v>4354.3766480000004</v>
      </c>
      <c r="Z1384" s="3">
        <v>2.488637792</v>
      </c>
      <c r="AA1384" s="3">
        <v>0.18534880400000001</v>
      </c>
      <c r="AB1384" s="3">
        <v>1.0644933190000001</v>
      </c>
      <c r="AC1384" s="3">
        <v>2752.4932290000002</v>
      </c>
      <c r="AD1384" s="3">
        <v>0.23221555799999999</v>
      </c>
      <c r="AE1384" s="3">
        <v>3.8116909200000002</v>
      </c>
      <c r="AF1384" s="4">
        <v>40640</v>
      </c>
      <c r="AG1384" s="5">
        <f>YEAR(AF1384)</f>
        <v>2011</v>
      </c>
      <c r="AH1384" s="5" t="str">
        <f>"Q"&amp;ROUNDUP(MONTH(AF1384)/3,0)</f>
        <v>Q2</v>
      </c>
      <c r="AI1384" s="5">
        <f>INDEX(RatingLookup!$B$2:$B$11,MATCH(A1384,RatingLookup!$A$2:$A$11,0))</f>
        <v>7</v>
      </c>
      <c r="AJ1384" s="5" t="str">
        <f>INDEX(RatingLookup!$C$2:$C$11,MATCH(A1384,RatingLookup!$A$2:$A$11,0))</f>
        <v>Investment Grade</v>
      </c>
    </row>
    <row r="1385" spans="1:36" x14ac:dyDescent="0.3">
      <c r="A1385" s="3" t="s">
        <v>116</v>
      </c>
      <c r="B1385" s="3" t="s">
        <v>1473</v>
      </c>
      <c r="C1385" s="3" t="s">
        <v>1474</v>
      </c>
      <c r="D1385" s="3" t="s">
        <v>60</v>
      </c>
      <c r="E1385" s="3" t="s">
        <v>755</v>
      </c>
      <c r="F1385" s="3" t="s">
        <v>66</v>
      </c>
      <c r="G1385" s="3">
        <v>1.954678363</v>
      </c>
      <c r="H1385" s="3">
        <v>0.86403508799999995</v>
      </c>
      <c r="I1385" s="3">
        <v>0.207602339</v>
      </c>
      <c r="J1385" s="3">
        <v>35.266838819999997</v>
      </c>
      <c r="K1385" s="3">
        <v>1.2265978E-2</v>
      </c>
      <c r="L1385" s="3">
        <v>1.8291371000000001E-2</v>
      </c>
      <c r="M1385" s="3">
        <v>0.17473638899999999</v>
      </c>
      <c r="N1385" s="3">
        <v>8.3064342999999999E-2</v>
      </c>
      <c r="O1385" s="3">
        <v>1.1100291999999999E-2</v>
      </c>
      <c r="P1385" s="3">
        <v>1.9096832000000001E-2</v>
      </c>
      <c r="Q1385" s="3">
        <v>-0.29081632699999999</v>
      </c>
      <c r="R1385" s="3">
        <v>0.90496591999999998</v>
      </c>
      <c r="S1385" s="3">
        <v>3.670616114</v>
      </c>
      <c r="T1385" s="3">
        <v>-27.19897959</v>
      </c>
      <c r="U1385" s="3">
        <v>1.0381694260000001</v>
      </c>
      <c r="V1385" s="3">
        <v>0.32941176500000002</v>
      </c>
      <c r="W1385" s="3">
        <v>0.48491379299999998</v>
      </c>
      <c r="X1385" s="3">
        <v>1.9826234069999999</v>
      </c>
      <c r="Y1385" s="3">
        <v>1.2512556610000001</v>
      </c>
      <c r="Z1385" s="3">
        <v>-26.19897959</v>
      </c>
      <c r="AA1385" s="3">
        <v>1.8291371000000001E-2</v>
      </c>
      <c r="AB1385" s="3">
        <v>8.3576199720000002</v>
      </c>
      <c r="AC1385" s="3">
        <v>4.0886100489999997</v>
      </c>
      <c r="AD1385" s="3">
        <v>9.9849364999999995E-2</v>
      </c>
      <c r="AE1385" s="3">
        <v>11.379821959999999</v>
      </c>
      <c r="AF1385" s="4">
        <v>41764</v>
      </c>
      <c r="AG1385" s="5">
        <f>YEAR(AF1385)</f>
        <v>2014</v>
      </c>
      <c r="AH1385" s="5" t="str">
        <f>"Q"&amp;ROUNDUP(MONTH(AF1385)/3,0)</f>
        <v>Q2</v>
      </c>
      <c r="AI1385" s="5">
        <f>INDEX(RatingLookup!$B$2:$B$11,MATCH(A1385,RatingLookup!$A$2:$A$11,0))</f>
        <v>4</v>
      </c>
      <c r="AJ1385" s="5" t="str">
        <f>INDEX(RatingLookup!$C$2:$C$11,MATCH(A1385,RatingLookup!$A$2:$A$11,0))</f>
        <v>Speculative Grade</v>
      </c>
    </row>
    <row r="1386" spans="1:36" x14ac:dyDescent="0.3">
      <c r="A1386" s="3" t="s">
        <v>92</v>
      </c>
      <c r="B1386" s="3" t="s">
        <v>1475</v>
      </c>
      <c r="C1386" s="3" t="s">
        <v>1476</v>
      </c>
      <c r="D1386" s="3" t="s">
        <v>44</v>
      </c>
      <c r="E1386" s="3" t="s">
        <v>932</v>
      </c>
      <c r="F1386" s="3" t="s">
        <v>174</v>
      </c>
      <c r="G1386" s="3">
        <v>0.57768361599999996</v>
      </c>
      <c r="H1386" s="3">
        <v>0.23587570599999999</v>
      </c>
      <c r="I1386" s="3">
        <v>9.3220338999999999E-2</v>
      </c>
      <c r="J1386" s="3">
        <v>67.149362479999994</v>
      </c>
      <c r="K1386" s="3">
        <v>0.53916211300000005</v>
      </c>
      <c r="L1386" s="3">
        <v>-0.18579235</v>
      </c>
      <c r="M1386" s="3">
        <v>0.31876138399999998</v>
      </c>
      <c r="N1386" s="3">
        <v>2.9143898000000001E-2</v>
      </c>
      <c r="O1386" s="3">
        <v>2.8059532000000002E-2</v>
      </c>
      <c r="P1386" s="3">
        <v>1.611117E-3</v>
      </c>
      <c r="Q1386" s="3">
        <v>9.4629156000000006E-2</v>
      </c>
      <c r="R1386" s="3">
        <v>5.2042848000000003E-2</v>
      </c>
      <c r="S1386" s="3">
        <v>0.217425743</v>
      </c>
      <c r="T1386" s="3">
        <v>2.3724424549999998</v>
      </c>
      <c r="U1386" s="3">
        <v>0.70347900299999999</v>
      </c>
      <c r="V1386" s="3">
        <v>-0.28431372500000002</v>
      </c>
      <c r="W1386" s="3">
        <v>22.305555559999998</v>
      </c>
      <c r="X1386" s="3">
        <v>1.0635761589999999</v>
      </c>
      <c r="Y1386" s="3">
        <v>8.7417219000000004E-2</v>
      </c>
      <c r="Z1386" s="3">
        <v>3.3724424549999998</v>
      </c>
      <c r="AA1386" s="3">
        <v>2.8879781E-2</v>
      </c>
      <c r="AB1386" s="3">
        <v>17.685874859999998</v>
      </c>
      <c r="AC1386" s="3">
        <v>4.7682119000000002E-2</v>
      </c>
      <c r="AD1386" s="3">
        <v>6.5573770000000003E-2</v>
      </c>
      <c r="AE1386" s="3">
        <v>1.197115385</v>
      </c>
      <c r="AF1386" s="4">
        <v>42417</v>
      </c>
      <c r="AG1386" s="5">
        <f>YEAR(AF1386)</f>
        <v>2016</v>
      </c>
      <c r="AH1386" s="5" t="str">
        <f>"Q"&amp;ROUNDUP(MONTH(AF1386)/3,0)</f>
        <v>Q1</v>
      </c>
      <c r="AI1386" s="5">
        <f>INDEX(RatingLookup!$B$2:$B$11,MATCH(A1386,RatingLookup!$A$2:$A$11,0))</f>
        <v>6</v>
      </c>
      <c r="AJ1386" s="5" t="str">
        <f>INDEX(RatingLookup!$C$2:$C$11,MATCH(A1386,RatingLookup!$A$2:$A$11,0))</f>
        <v>Speculative Grade</v>
      </c>
    </row>
    <row r="1387" spans="1:36" x14ac:dyDescent="0.3">
      <c r="A1387" s="3" t="s">
        <v>116</v>
      </c>
      <c r="B1387" s="3" t="s">
        <v>1477</v>
      </c>
      <c r="C1387" s="3" t="s">
        <v>1478</v>
      </c>
      <c r="D1387" s="3" t="s">
        <v>39</v>
      </c>
      <c r="E1387" s="3" t="s">
        <v>1479</v>
      </c>
      <c r="F1387" s="3" t="s">
        <v>113</v>
      </c>
      <c r="G1387" s="3">
        <v>6.0474889599999999</v>
      </c>
      <c r="H1387" s="3">
        <v>4.3712368340000003</v>
      </c>
      <c r="I1387" s="3">
        <v>3.713793645</v>
      </c>
      <c r="J1387" s="3">
        <v>70.212345549999995</v>
      </c>
      <c r="K1387" s="3">
        <v>-0.17837798299999999</v>
      </c>
      <c r="L1387" s="3">
        <v>6.5790104000000002E-2</v>
      </c>
      <c r="M1387" s="3">
        <v>0.82722092000000003</v>
      </c>
      <c r="N1387" s="3">
        <v>-0.123683159</v>
      </c>
      <c r="O1387" s="3">
        <v>-5.3793025000000001E-2</v>
      </c>
      <c r="P1387" s="3">
        <v>2.1914531000000001E-2</v>
      </c>
      <c r="Q1387" s="3">
        <v>-8.7682129999999997E-2</v>
      </c>
      <c r="R1387" s="3">
        <v>0.30156762599999998</v>
      </c>
      <c r="S1387" s="3">
        <v>1.4346075380000001</v>
      </c>
      <c r="T1387" s="3">
        <v>0.62999069299999999</v>
      </c>
      <c r="U1387" s="3">
        <v>0.38649956499999999</v>
      </c>
      <c r="V1387" s="3">
        <v>0.18418975500000001</v>
      </c>
      <c r="W1387" s="3">
        <v>2.6159316829999999</v>
      </c>
      <c r="X1387" s="3">
        <v>-1.3144811380000001</v>
      </c>
      <c r="Y1387" s="3">
        <v>6.0540147180000004</v>
      </c>
      <c r="Z1387" s="3">
        <v>1.6299906930000001</v>
      </c>
      <c r="AA1387" s="3">
        <v>6.5790104000000002E-2</v>
      </c>
      <c r="AB1387" s="3">
        <v>-557.3470466</v>
      </c>
      <c r="AC1387" s="3">
        <v>-0.50249062200000005</v>
      </c>
      <c r="AD1387" s="3">
        <v>-9.7916222999999997E-2</v>
      </c>
      <c r="AE1387" s="3">
        <v>0.55045622500000002</v>
      </c>
      <c r="AF1387" s="4">
        <v>42010</v>
      </c>
      <c r="AG1387" s="5">
        <f>YEAR(AF1387)</f>
        <v>2015</v>
      </c>
      <c r="AH1387" s="5" t="str">
        <f>"Q"&amp;ROUNDUP(MONTH(AF1387)/3,0)</f>
        <v>Q1</v>
      </c>
      <c r="AI1387" s="5">
        <f>INDEX(RatingLookup!$B$2:$B$11,MATCH(A1387,RatingLookup!$A$2:$A$11,0))</f>
        <v>4</v>
      </c>
      <c r="AJ1387" s="5" t="str">
        <f>INDEX(RatingLookup!$C$2:$C$11,MATCH(A1387,RatingLookup!$A$2:$A$11,0))</f>
        <v>Speculative Grade</v>
      </c>
    </row>
    <row r="1388" spans="1:36" x14ac:dyDescent="0.3">
      <c r="A1388" s="3" t="s">
        <v>116</v>
      </c>
      <c r="B1388" s="3" t="s">
        <v>1477</v>
      </c>
      <c r="C1388" s="3" t="s">
        <v>1478</v>
      </c>
      <c r="D1388" s="3" t="s">
        <v>39</v>
      </c>
      <c r="E1388" s="3" t="s">
        <v>448</v>
      </c>
      <c r="F1388" s="3" t="s">
        <v>113</v>
      </c>
      <c r="G1388" s="3">
        <v>2.446114889</v>
      </c>
      <c r="H1388" s="3">
        <v>1.2902075850000001</v>
      </c>
      <c r="I1388" s="3">
        <v>0.89130937399999999</v>
      </c>
      <c r="J1388" s="3">
        <v>67.659707040000001</v>
      </c>
      <c r="K1388" s="3">
        <v>-0.19305536000000001</v>
      </c>
      <c r="L1388" s="3">
        <v>-0.17386770300000001</v>
      </c>
      <c r="M1388" s="3">
        <v>0.82918434200000002</v>
      </c>
      <c r="N1388" s="3">
        <v>-0.124398946</v>
      </c>
      <c r="O1388" s="3">
        <v>-4.6066519E-2</v>
      </c>
      <c r="P1388" s="3">
        <v>-4.7115771000000001E-2</v>
      </c>
      <c r="Q1388" s="3">
        <v>-7.1557662999999994E-2</v>
      </c>
      <c r="R1388" s="3">
        <v>0.23861817900000001</v>
      </c>
      <c r="S1388" s="3">
        <v>1.2636838319999999</v>
      </c>
      <c r="T1388" s="3">
        <v>0.55335512799999997</v>
      </c>
      <c r="U1388" s="3">
        <v>0.35623220900000002</v>
      </c>
      <c r="V1388" s="3">
        <v>-0.11035779799999999</v>
      </c>
      <c r="W1388" s="3">
        <v>2.0269025530000002</v>
      </c>
      <c r="X1388" s="3">
        <v>-2.8079487580000002</v>
      </c>
      <c r="Y1388" s="3">
        <v>2.5606811440000001</v>
      </c>
      <c r="Z1388" s="3">
        <v>1.553355128</v>
      </c>
      <c r="AA1388" s="3">
        <v>-0.17386770300000001</v>
      </c>
      <c r="AB1388" s="3">
        <v>-248.7981202</v>
      </c>
      <c r="AC1388" s="3">
        <v>-1.385339791</v>
      </c>
      <c r="AD1388" s="3">
        <v>-0.24911815400000001</v>
      </c>
      <c r="AE1388" s="3">
        <v>0.38727067500000001</v>
      </c>
      <c r="AF1388" s="4">
        <v>42257</v>
      </c>
      <c r="AG1388" s="5">
        <f>YEAR(AF1388)</f>
        <v>2015</v>
      </c>
      <c r="AH1388" s="5" t="str">
        <f>"Q"&amp;ROUNDUP(MONTH(AF1388)/3,0)</f>
        <v>Q3</v>
      </c>
      <c r="AI1388" s="5">
        <f>INDEX(RatingLookup!$B$2:$B$11,MATCH(A1388,RatingLookup!$A$2:$A$11,0))</f>
        <v>4</v>
      </c>
      <c r="AJ1388" s="5" t="str">
        <f>INDEX(RatingLookup!$C$2:$C$11,MATCH(A1388,RatingLookup!$A$2:$A$11,0))</f>
        <v>Speculative Grade</v>
      </c>
    </row>
    <row r="1389" spans="1:36" x14ac:dyDescent="0.3">
      <c r="A1389" s="3" t="s">
        <v>49</v>
      </c>
      <c r="B1389" s="3" t="s">
        <v>1480</v>
      </c>
      <c r="C1389" s="3" t="s">
        <v>1481</v>
      </c>
      <c r="D1389" s="3" t="s">
        <v>39</v>
      </c>
      <c r="E1389" s="3" t="s">
        <v>546</v>
      </c>
      <c r="F1389" s="3" t="s">
        <v>96</v>
      </c>
      <c r="G1389" s="3">
        <v>2.9181066869999999</v>
      </c>
      <c r="H1389" s="3">
        <v>1.7982719760000001</v>
      </c>
      <c r="I1389" s="3">
        <v>0.45041322299999997</v>
      </c>
      <c r="J1389" s="3">
        <v>34.863165960000003</v>
      </c>
      <c r="K1389" s="3">
        <v>0.21625143699999999</v>
      </c>
      <c r="L1389" s="3">
        <v>0.29697202</v>
      </c>
      <c r="M1389" s="3">
        <v>0.56933691099999995</v>
      </c>
      <c r="N1389" s="3">
        <v>0.30256803399999999</v>
      </c>
      <c r="O1389" s="3">
        <v>0.15918067899999999</v>
      </c>
      <c r="P1389" s="3">
        <v>0.25723771600000001</v>
      </c>
      <c r="Q1389" s="3">
        <v>0.27151106800000002</v>
      </c>
      <c r="R1389" s="3">
        <v>0.736090735</v>
      </c>
      <c r="S1389" s="3">
        <v>4.5933098589999997</v>
      </c>
      <c r="T1389" s="3">
        <v>0.70567853700000005</v>
      </c>
      <c r="U1389" s="3">
        <v>0.41372305599999998</v>
      </c>
      <c r="V1389" s="3">
        <v>0.27181208099999998</v>
      </c>
      <c r="W1389" s="3">
        <v>0.90107913699999997</v>
      </c>
      <c r="X1389" s="3">
        <v>3.2929577459999999</v>
      </c>
      <c r="Y1389" s="3">
        <v>3.3248826290000002</v>
      </c>
      <c r="Z1389" s="3">
        <v>1.7056785370000001</v>
      </c>
      <c r="AA1389" s="3">
        <v>0.29697202</v>
      </c>
      <c r="AB1389" s="3">
        <v>11.66066255</v>
      </c>
      <c r="AC1389" s="3">
        <v>3.654460094</v>
      </c>
      <c r="AD1389" s="3">
        <v>0.298351859</v>
      </c>
      <c r="AE1389" s="3">
        <v>12.855835239999999</v>
      </c>
      <c r="AF1389" s="4">
        <v>42032</v>
      </c>
      <c r="AG1389" s="5">
        <f>YEAR(AF1389)</f>
        <v>2015</v>
      </c>
      <c r="AH1389" s="5" t="str">
        <f>"Q"&amp;ROUNDUP(MONTH(AF1389)/3,0)</f>
        <v>Q1</v>
      </c>
      <c r="AI1389" s="5">
        <f>INDEX(RatingLookup!$B$2:$B$11,MATCH(A1389,RatingLookup!$A$2:$A$11,0))</f>
        <v>9</v>
      </c>
      <c r="AJ1389" s="5" t="str">
        <f>INDEX(RatingLookup!$C$2:$C$11,MATCH(A1389,RatingLookup!$A$2:$A$11,0))</f>
        <v>Investment Grade</v>
      </c>
    </row>
    <row r="1390" spans="1:36" x14ac:dyDescent="0.3">
      <c r="A1390" s="3" t="s">
        <v>36</v>
      </c>
      <c r="B1390" s="3" t="s">
        <v>1480</v>
      </c>
      <c r="C1390" s="3" t="s">
        <v>1481</v>
      </c>
      <c r="D1390" s="3" t="s">
        <v>39</v>
      </c>
      <c r="E1390" s="3" t="s">
        <v>1482</v>
      </c>
      <c r="F1390" s="3" t="s">
        <v>96</v>
      </c>
      <c r="G1390" s="3">
        <v>2.9191845650000001</v>
      </c>
      <c r="H1390" s="3">
        <v>1.831816527</v>
      </c>
      <c r="I1390" s="3">
        <v>0.59228248999999999</v>
      </c>
      <c r="J1390" s="3">
        <v>35.976648910000002</v>
      </c>
      <c r="K1390" s="3">
        <v>0.177140516</v>
      </c>
      <c r="L1390" s="3">
        <v>0.225645227</v>
      </c>
      <c r="M1390" s="3">
        <v>0.52142564499999999</v>
      </c>
      <c r="N1390" s="3">
        <v>0.23203605099999999</v>
      </c>
      <c r="O1390" s="3">
        <v>0.114162002</v>
      </c>
      <c r="P1390" s="3">
        <v>0.17009449700000001</v>
      </c>
      <c r="Q1390" s="3">
        <v>0.20005551999999999</v>
      </c>
      <c r="R1390" s="3">
        <v>0.64447143299999998</v>
      </c>
      <c r="S1390" s="3">
        <v>3.5907619890000002</v>
      </c>
      <c r="T1390" s="3">
        <v>0.75238271499999998</v>
      </c>
      <c r="U1390" s="3">
        <v>0.42934840000000002</v>
      </c>
      <c r="V1390" s="3">
        <v>0.21496005800000001</v>
      </c>
      <c r="W1390" s="3">
        <v>0.87825059100000002</v>
      </c>
      <c r="X1390" s="3">
        <v>2.7067395259999998</v>
      </c>
      <c r="Y1390" s="3">
        <v>3.4872495450000001</v>
      </c>
      <c r="Z1390" s="3">
        <v>1.752382715</v>
      </c>
      <c r="AA1390" s="3">
        <v>0.225645227</v>
      </c>
      <c r="AB1390" s="3">
        <v>12.20746428</v>
      </c>
      <c r="AC1390" s="3">
        <v>3.081967213</v>
      </c>
      <c r="AD1390" s="3">
        <v>0.27726341700000001</v>
      </c>
      <c r="AE1390" s="3">
        <v>13.841232229999999</v>
      </c>
      <c r="AF1390" s="4">
        <v>41479</v>
      </c>
      <c r="AG1390" s="5">
        <f>YEAR(AF1390)</f>
        <v>2013</v>
      </c>
      <c r="AH1390" s="5" t="str">
        <f>"Q"&amp;ROUNDUP(MONTH(AF1390)/3,0)</f>
        <v>Q3</v>
      </c>
      <c r="AI1390" s="5">
        <f>INDEX(RatingLookup!$B$2:$B$11,MATCH(A1390,RatingLookup!$A$2:$A$11,0))</f>
        <v>8</v>
      </c>
      <c r="AJ1390" s="5" t="str">
        <f>INDEX(RatingLookup!$C$2:$C$11,MATCH(A1390,RatingLookup!$A$2:$A$11,0))</f>
        <v>Investment Grade</v>
      </c>
    </row>
    <row r="1391" spans="1:36" x14ac:dyDescent="0.3">
      <c r="A1391" s="3" t="s">
        <v>49</v>
      </c>
      <c r="B1391" s="3" t="s">
        <v>1480</v>
      </c>
      <c r="C1391" s="3" t="s">
        <v>1481</v>
      </c>
      <c r="D1391" s="3" t="s">
        <v>39</v>
      </c>
      <c r="E1391" s="3" t="s">
        <v>204</v>
      </c>
      <c r="F1391" s="3" t="s">
        <v>96</v>
      </c>
      <c r="G1391" s="3">
        <v>2.7686888449999998</v>
      </c>
      <c r="H1391" s="3">
        <v>1.7154598830000001</v>
      </c>
      <c r="I1391" s="3">
        <v>0.39138943199999998</v>
      </c>
      <c r="J1391" s="3">
        <v>32.709615380000002</v>
      </c>
      <c r="K1391" s="3">
        <v>0.22969230800000001</v>
      </c>
      <c r="L1391" s="3">
        <v>0.32430769199999998</v>
      </c>
      <c r="M1391" s="3">
        <v>0.58153846200000003</v>
      </c>
      <c r="N1391" s="3">
        <v>0.328769231</v>
      </c>
      <c r="O1391" s="3">
        <v>0.18398028299999999</v>
      </c>
      <c r="P1391" s="3">
        <v>0.30829981699999998</v>
      </c>
      <c r="Q1391" s="3">
        <v>0.30022119400000002</v>
      </c>
      <c r="R1391" s="3">
        <v>0.80098582900000004</v>
      </c>
      <c r="S1391" s="3">
        <v>5.0077041600000003</v>
      </c>
      <c r="T1391" s="3">
        <v>0.63181178400000004</v>
      </c>
      <c r="U1391" s="3">
        <v>0.38718422699999999</v>
      </c>
      <c r="V1391" s="3">
        <v>0.29174573100000001</v>
      </c>
      <c r="W1391" s="3">
        <v>0.87089971899999996</v>
      </c>
      <c r="X1391" s="3">
        <v>3.6087378640000001</v>
      </c>
      <c r="Y1391" s="3">
        <v>3.124271845</v>
      </c>
      <c r="Z1391" s="3">
        <v>1.6318117839999999</v>
      </c>
      <c r="AA1391" s="3">
        <v>0.32430769199999998</v>
      </c>
      <c r="AB1391" s="3">
        <v>10.659866839999999</v>
      </c>
      <c r="AC1391" s="3">
        <v>4.14368932</v>
      </c>
      <c r="AD1391" s="3">
        <v>0.32830769199999998</v>
      </c>
      <c r="AE1391" s="3">
        <v>14.093264250000001</v>
      </c>
      <c r="AF1391" s="4">
        <v>42305</v>
      </c>
      <c r="AG1391" s="5">
        <f>YEAR(AF1391)</f>
        <v>2015</v>
      </c>
      <c r="AH1391" s="5" t="str">
        <f>"Q"&amp;ROUNDUP(MONTH(AF1391)/3,0)</f>
        <v>Q4</v>
      </c>
      <c r="AI1391" s="5">
        <f>INDEX(RatingLookup!$B$2:$B$11,MATCH(A1391,RatingLookup!$A$2:$A$11,0))</f>
        <v>9</v>
      </c>
      <c r="AJ1391" s="5" t="str">
        <f>INDEX(RatingLookup!$C$2:$C$11,MATCH(A1391,RatingLookup!$A$2:$A$11,0))</f>
        <v>Investment Grade</v>
      </c>
    </row>
    <row r="1392" spans="1:36" x14ac:dyDescent="0.3">
      <c r="A1392" s="3" t="s">
        <v>92</v>
      </c>
      <c r="B1392" s="3" t="s">
        <v>1483</v>
      </c>
      <c r="C1392" s="3" t="s">
        <v>1484</v>
      </c>
      <c r="D1392" s="3" t="s">
        <v>39</v>
      </c>
      <c r="E1392" s="3" t="s">
        <v>1485</v>
      </c>
      <c r="F1392" s="3" t="s">
        <v>41</v>
      </c>
      <c r="G1392" s="3">
        <v>2.7916498000000001</v>
      </c>
      <c r="H1392" s="3">
        <v>1.8080842450000001</v>
      </c>
      <c r="I1392" s="3">
        <v>1.078783257</v>
      </c>
      <c r="J1392" s="3">
        <v>39.261589479999998</v>
      </c>
      <c r="K1392" s="3">
        <v>6.2362017999999998E-2</v>
      </c>
      <c r="L1392" s="3">
        <v>0.101763047</v>
      </c>
      <c r="M1392" s="3">
        <v>0.167237939</v>
      </c>
      <c r="N1392" s="3">
        <v>8.7729855999999995E-2</v>
      </c>
      <c r="O1392" s="3">
        <v>8.5776673999999997E-2</v>
      </c>
      <c r="P1392" s="3">
        <v>0.17614726999999999</v>
      </c>
      <c r="Q1392" s="3">
        <v>0.25311688199999999</v>
      </c>
      <c r="R1392" s="3">
        <v>1.3754634160000001</v>
      </c>
      <c r="S1392" s="3">
        <v>4.6268510120000004</v>
      </c>
      <c r="T1392" s="3">
        <v>1.950882445</v>
      </c>
      <c r="U1392" s="3">
        <v>0.66111832000000004</v>
      </c>
      <c r="V1392" s="3">
        <v>0.320490418</v>
      </c>
      <c r="W1392" s="3">
        <v>0.545445713</v>
      </c>
      <c r="X1392" s="3">
        <v>2.8344842190000001</v>
      </c>
      <c r="Y1392" s="3">
        <v>9.0583042900000006</v>
      </c>
      <c r="Z1392" s="3">
        <v>2.950882445</v>
      </c>
      <c r="AA1392" s="3">
        <v>0.101763047</v>
      </c>
      <c r="AB1392" s="3">
        <v>3.9651875059999999</v>
      </c>
      <c r="AC1392" s="3">
        <v>5.196638546</v>
      </c>
      <c r="AD1392" s="3">
        <v>9.3168406999999995E-2</v>
      </c>
      <c r="AE1392" s="3">
        <v>11.03850248</v>
      </c>
      <c r="AF1392" s="4">
        <v>41822</v>
      </c>
      <c r="AG1392" s="5">
        <f>YEAR(AF1392)</f>
        <v>2014</v>
      </c>
      <c r="AH1392" s="5" t="str">
        <f>"Q"&amp;ROUNDUP(MONTH(AF1392)/3,0)</f>
        <v>Q3</v>
      </c>
      <c r="AI1392" s="5">
        <f>INDEX(RatingLookup!$B$2:$B$11,MATCH(A1392,RatingLookup!$A$2:$A$11,0))</f>
        <v>6</v>
      </c>
      <c r="AJ1392" s="5" t="str">
        <f>INDEX(RatingLookup!$C$2:$C$11,MATCH(A1392,RatingLookup!$A$2:$A$11,0))</f>
        <v>Speculative Grade</v>
      </c>
    </row>
    <row r="1393" spans="1:36" x14ac:dyDescent="0.3">
      <c r="A1393" s="3" t="s">
        <v>42</v>
      </c>
      <c r="B1393" s="3" t="s">
        <v>1483</v>
      </c>
      <c r="C1393" s="3" t="s">
        <v>1484</v>
      </c>
      <c r="D1393" s="3" t="s">
        <v>39</v>
      </c>
      <c r="E1393" s="3" t="s">
        <v>365</v>
      </c>
      <c r="F1393" s="3" t="s">
        <v>41</v>
      </c>
      <c r="G1393" s="3">
        <v>3.0822650189999998</v>
      </c>
      <c r="H1393" s="3">
        <v>2.0453992240000001</v>
      </c>
      <c r="I1393" s="3">
        <v>1.1666362589999999</v>
      </c>
      <c r="J1393" s="3">
        <v>45.642725740000003</v>
      </c>
      <c r="K1393" s="3">
        <v>7.1568478000000005E-2</v>
      </c>
      <c r="L1393" s="3">
        <v>0.11235759300000001</v>
      </c>
      <c r="M1393" s="3">
        <v>0.20769275500000001</v>
      </c>
      <c r="N1393" s="3">
        <v>0.119237068</v>
      </c>
      <c r="O1393" s="3">
        <v>8.7336054999999996E-2</v>
      </c>
      <c r="P1393" s="3">
        <v>0.16674945199999999</v>
      </c>
      <c r="Q1393" s="3">
        <v>0.217274888</v>
      </c>
      <c r="R1393" s="3">
        <v>1.2203145419999999</v>
      </c>
      <c r="S1393" s="3">
        <v>3.738566998</v>
      </c>
      <c r="T1393" s="3">
        <v>1.487802885</v>
      </c>
      <c r="U1393" s="3">
        <v>0.59803889399999999</v>
      </c>
      <c r="V1393" s="3">
        <v>0.35393440100000001</v>
      </c>
      <c r="W1393" s="3">
        <v>0.39215621000000001</v>
      </c>
      <c r="X1393" s="3">
        <v>2.0657054659999998</v>
      </c>
      <c r="Y1393" s="3">
        <v>9.0140145930000006</v>
      </c>
      <c r="Z1393" s="3">
        <v>2.4878028849999998</v>
      </c>
      <c r="AA1393" s="3">
        <v>0.11235759300000001</v>
      </c>
      <c r="AB1393" s="3">
        <v>3.6056329370000002</v>
      </c>
      <c r="AC1393" s="3">
        <v>5.2675577069999999</v>
      </c>
      <c r="AD1393" s="3">
        <v>0.101017155</v>
      </c>
      <c r="AE1393" s="3">
        <v>10.912443830000001</v>
      </c>
      <c r="AF1393" s="4">
        <v>42275</v>
      </c>
      <c r="AG1393" s="5">
        <f>YEAR(AF1393)</f>
        <v>2015</v>
      </c>
      <c r="AH1393" s="5" t="str">
        <f>"Q"&amp;ROUNDUP(MONTH(AF1393)/3,0)</f>
        <v>Q3</v>
      </c>
      <c r="AI1393" s="5">
        <f>INDEX(RatingLookup!$B$2:$B$11,MATCH(A1393,RatingLookup!$A$2:$A$11,0))</f>
        <v>7</v>
      </c>
      <c r="AJ1393" s="5" t="str">
        <f>INDEX(RatingLookup!$C$2:$C$11,MATCH(A1393,RatingLookup!$A$2:$A$11,0))</f>
        <v>Investment Grade</v>
      </c>
    </row>
    <row r="1394" spans="1:36" x14ac:dyDescent="0.3">
      <c r="A1394" s="3" t="s">
        <v>92</v>
      </c>
      <c r="B1394" s="3" t="s">
        <v>1486</v>
      </c>
      <c r="C1394" s="3" t="s">
        <v>1487</v>
      </c>
      <c r="D1394" s="3" t="s">
        <v>47</v>
      </c>
      <c r="E1394" s="3" t="s">
        <v>166</v>
      </c>
      <c r="F1394" s="3" t="s">
        <v>53</v>
      </c>
      <c r="G1394" s="3">
        <v>1.501109383</v>
      </c>
      <c r="H1394" s="3">
        <v>0.835343642</v>
      </c>
      <c r="I1394" s="3">
        <v>9.1448947000000003E-2</v>
      </c>
      <c r="J1394" s="3">
        <v>5.6035134680000001</v>
      </c>
      <c r="K1394" s="3">
        <v>5.1512379999999998E-3</v>
      </c>
      <c r="L1394" s="3">
        <v>1.362092E-2</v>
      </c>
      <c r="M1394" s="3">
        <v>8.6101808000000002E-2</v>
      </c>
      <c r="N1394" s="3">
        <v>1.8792057000000001E-2</v>
      </c>
      <c r="O1394" s="3">
        <v>1.396348E-2</v>
      </c>
      <c r="P1394" s="3">
        <v>4.1399092999999998E-2</v>
      </c>
      <c r="Q1394" s="3">
        <v>2.8377095000000001E-2</v>
      </c>
      <c r="R1394" s="3">
        <v>2.7107038029999999</v>
      </c>
      <c r="S1394" s="3">
        <v>7.0644421599999996</v>
      </c>
      <c r="T1394" s="3">
        <v>1.0322365849999999</v>
      </c>
      <c r="U1394" s="3">
        <v>0.507931307</v>
      </c>
      <c r="V1394" s="3">
        <v>0.20405332200000001</v>
      </c>
      <c r="W1394" s="3">
        <v>0.70426442</v>
      </c>
      <c r="X1394" s="3">
        <v>6.7489091060000002</v>
      </c>
      <c r="Y1394" s="3">
        <v>7.5611531230000004</v>
      </c>
      <c r="Z1394" s="3">
        <v>2.0322365850000002</v>
      </c>
      <c r="AA1394" s="3">
        <v>1.362092E-2</v>
      </c>
      <c r="AB1394" s="3">
        <v>3.3710606699999999</v>
      </c>
      <c r="AC1394" s="3">
        <v>9.5829193050000008</v>
      </c>
      <c r="AD1394" s="3">
        <v>2.2777802999999999E-2</v>
      </c>
      <c r="AE1394" s="3">
        <v>38.574245259999998</v>
      </c>
      <c r="AF1394" s="4">
        <v>42324</v>
      </c>
      <c r="AG1394" s="5">
        <f>YEAR(AF1394)</f>
        <v>2015</v>
      </c>
      <c r="AH1394" s="5" t="str">
        <f>"Q"&amp;ROUNDUP(MONTH(AF1394)/3,0)</f>
        <v>Q4</v>
      </c>
      <c r="AI1394" s="5">
        <f>INDEX(RatingLookup!$B$2:$B$11,MATCH(A1394,RatingLookup!$A$2:$A$11,0))</f>
        <v>6</v>
      </c>
      <c r="AJ1394" s="5" t="str">
        <f>INDEX(RatingLookup!$C$2:$C$11,MATCH(A1394,RatingLookup!$A$2:$A$11,0))</f>
        <v>Speculative Grade</v>
      </c>
    </row>
    <row r="1395" spans="1:36" x14ac:dyDescent="0.3">
      <c r="A1395" s="3" t="s">
        <v>36</v>
      </c>
      <c r="B1395" s="3" t="s">
        <v>1488</v>
      </c>
      <c r="C1395" s="3" t="s">
        <v>1489</v>
      </c>
      <c r="D1395" s="3" t="s">
        <v>39</v>
      </c>
      <c r="E1395" s="3" t="s">
        <v>1427</v>
      </c>
      <c r="F1395" s="3" t="s">
        <v>79</v>
      </c>
      <c r="G1395" s="3">
        <v>1.347422546</v>
      </c>
      <c r="H1395" s="3">
        <v>0.159330423</v>
      </c>
      <c r="I1395" s="3">
        <v>0.150012175</v>
      </c>
      <c r="J1395" s="3">
        <v>0</v>
      </c>
      <c r="K1395" s="3">
        <v>5.1875137000000002E-2</v>
      </c>
      <c r="L1395" s="3">
        <v>6.9158982999999993E-2</v>
      </c>
      <c r="M1395" s="3">
        <v>1</v>
      </c>
      <c r="N1395" s="3">
        <v>9.4879249999999998E-2</v>
      </c>
      <c r="O1395" s="3">
        <v>1.6880474999999999E-2</v>
      </c>
      <c r="P1395" s="3">
        <v>2.5371833999999999E-2</v>
      </c>
      <c r="Q1395" s="3">
        <v>5.0424264000000003E-2</v>
      </c>
      <c r="R1395" s="3">
        <v>0.32540588599999998</v>
      </c>
      <c r="S1395" s="3">
        <v>132.18338969999999</v>
      </c>
      <c r="T1395" s="3">
        <v>1.987135399</v>
      </c>
      <c r="U1395" s="3">
        <v>0.66523111099999999</v>
      </c>
      <c r="V1395" s="3">
        <v>0.24991469499999999</v>
      </c>
      <c r="W1395" s="3">
        <v>0.202093781</v>
      </c>
      <c r="X1395" s="3">
        <v>1.280231884</v>
      </c>
      <c r="Y1395" s="3">
        <v>2.174763285</v>
      </c>
      <c r="Z1395" s="3">
        <v>2.987135399</v>
      </c>
      <c r="AA1395" s="3">
        <v>6.9158982999999993E-2</v>
      </c>
      <c r="AB1395" s="3">
        <v>14.758216320000001</v>
      </c>
      <c r="AC1395" s="3">
        <v>6.3348405799999998</v>
      </c>
      <c r="AD1395" s="3">
        <v>0.16117102999999999</v>
      </c>
      <c r="AE1395" s="3">
        <v>0</v>
      </c>
      <c r="AF1395" s="4">
        <v>41813</v>
      </c>
      <c r="AG1395" s="5">
        <f>YEAR(AF1395)</f>
        <v>2014</v>
      </c>
      <c r="AH1395" s="5" t="str">
        <f>"Q"&amp;ROUNDUP(MONTH(AF1395)/3,0)</f>
        <v>Q2</v>
      </c>
      <c r="AI1395" s="5">
        <f>INDEX(RatingLookup!$B$2:$B$11,MATCH(A1395,RatingLookup!$A$2:$A$11,0))</f>
        <v>8</v>
      </c>
      <c r="AJ1395" s="5" t="str">
        <f>INDEX(RatingLookup!$C$2:$C$11,MATCH(A1395,RatingLookup!$A$2:$A$11,0))</f>
        <v>Investment Grade</v>
      </c>
    </row>
    <row r="1396" spans="1:36" x14ac:dyDescent="0.3">
      <c r="A1396" s="3" t="s">
        <v>36</v>
      </c>
      <c r="B1396" s="3" t="s">
        <v>1488</v>
      </c>
      <c r="C1396" s="3" t="s">
        <v>1489</v>
      </c>
      <c r="D1396" s="3" t="s">
        <v>39</v>
      </c>
      <c r="E1396" s="3" t="s">
        <v>1110</v>
      </c>
      <c r="F1396" s="3" t="s">
        <v>79</v>
      </c>
      <c r="G1396" s="3">
        <v>0.62087139800000002</v>
      </c>
      <c r="H1396" s="3">
        <v>0.183298196</v>
      </c>
      <c r="I1396" s="3">
        <v>1.6163035999999999E-2</v>
      </c>
      <c r="J1396" s="3">
        <v>25.504199549999999</v>
      </c>
      <c r="K1396" s="3">
        <v>6.9267355000000003E-2</v>
      </c>
      <c r="L1396" s="3">
        <v>0.10073871700000001</v>
      </c>
      <c r="M1396" s="3">
        <v>1</v>
      </c>
      <c r="N1396" s="3">
        <v>0.137876948</v>
      </c>
      <c r="O1396" s="3">
        <v>2.5878038999999999E-2</v>
      </c>
      <c r="P1396" s="3">
        <v>4.4878730999999998E-2</v>
      </c>
      <c r="Q1396" s="3">
        <v>8.6997965999999996E-2</v>
      </c>
      <c r="R1396" s="3">
        <v>0.37359646099999999</v>
      </c>
      <c r="S1396" s="3">
        <v>144.2627737</v>
      </c>
      <c r="T1396" s="3">
        <v>2.3618454500000001</v>
      </c>
      <c r="U1396" s="3">
        <v>0.70254432700000002</v>
      </c>
      <c r="V1396" s="3">
        <v>0.312405826</v>
      </c>
      <c r="W1396" s="3">
        <v>0.101116625</v>
      </c>
      <c r="X1396" s="3">
        <v>0.75462963000000005</v>
      </c>
      <c r="Y1396" s="3">
        <v>0.42592592600000001</v>
      </c>
      <c r="Z1396" s="3">
        <v>3.3618454500000001</v>
      </c>
      <c r="AA1396" s="3">
        <v>0.10073871700000001</v>
      </c>
      <c r="AB1396" s="3">
        <v>10.830458719999999</v>
      </c>
      <c r="AC1396" s="3">
        <v>7.4629629629999998</v>
      </c>
      <c r="AD1396" s="3">
        <v>0.163124874</v>
      </c>
      <c r="AE1396" s="3">
        <v>0</v>
      </c>
      <c r="AF1396" s="4">
        <v>42356</v>
      </c>
      <c r="AG1396" s="5">
        <f>YEAR(AF1396)</f>
        <v>2015</v>
      </c>
      <c r="AH1396" s="5" t="str">
        <f>"Q"&amp;ROUNDUP(MONTH(AF1396)/3,0)</f>
        <v>Q4</v>
      </c>
      <c r="AI1396" s="5">
        <f>INDEX(RatingLookup!$B$2:$B$11,MATCH(A1396,RatingLookup!$A$2:$A$11,0))</f>
        <v>8</v>
      </c>
      <c r="AJ1396" s="5" t="str">
        <f>INDEX(RatingLookup!$C$2:$C$11,MATCH(A1396,RatingLookup!$A$2:$A$11,0))</f>
        <v>Investment Grade</v>
      </c>
    </row>
    <row r="1397" spans="1:36" x14ac:dyDescent="0.3">
      <c r="A1397" s="3" t="s">
        <v>36</v>
      </c>
      <c r="B1397" s="3" t="s">
        <v>1488</v>
      </c>
      <c r="C1397" s="3" t="s">
        <v>1489</v>
      </c>
      <c r="D1397" s="3" t="s">
        <v>39</v>
      </c>
      <c r="E1397" s="3" t="s">
        <v>843</v>
      </c>
      <c r="F1397" s="3" t="s">
        <v>79</v>
      </c>
      <c r="G1397" s="3">
        <v>0.77273888599999996</v>
      </c>
      <c r="H1397" s="3">
        <v>0.21295349999999999</v>
      </c>
      <c r="I1397" s="3">
        <v>2.0567195E-2</v>
      </c>
      <c r="J1397" s="3">
        <v>33.242994099999997</v>
      </c>
      <c r="K1397" s="3">
        <v>5.199115E-2</v>
      </c>
      <c r="L1397" s="3">
        <v>7.1841199999999994E-2</v>
      </c>
      <c r="M1397" s="3">
        <v>1</v>
      </c>
      <c r="N1397" s="3">
        <v>0.102261554</v>
      </c>
      <c r="O1397" s="3">
        <v>1.6673236000000001E-2</v>
      </c>
      <c r="P1397" s="3">
        <v>2.7241797000000002E-2</v>
      </c>
      <c r="Q1397" s="3">
        <v>5.6085918999999998E-2</v>
      </c>
      <c r="R1397" s="3">
        <v>0.32069373299999998</v>
      </c>
      <c r="S1397" s="3">
        <v>176.86956520000001</v>
      </c>
      <c r="T1397" s="3">
        <v>2.3638292230000002</v>
      </c>
      <c r="U1397" s="3">
        <v>0.70271974800000003</v>
      </c>
      <c r="V1397" s="3">
        <v>0.27630453399999999</v>
      </c>
      <c r="W1397" s="3">
        <v>-0.39477977199999997</v>
      </c>
      <c r="X1397" s="3">
        <v>-1.3519553070000001</v>
      </c>
      <c r="Y1397" s="3">
        <v>0.51675977699999998</v>
      </c>
      <c r="Z1397" s="3">
        <v>3.3638292230000002</v>
      </c>
      <c r="AA1397" s="3">
        <v>7.1841199999999994E-2</v>
      </c>
      <c r="AB1397" s="3">
        <v>15.75855827</v>
      </c>
      <c r="AC1397" s="3">
        <v>3.4245810059999999</v>
      </c>
      <c r="AD1397" s="3">
        <v>7.5344148999999999E-2</v>
      </c>
      <c r="AE1397" s="3">
        <v>0</v>
      </c>
      <c r="AF1397" s="4">
        <v>42152</v>
      </c>
      <c r="AG1397" s="5">
        <f>YEAR(AF1397)</f>
        <v>2015</v>
      </c>
      <c r="AH1397" s="5" t="str">
        <f>"Q"&amp;ROUNDUP(MONTH(AF1397)/3,0)</f>
        <v>Q2</v>
      </c>
      <c r="AI1397" s="5">
        <f>INDEX(RatingLookup!$B$2:$B$11,MATCH(A1397,RatingLookup!$A$2:$A$11,0))</f>
        <v>8</v>
      </c>
      <c r="AJ1397" s="5" t="str">
        <f>INDEX(RatingLookup!$C$2:$C$11,MATCH(A1397,RatingLookup!$A$2:$A$11,0))</f>
        <v>Investment Grade</v>
      </c>
    </row>
    <row r="1398" spans="1:36" x14ac:dyDescent="0.3">
      <c r="A1398" s="3" t="s">
        <v>92</v>
      </c>
      <c r="B1398" s="3" t="s">
        <v>1490</v>
      </c>
      <c r="C1398" s="3" t="s">
        <v>1491</v>
      </c>
      <c r="D1398" s="3" t="s">
        <v>44</v>
      </c>
      <c r="E1398" s="3" t="s">
        <v>46</v>
      </c>
      <c r="F1398" s="3" t="s">
        <v>96</v>
      </c>
      <c r="G1398" s="3">
        <v>1.675127421</v>
      </c>
      <c r="H1398" s="3">
        <v>1.305810398</v>
      </c>
      <c r="I1398" s="3">
        <v>0.28083588199999998</v>
      </c>
      <c r="J1398" s="3">
        <v>98.198905830000001</v>
      </c>
      <c r="K1398" s="3">
        <v>3.9680097999999997E-2</v>
      </c>
      <c r="L1398" s="3">
        <v>3.7175374999999997E-2</v>
      </c>
      <c r="M1398" s="3">
        <v>0.280748781</v>
      </c>
      <c r="N1398" s="3">
        <v>6.2815836999999999E-2</v>
      </c>
      <c r="O1398" s="3">
        <v>2.4432479E-2</v>
      </c>
      <c r="P1398" s="3">
        <v>3.1161369000000001E-2</v>
      </c>
      <c r="Q1398" s="3">
        <v>8.1084720999999998E-2</v>
      </c>
      <c r="R1398" s="3">
        <v>0.61573635699999996</v>
      </c>
      <c r="S1398" s="3">
        <v>7.0021538459999997</v>
      </c>
      <c r="T1398" s="3">
        <v>2.3187267089999999</v>
      </c>
      <c r="U1398" s="3">
        <v>0.698679618</v>
      </c>
      <c r="V1398" s="3">
        <v>8.4515365999999995E-2</v>
      </c>
      <c r="W1398" s="3">
        <v>1</v>
      </c>
      <c r="X1398" s="3">
        <v>6.3882453119999996</v>
      </c>
      <c r="Y1398" s="3">
        <v>26.48567298</v>
      </c>
      <c r="Z1398" s="3">
        <v>3.3187267089999999</v>
      </c>
      <c r="AA1398" s="3">
        <v>3.7175374999999997E-2</v>
      </c>
      <c r="AB1398" s="3">
        <v>6.071975836</v>
      </c>
      <c r="AC1398" s="3">
        <v>6.3882453119999996</v>
      </c>
      <c r="AD1398" s="3">
        <v>7.0879289999999998E-2</v>
      </c>
      <c r="AE1398" s="3">
        <v>5.0879701590000002</v>
      </c>
      <c r="AF1398" s="4">
        <v>41075</v>
      </c>
      <c r="AG1398" s="5">
        <f>YEAR(AF1398)</f>
        <v>2012</v>
      </c>
      <c r="AH1398" s="5" t="str">
        <f>"Q"&amp;ROUNDUP(MONTH(AF1398)/3,0)</f>
        <v>Q2</v>
      </c>
      <c r="AI1398" s="5">
        <f>INDEX(RatingLookup!$B$2:$B$11,MATCH(A1398,RatingLookup!$A$2:$A$11,0))</f>
        <v>6</v>
      </c>
      <c r="AJ1398" s="5" t="str">
        <f>INDEX(RatingLookup!$C$2:$C$11,MATCH(A1398,RatingLookup!$A$2:$A$11,0))</f>
        <v>Speculative Grade</v>
      </c>
    </row>
    <row r="1399" spans="1:36" x14ac:dyDescent="0.3">
      <c r="A1399" s="3" t="s">
        <v>42</v>
      </c>
      <c r="B1399" s="3" t="s">
        <v>1490</v>
      </c>
      <c r="C1399" s="3" t="s">
        <v>1491</v>
      </c>
      <c r="D1399" s="3" t="s">
        <v>39</v>
      </c>
      <c r="E1399" s="3" t="s">
        <v>426</v>
      </c>
      <c r="F1399" s="3" t="s">
        <v>96</v>
      </c>
      <c r="G1399" s="3">
        <v>1.275248344</v>
      </c>
      <c r="H1399" s="3">
        <v>0.99632082399999999</v>
      </c>
      <c r="I1399" s="3">
        <v>0.31815673300000002</v>
      </c>
      <c r="J1399" s="3">
        <v>93.370113630000006</v>
      </c>
      <c r="K1399" s="3">
        <v>4.4560332000000001E-2</v>
      </c>
      <c r="L1399" s="3">
        <v>5.4290681E-2</v>
      </c>
      <c r="M1399" s="3">
        <v>0.28779784600000002</v>
      </c>
      <c r="N1399" s="3">
        <v>6.9871957999999998E-2</v>
      </c>
      <c r="O1399" s="3">
        <v>3.0658382000000001E-2</v>
      </c>
      <c r="P1399" s="3">
        <v>5.4701183E-2</v>
      </c>
      <c r="Q1399" s="3">
        <v>9.7405005000000003E-2</v>
      </c>
      <c r="R1399" s="3">
        <v>0.68801960299999998</v>
      </c>
      <c r="S1399" s="3">
        <v>6.8138090419999999</v>
      </c>
      <c r="T1399" s="3">
        <v>2.177108434</v>
      </c>
      <c r="U1399" s="3">
        <v>0.68524838799999999</v>
      </c>
      <c r="V1399" s="3">
        <v>0.21397891399999999</v>
      </c>
      <c r="W1399" s="3">
        <v>0.478632479</v>
      </c>
      <c r="X1399" s="3">
        <v>1.1105235330000001</v>
      </c>
      <c r="Y1399" s="3">
        <v>21.14621893</v>
      </c>
      <c r="Z1399" s="3">
        <v>3.177108434</v>
      </c>
      <c r="AA1399" s="3">
        <v>5.4290681E-2</v>
      </c>
      <c r="AB1399" s="3">
        <v>4.7257492350000003</v>
      </c>
      <c r="AC1399" s="3">
        <v>2.320200952</v>
      </c>
      <c r="AD1399" s="3">
        <v>2.2322564E-2</v>
      </c>
      <c r="AE1399" s="3">
        <v>6.7925596439999998</v>
      </c>
      <c r="AF1399" s="4">
        <v>41500</v>
      </c>
      <c r="AG1399" s="5">
        <f>YEAR(AF1399)</f>
        <v>2013</v>
      </c>
      <c r="AH1399" s="5" t="str">
        <f>"Q"&amp;ROUNDUP(MONTH(AF1399)/3,0)</f>
        <v>Q3</v>
      </c>
      <c r="AI1399" s="5">
        <f>INDEX(RatingLookup!$B$2:$B$11,MATCH(A1399,RatingLookup!$A$2:$A$11,0))</f>
        <v>7</v>
      </c>
      <c r="AJ1399" s="5" t="str">
        <f>INDEX(RatingLookup!$C$2:$C$11,MATCH(A1399,RatingLookup!$A$2:$A$11,0))</f>
        <v>Investment Grade</v>
      </c>
    </row>
    <row r="1400" spans="1:36" x14ac:dyDescent="0.3">
      <c r="A1400" s="3" t="s">
        <v>42</v>
      </c>
      <c r="B1400" s="3" t="s">
        <v>1490</v>
      </c>
      <c r="C1400" s="3" t="s">
        <v>1491</v>
      </c>
      <c r="D1400" s="3" t="s">
        <v>44</v>
      </c>
      <c r="E1400" s="3" t="s">
        <v>675</v>
      </c>
      <c r="F1400" s="3" t="s">
        <v>96</v>
      </c>
      <c r="G1400" s="3">
        <v>1.1947159439999999</v>
      </c>
      <c r="H1400" s="3">
        <v>0.87889431900000003</v>
      </c>
      <c r="I1400" s="3">
        <v>0.15485644500000001</v>
      </c>
      <c r="J1400" s="3">
        <v>77.912522539999998</v>
      </c>
      <c r="K1400" s="3">
        <v>-4.8100970999999999E-2</v>
      </c>
      <c r="L1400" s="3">
        <v>-0.118071308</v>
      </c>
      <c r="M1400" s="3">
        <v>0.170069214</v>
      </c>
      <c r="N1400" s="3">
        <v>-9.8877450000000006E-2</v>
      </c>
      <c r="O1400" s="3">
        <v>-3.7913171000000002E-2</v>
      </c>
      <c r="P1400" s="3">
        <v>-0.13298394999999999</v>
      </c>
      <c r="Q1400" s="3">
        <v>-0.239432542</v>
      </c>
      <c r="R1400" s="3">
        <v>0.78819969700000003</v>
      </c>
      <c r="S1400" s="3">
        <v>7.8328018220000004</v>
      </c>
      <c r="T1400" s="3">
        <v>5.3152866239999996</v>
      </c>
      <c r="U1400" s="3">
        <v>0.84165405999999998</v>
      </c>
      <c r="V1400" s="3">
        <v>5.8128078999999999E-2</v>
      </c>
      <c r="W1400" s="3">
        <v>1.4649350649999999</v>
      </c>
      <c r="X1400" s="3">
        <v>-1.384626715</v>
      </c>
      <c r="Y1400" s="3">
        <v>5.1186998260000003</v>
      </c>
      <c r="Z1400" s="3">
        <v>6.3152866239999996</v>
      </c>
      <c r="AA1400" s="3">
        <v>-0.118071308</v>
      </c>
      <c r="AB1400" s="3">
        <v>-4.8097622319999997</v>
      </c>
      <c r="AC1400" s="3">
        <v>-0.94517958400000002</v>
      </c>
      <c r="AD1400" s="3">
        <v>-2.2392834E-2</v>
      </c>
      <c r="AE1400" s="3">
        <v>8.0661390619999995</v>
      </c>
      <c r="AF1400" s="4">
        <v>42277</v>
      </c>
      <c r="AG1400" s="5">
        <f>YEAR(AF1400)</f>
        <v>2015</v>
      </c>
      <c r="AH1400" s="5" t="str">
        <f>"Q"&amp;ROUNDUP(MONTH(AF1400)/3,0)</f>
        <v>Q3</v>
      </c>
      <c r="AI1400" s="5">
        <f>INDEX(RatingLookup!$B$2:$B$11,MATCH(A1400,RatingLookup!$A$2:$A$11,0))</f>
        <v>7</v>
      </c>
      <c r="AJ1400" s="5" t="str">
        <f>INDEX(RatingLookup!$C$2:$C$11,MATCH(A1400,RatingLookup!$A$2:$A$11,0))</f>
        <v>Investment Grade</v>
      </c>
    </row>
    <row r="1401" spans="1:36" x14ac:dyDescent="0.3">
      <c r="A1401" s="3" t="s">
        <v>42</v>
      </c>
      <c r="B1401" s="3" t="s">
        <v>1490</v>
      </c>
      <c r="C1401" s="3" t="s">
        <v>1491</v>
      </c>
      <c r="D1401" s="3" t="s">
        <v>39</v>
      </c>
      <c r="E1401" s="3" t="s">
        <v>766</v>
      </c>
      <c r="F1401" s="3" t="s">
        <v>96</v>
      </c>
      <c r="G1401" s="3">
        <v>1.3759239700000001</v>
      </c>
      <c r="H1401" s="3">
        <v>1.0055282940000001</v>
      </c>
      <c r="I1401" s="3">
        <v>0.26560655900000002</v>
      </c>
      <c r="J1401" s="3">
        <v>82.523352610000003</v>
      </c>
      <c r="K1401" s="3">
        <v>8.4281205999999997E-2</v>
      </c>
      <c r="L1401" s="3">
        <v>0.12586049899999999</v>
      </c>
      <c r="M1401" s="3">
        <v>0.28883099299999998</v>
      </c>
      <c r="N1401" s="3">
        <v>4.2765457E-2</v>
      </c>
      <c r="O1401" s="3">
        <v>6.7415539999999996E-2</v>
      </c>
      <c r="P1401" s="3">
        <v>0.13843394000000001</v>
      </c>
      <c r="Q1401" s="3">
        <v>0.218878926</v>
      </c>
      <c r="R1401" s="3">
        <v>0.79988817700000003</v>
      </c>
      <c r="S1401" s="3">
        <v>7.0369652709999997</v>
      </c>
      <c r="T1401" s="3">
        <v>2.2467132410000001</v>
      </c>
      <c r="U1401" s="3">
        <v>0.69199620500000003</v>
      </c>
      <c r="V1401" s="3">
        <v>0.36031639199999999</v>
      </c>
      <c r="W1401" s="3">
        <v>0.20026178</v>
      </c>
      <c r="X1401" s="3">
        <v>0.36084905699999997</v>
      </c>
      <c r="Y1401" s="3">
        <v>13.00471698</v>
      </c>
      <c r="Z1401" s="3">
        <v>3.2467132410000001</v>
      </c>
      <c r="AA1401" s="3">
        <v>0.12586049899999999</v>
      </c>
      <c r="AB1401" s="3">
        <v>5.3150755380000003</v>
      </c>
      <c r="AC1401" s="3">
        <v>1.8018867919999999</v>
      </c>
      <c r="AD1401" s="3">
        <v>1.6182669E-2</v>
      </c>
      <c r="AE1401" s="3">
        <v>7.2673160169999997</v>
      </c>
      <c r="AF1401" s="4">
        <v>42025</v>
      </c>
      <c r="AG1401" s="5">
        <f>YEAR(AF1401)</f>
        <v>2015</v>
      </c>
      <c r="AH1401" s="5" t="str">
        <f>"Q"&amp;ROUNDUP(MONTH(AF1401)/3,0)</f>
        <v>Q1</v>
      </c>
      <c r="AI1401" s="5">
        <f>INDEX(RatingLookup!$B$2:$B$11,MATCH(A1401,RatingLookup!$A$2:$A$11,0))</f>
        <v>7</v>
      </c>
      <c r="AJ1401" s="5" t="str">
        <f>INDEX(RatingLookup!$C$2:$C$11,MATCH(A1401,RatingLookup!$A$2:$A$11,0))</f>
        <v>Investment Grade</v>
      </c>
    </row>
    <row r="1402" spans="1:36" x14ac:dyDescent="0.3">
      <c r="A1402" s="3" t="s">
        <v>36</v>
      </c>
      <c r="B1402" s="3" t="s">
        <v>1492</v>
      </c>
      <c r="C1402" s="3" t="s">
        <v>1493</v>
      </c>
      <c r="D1402" s="3" t="s">
        <v>39</v>
      </c>
      <c r="E1402" s="3" t="s">
        <v>561</v>
      </c>
      <c r="F1402" s="3" t="s">
        <v>59</v>
      </c>
      <c r="G1402" s="3">
        <v>3.0281330940000002</v>
      </c>
      <c r="H1402" s="3">
        <v>2.283618428</v>
      </c>
      <c r="I1402" s="3">
        <v>0.71828220099999995</v>
      </c>
      <c r="J1402" s="3">
        <v>40.295539079999998</v>
      </c>
      <c r="K1402" s="3">
        <v>0.11551452299999999</v>
      </c>
      <c r="L1402" s="3">
        <v>5.5485095999999998E-2</v>
      </c>
      <c r="M1402" s="3">
        <v>0.56641383000000001</v>
      </c>
      <c r="N1402" s="3">
        <v>0.13352097099999999</v>
      </c>
      <c r="O1402" s="3">
        <v>6.2721687999999998E-2</v>
      </c>
      <c r="P1402" s="3">
        <v>3.6778986999999999E-2</v>
      </c>
      <c r="Q1402" s="3">
        <v>8.3092790999999999E-2</v>
      </c>
      <c r="R1402" s="3">
        <v>0.54297664000000001</v>
      </c>
      <c r="S1402" s="3">
        <v>5.1880313620000003</v>
      </c>
      <c r="T1402" s="3">
        <v>0.32478562700000002</v>
      </c>
      <c r="U1402" s="3">
        <v>0.24516089299999999</v>
      </c>
      <c r="V1402" s="3">
        <v>0.46668517799999998</v>
      </c>
      <c r="W1402" s="3">
        <v>0.60066972200000002</v>
      </c>
      <c r="X1402" s="3">
        <v>0.84154907400000001</v>
      </c>
      <c r="Y1402" s="3">
        <v>4.8671712830000002</v>
      </c>
      <c r="Z1402" s="3">
        <v>1.324785627</v>
      </c>
      <c r="AA1402" s="3">
        <v>5.5485095999999998E-2</v>
      </c>
      <c r="AB1402" s="3">
        <v>10.21503835</v>
      </c>
      <c r="AC1402" s="3">
        <v>1.401017969</v>
      </c>
      <c r="AD1402" s="3">
        <v>0.18717614900000001</v>
      </c>
      <c r="AE1402" s="3">
        <v>9.8471864359999994</v>
      </c>
      <c r="AF1402" s="4">
        <v>41590</v>
      </c>
      <c r="AG1402" s="5">
        <f>YEAR(AF1402)</f>
        <v>2013</v>
      </c>
      <c r="AH1402" s="5" t="str">
        <f>"Q"&amp;ROUNDUP(MONTH(AF1402)/3,0)</f>
        <v>Q4</v>
      </c>
      <c r="AI1402" s="5">
        <f>INDEX(RatingLookup!$B$2:$B$11,MATCH(A1402,RatingLookup!$A$2:$A$11,0))</f>
        <v>8</v>
      </c>
      <c r="AJ1402" s="5" t="str">
        <f>INDEX(RatingLookup!$C$2:$C$11,MATCH(A1402,RatingLookup!$A$2:$A$11,0))</f>
        <v>Investment Grade</v>
      </c>
    </row>
    <row r="1403" spans="1:36" x14ac:dyDescent="0.3">
      <c r="A1403" s="3" t="s">
        <v>49</v>
      </c>
      <c r="B1403" s="3" t="s">
        <v>1494</v>
      </c>
      <c r="C1403" s="3" t="s">
        <v>1495</v>
      </c>
      <c r="D1403" s="3" t="s">
        <v>39</v>
      </c>
      <c r="E1403" s="3" t="s">
        <v>314</v>
      </c>
      <c r="F1403" s="3" t="s">
        <v>79</v>
      </c>
      <c r="G1403" s="3">
        <v>2.1094873600000001</v>
      </c>
      <c r="H1403" s="3">
        <v>0.97191056499999995</v>
      </c>
      <c r="I1403" s="3">
        <v>0.765313727</v>
      </c>
      <c r="J1403" s="3">
        <v>14.74289971</v>
      </c>
      <c r="K1403" s="3">
        <v>0.131084542</v>
      </c>
      <c r="L1403" s="3">
        <v>0.212769246</v>
      </c>
      <c r="M1403" s="3">
        <v>1</v>
      </c>
      <c r="N1403" s="3">
        <v>0.255575999</v>
      </c>
      <c r="O1403" s="3">
        <v>4.4299564E-2</v>
      </c>
      <c r="P1403" s="3">
        <v>7.7486614999999995E-2</v>
      </c>
      <c r="Q1403" s="3">
        <v>0.120477268</v>
      </c>
      <c r="R1403" s="3">
        <v>0.337946511</v>
      </c>
      <c r="S1403" s="3">
        <v>0.46415716699999998</v>
      </c>
      <c r="T1403" s="3">
        <v>1.719603947</v>
      </c>
      <c r="U1403" s="3">
        <v>0.63229940100000004</v>
      </c>
      <c r="V1403" s="3">
        <v>0.38391217500000002</v>
      </c>
      <c r="W1403" s="3">
        <v>0.55562565100000005</v>
      </c>
      <c r="X1403" s="3">
        <v>2.3466552850000002</v>
      </c>
      <c r="Y1403" s="3">
        <v>2.0095969789999999</v>
      </c>
      <c r="Z1403" s="3">
        <v>2.719603947</v>
      </c>
      <c r="AA1403" s="3">
        <v>0.212769246</v>
      </c>
      <c r="AB1403" s="3">
        <v>11.0855066</v>
      </c>
      <c r="AC1403" s="3">
        <v>4.2234466350000002</v>
      </c>
      <c r="AD1403" s="3">
        <v>0.35052201500000002</v>
      </c>
      <c r="AE1403" s="3">
        <v>0</v>
      </c>
      <c r="AF1403" s="4">
        <v>42158</v>
      </c>
      <c r="AG1403" s="5">
        <f>YEAR(AF1403)</f>
        <v>2015</v>
      </c>
      <c r="AH1403" s="5" t="str">
        <f>"Q"&amp;ROUNDUP(MONTH(AF1403)/3,0)</f>
        <v>Q2</v>
      </c>
      <c r="AI1403" s="5">
        <f>INDEX(RatingLookup!$B$2:$B$11,MATCH(A1403,RatingLookup!$A$2:$A$11,0))</f>
        <v>9</v>
      </c>
      <c r="AJ1403" s="5" t="str">
        <f>INDEX(RatingLookup!$C$2:$C$11,MATCH(A1403,RatingLookup!$A$2:$A$11,0))</f>
        <v>Investment Grade</v>
      </c>
    </row>
    <row r="1404" spans="1:36" x14ac:dyDescent="0.3">
      <c r="A1404" s="3" t="s">
        <v>49</v>
      </c>
      <c r="B1404" s="3" t="s">
        <v>1494</v>
      </c>
      <c r="C1404" s="3" t="s">
        <v>1495</v>
      </c>
      <c r="D1404" s="3" t="s">
        <v>39</v>
      </c>
      <c r="E1404" s="3" t="s">
        <v>656</v>
      </c>
      <c r="F1404" s="3" t="s">
        <v>79</v>
      </c>
      <c r="G1404" s="3">
        <v>1.074408738</v>
      </c>
      <c r="H1404" s="3">
        <v>0.20173755299999999</v>
      </c>
      <c r="I1404" s="3">
        <v>3.5334030000000002E-2</v>
      </c>
      <c r="J1404" s="3">
        <v>15.073009170000001</v>
      </c>
      <c r="K1404" s="3">
        <v>0.131876566</v>
      </c>
      <c r="L1404" s="3">
        <v>0.214143524</v>
      </c>
      <c r="M1404" s="3">
        <v>1</v>
      </c>
      <c r="N1404" s="3">
        <v>0.25834803299999998</v>
      </c>
      <c r="O1404" s="3">
        <v>4.4849474E-2</v>
      </c>
      <c r="P1404" s="3">
        <v>8.0169424000000003E-2</v>
      </c>
      <c r="Q1404" s="3">
        <v>0.12980931200000001</v>
      </c>
      <c r="R1404" s="3">
        <v>0.34008675700000002</v>
      </c>
      <c r="S1404" s="3">
        <v>0.43235632899999998</v>
      </c>
      <c r="T1404" s="3">
        <v>1.8943330220000001</v>
      </c>
      <c r="U1404" s="3">
        <v>0.65449725599999997</v>
      </c>
      <c r="V1404" s="3">
        <v>0.384167388</v>
      </c>
      <c r="W1404" s="3">
        <v>8.2211361999999996E-2</v>
      </c>
      <c r="X1404" s="3">
        <v>0.20920591599999999</v>
      </c>
      <c r="Y1404" s="3">
        <v>0.159833106</v>
      </c>
      <c r="Z1404" s="3">
        <v>2.8943330220000001</v>
      </c>
      <c r="AA1404" s="3">
        <v>0.214143524</v>
      </c>
      <c r="AB1404" s="3">
        <v>12.527376629999999</v>
      </c>
      <c r="AC1404" s="3">
        <v>2.5447324079999998</v>
      </c>
      <c r="AD1404" s="3">
        <v>0.207449835</v>
      </c>
      <c r="AE1404" s="3">
        <v>0</v>
      </c>
      <c r="AF1404" s="4">
        <v>42248</v>
      </c>
      <c r="AG1404" s="5">
        <f>YEAR(AF1404)</f>
        <v>2015</v>
      </c>
      <c r="AH1404" s="5" t="str">
        <f>"Q"&amp;ROUNDUP(MONTH(AF1404)/3,0)</f>
        <v>Q3</v>
      </c>
      <c r="AI1404" s="5">
        <f>INDEX(RatingLookup!$B$2:$B$11,MATCH(A1404,RatingLookup!$A$2:$A$11,0))</f>
        <v>9</v>
      </c>
      <c r="AJ1404" s="5" t="str">
        <f>INDEX(RatingLookup!$C$2:$C$11,MATCH(A1404,RatingLookup!$A$2:$A$11,0))</f>
        <v>Investment Grade</v>
      </c>
    </row>
    <row r="1405" spans="1:36" x14ac:dyDescent="0.3">
      <c r="A1405" s="3" t="s">
        <v>116</v>
      </c>
      <c r="B1405" s="3" t="s">
        <v>1496</v>
      </c>
      <c r="C1405" s="3" t="s">
        <v>1497</v>
      </c>
      <c r="D1405" s="3" t="s">
        <v>47</v>
      </c>
      <c r="E1405" s="3" t="s">
        <v>1498</v>
      </c>
      <c r="F1405" s="3" t="s">
        <v>113</v>
      </c>
      <c r="G1405" s="3">
        <v>1.0479612140000001</v>
      </c>
      <c r="H1405" s="3">
        <v>0.92270711599999999</v>
      </c>
      <c r="I1405" s="3">
        <v>0.19626422700000001</v>
      </c>
      <c r="J1405" s="3">
        <v>84.719273139999999</v>
      </c>
      <c r="K1405" s="3">
        <v>-2.4487766000000001E-2</v>
      </c>
      <c r="L1405" s="3">
        <v>-3.0074281000000001E-2</v>
      </c>
      <c r="M1405" s="3">
        <v>0.27910517099999999</v>
      </c>
      <c r="N1405" s="3">
        <v>3.7397591000000001E-2</v>
      </c>
      <c r="O1405" s="3">
        <v>-1.6140102999999999E-2</v>
      </c>
      <c r="P1405" s="3">
        <v>2.1762136000000001E-2</v>
      </c>
      <c r="Q1405" s="3">
        <v>-5.2809112999999998E-2</v>
      </c>
      <c r="R1405" s="3">
        <v>0.659108849</v>
      </c>
      <c r="S1405" s="3">
        <v>20.01269658</v>
      </c>
      <c r="T1405" s="3">
        <v>2.2719192100000001</v>
      </c>
      <c r="U1405" s="3">
        <v>0.69436898199999997</v>
      </c>
      <c r="V1405" s="3">
        <v>0.18575724399999999</v>
      </c>
      <c r="W1405" s="3">
        <v>0.19718516799999999</v>
      </c>
      <c r="X1405" s="3">
        <v>0.11719737</v>
      </c>
      <c r="Y1405" s="3">
        <v>1.5984142610000001</v>
      </c>
      <c r="Z1405" s="3">
        <v>3.2719192100000001</v>
      </c>
      <c r="AA1405" s="3">
        <v>2.6064239999999999E-2</v>
      </c>
      <c r="AB1405" s="3">
        <v>15.23610034</v>
      </c>
      <c r="AC1405" s="3">
        <v>0.59435185499999998</v>
      </c>
      <c r="AD1405" s="3">
        <v>2.3317570999999999E-2</v>
      </c>
      <c r="AE1405" s="3">
        <v>26.910690540000001</v>
      </c>
      <c r="AF1405" s="4">
        <v>41901</v>
      </c>
      <c r="AG1405" s="5">
        <f>YEAR(AF1405)</f>
        <v>2014</v>
      </c>
      <c r="AH1405" s="5" t="str">
        <f>"Q"&amp;ROUNDUP(MONTH(AF1405)/3,0)</f>
        <v>Q3</v>
      </c>
      <c r="AI1405" s="5">
        <f>INDEX(RatingLookup!$B$2:$B$11,MATCH(A1405,RatingLookup!$A$2:$A$11,0))</f>
        <v>4</v>
      </c>
      <c r="AJ1405" s="5" t="str">
        <f>INDEX(RatingLookup!$C$2:$C$11,MATCH(A1405,RatingLookup!$A$2:$A$11,0))</f>
        <v>Speculative Grade</v>
      </c>
    </row>
    <row r="1406" spans="1:36" x14ac:dyDescent="0.3">
      <c r="A1406" s="3" t="s">
        <v>109</v>
      </c>
      <c r="B1406" s="3" t="s">
        <v>1496</v>
      </c>
      <c r="C1406" s="3" t="s">
        <v>1497</v>
      </c>
      <c r="D1406" s="3" t="s">
        <v>47</v>
      </c>
      <c r="E1406" s="3" t="s">
        <v>675</v>
      </c>
      <c r="F1406" s="3" t="s">
        <v>113</v>
      </c>
      <c r="G1406" s="3">
        <v>1.0826370809999999</v>
      </c>
      <c r="H1406" s="3">
        <v>0.77987093900000004</v>
      </c>
      <c r="I1406" s="3">
        <v>0.228433148</v>
      </c>
      <c r="J1406" s="3">
        <v>65.804953019999999</v>
      </c>
      <c r="K1406" s="3">
        <v>5.0663524000000001E-2</v>
      </c>
      <c r="L1406" s="3">
        <v>7.1358952000000003E-2</v>
      </c>
      <c r="M1406" s="3">
        <v>1</v>
      </c>
      <c r="N1406" s="3">
        <v>0.10180291900000001</v>
      </c>
      <c r="O1406" s="3">
        <v>3.6686599E-2</v>
      </c>
      <c r="P1406" s="3">
        <v>6.7793447000000007E-2</v>
      </c>
      <c r="Q1406" s="3">
        <v>0.116354689</v>
      </c>
      <c r="R1406" s="3">
        <v>0.72412252099999996</v>
      </c>
      <c r="S1406" s="3">
        <v>20.000780760000001</v>
      </c>
      <c r="T1406" s="3">
        <v>2.1715856339999999</v>
      </c>
      <c r="U1406" s="3">
        <v>0.68470030000000004</v>
      </c>
      <c r="V1406" s="3">
        <v>0.260530543</v>
      </c>
      <c r="W1406" s="3">
        <v>0.78647283899999998</v>
      </c>
      <c r="X1406" s="3">
        <v>2.0155424000000002</v>
      </c>
      <c r="Y1406" s="3">
        <v>2.0404069040000001</v>
      </c>
      <c r="Z1406" s="3">
        <v>3.1715856339999999</v>
      </c>
      <c r="AA1406" s="3">
        <v>7.1358952000000003E-2</v>
      </c>
      <c r="AB1406" s="3">
        <v>13.607727219999999</v>
      </c>
      <c r="AC1406" s="3">
        <v>2.562761611</v>
      </c>
      <c r="AD1406" s="3">
        <v>9.5221276999999993E-2</v>
      </c>
      <c r="AE1406" s="3">
        <v>0</v>
      </c>
      <c r="AF1406" s="4">
        <v>42277</v>
      </c>
      <c r="AG1406" s="5">
        <f>YEAR(AF1406)</f>
        <v>2015</v>
      </c>
      <c r="AH1406" s="5" t="str">
        <f>"Q"&amp;ROUNDUP(MONTH(AF1406)/3,0)</f>
        <v>Q3</v>
      </c>
      <c r="AI1406" s="5">
        <f>INDEX(RatingLookup!$B$2:$B$11,MATCH(A1406,RatingLookup!$A$2:$A$11,0))</f>
        <v>5</v>
      </c>
      <c r="AJ1406" s="5" t="str">
        <f>INDEX(RatingLookup!$C$2:$C$11,MATCH(A1406,RatingLookup!$A$2:$A$11,0))</f>
        <v>Speculative Grade</v>
      </c>
    </row>
    <row r="1407" spans="1:36" x14ac:dyDescent="0.3">
      <c r="A1407" s="3" t="s">
        <v>116</v>
      </c>
      <c r="B1407" s="3" t="s">
        <v>1499</v>
      </c>
      <c r="C1407" s="3" t="s">
        <v>1500</v>
      </c>
      <c r="D1407" s="3" t="s">
        <v>39</v>
      </c>
      <c r="E1407" s="3" t="s">
        <v>1325</v>
      </c>
      <c r="F1407" s="3" t="s">
        <v>174</v>
      </c>
      <c r="G1407" s="3">
        <v>1.489766082</v>
      </c>
      <c r="H1407" s="3">
        <v>1.164532954</v>
      </c>
      <c r="I1407" s="3">
        <v>1.094989727</v>
      </c>
      <c r="J1407" s="3">
        <v>0</v>
      </c>
      <c r="K1407" s="3">
        <v>-0.34442795900000001</v>
      </c>
      <c r="L1407" s="3">
        <v>-0.52098788500000004</v>
      </c>
      <c r="M1407" s="3">
        <v>0.92308141600000004</v>
      </c>
      <c r="N1407" s="3">
        <v>-0.26106055099999997</v>
      </c>
      <c r="O1407" s="3">
        <v>-0.119413988</v>
      </c>
      <c r="P1407" s="3">
        <v>-0.20125823100000001</v>
      </c>
      <c r="Q1407" s="3">
        <v>0.94433055700000001</v>
      </c>
      <c r="R1407" s="3">
        <v>0.34670236399999999</v>
      </c>
      <c r="S1407" s="3">
        <v>0.64660557900000004</v>
      </c>
      <c r="T1407" s="3">
        <v>-8.9080397179999995</v>
      </c>
      <c r="U1407" s="3">
        <v>1.126453588</v>
      </c>
      <c r="V1407" s="3">
        <v>0.347505326</v>
      </c>
      <c r="W1407" s="3">
        <v>7.6389396710000002</v>
      </c>
      <c r="X1407" s="3">
        <v>-6.5289062500000004</v>
      </c>
      <c r="Y1407" s="3">
        <v>23.024999999999999</v>
      </c>
      <c r="Z1407" s="3">
        <v>-7.9080397180000004</v>
      </c>
      <c r="AA1407" s="3">
        <v>-0.52098788500000004</v>
      </c>
      <c r="AB1407" s="3">
        <v>-18.551988040000001</v>
      </c>
      <c r="AC1407" s="3">
        <v>-0.85468750000000004</v>
      </c>
      <c r="AD1407" s="3">
        <v>-1.2780822000000001E-2</v>
      </c>
      <c r="AE1407" s="3">
        <v>1.4872374070000001</v>
      </c>
      <c r="AF1407" s="4">
        <v>41730</v>
      </c>
      <c r="AG1407" s="5">
        <f>YEAR(AF1407)</f>
        <v>2014</v>
      </c>
      <c r="AH1407" s="5" t="str">
        <f>"Q"&amp;ROUNDUP(MONTH(AF1407)/3,0)</f>
        <v>Q2</v>
      </c>
      <c r="AI1407" s="5">
        <f>INDEX(RatingLookup!$B$2:$B$11,MATCH(A1407,RatingLookup!$A$2:$A$11,0))</f>
        <v>4</v>
      </c>
      <c r="AJ1407" s="5" t="str">
        <f>INDEX(RatingLookup!$C$2:$C$11,MATCH(A1407,RatingLookup!$A$2:$A$11,0))</f>
        <v>Speculative Grade</v>
      </c>
    </row>
    <row r="1408" spans="1:36" x14ac:dyDescent="0.3">
      <c r="A1408" s="3" t="s">
        <v>786</v>
      </c>
      <c r="B1408" s="3" t="s">
        <v>1499</v>
      </c>
      <c r="C1408" s="3" t="s">
        <v>1500</v>
      </c>
      <c r="D1408" s="3" t="s">
        <v>39</v>
      </c>
      <c r="E1408" s="3" t="s">
        <v>1411</v>
      </c>
      <c r="F1408" s="3" t="s">
        <v>174</v>
      </c>
      <c r="G1408" s="3">
        <v>0.88285144599999998</v>
      </c>
      <c r="H1408" s="3">
        <v>0.70239282199999997</v>
      </c>
      <c r="I1408" s="3">
        <v>0.66699900300000003</v>
      </c>
      <c r="J1408" s="3">
        <v>0</v>
      </c>
      <c r="K1408" s="3">
        <v>1.2720240650000001</v>
      </c>
      <c r="L1408" s="3">
        <v>1.2900730549999999</v>
      </c>
      <c r="M1408" s="3">
        <v>0.91426729699999998</v>
      </c>
      <c r="N1408" s="3">
        <v>0.12311989700000001</v>
      </c>
      <c r="O1408" s="3">
        <v>0.48544485399999998</v>
      </c>
      <c r="P1408" s="3">
        <v>0.58926293100000005</v>
      </c>
      <c r="Q1408" s="3">
        <v>5.9979736580000003</v>
      </c>
      <c r="R1408" s="3">
        <v>0.38163181600000001</v>
      </c>
      <c r="S1408" s="3">
        <v>0.61252961299999997</v>
      </c>
      <c r="T1408" s="3">
        <v>11.355623100000001</v>
      </c>
      <c r="U1408" s="3">
        <v>0.91906519099999995</v>
      </c>
      <c r="V1408" s="3">
        <v>-9.1605599999999999E-3</v>
      </c>
      <c r="W1408" s="3">
        <v>-1.9166666670000001</v>
      </c>
      <c r="X1408" s="3">
        <v>-1.5862068970000001</v>
      </c>
      <c r="Y1408" s="3">
        <v>9.7172413790000007</v>
      </c>
      <c r="Z1408" s="3">
        <v>12.355623100000001</v>
      </c>
      <c r="AA1408" s="3">
        <v>1.2900730549999999</v>
      </c>
      <c r="AB1408" s="3">
        <v>6.5392998029999996</v>
      </c>
      <c r="AC1408" s="3">
        <v>0.82758620699999996</v>
      </c>
      <c r="AD1408" s="3">
        <v>2.5784272E-2</v>
      </c>
      <c r="AE1408" s="3">
        <v>2.229050279</v>
      </c>
      <c r="AF1408" s="4">
        <v>42258</v>
      </c>
      <c r="AG1408" s="5">
        <f>YEAR(AF1408)</f>
        <v>2015</v>
      </c>
      <c r="AH1408" s="5" t="str">
        <f>"Q"&amp;ROUNDUP(MONTH(AF1408)/3,0)</f>
        <v>Q3</v>
      </c>
      <c r="AI1408" s="5">
        <f>INDEX(RatingLookup!$B$2:$B$11,MATCH(A1408,RatingLookup!$A$2:$A$11,0))</f>
        <v>2</v>
      </c>
      <c r="AJ1408" s="5" t="str">
        <f>INDEX(RatingLookup!$C$2:$C$11,MATCH(A1408,RatingLookup!$A$2:$A$11,0))</f>
        <v>Speculative Grade</v>
      </c>
    </row>
    <row r="1409" spans="1:36" x14ac:dyDescent="0.3">
      <c r="A1409" s="3" t="s">
        <v>293</v>
      </c>
      <c r="B1409" s="3" t="s">
        <v>1499</v>
      </c>
      <c r="C1409" s="3" t="s">
        <v>1500</v>
      </c>
      <c r="D1409" s="3" t="s">
        <v>39</v>
      </c>
      <c r="E1409" s="3" t="s">
        <v>210</v>
      </c>
      <c r="F1409" s="3" t="s">
        <v>174</v>
      </c>
      <c r="G1409" s="3">
        <v>0.20092997800000001</v>
      </c>
      <c r="H1409" s="3">
        <v>0.15815098499999999</v>
      </c>
      <c r="I1409" s="3">
        <v>0.153501094</v>
      </c>
      <c r="J1409" s="3">
        <v>0</v>
      </c>
      <c r="K1409" s="3">
        <v>-0.32679661799999998</v>
      </c>
      <c r="L1409" s="3">
        <v>-0.37775951200000002</v>
      </c>
      <c r="M1409" s="3">
        <v>0.91850634099999995</v>
      </c>
      <c r="N1409" s="3">
        <v>-5.3076562000000001E-2</v>
      </c>
      <c r="O1409" s="3">
        <v>-0.118249416</v>
      </c>
      <c r="P1409" s="3">
        <v>-0.61217887699999995</v>
      </c>
      <c r="Q1409" s="3">
        <v>0.55693415999999996</v>
      </c>
      <c r="R1409" s="3">
        <v>0.36184406200000002</v>
      </c>
      <c r="S1409" s="3">
        <v>0.632877527</v>
      </c>
      <c r="T1409" s="3">
        <v>-5.7098258959999999</v>
      </c>
      <c r="U1409" s="3">
        <v>1.212322074</v>
      </c>
      <c r="V1409" s="3">
        <v>0.16879079899999999</v>
      </c>
      <c r="W1409" s="3">
        <v>2.3578231289999998</v>
      </c>
      <c r="X1409" s="3">
        <v>-12.290780140000001</v>
      </c>
      <c r="Y1409" s="3">
        <v>20.503546100000001</v>
      </c>
      <c r="Z1409" s="3">
        <v>-4.7098258959999999</v>
      </c>
      <c r="AA1409" s="3">
        <v>-0.37775951200000002</v>
      </c>
      <c r="AB1409" s="3">
        <v>32.996225559999999</v>
      </c>
      <c r="AC1409" s="3">
        <v>-5.2127659570000002</v>
      </c>
      <c r="AD1409" s="3">
        <v>-8.6308125999999999E-2</v>
      </c>
      <c r="AE1409" s="3">
        <v>1.9885386819999999</v>
      </c>
      <c r="AF1409" s="4">
        <v>41957</v>
      </c>
      <c r="AG1409" s="5">
        <f>YEAR(AF1409)</f>
        <v>2014</v>
      </c>
      <c r="AH1409" s="5" t="str">
        <f>"Q"&amp;ROUNDUP(MONTH(AF1409)/3,0)</f>
        <v>Q4</v>
      </c>
      <c r="AI1409" s="5">
        <f>INDEX(RatingLookup!$B$2:$B$11,MATCH(A1409,RatingLookup!$A$2:$A$11,0))</f>
        <v>3</v>
      </c>
      <c r="AJ1409" s="5" t="str">
        <f>INDEX(RatingLookup!$C$2:$C$11,MATCH(A1409,RatingLookup!$A$2:$A$11,0))</f>
        <v>Speculative Grade</v>
      </c>
    </row>
    <row r="1410" spans="1:36" x14ac:dyDescent="0.3">
      <c r="A1410" s="3" t="s">
        <v>116</v>
      </c>
      <c r="B1410" s="3" t="s">
        <v>1499</v>
      </c>
      <c r="C1410" s="3" t="s">
        <v>1500</v>
      </c>
      <c r="D1410" s="3" t="s">
        <v>60</v>
      </c>
      <c r="E1410" s="3" t="s">
        <v>1501</v>
      </c>
      <c r="F1410" s="3" t="s">
        <v>174</v>
      </c>
      <c r="G1410" s="3">
        <v>1.3497662560000001</v>
      </c>
      <c r="H1410" s="3">
        <v>0.94173781999999995</v>
      </c>
      <c r="I1410" s="3">
        <v>0.67901711499999995</v>
      </c>
      <c r="J1410" s="3">
        <v>255.24475519999999</v>
      </c>
      <c r="K1410" s="3">
        <v>-1.805522064</v>
      </c>
      <c r="L1410" s="3">
        <v>-1.6671087529999999</v>
      </c>
      <c r="M1410" s="3">
        <v>0.204123463</v>
      </c>
      <c r="N1410" s="3">
        <v>-0.37786351600000001</v>
      </c>
      <c r="O1410" s="3">
        <v>-5.3485772000000001E-2</v>
      </c>
      <c r="P1410" s="3">
        <v>-5.4416012999999999E-2</v>
      </c>
      <c r="Q1410" s="3">
        <v>3.637357299</v>
      </c>
      <c r="R1410" s="3">
        <v>2.9623439000000001E-2</v>
      </c>
      <c r="S1410" s="3">
        <v>5.2822305999999999E-2</v>
      </c>
      <c r="T1410" s="3">
        <v>-69.006072380000006</v>
      </c>
      <c r="U1410" s="3">
        <v>1.0147045690000001</v>
      </c>
      <c r="V1410" s="3">
        <v>0.629565343</v>
      </c>
      <c r="W1410" s="3">
        <v>-18.158490570000001</v>
      </c>
      <c r="X1410" s="3">
        <v>-3.8496000000000001</v>
      </c>
      <c r="Y1410" s="3">
        <v>14.86</v>
      </c>
      <c r="Z1410" s="3">
        <v>-68.006072380000006</v>
      </c>
      <c r="AA1410" s="3">
        <v>-1.6671087529999999</v>
      </c>
      <c r="AB1410" s="3">
        <v>23.554217560000001</v>
      </c>
      <c r="AC1410" s="3">
        <v>0.21199999999999999</v>
      </c>
      <c r="AD1410" s="3">
        <v>3.1950807999999997E-2</v>
      </c>
      <c r="AE1410" s="3">
        <v>1.754651781</v>
      </c>
      <c r="AF1410" s="4">
        <v>41369</v>
      </c>
      <c r="AG1410" s="5">
        <f>YEAR(AF1410)</f>
        <v>2013</v>
      </c>
      <c r="AH1410" s="5" t="str">
        <f>"Q"&amp;ROUNDUP(MONTH(AF1410)/3,0)</f>
        <v>Q2</v>
      </c>
      <c r="AI1410" s="5">
        <f>INDEX(RatingLookup!$B$2:$B$11,MATCH(A1410,RatingLookup!$A$2:$A$11,0))</f>
        <v>4</v>
      </c>
      <c r="AJ1410" s="5" t="str">
        <f>INDEX(RatingLookup!$C$2:$C$11,MATCH(A1410,RatingLookup!$A$2:$A$11,0))</f>
        <v>Speculative Grade</v>
      </c>
    </row>
    <row r="1411" spans="1:36" x14ac:dyDescent="0.3">
      <c r="A1411" s="3" t="s">
        <v>42</v>
      </c>
      <c r="B1411" s="3" t="s">
        <v>1502</v>
      </c>
      <c r="C1411" s="3" t="s">
        <v>1503</v>
      </c>
      <c r="D1411" s="3" t="s">
        <v>47</v>
      </c>
      <c r="E1411" s="3" t="s">
        <v>1504</v>
      </c>
      <c r="F1411" s="3" t="s">
        <v>174</v>
      </c>
      <c r="G1411" s="3">
        <v>0.54663212400000005</v>
      </c>
      <c r="H1411" s="3">
        <v>0.38050518100000003</v>
      </c>
      <c r="I1411" s="3">
        <v>0.23866580300000001</v>
      </c>
      <c r="J1411" s="3">
        <v>10.50019077</v>
      </c>
      <c r="K1411" s="3">
        <v>9.8664632000000002E-2</v>
      </c>
      <c r="L1411" s="3">
        <v>0.136360168</v>
      </c>
      <c r="M1411" s="3">
        <v>0.28584509699999999</v>
      </c>
      <c r="N1411" s="3">
        <v>0.14658527299999999</v>
      </c>
      <c r="O1411" s="3">
        <v>0.16012383899999999</v>
      </c>
      <c r="P1411" s="3">
        <v>0.358331662</v>
      </c>
      <c r="Q1411" s="3">
        <v>1.419319429</v>
      </c>
      <c r="R1411" s="3">
        <v>1.622910217</v>
      </c>
      <c r="S1411" s="3">
        <v>3.128431607</v>
      </c>
      <c r="T1411" s="3">
        <v>7.86388584</v>
      </c>
      <c r="U1411" s="3">
        <v>0.88718266300000004</v>
      </c>
      <c r="V1411" s="3">
        <v>0.27364297700000001</v>
      </c>
      <c r="W1411" s="3">
        <v>0.54511454000000004</v>
      </c>
      <c r="X1411" s="3">
        <v>2.6743119270000002</v>
      </c>
      <c r="Y1411" s="3">
        <v>1.8302752289999999</v>
      </c>
      <c r="Z1411" s="3">
        <v>8.86388584</v>
      </c>
      <c r="AA1411" s="3">
        <v>0.136360168</v>
      </c>
      <c r="AB1411" s="3">
        <v>9.1320089959999997</v>
      </c>
      <c r="AC1411" s="3">
        <v>4.9059633030000001</v>
      </c>
      <c r="AD1411" s="3">
        <v>0.16322014500000001</v>
      </c>
      <c r="AE1411" s="3">
        <v>4.7148614609999999</v>
      </c>
      <c r="AF1411" s="4">
        <v>42297</v>
      </c>
      <c r="AG1411" s="5">
        <f>YEAR(AF1411)</f>
        <v>2015</v>
      </c>
      <c r="AH1411" s="5" t="str">
        <f>"Q"&amp;ROUNDUP(MONTH(AF1411)/3,0)</f>
        <v>Q4</v>
      </c>
      <c r="AI1411" s="5">
        <f>INDEX(RatingLookup!$B$2:$B$11,MATCH(A1411,RatingLookup!$A$2:$A$11,0))</f>
        <v>7</v>
      </c>
      <c r="AJ1411" s="5" t="str">
        <f>INDEX(RatingLookup!$C$2:$C$11,MATCH(A1411,RatingLookup!$A$2:$A$11,0))</f>
        <v>Investment Grade</v>
      </c>
    </row>
    <row r="1412" spans="1:36" x14ac:dyDescent="0.3">
      <c r="A1412" s="3" t="s">
        <v>42</v>
      </c>
      <c r="B1412" s="3" t="s">
        <v>1502</v>
      </c>
      <c r="C1412" s="3" t="s">
        <v>1503</v>
      </c>
      <c r="D1412" s="3" t="s">
        <v>60</v>
      </c>
      <c r="E1412" s="3" t="s">
        <v>46</v>
      </c>
      <c r="F1412" s="3" t="s">
        <v>174</v>
      </c>
      <c r="G1412" s="3">
        <v>0.947346939</v>
      </c>
      <c r="H1412" s="3">
        <v>0.67387755100000002</v>
      </c>
      <c r="I1412" s="3">
        <v>0.48897959200000002</v>
      </c>
      <c r="J1412" s="3">
        <v>8.267859971</v>
      </c>
      <c r="K1412" s="3">
        <v>0.104466973</v>
      </c>
      <c r="L1412" s="3">
        <v>0.13139553300000001</v>
      </c>
      <c r="M1412" s="3">
        <v>0.27609694299999998</v>
      </c>
      <c r="N1412" s="3">
        <v>0.14375099</v>
      </c>
      <c r="O1412" s="3">
        <v>0.14930948599999999</v>
      </c>
      <c r="P1412" s="3">
        <v>0.25986842100000002</v>
      </c>
      <c r="Q1412" s="3">
        <v>0.72353263899999998</v>
      </c>
      <c r="R1412" s="3">
        <v>1.4292506229999999</v>
      </c>
      <c r="S1412" s="3">
        <v>3.1237011379999999</v>
      </c>
      <c r="T1412" s="3">
        <v>3.845858475</v>
      </c>
      <c r="U1412" s="3">
        <v>0.79363821599999995</v>
      </c>
      <c r="V1412" s="3">
        <v>0.195298373</v>
      </c>
      <c r="W1412" s="3">
        <v>0.56682027599999996</v>
      </c>
      <c r="X1412" s="3">
        <v>2.622601279</v>
      </c>
      <c r="Y1412" s="3">
        <v>2.9104477609999999</v>
      </c>
      <c r="Z1412" s="3">
        <v>4.845858475</v>
      </c>
      <c r="AA1412" s="3">
        <v>0.13139553300000001</v>
      </c>
      <c r="AB1412" s="3">
        <v>9.6560867790000007</v>
      </c>
      <c r="AC1412" s="3">
        <v>4.6268656720000001</v>
      </c>
      <c r="AD1412" s="3">
        <v>0.17186757499999999</v>
      </c>
      <c r="AE1412" s="3">
        <v>4.8772678760000003</v>
      </c>
      <c r="AF1412" s="4">
        <v>41075</v>
      </c>
      <c r="AG1412" s="5">
        <f>YEAR(AF1412)</f>
        <v>2012</v>
      </c>
      <c r="AH1412" s="5" t="str">
        <f>"Q"&amp;ROUNDUP(MONTH(AF1412)/3,0)</f>
        <v>Q2</v>
      </c>
      <c r="AI1412" s="5">
        <f>INDEX(RatingLookup!$B$2:$B$11,MATCH(A1412,RatingLookup!$A$2:$A$11,0))</f>
        <v>7</v>
      </c>
      <c r="AJ1412" s="5" t="str">
        <f>INDEX(RatingLookup!$C$2:$C$11,MATCH(A1412,RatingLookup!$A$2:$A$11,0))</f>
        <v>Investment Grade</v>
      </c>
    </row>
    <row r="1413" spans="1:36" x14ac:dyDescent="0.3">
      <c r="A1413" s="3" t="s">
        <v>49</v>
      </c>
      <c r="B1413" s="3" t="s">
        <v>1505</v>
      </c>
      <c r="C1413" s="3" t="s">
        <v>1506</v>
      </c>
      <c r="D1413" s="3" t="s">
        <v>39</v>
      </c>
      <c r="E1413" s="3" t="s">
        <v>1507</v>
      </c>
      <c r="F1413" s="3" t="s">
        <v>246</v>
      </c>
      <c r="G1413" s="3">
        <v>0.95494429300000006</v>
      </c>
      <c r="H1413" s="3">
        <v>0.89645315999999997</v>
      </c>
      <c r="I1413" s="3">
        <v>8.1862029999999995E-3</v>
      </c>
      <c r="J1413" s="3">
        <v>37.157632159999999</v>
      </c>
      <c r="K1413" s="3">
        <v>6.1308558999999999E-2</v>
      </c>
      <c r="L1413" s="3">
        <v>9.9124534E-2</v>
      </c>
      <c r="M1413" s="3">
        <v>1</v>
      </c>
      <c r="N1413" s="3">
        <v>0.10326809300000001</v>
      </c>
      <c r="O1413" s="3">
        <v>0.121437722</v>
      </c>
      <c r="P1413" s="3">
        <v>0.262714583</v>
      </c>
      <c r="Q1413" s="3">
        <v>0.33817109400000001</v>
      </c>
      <c r="R1413" s="3">
        <v>1.980762956</v>
      </c>
      <c r="S1413" s="3">
        <v>2.6439543720000001</v>
      </c>
      <c r="T1413" s="3">
        <v>1.78472856</v>
      </c>
      <c r="U1413" s="3">
        <v>0.64089857299999997</v>
      </c>
      <c r="V1413" s="3">
        <v>0.38149965299999999</v>
      </c>
      <c r="W1413" s="3">
        <v>0.140889456</v>
      </c>
      <c r="X1413" s="3">
        <v>688.97989770000004</v>
      </c>
      <c r="Y1413" s="3">
        <v>596.18217270000002</v>
      </c>
      <c r="Z1413" s="3">
        <v>2.78472856</v>
      </c>
      <c r="AA1413" s="3">
        <v>9.9124534E-2</v>
      </c>
      <c r="AB1413" s="3">
        <v>0.85708331400000004</v>
      </c>
      <c r="AC1413" s="3">
        <v>4890.216179</v>
      </c>
      <c r="AD1413" s="3">
        <v>0.102846038</v>
      </c>
      <c r="AE1413" s="3">
        <v>19774.75979</v>
      </c>
      <c r="AF1413" s="4">
        <v>41746</v>
      </c>
      <c r="AG1413" s="5">
        <f>YEAR(AF1413)</f>
        <v>2014</v>
      </c>
      <c r="AH1413" s="5" t="str">
        <f>"Q"&amp;ROUNDUP(MONTH(AF1413)/3,0)</f>
        <v>Q2</v>
      </c>
      <c r="AI1413" s="5">
        <f>INDEX(RatingLookup!$B$2:$B$11,MATCH(A1413,RatingLookup!$A$2:$A$11,0))</f>
        <v>9</v>
      </c>
      <c r="AJ1413" s="5" t="str">
        <f>INDEX(RatingLookup!$C$2:$C$11,MATCH(A1413,RatingLookup!$A$2:$A$11,0))</f>
        <v>Investment Grade</v>
      </c>
    </row>
    <row r="1414" spans="1:36" x14ac:dyDescent="0.3">
      <c r="A1414" s="3" t="s">
        <v>49</v>
      </c>
      <c r="B1414" s="3" t="s">
        <v>1505</v>
      </c>
      <c r="C1414" s="3" t="s">
        <v>1506</v>
      </c>
      <c r="D1414" s="3" t="s">
        <v>39</v>
      </c>
      <c r="E1414" s="3" t="s">
        <v>1508</v>
      </c>
      <c r="F1414" s="3" t="s">
        <v>246</v>
      </c>
      <c r="G1414" s="3">
        <v>1.4489215360000001</v>
      </c>
      <c r="H1414" s="3">
        <v>1.2461074219999999</v>
      </c>
      <c r="I1414" s="3">
        <v>9.813347E-3</v>
      </c>
      <c r="J1414" s="3">
        <v>38.705288879999998</v>
      </c>
      <c r="K1414" s="3">
        <v>6.0789163E-2</v>
      </c>
      <c r="L1414" s="3">
        <v>9.8062895999999997E-2</v>
      </c>
      <c r="M1414" s="3">
        <v>1</v>
      </c>
      <c r="N1414" s="3">
        <v>0.102432575</v>
      </c>
      <c r="O1414" s="3">
        <v>0.110326492</v>
      </c>
      <c r="P1414" s="3">
        <v>0.216727803</v>
      </c>
      <c r="Q1414" s="3">
        <v>0.311153876</v>
      </c>
      <c r="R1414" s="3">
        <v>1.814903932</v>
      </c>
      <c r="S1414" s="3">
        <v>2.4835293159999998</v>
      </c>
      <c r="T1414" s="3">
        <v>1.8203006500000001</v>
      </c>
      <c r="U1414" s="3">
        <v>0.64542787300000004</v>
      </c>
      <c r="V1414" s="3">
        <v>0.38010026400000002</v>
      </c>
      <c r="W1414" s="3">
        <v>-0.25014726799999998</v>
      </c>
      <c r="X1414" s="3">
        <v>-1382.8205129999999</v>
      </c>
      <c r="Y1414" s="3">
        <v>881.5213675</v>
      </c>
      <c r="Z1414" s="3">
        <v>2.8203006500000001</v>
      </c>
      <c r="AA1414" s="3">
        <v>9.8062895999999997E-2</v>
      </c>
      <c r="AB1414" s="3">
        <v>1.0117213009999999</v>
      </c>
      <c r="AC1414" s="3">
        <v>5528.0256410000002</v>
      </c>
      <c r="AD1414" s="3">
        <v>0.10490393100000001</v>
      </c>
      <c r="AE1414" s="3">
        <v>20314.880399999998</v>
      </c>
      <c r="AF1414" s="4">
        <v>42110</v>
      </c>
      <c r="AG1414" s="5">
        <f>YEAR(AF1414)</f>
        <v>2015</v>
      </c>
      <c r="AH1414" s="5" t="str">
        <f>"Q"&amp;ROUNDUP(MONTH(AF1414)/3,0)</f>
        <v>Q2</v>
      </c>
      <c r="AI1414" s="5">
        <f>INDEX(RatingLookup!$B$2:$B$11,MATCH(A1414,RatingLookup!$A$2:$A$11,0))</f>
        <v>9</v>
      </c>
      <c r="AJ1414" s="5" t="str">
        <f>INDEX(RatingLookup!$C$2:$C$11,MATCH(A1414,RatingLookup!$A$2:$A$11,0))</f>
        <v>Investment Grade</v>
      </c>
    </row>
    <row r="1415" spans="1:36" x14ac:dyDescent="0.3">
      <c r="A1415" s="3" t="s">
        <v>49</v>
      </c>
      <c r="B1415" s="3" t="s">
        <v>1505</v>
      </c>
      <c r="C1415" s="3" t="s">
        <v>1506</v>
      </c>
      <c r="D1415" s="3" t="s">
        <v>39</v>
      </c>
      <c r="E1415" s="3" t="s">
        <v>1509</v>
      </c>
      <c r="F1415" s="3" t="s">
        <v>246</v>
      </c>
      <c r="G1415" s="3">
        <v>1.6140863270000001</v>
      </c>
      <c r="H1415" s="3">
        <v>1.400714102</v>
      </c>
      <c r="I1415" s="3">
        <v>1.0454211999999999E-2</v>
      </c>
      <c r="J1415" s="3">
        <v>38.61045541</v>
      </c>
      <c r="K1415" s="3">
        <v>6.9046451999999994E-2</v>
      </c>
      <c r="L1415" s="3">
        <v>0.111545328</v>
      </c>
      <c r="M1415" s="3">
        <v>1</v>
      </c>
      <c r="N1415" s="3">
        <v>0.115664988</v>
      </c>
      <c r="O1415" s="3">
        <v>0.117483055</v>
      </c>
      <c r="P1415" s="3">
        <v>0.22234846899999999</v>
      </c>
      <c r="Q1415" s="3">
        <v>0.32855334600000002</v>
      </c>
      <c r="R1415" s="3">
        <v>1.701507493</v>
      </c>
      <c r="S1415" s="3">
        <v>2.2905932600000001</v>
      </c>
      <c r="T1415" s="3">
        <v>1.796601997</v>
      </c>
      <c r="U1415" s="3">
        <v>0.64242319699999995</v>
      </c>
      <c r="V1415" s="3">
        <v>0.381000952</v>
      </c>
      <c r="W1415" s="3">
        <v>0.16968354799999999</v>
      </c>
      <c r="X1415" s="3">
        <v>1281.03253</v>
      </c>
      <c r="Y1415" s="3">
        <v>788.59237359999997</v>
      </c>
      <c r="Z1415" s="3">
        <v>2.7966019969999998</v>
      </c>
      <c r="AA1415" s="3">
        <v>0.111545328</v>
      </c>
      <c r="AB1415" s="3">
        <v>1.097187565</v>
      </c>
      <c r="AC1415" s="3">
        <v>7549.538802</v>
      </c>
      <c r="AD1415" s="3">
        <v>0.14113735699999999</v>
      </c>
      <c r="AE1415" s="3">
        <v>19100.995500000001</v>
      </c>
      <c r="AF1415" s="4">
        <v>42293</v>
      </c>
      <c r="AG1415" s="5">
        <f>YEAR(AF1415)</f>
        <v>2015</v>
      </c>
      <c r="AH1415" s="5" t="str">
        <f>"Q"&amp;ROUNDUP(MONTH(AF1415)/3,0)</f>
        <v>Q4</v>
      </c>
      <c r="AI1415" s="5">
        <f>INDEX(RatingLookup!$B$2:$B$11,MATCH(A1415,RatingLookup!$A$2:$A$11,0))</f>
        <v>9</v>
      </c>
      <c r="AJ1415" s="5" t="str">
        <f>INDEX(RatingLookup!$C$2:$C$11,MATCH(A1415,RatingLookup!$A$2:$A$11,0))</f>
        <v>Investment Grade</v>
      </c>
    </row>
    <row r="1416" spans="1:36" x14ac:dyDescent="0.3">
      <c r="A1416" s="3" t="s">
        <v>92</v>
      </c>
      <c r="B1416" s="3" t="s">
        <v>1510</v>
      </c>
      <c r="C1416" s="3" t="s">
        <v>1511</v>
      </c>
      <c r="D1416" s="3" t="s">
        <v>47</v>
      </c>
      <c r="E1416" s="3" t="s">
        <v>934</v>
      </c>
      <c r="F1416" s="3" t="s">
        <v>53</v>
      </c>
      <c r="G1416" s="3">
        <v>0.879786823</v>
      </c>
      <c r="H1416" s="3">
        <v>2.7359542750000001</v>
      </c>
      <c r="I1416" s="3">
        <v>5.6491851000000003E-2</v>
      </c>
      <c r="J1416" s="3">
        <v>7.1230937980000002</v>
      </c>
      <c r="K1416" s="3">
        <v>0.39359222799999999</v>
      </c>
      <c r="L1416" s="3">
        <v>0.39268187700000001</v>
      </c>
      <c r="M1416" s="3">
        <v>0.69161010099999998</v>
      </c>
      <c r="N1416" s="3">
        <v>0.48526401400000002</v>
      </c>
      <c r="O1416" s="3">
        <v>8.3981474E-2</v>
      </c>
      <c r="P1416" s="3">
        <v>8.6768248000000006E-2</v>
      </c>
      <c r="Q1416" s="3">
        <v>0.33540487200000002</v>
      </c>
      <c r="R1416" s="3">
        <v>0.21337177900000001</v>
      </c>
      <c r="S1416" s="3">
        <v>0.30265320200000001</v>
      </c>
      <c r="T1416" s="3">
        <v>2.993795982</v>
      </c>
      <c r="U1416" s="3">
        <v>0.74961164700000005</v>
      </c>
      <c r="V1416" s="3">
        <v>-1.8052260000000001E-3</v>
      </c>
      <c r="W1416" s="3">
        <v>-0.30794074500000002</v>
      </c>
      <c r="X1416" s="3">
        <v>-1.2485301980000001</v>
      </c>
      <c r="Y1416" s="3">
        <v>2.8271312129999999</v>
      </c>
      <c r="Z1416" s="3">
        <v>3.993795982</v>
      </c>
      <c r="AA1416" s="3">
        <v>0.39268187700000001</v>
      </c>
      <c r="AB1416" s="3">
        <v>12.924382</v>
      </c>
      <c r="AC1416" s="3">
        <v>4.0544494919999998</v>
      </c>
      <c r="AD1416" s="3">
        <v>0.60378616200000002</v>
      </c>
      <c r="AE1416" s="3">
        <v>4.6019597650000001</v>
      </c>
      <c r="AF1416" s="4">
        <v>42563</v>
      </c>
      <c r="AG1416" s="5">
        <f>YEAR(AF1416)</f>
        <v>2016</v>
      </c>
      <c r="AH1416" s="5" t="str">
        <f>"Q"&amp;ROUNDUP(MONTH(AF1416)/3,0)</f>
        <v>Q3</v>
      </c>
      <c r="AI1416" s="5">
        <f>INDEX(RatingLookup!$B$2:$B$11,MATCH(A1416,RatingLookup!$A$2:$A$11,0))</f>
        <v>6</v>
      </c>
      <c r="AJ1416" s="5" t="str">
        <f>INDEX(RatingLookup!$C$2:$C$11,MATCH(A1416,RatingLookup!$A$2:$A$11,0))</f>
        <v>Speculative Grade</v>
      </c>
    </row>
    <row r="1417" spans="1:36" x14ac:dyDescent="0.3">
      <c r="A1417" s="3" t="s">
        <v>92</v>
      </c>
      <c r="B1417" s="3" t="s">
        <v>1512</v>
      </c>
      <c r="C1417" s="3" t="s">
        <v>1513</v>
      </c>
      <c r="D1417" s="3" t="s">
        <v>44</v>
      </c>
      <c r="E1417" s="3" t="s">
        <v>1514</v>
      </c>
      <c r="F1417" s="3" t="s">
        <v>174</v>
      </c>
      <c r="G1417" s="3">
        <v>1.277468013</v>
      </c>
      <c r="H1417" s="3">
        <v>0.51233421000000001</v>
      </c>
      <c r="I1417" s="3">
        <v>0.35655462900000001</v>
      </c>
      <c r="J1417" s="3">
        <v>28.93271824</v>
      </c>
      <c r="K1417" s="3">
        <v>7.7521088000000002E-2</v>
      </c>
      <c r="L1417" s="3">
        <v>0.10495420699999999</v>
      </c>
      <c r="M1417" s="3">
        <v>0.921999605</v>
      </c>
      <c r="N1417" s="3">
        <v>0.34311171200000001</v>
      </c>
      <c r="O1417" s="3">
        <v>1.1721512E-2</v>
      </c>
      <c r="P1417" s="3">
        <v>1.7192281E-2</v>
      </c>
      <c r="Q1417" s="3">
        <v>6.4171589000000001E-2</v>
      </c>
      <c r="R1417" s="3">
        <v>0.151204177</v>
      </c>
      <c r="S1417" s="3">
        <v>0.35166882500000002</v>
      </c>
      <c r="T1417" s="3">
        <v>4.4746851210000003</v>
      </c>
      <c r="U1417" s="3">
        <v>0.81734109300000002</v>
      </c>
      <c r="V1417" s="3">
        <v>-0.39190427700000002</v>
      </c>
      <c r="W1417" s="3">
        <v>0.428672577</v>
      </c>
      <c r="X1417" s="3">
        <v>1.1448018390000001</v>
      </c>
      <c r="Y1417" s="3">
        <v>1.525706483</v>
      </c>
      <c r="Z1417" s="3">
        <v>5.4746851210000003</v>
      </c>
      <c r="AA1417" s="3">
        <v>0.10495420699999999</v>
      </c>
      <c r="AB1417" s="3">
        <v>20.2293442</v>
      </c>
      <c r="AC1417" s="3">
        <v>2.6705740009999999</v>
      </c>
      <c r="AD1417" s="3">
        <v>0.31757444499999998</v>
      </c>
      <c r="AE1417" s="3">
        <v>1.635789964</v>
      </c>
      <c r="AF1417" s="4">
        <v>41185</v>
      </c>
      <c r="AG1417" s="5">
        <f>YEAR(AF1417)</f>
        <v>2012</v>
      </c>
      <c r="AH1417" s="5" t="str">
        <f>"Q"&amp;ROUNDUP(MONTH(AF1417)/3,0)</f>
        <v>Q4</v>
      </c>
      <c r="AI1417" s="5">
        <f>INDEX(RatingLookup!$B$2:$B$11,MATCH(A1417,RatingLookup!$A$2:$A$11,0))</f>
        <v>6</v>
      </c>
      <c r="AJ1417" s="5" t="str">
        <f>INDEX(RatingLookup!$C$2:$C$11,MATCH(A1417,RatingLookup!$A$2:$A$11,0))</f>
        <v>Speculative Grade</v>
      </c>
    </row>
    <row r="1418" spans="1:36" x14ac:dyDescent="0.3">
      <c r="A1418" s="3" t="s">
        <v>109</v>
      </c>
      <c r="B1418" s="3" t="s">
        <v>1512</v>
      </c>
      <c r="C1418" s="3" t="s">
        <v>1513</v>
      </c>
      <c r="D1418" s="3" t="s">
        <v>47</v>
      </c>
      <c r="E1418" s="3" t="s">
        <v>1515</v>
      </c>
      <c r="F1418" s="3" t="s">
        <v>174</v>
      </c>
      <c r="G1418" s="3">
        <v>1.180193472</v>
      </c>
      <c r="H1418" s="3">
        <v>0.62576300200000001</v>
      </c>
      <c r="I1418" s="3">
        <v>0.295343521</v>
      </c>
      <c r="J1418" s="3">
        <v>30.18234116</v>
      </c>
      <c r="K1418" s="3">
        <v>2.9814543999999998E-2</v>
      </c>
      <c r="L1418" s="3">
        <v>9.6787502999999997E-2</v>
      </c>
      <c r="M1418" s="3">
        <v>0.89356514600000003</v>
      </c>
      <c r="N1418" s="3">
        <v>0.30499201999999997</v>
      </c>
      <c r="O1418" s="3">
        <v>4.3754019999999996E-3</v>
      </c>
      <c r="P1418" s="3">
        <v>1.4745504E-2</v>
      </c>
      <c r="Q1418" s="3">
        <v>1.3009193E-2</v>
      </c>
      <c r="R1418" s="3">
        <v>0.146753945</v>
      </c>
      <c r="S1418" s="3">
        <v>0.337784209</v>
      </c>
      <c r="T1418" s="3">
        <v>1.973256739</v>
      </c>
      <c r="U1418" s="3">
        <v>0.66366846599999996</v>
      </c>
      <c r="V1418" s="3">
        <v>0.67900276599999998</v>
      </c>
      <c r="W1418" s="3">
        <v>0.54122146999999998</v>
      </c>
      <c r="X1418" s="3">
        <v>2.247179477</v>
      </c>
      <c r="Y1418" s="3">
        <v>0.74943556</v>
      </c>
      <c r="Z1418" s="3">
        <v>2.973256739</v>
      </c>
      <c r="AA1418" s="3">
        <v>9.6787502999999997E-2</v>
      </c>
      <c r="AB1418" s="3">
        <v>18.192428549999999</v>
      </c>
      <c r="AC1418" s="3">
        <v>4.15205161</v>
      </c>
      <c r="AD1418" s="3">
        <v>0.40949660900000001</v>
      </c>
      <c r="AE1418" s="3">
        <v>2.212579957</v>
      </c>
      <c r="AF1418" s="4">
        <v>41514</v>
      </c>
      <c r="AG1418" s="5">
        <f>YEAR(AF1418)</f>
        <v>2013</v>
      </c>
      <c r="AH1418" s="5" t="str">
        <f>"Q"&amp;ROUNDUP(MONTH(AF1418)/3,0)</f>
        <v>Q3</v>
      </c>
      <c r="AI1418" s="5">
        <f>INDEX(RatingLookup!$B$2:$B$11,MATCH(A1418,RatingLookup!$A$2:$A$11,0))</f>
        <v>5</v>
      </c>
      <c r="AJ1418" s="5" t="str">
        <f>INDEX(RatingLookup!$C$2:$C$11,MATCH(A1418,RatingLookup!$A$2:$A$11,0))</f>
        <v>Speculative Grade</v>
      </c>
    </row>
    <row r="1419" spans="1:36" x14ac:dyDescent="0.3">
      <c r="A1419" s="3" t="s">
        <v>42</v>
      </c>
      <c r="B1419" s="3" t="s">
        <v>1512</v>
      </c>
      <c r="C1419" s="3" t="s">
        <v>1513</v>
      </c>
      <c r="D1419" s="3" t="s">
        <v>44</v>
      </c>
      <c r="E1419" s="3" t="s">
        <v>955</v>
      </c>
      <c r="F1419" s="3" t="s">
        <v>174</v>
      </c>
      <c r="G1419" s="3">
        <v>1.1471598810000001</v>
      </c>
      <c r="H1419" s="3">
        <v>0.57531427999999996</v>
      </c>
      <c r="I1419" s="3">
        <v>0.209044284</v>
      </c>
      <c r="J1419" s="3">
        <v>31.211160060000001</v>
      </c>
      <c r="K1419" s="3">
        <v>0.41513478599999998</v>
      </c>
      <c r="L1419" s="3">
        <v>0.12932540100000001</v>
      </c>
      <c r="M1419" s="3">
        <v>0.90240951400000002</v>
      </c>
      <c r="N1419" s="3">
        <v>0.25824740099999999</v>
      </c>
      <c r="O1419" s="3">
        <v>6.9022286000000002E-2</v>
      </c>
      <c r="P1419" s="3">
        <v>2.2370604999999998E-2</v>
      </c>
      <c r="Q1419" s="3">
        <v>0.21454994799999999</v>
      </c>
      <c r="R1419" s="3">
        <v>0.16626476100000001</v>
      </c>
      <c r="S1419" s="3">
        <v>0.382445637</v>
      </c>
      <c r="T1419" s="3">
        <v>2.1084155789999999</v>
      </c>
      <c r="U1419" s="3">
        <v>0.678292695</v>
      </c>
      <c r="V1419" s="3">
        <v>-0.10859824999999999</v>
      </c>
      <c r="W1419" s="3">
        <v>0.49337829700000002</v>
      </c>
      <c r="X1419" s="3">
        <v>2.658041093</v>
      </c>
      <c r="Y1419" s="3">
        <v>0.53696374199999997</v>
      </c>
      <c r="Z1419" s="3">
        <v>3.1084155789999999</v>
      </c>
      <c r="AA1419" s="3">
        <v>0.12932540100000001</v>
      </c>
      <c r="AB1419" s="3">
        <v>20.190900450000001</v>
      </c>
      <c r="AC1419" s="3">
        <v>5.3874301060000001</v>
      </c>
      <c r="AD1419" s="3">
        <v>0.48965555599999999</v>
      </c>
      <c r="AE1419" s="3">
        <v>2.239925076</v>
      </c>
      <c r="AF1419" s="4">
        <v>42380</v>
      </c>
      <c r="AG1419" s="5">
        <f>YEAR(AF1419)</f>
        <v>2016</v>
      </c>
      <c r="AH1419" s="5" t="str">
        <f>"Q"&amp;ROUNDUP(MONTH(AF1419)/3,0)</f>
        <v>Q1</v>
      </c>
      <c r="AI1419" s="5">
        <f>INDEX(RatingLookup!$B$2:$B$11,MATCH(A1419,RatingLookup!$A$2:$A$11,0))</f>
        <v>7</v>
      </c>
      <c r="AJ1419" s="5" t="str">
        <f>INDEX(RatingLookup!$C$2:$C$11,MATCH(A1419,RatingLookup!$A$2:$A$11,0))</f>
        <v>Investment Grade</v>
      </c>
    </row>
    <row r="1420" spans="1:36" x14ac:dyDescent="0.3">
      <c r="A1420" s="3" t="s">
        <v>42</v>
      </c>
      <c r="B1420" s="3" t="s">
        <v>1512</v>
      </c>
      <c r="C1420" s="3" t="s">
        <v>1513</v>
      </c>
      <c r="D1420" s="3" t="s">
        <v>39</v>
      </c>
      <c r="E1420" s="3" t="s">
        <v>1027</v>
      </c>
      <c r="F1420" s="3" t="s">
        <v>174</v>
      </c>
      <c r="G1420" s="3">
        <v>1.0362284260000001</v>
      </c>
      <c r="H1420" s="3">
        <v>0.56160790299999996</v>
      </c>
      <c r="I1420" s="3">
        <v>0.19536451499999999</v>
      </c>
      <c r="J1420" s="3">
        <v>32.56703598</v>
      </c>
      <c r="K1420" s="3">
        <v>0.105833408</v>
      </c>
      <c r="L1420" s="3">
        <v>0.105188673</v>
      </c>
      <c r="M1420" s="3">
        <v>0.89002364300000003</v>
      </c>
      <c r="N1420" s="3">
        <v>0.26927025300000001</v>
      </c>
      <c r="O1420" s="3">
        <v>1.8469843999999999E-2</v>
      </c>
      <c r="P1420" s="3">
        <v>1.9172469000000001E-2</v>
      </c>
      <c r="Q1420" s="3">
        <v>5.8144716999999999E-2</v>
      </c>
      <c r="R1420" s="3">
        <v>0.17451808299999999</v>
      </c>
      <c r="S1420" s="3">
        <v>0.40334046400000001</v>
      </c>
      <c r="T1420" s="3">
        <v>2.1480892909999998</v>
      </c>
      <c r="U1420" s="3">
        <v>0.68234700199999998</v>
      </c>
      <c r="V1420" s="3">
        <v>-2.7413212999999999E-2</v>
      </c>
      <c r="W1420" s="3">
        <v>0.53180304099999998</v>
      </c>
      <c r="X1420" s="3">
        <v>2.6664088690000001</v>
      </c>
      <c r="Y1420" s="3">
        <v>0.52849516399999996</v>
      </c>
      <c r="Z1420" s="3">
        <v>3.1480892909999998</v>
      </c>
      <c r="AA1420" s="3">
        <v>0.105188673</v>
      </c>
      <c r="AB1420" s="3">
        <v>19.397750129999999</v>
      </c>
      <c r="AC1420" s="3">
        <v>5.0139030160000004</v>
      </c>
      <c r="AD1420" s="3">
        <v>0.45153993999999997</v>
      </c>
      <c r="AE1420" s="3">
        <v>2.420345696</v>
      </c>
      <c r="AF1420" s="4">
        <v>42124</v>
      </c>
      <c r="AG1420" s="5">
        <f>YEAR(AF1420)</f>
        <v>2015</v>
      </c>
      <c r="AH1420" s="5" t="str">
        <f>"Q"&amp;ROUNDUP(MONTH(AF1420)/3,0)</f>
        <v>Q2</v>
      </c>
      <c r="AI1420" s="5">
        <f>INDEX(RatingLookup!$B$2:$B$11,MATCH(A1420,RatingLookup!$A$2:$A$11,0))</f>
        <v>7</v>
      </c>
      <c r="AJ1420" s="5" t="str">
        <f>INDEX(RatingLookup!$C$2:$C$11,MATCH(A1420,RatingLookup!$A$2:$A$11,0))</f>
        <v>Investment Grade</v>
      </c>
    </row>
    <row r="1421" spans="1:36" x14ac:dyDescent="0.3">
      <c r="A1421" s="3" t="s">
        <v>92</v>
      </c>
      <c r="B1421" s="3" t="s">
        <v>1516</v>
      </c>
      <c r="C1421" s="3" t="s">
        <v>1517</v>
      </c>
      <c r="D1421" s="3" t="s">
        <v>39</v>
      </c>
      <c r="E1421" s="3" t="s">
        <v>982</v>
      </c>
      <c r="F1421" s="3" t="s">
        <v>219</v>
      </c>
      <c r="G1421" s="3">
        <v>1.1325663319999999</v>
      </c>
      <c r="H1421" s="3">
        <v>0.77375864800000005</v>
      </c>
      <c r="I1421" s="3">
        <v>0.13220509899999999</v>
      </c>
      <c r="J1421" s="3">
        <v>55.262587519999997</v>
      </c>
      <c r="K1421" s="3">
        <v>9.1721521E-2</v>
      </c>
      <c r="L1421" s="3">
        <v>9.8097544999999994E-2</v>
      </c>
      <c r="M1421" s="3">
        <v>0.32779024699999998</v>
      </c>
      <c r="N1421" s="3">
        <v>0.12117074999999999</v>
      </c>
      <c r="O1421" s="3">
        <v>3.4831567000000001E-2</v>
      </c>
      <c r="P1421" s="3">
        <v>4.4782729E-2</v>
      </c>
      <c r="Q1421" s="3">
        <v>0.10290893</v>
      </c>
      <c r="R1421" s="3">
        <v>0.37975347700000001</v>
      </c>
      <c r="S1421" s="3">
        <v>1.469505034</v>
      </c>
      <c r="T1421" s="3">
        <v>1.9544732170000001</v>
      </c>
      <c r="U1421" s="3">
        <v>0.66153018600000002</v>
      </c>
      <c r="V1421" s="3">
        <v>8.1303899999999998E-2</v>
      </c>
      <c r="W1421" s="3">
        <v>0.36884961799999999</v>
      </c>
      <c r="X1421" s="3">
        <v>1.1965965709999999</v>
      </c>
      <c r="Y1421" s="3">
        <v>6.2788580889999999</v>
      </c>
      <c r="Z1421" s="3">
        <v>2.9544732169999999</v>
      </c>
      <c r="AA1421" s="3">
        <v>9.8097544999999994E-2</v>
      </c>
      <c r="AB1421" s="3">
        <v>13.509974189999999</v>
      </c>
      <c r="AC1421" s="3">
        <v>3.2441312440000001</v>
      </c>
      <c r="AD1421" s="3">
        <v>9.8782774000000004E-2</v>
      </c>
      <c r="AE1421" s="3">
        <v>8.0075917489999995</v>
      </c>
      <c r="AF1421" s="4">
        <v>42262</v>
      </c>
      <c r="AG1421" s="5">
        <f>YEAR(AF1421)</f>
        <v>2015</v>
      </c>
      <c r="AH1421" s="5" t="str">
        <f>"Q"&amp;ROUNDUP(MONTH(AF1421)/3,0)</f>
        <v>Q3</v>
      </c>
      <c r="AI1421" s="5">
        <f>INDEX(RatingLookup!$B$2:$B$11,MATCH(A1421,RatingLookup!$A$2:$A$11,0))</f>
        <v>6</v>
      </c>
      <c r="AJ1421" s="5" t="str">
        <f>INDEX(RatingLookup!$C$2:$C$11,MATCH(A1421,RatingLookup!$A$2:$A$11,0))</f>
        <v>Speculative Grade</v>
      </c>
    </row>
    <row r="1422" spans="1:36" x14ac:dyDescent="0.3">
      <c r="A1422" s="3" t="s">
        <v>92</v>
      </c>
      <c r="B1422" s="3" t="s">
        <v>1516</v>
      </c>
      <c r="C1422" s="3" t="s">
        <v>1517</v>
      </c>
      <c r="D1422" s="3" t="s">
        <v>39</v>
      </c>
      <c r="E1422" s="3" t="s">
        <v>1518</v>
      </c>
      <c r="F1422" s="3" t="s">
        <v>219</v>
      </c>
      <c r="G1422" s="3">
        <v>2.9378815070000002</v>
      </c>
      <c r="H1422" s="3">
        <v>2.565522342</v>
      </c>
      <c r="I1422" s="3">
        <v>2.1842254400000001</v>
      </c>
      <c r="J1422" s="3">
        <v>57.49319989</v>
      </c>
      <c r="K1422" s="3">
        <v>5.4513752999999998E-2</v>
      </c>
      <c r="L1422" s="3">
        <v>8.7170237999999997E-2</v>
      </c>
      <c r="M1422" s="3">
        <v>0.31520460900000002</v>
      </c>
      <c r="N1422" s="3">
        <v>0.110935463</v>
      </c>
      <c r="O1422" s="3">
        <v>2.5524291000000001E-2</v>
      </c>
      <c r="P1422" s="3">
        <v>5.2208589E-2</v>
      </c>
      <c r="Q1422" s="3">
        <v>9.8065048000000002E-2</v>
      </c>
      <c r="R1422" s="3">
        <v>0.46821745599999998</v>
      </c>
      <c r="S1422" s="3">
        <v>1.985235431</v>
      </c>
      <c r="T1422" s="3">
        <v>2.8420282979999998</v>
      </c>
      <c r="U1422" s="3">
        <v>0.73972081300000003</v>
      </c>
      <c r="V1422" s="3">
        <v>8.6706477000000004E-2</v>
      </c>
      <c r="W1422" s="3">
        <v>0.77552988300000003</v>
      </c>
      <c r="X1422" s="3">
        <v>4.8545415270000003</v>
      </c>
      <c r="Y1422" s="3">
        <v>32.26582037</v>
      </c>
      <c r="Z1422" s="3">
        <v>3.8420282979999998</v>
      </c>
      <c r="AA1422" s="3">
        <v>8.7170237999999997E-2</v>
      </c>
      <c r="AB1422" s="3">
        <v>11.31654163</v>
      </c>
      <c r="AC1422" s="3">
        <v>6.2596447089999998</v>
      </c>
      <c r="AD1422" s="3">
        <v>0.20143092700000001</v>
      </c>
      <c r="AE1422" s="3">
        <v>7.227724909</v>
      </c>
      <c r="AF1422" s="4">
        <v>42033</v>
      </c>
      <c r="AG1422" s="5">
        <f>YEAR(AF1422)</f>
        <v>2015</v>
      </c>
      <c r="AH1422" s="5" t="str">
        <f>"Q"&amp;ROUNDUP(MONTH(AF1422)/3,0)</f>
        <v>Q1</v>
      </c>
      <c r="AI1422" s="5">
        <f>INDEX(RatingLookup!$B$2:$B$11,MATCH(A1422,RatingLookup!$A$2:$A$11,0))</f>
        <v>6</v>
      </c>
      <c r="AJ1422" s="5" t="str">
        <f>INDEX(RatingLookup!$C$2:$C$11,MATCH(A1422,RatingLookup!$A$2:$A$11,0))</f>
        <v>Speculative Grade</v>
      </c>
    </row>
    <row r="1423" spans="1:36" x14ac:dyDescent="0.3">
      <c r="A1423" s="3" t="s">
        <v>49</v>
      </c>
      <c r="B1423" s="3" t="s">
        <v>1519</v>
      </c>
      <c r="C1423" s="3" t="s">
        <v>1520</v>
      </c>
      <c r="D1423" s="3" t="s">
        <v>39</v>
      </c>
      <c r="E1423" s="3" t="s">
        <v>1521</v>
      </c>
      <c r="F1423" s="3" t="s">
        <v>113</v>
      </c>
      <c r="G1423" s="3">
        <v>1.336710571</v>
      </c>
      <c r="H1423" s="3">
        <v>0.53337836299999997</v>
      </c>
      <c r="I1423" s="3">
        <v>0.23708206700000001</v>
      </c>
      <c r="J1423" s="3">
        <v>13.302684960000001</v>
      </c>
      <c r="K1423" s="3">
        <v>3.5282551000000002E-2</v>
      </c>
      <c r="L1423" s="3">
        <v>5.6039436999999998E-2</v>
      </c>
      <c r="M1423" s="3">
        <v>0.29243806900000002</v>
      </c>
      <c r="N1423" s="3">
        <v>5.6385616E-2</v>
      </c>
      <c r="O1423" s="3">
        <v>7.1813083E-2</v>
      </c>
      <c r="P1423" s="3">
        <v>0.15835777100000001</v>
      </c>
      <c r="Q1423" s="3">
        <v>0.13097563500000001</v>
      </c>
      <c r="R1423" s="3">
        <v>2.0353710440000001</v>
      </c>
      <c r="S1423" s="3">
        <v>5.9496622180000003</v>
      </c>
      <c r="T1423" s="3">
        <v>0.82384085500000004</v>
      </c>
      <c r="U1423" s="3">
        <v>0.45170654700000001</v>
      </c>
      <c r="V1423" s="3">
        <v>0.37039782599999999</v>
      </c>
      <c r="W1423" s="3">
        <v>0.71820506900000003</v>
      </c>
      <c r="X1423" s="3">
        <v>3.2687703400000001</v>
      </c>
      <c r="Y1423" s="3">
        <v>2.22856275</v>
      </c>
      <c r="Z1423" s="3">
        <v>1.823840855</v>
      </c>
      <c r="AA1423" s="3">
        <v>5.8324216999999998E-2</v>
      </c>
      <c r="AB1423" s="3">
        <v>9.7874791600000002</v>
      </c>
      <c r="AC1423" s="3">
        <v>4.5513050279999998</v>
      </c>
      <c r="AD1423" s="3">
        <v>5.9556614000000001E-2</v>
      </c>
      <c r="AE1423" s="3">
        <v>11.024379720000001</v>
      </c>
      <c r="AF1423" s="4">
        <v>41501</v>
      </c>
      <c r="AG1423" s="5">
        <f>YEAR(AF1423)</f>
        <v>2013</v>
      </c>
      <c r="AH1423" s="5" t="str">
        <f>"Q"&amp;ROUNDUP(MONTH(AF1423)/3,0)</f>
        <v>Q3</v>
      </c>
      <c r="AI1423" s="5">
        <f>INDEX(RatingLookup!$B$2:$B$11,MATCH(A1423,RatingLookup!$A$2:$A$11,0))</f>
        <v>9</v>
      </c>
      <c r="AJ1423" s="5" t="str">
        <f>INDEX(RatingLookup!$C$2:$C$11,MATCH(A1423,RatingLookup!$A$2:$A$11,0))</f>
        <v>Investment Grade</v>
      </c>
    </row>
    <row r="1424" spans="1:36" x14ac:dyDescent="0.3">
      <c r="A1424" s="3" t="s">
        <v>36</v>
      </c>
      <c r="B1424" s="3" t="s">
        <v>1519</v>
      </c>
      <c r="C1424" s="3" t="s">
        <v>1520</v>
      </c>
      <c r="D1424" s="3" t="s">
        <v>39</v>
      </c>
      <c r="E1424" s="3" t="s">
        <v>628</v>
      </c>
      <c r="F1424" s="3" t="s">
        <v>113</v>
      </c>
      <c r="G1424" s="3">
        <v>1.3762788079999999</v>
      </c>
      <c r="H1424" s="3">
        <v>0.65924676800000004</v>
      </c>
      <c r="I1424" s="3">
        <v>0.297470489</v>
      </c>
      <c r="J1424" s="3">
        <v>15.375562889999999</v>
      </c>
      <c r="K1424" s="3">
        <v>2.5290606E-2</v>
      </c>
      <c r="L1424" s="3">
        <v>4.5266519999999998E-2</v>
      </c>
      <c r="M1424" s="3">
        <v>0.28234631900000001</v>
      </c>
      <c r="N1424" s="3">
        <v>5.4901037E-2</v>
      </c>
      <c r="O1424" s="3">
        <v>5.1865771999999997E-2</v>
      </c>
      <c r="P1424" s="3">
        <v>0.12745547500000001</v>
      </c>
      <c r="Q1424" s="3">
        <v>9.4184175999999994E-2</v>
      </c>
      <c r="R1424" s="3">
        <v>2.0507919459999999</v>
      </c>
      <c r="S1424" s="3">
        <v>6.232520193</v>
      </c>
      <c r="T1424" s="3">
        <v>0.810851655</v>
      </c>
      <c r="U1424" s="3">
        <v>0.44652349000000002</v>
      </c>
      <c r="V1424" s="3">
        <v>0.44129554700000001</v>
      </c>
      <c r="W1424" s="3">
        <v>0.71590033399999997</v>
      </c>
      <c r="X1424" s="3">
        <v>2.9135634110000002</v>
      </c>
      <c r="Y1424" s="3">
        <v>2.7661603110000001</v>
      </c>
      <c r="Z1424" s="3">
        <v>1.815921611</v>
      </c>
      <c r="AA1424" s="3">
        <v>4.7308619000000003E-2</v>
      </c>
      <c r="AB1424" s="3">
        <v>11.87410699</v>
      </c>
      <c r="AC1424" s="3">
        <v>4.0697891500000001</v>
      </c>
      <c r="AD1424" s="3">
        <v>5.0960834000000003E-2</v>
      </c>
      <c r="AE1424" s="3">
        <v>12.70521437</v>
      </c>
      <c r="AF1424" s="4">
        <v>42107</v>
      </c>
      <c r="AG1424" s="5">
        <f>YEAR(AF1424)</f>
        <v>2015</v>
      </c>
      <c r="AH1424" s="5" t="str">
        <f>"Q"&amp;ROUNDUP(MONTH(AF1424)/3,0)</f>
        <v>Q2</v>
      </c>
      <c r="AI1424" s="5">
        <f>INDEX(RatingLookup!$B$2:$B$11,MATCH(A1424,RatingLookup!$A$2:$A$11,0))</f>
        <v>8</v>
      </c>
      <c r="AJ1424" s="5" t="str">
        <f>INDEX(RatingLookup!$C$2:$C$11,MATCH(A1424,RatingLookup!$A$2:$A$11,0))</f>
        <v>Investment Grade</v>
      </c>
    </row>
    <row r="1425" spans="1:36" x14ac:dyDescent="0.3">
      <c r="A1425" s="3" t="s">
        <v>36</v>
      </c>
      <c r="B1425" s="3" t="s">
        <v>1519</v>
      </c>
      <c r="C1425" s="3" t="s">
        <v>1520</v>
      </c>
      <c r="D1425" s="3" t="s">
        <v>39</v>
      </c>
      <c r="E1425" s="3" t="s">
        <v>645</v>
      </c>
      <c r="F1425" s="3" t="s">
        <v>113</v>
      </c>
      <c r="G1425" s="3">
        <v>1.2336620039999999</v>
      </c>
      <c r="H1425" s="3">
        <v>0.39715661499999999</v>
      </c>
      <c r="I1425" s="3">
        <v>0.148704426</v>
      </c>
      <c r="J1425" s="3">
        <v>11.04176846</v>
      </c>
      <c r="K1425" s="3">
        <v>2.9693019000000001E-2</v>
      </c>
      <c r="L1425" s="3">
        <v>4.7129115999999999E-2</v>
      </c>
      <c r="M1425" s="3">
        <v>0.28397526299999998</v>
      </c>
      <c r="N1425" s="3">
        <v>4.8357601E-2</v>
      </c>
      <c r="O1425" s="3">
        <v>6.3564640000000006E-2</v>
      </c>
      <c r="P1425" s="3">
        <v>0.140016168</v>
      </c>
      <c r="Q1425" s="3">
        <v>0.11663742000000001</v>
      </c>
      <c r="R1425" s="3">
        <v>2.140726795</v>
      </c>
      <c r="S1425" s="3">
        <v>5.9505731849999997</v>
      </c>
      <c r="T1425" s="3">
        <v>0.834941873</v>
      </c>
      <c r="U1425" s="3">
        <v>0.455023609</v>
      </c>
      <c r="V1425" s="3">
        <v>0.36996445500000003</v>
      </c>
      <c r="W1425" s="3">
        <v>0.65019183000000003</v>
      </c>
      <c r="X1425" s="3">
        <v>3.3559902789999998</v>
      </c>
      <c r="Y1425" s="3">
        <v>1.5108363039999999</v>
      </c>
      <c r="Z1425" s="3">
        <v>1.834941873</v>
      </c>
      <c r="AA1425" s="3">
        <v>4.8357601E-2</v>
      </c>
      <c r="AB1425" s="3">
        <v>7.6409206230000004</v>
      </c>
      <c r="AC1425" s="3">
        <v>5.1615386760000002</v>
      </c>
      <c r="AD1425" s="3">
        <v>6.1856965E-2</v>
      </c>
      <c r="AE1425" s="3">
        <v>11.699589420000001</v>
      </c>
      <c r="AF1425" s="4">
        <v>41451</v>
      </c>
      <c r="AG1425" s="5">
        <f>YEAR(AF1425)</f>
        <v>2013</v>
      </c>
      <c r="AH1425" s="5" t="str">
        <f>"Q"&amp;ROUNDUP(MONTH(AF1425)/3,0)</f>
        <v>Q2</v>
      </c>
      <c r="AI1425" s="5">
        <f>INDEX(RatingLookup!$B$2:$B$11,MATCH(A1425,RatingLookup!$A$2:$A$11,0))</f>
        <v>8</v>
      </c>
      <c r="AJ1425" s="5" t="str">
        <f>INDEX(RatingLookup!$C$2:$C$11,MATCH(A1425,RatingLookup!$A$2:$A$11,0))</f>
        <v>Investment Grade</v>
      </c>
    </row>
    <row r="1426" spans="1:36" x14ac:dyDescent="0.3">
      <c r="A1426" s="3" t="s">
        <v>42</v>
      </c>
      <c r="B1426" s="3" t="s">
        <v>1519</v>
      </c>
      <c r="C1426" s="3" t="s">
        <v>1520</v>
      </c>
      <c r="D1426" s="3" t="s">
        <v>39</v>
      </c>
      <c r="E1426" s="3" t="s">
        <v>91</v>
      </c>
      <c r="F1426" s="3" t="s">
        <v>113</v>
      </c>
      <c r="G1426" s="3">
        <v>1.187231986</v>
      </c>
      <c r="H1426" s="3">
        <v>0.59485414000000003</v>
      </c>
      <c r="I1426" s="3">
        <v>0.181192245</v>
      </c>
      <c r="J1426" s="3">
        <v>24.166553879999999</v>
      </c>
      <c r="K1426" s="3">
        <v>4.0795020000000001E-2</v>
      </c>
      <c r="L1426" s="3">
        <v>5.1341788999999999E-2</v>
      </c>
      <c r="M1426" s="3">
        <v>0.26027609099999999</v>
      </c>
      <c r="N1426" s="3">
        <v>4.5125865000000001E-2</v>
      </c>
      <c r="O1426" s="3">
        <v>6.1353260999999999E-2</v>
      </c>
      <c r="P1426" s="3">
        <v>0.101694591</v>
      </c>
      <c r="Q1426" s="3">
        <v>0.136742166</v>
      </c>
      <c r="R1426" s="3">
        <v>1.5039399840000001</v>
      </c>
      <c r="S1426" s="3">
        <v>6.865144677</v>
      </c>
      <c r="T1426" s="3">
        <v>1.2287676999999999</v>
      </c>
      <c r="U1426" s="3">
        <v>0.55132156700000001</v>
      </c>
      <c r="V1426" s="3">
        <v>0.19883261199999999</v>
      </c>
      <c r="W1426" s="3">
        <v>0.77913135600000005</v>
      </c>
      <c r="X1426" s="3">
        <v>4.2302530669999996</v>
      </c>
      <c r="Y1426" s="3">
        <v>2.8757668710000002</v>
      </c>
      <c r="Z1426" s="3">
        <v>2.2287677000000001</v>
      </c>
      <c r="AA1426" s="3">
        <v>5.1341788999999999E-2</v>
      </c>
      <c r="AB1426" s="3">
        <v>13.642080959999999</v>
      </c>
      <c r="AC1426" s="3">
        <v>5.4294478530000001</v>
      </c>
      <c r="AD1426" s="3">
        <v>5.4754262999999997E-2</v>
      </c>
      <c r="AE1426" s="3">
        <v>7.5852498019999999</v>
      </c>
      <c r="AF1426" s="4">
        <v>42304</v>
      </c>
      <c r="AG1426" s="5">
        <f>YEAR(AF1426)</f>
        <v>2015</v>
      </c>
      <c r="AH1426" s="5" t="str">
        <f>"Q"&amp;ROUNDUP(MONTH(AF1426)/3,0)</f>
        <v>Q4</v>
      </c>
      <c r="AI1426" s="5">
        <f>INDEX(RatingLookup!$B$2:$B$11,MATCH(A1426,RatingLookup!$A$2:$A$11,0))</f>
        <v>7</v>
      </c>
      <c r="AJ1426" s="5" t="str">
        <f>INDEX(RatingLookup!$C$2:$C$11,MATCH(A1426,RatingLookup!$A$2:$A$11,0))</f>
        <v>Investment Grade</v>
      </c>
    </row>
    <row r="1427" spans="1:36" x14ac:dyDescent="0.3">
      <c r="A1427" s="3" t="s">
        <v>42</v>
      </c>
      <c r="B1427" s="3" t="s">
        <v>1522</v>
      </c>
      <c r="C1427" s="3" t="s">
        <v>1523</v>
      </c>
      <c r="D1427" s="3" t="s">
        <v>47</v>
      </c>
      <c r="E1427" s="3" t="s">
        <v>132</v>
      </c>
      <c r="F1427" s="3" t="s">
        <v>59</v>
      </c>
      <c r="G1427" s="3">
        <v>3.3469884379999999</v>
      </c>
      <c r="H1427" s="3">
        <v>0.95231262000000005</v>
      </c>
      <c r="I1427" s="3">
        <v>0.95231262000000005</v>
      </c>
      <c r="J1427" s="3">
        <v>0</v>
      </c>
      <c r="K1427" s="3">
        <v>1.5318122999999999E-2</v>
      </c>
      <c r="L1427" s="3">
        <v>3.551344E-2</v>
      </c>
      <c r="M1427" s="3">
        <v>0.23713288399999999</v>
      </c>
      <c r="N1427" s="3">
        <v>5.0285918999999998E-2</v>
      </c>
      <c r="O1427" s="3">
        <v>1.6719400999999998E-2</v>
      </c>
      <c r="P1427" s="3">
        <v>4.5751483000000003E-2</v>
      </c>
      <c r="Q1427" s="3">
        <v>4.3679452000000001E-2</v>
      </c>
      <c r="R1427" s="3">
        <v>1.0914784689999999</v>
      </c>
      <c r="S1427" s="3">
        <v>4.9182687339999998</v>
      </c>
      <c r="T1427" s="3">
        <v>1.612500966</v>
      </c>
      <c r="U1427" s="3">
        <v>0.61722502199999996</v>
      </c>
      <c r="V1427" s="3">
        <v>0.50992936</v>
      </c>
      <c r="W1427" s="3">
        <v>0.83300216299999996</v>
      </c>
      <c r="X1427" s="3">
        <v>9.7388783920000002</v>
      </c>
      <c r="Y1427" s="3">
        <v>14.989436619999999</v>
      </c>
      <c r="Z1427" s="3">
        <v>2.6125009659999998</v>
      </c>
      <c r="AA1427" s="3">
        <v>3.551344E-2</v>
      </c>
      <c r="AB1427" s="3">
        <v>12.30158904</v>
      </c>
      <c r="AC1427" s="3">
        <v>11.69130024</v>
      </c>
      <c r="AD1427" s="3">
        <v>0.103961398</v>
      </c>
      <c r="AE1427" s="3">
        <v>11.10044282</v>
      </c>
      <c r="AF1427" s="4">
        <v>42244</v>
      </c>
      <c r="AG1427" s="5">
        <f>YEAR(AF1427)</f>
        <v>2015</v>
      </c>
      <c r="AH1427" s="5" t="str">
        <f>"Q"&amp;ROUNDUP(MONTH(AF1427)/3,0)</f>
        <v>Q3</v>
      </c>
      <c r="AI1427" s="5">
        <f>INDEX(RatingLookup!$B$2:$B$11,MATCH(A1427,RatingLookup!$A$2:$A$11,0))</f>
        <v>7</v>
      </c>
      <c r="AJ1427" s="5" t="str">
        <f>INDEX(RatingLookup!$C$2:$C$11,MATCH(A1427,RatingLookup!$A$2:$A$11,0))</f>
        <v>Investment Grade</v>
      </c>
    </row>
    <row r="1428" spans="1:36" x14ac:dyDescent="0.3">
      <c r="A1428" s="3" t="s">
        <v>42</v>
      </c>
      <c r="B1428" s="3" t="s">
        <v>1522</v>
      </c>
      <c r="C1428" s="3" t="s">
        <v>1523</v>
      </c>
      <c r="D1428" s="3" t="s">
        <v>47</v>
      </c>
      <c r="E1428" s="3" t="s">
        <v>557</v>
      </c>
      <c r="F1428" s="3" t="s">
        <v>59</v>
      </c>
      <c r="G1428" s="3">
        <v>3.5821728290000001</v>
      </c>
      <c r="H1428" s="3">
        <v>1.1432050490000001</v>
      </c>
      <c r="I1428" s="3">
        <v>1.1432050490000001</v>
      </c>
      <c r="J1428" s="3">
        <v>0</v>
      </c>
      <c r="K1428" s="3">
        <v>6.8697168000000003E-2</v>
      </c>
      <c r="L1428" s="3">
        <v>8.7423602000000003E-2</v>
      </c>
      <c r="M1428" s="3">
        <v>0.26024080799999999</v>
      </c>
      <c r="N1428" s="3">
        <v>9.6564347999999994E-2</v>
      </c>
      <c r="O1428" s="3">
        <v>7.2429549999999995E-2</v>
      </c>
      <c r="P1428" s="3">
        <v>0.10796602900000001</v>
      </c>
      <c r="Q1428" s="3">
        <v>0.18360922599999999</v>
      </c>
      <c r="R1428" s="3">
        <v>1.0543309430000001</v>
      </c>
      <c r="S1428" s="3">
        <v>4.8649541320000003</v>
      </c>
      <c r="T1428" s="3">
        <v>1.5350043769999999</v>
      </c>
      <c r="U1428" s="3">
        <v>0.60552336399999995</v>
      </c>
      <c r="V1428" s="3">
        <v>0.19080170900000001</v>
      </c>
      <c r="W1428" s="3">
        <v>0.73572784300000005</v>
      </c>
      <c r="X1428" s="3">
        <v>7.1468841410000001</v>
      </c>
      <c r="Y1428" s="3">
        <v>17.726619979999999</v>
      </c>
      <c r="Z1428" s="3">
        <v>2.5350043769999999</v>
      </c>
      <c r="AA1428" s="3">
        <v>8.7423602000000003E-2</v>
      </c>
      <c r="AB1428" s="3">
        <v>11.13250174</v>
      </c>
      <c r="AC1428" s="3">
        <v>9.7140324440000008</v>
      </c>
      <c r="AD1428" s="3">
        <v>8.6913623999999995E-2</v>
      </c>
      <c r="AE1428" s="3">
        <v>10.51019224</v>
      </c>
      <c r="AF1428" s="4">
        <v>42590</v>
      </c>
      <c r="AG1428" s="5">
        <f>YEAR(AF1428)</f>
        <v>2016</v>
      </c>
      <c r="AH1428" s="5" t="str">
        <f>"Q"&amp;ROUNDUP(MONTH(AF1428)/3,0)</f>
        <v>Q3</v>
      </c>
      <c r="AI1428" s="5">
        <f>INDEX(RatingLookup!$B$2:$B$11,MATCH(A1428,RatingLookup!$A$2:$A$11,0))</f>
        <v>7</v>
      </c>
      <c r="AJ1428" s="5" t="str">
        <f>INDEX(RatingLookup!$C$2:$C$11,MATCH(A1428,RatingLookup!$A$2:$A$11,0))</f>
        <v>Investment Grade</v>
      </c>
    </row>
    <row r="1429" spans="1:36" x14ac:dyDescent="0.3">
      <c r="A1429" s="3" t="s">
        <v>42</v>
      </c>
      <c r="B1429" s="3" t="s">
        <v>1522</v>
      </c>
      <c r="C1429" s="3" t="s">
        <v>1523</v>
      </c>
      <c r="D1429" s="3" t="s">
        <v>47</v>
      </c>
      <c r="E1429" s="3" t="s">
        <v>1114</v>
      </c>
      <c r="F1429" s="3" t="s">
        <v>59</v>
      </c>
      <c r="G1429" s="3">
        <v>3.070411939</v>
      </c>
      <c r="H1429" s="3">
        <v>0.88929350399999996</v>
      </c>
      <c r="I1429" s="3">
        <v>0.88929350399999996</v>
      </c>
      <c r="J1429" s="3">
        <v>0</v>
      </c>
      <c r="K1429" s="3">
        <v>8.5782346999999995E-2</v>
      </c>
      <c r="L1429" s="3">
        <v>8.7829703999999995E-2</v>
      </c>
      <c r="M1429" s="3">
        <v>0.25054105199999999</v>
      </c>
      <c r="N1429" s="3">
        <v>9.8933675999999998E-2</v>
      </c>
      <c r="O1429" s="3">
        <v>9.9002807999999998E-2</v>
      </c>
      <c r="P1429" s="3">
        <v>0.123159252</v>
      </c>
      <c r="Q1429" s="3">
        <v>0.199054546</v>
      </c>
      <c r="R1429" s="3">
        <v>1.1541163430000001</v>
      </c>
      <c r="S1429" s="3">
        <v>5.850988289</v>
      </c>
      <c r="T1429" s="3">
        <v>1.0105949460000001</v>
      </c>
      <c r="U1429" s="3">
        <v>0.50263477899999998</v>
      </c>
      <c r="V1429" s="3">
        <v>1.9635776000000001E-2</v>
      </c>
      <c r="W1429" s="3">
        <v>0.44498934299999998</v>
      </c>
      <c r="X1429" s="3">
        <v>2.5296061380000001</v>
      </c>
      <c r="Y1429" s="3">
        <v>13.78305291</v>
      </c>
      <c r="Z1429" s="3">
        <v>2.0105949459999999</v>
      </c>
      <c r="AA1429" s="3">
        <v>8.7829703999999995E-2</v>
      </c>
      <c r="AB1429" s="3">
        <v>8.5504452010000005</v>
      </c>
      <c r="AC1429" s="3">
        <v>5.6846443090000003</v>
      </c>
      <c r="AD1429" s="3">
        <v>5.6236003999999999E-2</v>
      </c>
      <c r="AE1429" s="3">
        <v>8.5047135419999993</v>
      </c>
      <c r="AF1429" s="4">
        <v>41059</v>
      </c>
      <c r="AG1429" s="5">
        <f>YEAR(AF1429)</f>
        <v>2012</v>
      </c>
      <c r="AH1429" s="5" t="str">
        <f>"Q"&amp;ROUNDUP(MONTH(AF1429)/3,0)</f>
        <v>Q2</v>
      </c>
      <c r="AI1429" s="5">
        <f>INDEX(RatingLookup!$B$2:$B$11,MATCH(A1429,RatingLookup!$A$2:$A$11,0))</f>
        <v>7</v>
      </c>
      <c r="AJ1429" s="5" t="str">
        <f>INDEX(RatingLookup!$C$2:$C$11,MATCH(A1429,RatingLookup!$A$2:$A$11,0))</f>
        <v>Investment Grade</v>
      </c>
    </row>
    <row r="1430" spans="1:36" x14ac:dyDescent="0.3">
      <c r="A1430" s="3" t="s">
        <v>42</v>
      </c>
      <c r="B1430" s="3" t="s">
        <v>1522</v>
      </c>
      <c r="C1430" s="3" t="s">
        <v>1523</v>
      </c>
      <c r="D1430" s="3" t="s">
        <v>47</v>
      </c>
      <c r="E1430" s="3" t="s">
        <v>1524</v>
      </c>
      <c r="F1430" s="3" t="s">
        <v>59</v>
      </c>
      <c r="G1430" s="3">
        <v>3.457385806</v>
      </c>
      <c r="H1430" s="3">
        <v>1.0041121829999999</v>
      </c>
      <c r="I1430" s="3">
        <v>1.0041121829999999</v>
      </c>
      <c r="J1430" s="3">
        <v>0</v>
      </c>
      <c r="K1430" s="3">
        <v>7.7263188999999996E-2</v>
      </c>
      <c r="L1430" s="3">
        <v>0.11859552299999999</v>
      </c>
      <c r="M1430" s="3">
        <v>0.26487708900000001</v>
      </c>
      <c r="N1430" s="3">
        <v>0.126189413</v>
      </c>
      <c r="O1430" s="3">
        <v>9.1129979999999999E-2</v>
      </c>
      <c r="P1430" s="3">
        <v>0.16663744699999999</v>
      </c>
      <c r="Q1430" s="3">
        <v>0.17339797000000001</v>
      </c>
      <c r="R1430" s="3">
        <v>1.179474731</v>
      </c>
      <c r="S1430" s="3">
        <v>5.9100079589999996</v>
      </c>
      <c r="T1430" s="3">
        <v>0.90275440200000001</v>
      </c>
      <c r="U1430" s="3">
        <v>0.47444609799999998</v>
      </c>
      <c r="V1430" s="3">
        <v>0.35208884200000001</v>
      </c>
      <c r="W1430" s="3">
        <v>0.50748108800000002</v>
      </c>
      <c r="X1430" s="3">
        <v>3.7785878890000002</v>
      </c>
      <c r="Y1430" s="3">
        <v>15.64462997</v>
      </c>
      <c r="Z1430" s="3">
        <v>1.902754402</v>
      </c>
      <c r="AA1430" s="3">
        <v>0.11859552299999999</v>
      </c>
      <c r="AB1430" s="3">
        <v>8.6756131080000003</v>
      </c>
      <c r="AC1430" s="3">
        <v>7.4457708440000001</v>
      </c>
      <c r="AD1430" s="3">
        <v>6.5058370000000004E-2</v>
      </c>
      <c r="AE1430" s="3">
        <v>10.484149629999999</v>
      </c>
      <c r="AF1430" s="4">
        <v>41396</v>
      </c>
      <c r="AG1430" s="5">
        <f>YEAR(AF1430)</f>
        <v>2013</v>
      </c>
      <c r="AH1430" s="5" t="str">
        <f>"Q"&amp;ROUNDUP(MONTH(AF1430)/3,0)</f>
        <v>Q2</v>
      </c>
      <c r="AI1430" s="5">
        <f>INDEX(RatingLookup!$B$2:$B$11,MATCH(A1430,RatingLookup!$A$2:$A$11,0))</f>
        <v>7</v>
      </c>
      <c r="AJ1430" s="5" t="str">
        <f>INDEX(RatingLookup!$C$2:$C$11,MATCH(A1430,RatingLookup!$A$2:$A$11,0))</f>
        <v>Investment Grade</v>
      </c>
    </row>
    <row r="1431" spans="1:36" x14ac:dyDescent="0.3">
      <c r="A1431" s="3" t="s">
        <v>42</v>
      </c>
      <c r="B1431" s="3" t="s">
        <v>1522</v>
      </c>
      <c r="C1431" s="3" t="s">
        <v>1523</v>
      </c>
      <c r="D1431" s="3" t="s">
        <v>47</v>
      </c>
      <c r="E1431" s="3" t="s">
        <v>1525</v>
      </c>
      <c r="F1431" s="3" t="s">
        <v>59</v>
      </c>
      <c r="G1431" s="3">
        <v>3.506777203</v>
      </c>
      <c r="H1431" s="3">
        <v>0.93546300000000004</v>
      </c>
      <c r="I1431" s="3">
        <v>0.93546300000000004</v>
      </c>
      <c r="J1431" s="3">
        <v>0</v>
      </c>
      <c r="K1431" s="3">
        <v>5.8907325000000003E-2</v>
      </c>
      <c r="L1431" s="3">
        <v>9.0992631000000004E-2</v>
      </c>
      <c r="M1431" s="3">
        <v>0.25875120000000001</v>
      </c>
      <c r="N1431" s="3">
        <v>0.114537183</v>
      </c>
      <c r="O1431" s="3">
        <v>6.7398673000000006E-2</v>
      </c>
      <c r="P1431" s="3">
        <v>0.12183863</v>
      </c>
      <c r="Q1431" s="3">
        <v>0.15307950400000001</v>
      </c>
      <c r="R1431" s="3">
        <v>1.1441475670000001</v>
      </c>
      <c r="S1431" s="3">
        <v>5.1498516790000002</v>
      </c>
      <c r="T1431" s="3">
        <v>1.271253993</v>
      </c>
      <c r="U1431" s="3">
        <v>0.55971458799999996</v>
      </c>
      <c r="V1431" s="3">
        <v>0.33391863700000002</v>
      </c>
      <c r="W1431" s="3">
        <v>0.58055900199999999</v>
      </c>
      <c r="X1431" s="3">
        <v>3.9298961860000001</v>
      </c>
      <c r="Y1431" s="3">
        <v>14.44764571</v>
      </c>
      <c r="Z1431" s="3">
        <v>2.2712539930000002</v>
      </c>
      <c r="AA1431" s="3">
        <v>9.0992631000000004E-2</v>
      </c>
      <c r="AB1431" s="3">
        <v>7.891971775</v>
      </c>
      <c r="AC1431" s="3">
        <v>6.769158988</v>
      </c>
      <c r="AD1431" s="3">
        <v>5.5743845E-2</v>
      </c>
      <c r="AE1431" s="3">
        <v>11.77740696</v>
      </c>
      <c r="AF1431" s="4">
        <v>41899</v>
      </c>
      <c r="AG1431" s="5">
        <f>YEAR(AF1431)</f>
        <v>2014</v>
      </c>
      <c r="AH1431" s="5" t="str">
        <f>"Q"&amp;ROUNDUP(MONTH(AF1431)/3,0)</f>
        <v>Q3</v>
      </c>
      <c r="AI1431" s="5">
        <f>INDEX(RatingLookup!$B$2:$B$11,MATCH(A1431,RatingLookup!$A$2:$A$11,0))</f>
        <v>7</v>
      </c>
      <c r="AJ1431" s="5" t="str">
        <f>INDEX(RatingLookup!$C$2:$C$11,MATCH(A1431,RatingLookup!$A$2:$A$11,0))</f>
        <v>Investment Grade</v>
      </c>
    </row>
    <row r="1432" spans="1:36" x14ac:dyDescent="0.3">
      <c r="A1432" s="3" t="s">
        <v>109</v>
      </c>
      <c r="B1432" s="3" t="s">
        <v>1526</v>
      </c>
      <c r="C1432" s="3" t="s">
        <v>1527</v>
      </c>
      <c r="D1432" s="3" t="s">
        <v>60</v>
      </c>
      <c r="E1432" s="3" t="s">
        <v>1528</v>
      </c>
      <c r="F1432" s="3" t="s">
        <v>59</v>
      </c>
      <c r="G1432" s="3">
        <v>0.92817111500000005</v>
      </c>
      <c r="H1432" s="3">
        <v>0.583924683</v>
      </c>
      <c r="I1432" s="3">
        <v>0.41653898900000003</v>
      </c>
      <c r="J1432" s="3">
        <v>23.300330030000001</v>
      </c>
      <c r="K1432" s="3">
        <v>3.0200280000000001E-3</v>
      </c>
      <c r="L1432" s="3">
        <v>4.5209999999999998E-3</v>
      </c>
      <c r="M1432" s="3">
        <v>0.11731995100000001</v>
      </c>
      <c r="N1432" s="3">
        <v>2.2442244E-2</v>
      </c>
      <c r="O1432" s="3">
        <v>3.1583029999999999E-3</v>
      </c>
      <c r="P1432" s="3">
        <v>5.1042760999999999E-2</v>
      </c>
      <c r="Q1432" s="3">
        <v>1.9875037000000002E-2</v>
      </c>
      <c r="R1432" s="3">
        <v>1.0457859350000001</v>
      </c>
      <c r="S1432" s="3">
        <v>4.028374736</v>
      </c>
      <c r="T1432" s="3">
        <v>5.2832490329999997</v>
      </c>
      <c r="U1432" s="3">
        <v>0.83955065100000004</v>
      </c>
      <c r="V1432" s="3">
        <v>0.33200000000000002</v>
      </c>
      <c r="W1432" s="3">
        <v>9.5579941000000002E-2</v>
      </c>
      <c r="X1432" s="3">
        <v>0.55022215500000005</v>
      </c>
      <c r="Y1432" s="3">
        <v>12.93199175</v>
      </c>
      <c r="Z1432" s="3">
        <v>6.2929485270000001</v>
      </c>
      <c r="AA1432" s="3">
        <v>2.5914372000000001E-2</v>
      </c>
      <c r="AB1432" s="3">
        <v>2.8661207869999998</v>
      </c>
      <c r="AC1432" s="3">
        <v>5.7566697820000003</v>
      </c>
      <c r="AD1432" s="3">
        <v>8.8168543000000002E-2</v>
      </c>
      <c r="AE1432" s="3">
        <v>4.5478686230000003</v>
      </c>
      <c r="AF1432" s="4">
        <v>42500</v>
      </c>
      <c r="AG1432" s="5">
        <f>YEAR(AF1432)</f>
        <v>2016</v>
      </c>
      <c r="AH1432" s="5" t="str">
        <f>"Q"&amp;ROUNDUP(MONTH(AF1432)/3,0)</f>
        <v>Q2</v>
      </c>
      <c r="AI1432" s="5">
        <f>INDEX(RatingLookup!$B$2:$B$11,MATCH(A1432,RatingLookup!$A$2:$A$11,0))</f>
        <v>5</v>
      </c>
      <c r="AJ1432" s="5" t="str">
        <f>INDEX(RatingLookup!$C$2:$C$11,MATCH(A1432,RatingLookup!$A$2:$A$11,0))</f>
        <v>Speculative Grade</v>
      </c>
    </row>
    <row r="1433" spans="1:36" x14ac:dyDescent="0.3">
      <c r="A1433" s="3" t="s">
        <v>92</v>
      </c>
      <c r="B1433" s="3" t="s">
        <v>1526</v>
      </c>
      <c r="C1433" s="3" t="s">
        <v>1527</v>
      </c>
      <c r="D1433" s="3" t="s">
        <v>44</v>
      </c>
      <c r="E1433" s="3" t="s">
        <v>783</v>
      </c>
      <c r="F1433" s="3" t="s">
        <v>59</v>
      </c>
      <c r="G1433" s="3">
        <v>1.01816296</v>
      </c>
      <c r="H1433" s="3">
        <v>0.73995620600000001</v>
      </c>
      <c r="I1433" s="3">
        <v>0.52644923399999999</v>
      </c>
      <c r="J1433" s="3">
        <v>33.728588209999998</v>
      </c>
      <c r="K1433" s="3">
        <v>6.0657840000000003E-3</v>
      </c>
      <c r="L1433" s="3">
        <v>1.0593763000000001E-2</v>
      </c>
      <c r="M1433" s="3">
        <v>0.12866296499999999</v>
      </c>
      <c r="N1433" s="3">
        <v>2.8737718999999998E-2</v>
      </c>
      <c r="O1433" s="3">
        <v>5.6154780000000001E-3</v>
      </c>
      <c r="P1433" s="3">
        <v>5.2679869999999997E-2</v>
      </c>
      <c r="Q1433" s="3">
        <v>4.0386802999999999E-2</v>
      </c>
      <c r="R1433" s="3">
        <v>0.92576298300000004</v>
      </c>
      <c r="S1433" s="3">
        <v>3.5458951829999998</v>
      </c>
      <c r="T1433" s="3">
        <v>6.1697952220000003</v>
      </c>
      <c r="U1433" s="3">
        <v>0.85786315199999996</v>
      </c>
      <c r="V1433" s="3">
        <v>0.427419355</v>
      </c>
      <c r="W1433" s="3">
        <v>4.4681112000000002E-2</v>
      </c>
      <c r="X1433" s="3">
        <v>0.21548399900000001</v>
      </c>
      <c r="Y1433" s="3">
        <v>13.844108950000001</v>
      </c>
      <c r="Z1433" s="3">
        <v>7.1920506260000003</v>
      </c>
      <c r="AA1433" s="3">
        <v>3.2496796000000001E-2</v>
      </c>
      <c r="AB1433" s="3">
        <v>3.3715921870000001</v>
      </c>
      <c r="AC1433" s="3">
        <v>4.8227089989999996</v>
      </c>
      <c r="AD1433" s="3">
        <v>8.7238360000000001E-2</v>
      </c>
      <c r="AE1433" s="3">
        <v>4.109600081</v>
      </c>
      <c r="AF1433" s="4">
        <v>42104</v>
      </c>
      <c r="AG1433" s="5">
        <f>YEAR(AF1433)</f>
        <v>2015</v>
      </c>
      <c r="AH1433" s="5" t="str">
        <f>"Q"&amp;ROUNDUP(MONTH(AF1433)/3,0)</f>
        <v>Q2</v>
      </c>
      <c r="AI1433" s="5">
        <f>INDEX(RatingLookup!$B$2:$B$11,MATCH(A1433,RatingLookup!$A$2:$A$11,0))</f>
        <v>6</v>
      </c>
      <c r="AJ1433" s="5" t="str">
        <f>INDEX(RatingLookup!$C$2:$C$11,MATCH(A1433,RatingLookup!$A$2:$A$11,0))</f>
        <v>Speculative Grade</v>
      </c>
    </row>
    <row r="1434" spans="1:36" x14ac:dyDescent="0.3">
      <c r="A1434" s="3" t="s">
        <v>116</v>
      </c>
      <c r="B1434" s="3" t="s">
        <v>1529</v>
      </c>
      <c r="C1434" s="3" t="s">
        <v>1530</v>
      </c>
      <c r="D1434" s="3" t="s">
        <v>60</v>
      </c>
      <c r="E1434" s="3" t="s">
        <v>1531</v>
      </c>
      <c r="F1434" s="3" t="s">
        <v>174</v>
      </c>
      <c r="G1434" s="3">
        <v>0.52403086399999999</v>
      </c>
      <c r="H1434" s="3">
        <v>0.52403086399999999</v>
      </c>
      <c r="I1434" s="3">
        <v>0.48121686899999999</v>
      </c>
      <c r="J1434" s="3">
        <v>7.2397547790000001</v>
      </c>
      <c r="K1434" s="3">
        <v>-2.7517900000000002E-4</v>
      </c>
      <c r="L1434" s="3">
        <v>3.9589399999999999E-4</v>
      </c>
      <c r="M1434" s="3">
        <v>1</v>
      </c>
      <c r="N1434" s="3">
        <v>3.9589399999999999E-4</v>
      </c>
      <c r="O1434" s="3">
        <v>-6.3899999999999995E-5</v>
      </c>
      <c r="P1434" s="3">
        <v>1.02977E-4</v>
      </c>
      <c r="Q1434" s="3">
        <v>1.5116500000000001E-4</v>
      </c>
      <c r="R1434" s="3">
        <v>0.232137864</v>
      </c>
      <c r="S1434" s="3">
        <v>0.28853832400000001</v>
      </c>
      <c r="T1434" s="3">
        <v>-3.3664043870000002</v>
      </c>
      <c r="U1434" s="3">
        <v>1.422582043</v>
      </c>
      <c r="V1434" s="3">
        <v>1.6950819669999999</v>
      </c>
      <c r="W1434" s="3">
        <v>0.87647744100000002</v>
      </c>
      <c r="X1434" s="3">
        <v>2.1613334819999999</v>
      </c>
      <c r="Y1434" s="3">
        <v>1.1264551759999999</v>
      </c>
      <c r="Z1434" s="3">
        <v>-2.3664043870000002</v>
      </c>
      <c r="AA1434" s="3">
        <v>3.9589399999999999E-4</v>
      </c>
      <c r="AB1434" s="3">
        <v>20.153584330000001</v>
      </c>
      <c r="AC1434" s="3">
        <v>2.465931673</v>
      </c>
      <c r="AD1434" s="3">
        <v>0.48803750699999998</v>
      </c>
      <c r="AE1434" s="3">
        <v>0</v>
      </c>
      <c r="AF1434" s="4">
        <v>42716</v>
      </c>
      <c r="AG1434" s="5">
        <f>YEAR(AF1434)</f>
        <v>2016</v>
      </c>
      <c r="AH1434" s="5" t="str">
        <f>"Q"&amp;ROUNDUP(MONTH(AF1434)/3,0)</f>
        <v>Q4</v>
      </c>
      <c r="AI1434" s="5">
        <f>INDEX(RatingLookup!$B$2:$B$11,MATCH(A1434,RatingLookup!$A$2:$A$11,0))</f>
        <v>4</v>
      </c>
      <c r="AJ1434" s="5" t="str">
        <f>INDEX(RatingLookup!$C$2:$C$11,MATCH(A1434,RatingLookup!$A$2:$A$11,0))</f>
        <v>Speculative Grade</v>
      </c>
    </row>
    <row r="1435" spans="1:36" x14ac:dyDescent="0.3">
      <c r="A1435" s="3" t="s">
        <v>49</v>
      </c>
      <c r="B1435" s="3" t="s">
        <v>1532</v>
      </c>
      <c r="C1435" s="3" t="s">
        <v>1533</v>
      </c>
      <c r="D1435" s="3" t="s">
        <v>39</v>
      </c>
      <c r="E1435" s="3" t="s">
        <v>546</v>
      </c>
      <c r="F1435" s="3" t="s">
        <v>113</v>
      </c>
      <c r="G1435" s="3">
        <v>1.9614871620000001</v>
      </c>
      <c r="H1435" s="3">
        <v>1.1272090699999999</v>
      </c>
      <c r="I1435" s="3">
        <v>0.31627209099999998</v>
      </c>
      <c r="J1435" s="3">
        <v>48.611608689999997</v>
      </c>
      <c r="K1435" s="3">
        <v>0.155746205</v>
      </c>
      <c r="L1435" s="3">
        <v>0.22079758599999999</v>
      </c>
      <c r="M1435" s="3">
        <v>0.48314006500000001</v>
      </c>
      <c r="N1435" s="3">
        <v>0.22422299700000001</v>
      </c>
      <c r="O1435" s="3">
        <v>0.158495635</v>
      </c>
      <c r="P1435" s="3">
        <v>0.278026196</v>
      </c>
      <c r="Q1435" s="3">
        <v>0.37806087399999999</v>
      </c>
      <c r="R1435" s="3">
        <v>1.017653267</v>
      </c>
      <c r="S1435" s="3">
        <v>3.7484980559999999</v>
      </c>
      <c r="T1435" s="3">
        <v>1.385307804</v>
      </c>
      <c r="U1435" s="3">
        <v>0.58076689400000003</v>
      </c>
      <c r="V1435" s="3">
        <v>0.28864218600000002</v>
      </c>
      <c r="W1435" s="3">
        <v>0.77467552100000003</v>
      </c>
      <c r="X1435" s="3">
        <v>7.9066543439999997</v>
      </c>
      <c r="Y1435" s="3">
        <v>3.8863216270000001</v>
      </c>
      <c r="Z1435" s="3">
        <v>2.385307804</v>
      </c>
      <c r="AA1435" s="3">
        <v>0.22079758599999999</v>
      </c>
      <c r="AB1435" s="3">
        <v>12.91175934</v>
      </c>
      <c r="AC1435" s="3">
        <v>10.206407889999999</v>
      </c>
      <c r="AD1435" s="3">
        <v>0.20822727099999999</v>
      </c>
      <c r="AE1435" s="3">
        <v>9.1018262310000004</v>
      </c>
      <c r="AF1435" s="4">
        <v>42032</v>
      </c>
      <c r="AG1435" s="5">
        <f>YEAR(AF1435)</f>
        <v>2015</v>
      </c>
      <c r="AH1435" s="5" t="str">
        <f>"Q"&amp;ROUNDUP(MONTH(AF1435)/3,0)</f>
        <v>Q1</v>
      </c>
      <c r="AI1435" s="5">
        <f>INDEX(RatingLookup!$B$2:$B$11,MATCH(A1435,RatingLookup!$A$2:$A$11,0))</f>
        <v>9</v>
      </c>
      <c r="AJ1435" s="5" t="str">
        <f>INDEX(RatingLookup!$C$2:$C$11,MATCH(A1435,RatingLookup!$A$2:$A$11,0))</f>
        <v>Investment Grade</v>
      </c>
    </row>
    <row r="1436" spans="1:36" x14ac:dyDescent="0.3">
      <c r="A1436" s="3" t="s">
        <v>49</v>
      </c>
      <c r="B1436" s="3" t="s">
        <v>1532</v>
      </c>
      <c r="C1436" s="3" t="s">
        <v>1533</v>
      </c>
      <c r="D1436" s="3" t="s">
        <v>39</v>
      </c>
      <c r="E1436" s="3" t="s">
        <v>91</v>
      </c>
      <c r="F1436" s="3" t="s">
        <v>113</v>
      </c>
      <c r="G1436" s="3">
        <v>1.543411071</v>
      </c>
      <c r="H1436" s="3">
        <v>0.85276763099999997</v>
      </c>
      <c r="I1436" s="3">
        <v>0.25259904500000002</v>
      </c>
      <c r="J1436" s="3">
        <v>50.082909430000001</v>
      </c>
      <c r="K1436" s="3">
        <v>0.15964193700000001</v>
      </c>
      <c r="L1436" s="3">
        <v>0.22537490900000001</v>
      </c>
      <c r="M1436" s="3">
        <v>0.491874215</v>
      </c>
      <c r="N1436" s="3">
        <v>0.229437801</v>
      </c>
      <c r="O1436" s="3">
        <v>0.14771685300000001</v>
      </c>
      <c r="P1436" s="3">
        <v>0.266523438</v>
      </c>
      <c r="Q1436" s="3">
        <v>0.41279466999999997</v>
      </c>
      <c r="R1436" s="3">
        <v>0.92530105799999995</v>
      </c>
      <c r="S1436" s="3">
        <v>3.5553728709999999</v>
      </c>
      <c r="T1436" s="3">
        <v>1.794499488</v>
      </c>
      <c r="U1436" s="3">
        <v>0.64215416599999997</v>
      </c>
      <c r="V1436" s="3">
        <v>0.29048805500000002</v>
      </c>
      <c r="W1436" s="3">
        <v>0.77242990700000003</v>
      </c>
      <c r="X1436" s="3">
        <v>7.9267902809999997</v>
      </c>
      <c r="Y1436" s="3">
        <v>3.0626598469999999</v>
      </c>
      <c r="Z1436" s="3">
        <v>2.794499488</v>
      </c>
      <c r="AA1436" s="3">
        <v>0.22537490900000001</v>
      </c>
      <c r="AB1436" s="3">
        <v>12.345137810000001</v>
      </c>
      <c r="AC1436" s="3">
        <v>10.26214834</v>
      </c>
      <c r="AD1436" s="3">
        <v>0.212063157</v>
      </c>
      <c r="AE1436" s="3">
        <v>9.0808736719999992</v>
      </c>
      <c r="AF1436" s="4">
        <v>42304</v>
      </c>
      <c r="AG1436" s="5">
        <f>YEAR(AF1436)</f>
        <v>2015</v>
      </c>
      <c r="AH1436" s="5" t="str">
        <f>"Q"&amp;ROUNDUP(MONTH(AF1436)/3,0)</f>
        <v>Q4</v>
      </c>
      <c r="AI1436" s="5">
        <f>INDEX(RatingLookup!$B$2:$B$11,MATCH(A1436,RatingLookup!$A$2:$A$11,0))</f>
        <v>9</v>
      </c>
      <c r="AJ1436" s="5" t="str">
        <f>INDEX(RatingLookup!$C$2:$C$11,MATCH(A1436,RatingLookup!$A$2:$A$11,0))</f>
        <v>Investment Grade</v>
      </c>
    </row>
    <row r="1437" spans="1:36" x14ac:dyDescent="0.3">
      <c r="A1437" s="3" t="s">
        <v>49</v>
      </c>
      <c r="B1437" s="3" t="s">
        <v>1532</v>
      </c>
      <c r="C1437" s="3" t="s">
        <v>1533</v>
      </c>
      <c r="D1437" s="3" t="s">
        <v>39</v>
      </c>
      <c r="E1437" s="3" t="s">
        <v>889</v>
      </c>
      <c r="F1437" s="3" t="s">
        <v>113</v>
      </c>
      <c r="G1437" s="3">
        <v>1.698186183</v>
      </c>
      <c r="H1437" s="3">
        <v>1.0122699390000001</v>
      </c>
      <c r="I1437" s="3">
        <v>0.34422512700000002</v>
      </c>
      <c r="J1437" s="3">
        <v>50.284895210000002</v>
      </c>
      <c r="K1437" s="3">
        <v>0.15091833800000001</v>
      </c>
      <c r="L1437" s="3">
        <v>0.212561951</v>
      </c>
      <c r="M1437" s="3">
        <v>0.47828058699999998</v>
      </c>
      <c r="N1437" s="3">
        <v>0.215930809</v>
      </c>
      <c r="O1437" s="3">
        <v>0.13886736199999999</v>
      </c>
      <c r="P1437" s="3">
        <v>0.25188085399999999</v>
      </c>
      <c r="Q1437" s="3">
        <v>0.266198149</v>
      </c>
      <c r="R1437" s="3">
        <v>0.92014903100000001</v>
      </c>
      <c r="S1437" s="3">
        <v>3.5680767449999999</v>
      </c>
      <c r="T1437" s="3">
        <v>0.91692377999999997</v>
      </c>
      <c r="U1437" s="3">
        <v>0.478330849</v>
      </c>
      <c r="V1437" s="3">
        <v>0.28055470900000001</v>
      </c>
      <c r="W1437" s="3">
        <v>0.713769985</v>
      </c>
      <c r="X1437" s="3">
        <v>6.0888693360000001</v>
      </c>
      <c r="Y1437" s="3">
        <v>4.8936794250000002</v>
      </c>
      <c r="Z1437" s="3">
        <v>1.9169237800000001</v>
      </c>
      <c r="AA1437" s="3">
        <v>0.212561951</v>
      </c>
      <c r="AB1437" s="3">
        <v>11.290941269999999</v>
      </c>
      <c r="AC1437" s="3">
        <v>8.5305763310000007</v>
      </c>
      <c r="AD1437" s="3">
        <v>0.18842927000000001</v>
      </c>
      <c r="AE1437" s="3">
        <v>8.9527515290000004</v>
      </c>
      <c r="AF1437" s="4">
        <v>41502</v>
      </c>
      <c r="AG1437" s="5">
        <f>YEAR(AF1437)</f>
        <v>2013</v>
      </c>
      <c r="AH1437" s="5" t="str">
        <f>"Q"&amp;ROUNDUP(MONTH(AF1437)/3,0)</f>
        <v>Q3</v>
      </c>
      <c r="AI1437" s="5">
        <f>INDEX(RatingLookup!$B$2:$B$11,MATCH(A1437,RatingLookup!$A$2:$A$11,0))</f>
        <v>9</v>
      </c>
      <c r="AJ1437" s="5" t="str">
        <f>INDEX(RatingLookup!$C$2:$C$11,MATCH(A1437,RatingLookup!$A$2:$A$11,0))</f>
        <v>Investment Grade</v>
      </c>
    </row>
    <row r="1438" spans="1:36" x14ac:dyDescent="0.3">
      <c r="A1438" s="3" t="s">
        <v>49</v>
      </c>
      <c r="B1438" s="3" t="s">
        <v>1532</v>
      </c>
      <c r="C1438" s="3" t="s">
        <v>1533</v>
      </c>
      <c r="D1438" s="3" t="s">
        <v>60</v>
      </c>
      <c r="E1438" s="3" t="s">
        <v>46</v>
      </c>
      <c r="F1438" s="3" t="s">
        <v>113</v>
      </c>
      <c r="G1438" s="3">
        <v>2.2495864729999999</v>
      </c>
      <c r="H1438" s="3">
        <v>1.3870612019999999</v>
      </c>
      <c r="I1438" s="3">
        <v>0.40782944300000001</v>
      </c>
      <c r="J1438" s="3">
        <v>47.66657661</v>
      </c>
      <c r="K1438" s="3">
        <v>0.144642194</v>
      </c>
      <c r="L1438" s="3">
        <v>0.20367431</v>
      </c>
      <c r="M1438" s="3">
        <v>0.47002802999999999</v>
      </c>
      <c r="N1438" s="3">
        <v>0.20863868199999999</v>
      </c>
      <c r="O1438" s="3">
        <v>0.135469383</v>
      </c>
      <c r="P1438" s="3">
        <v>0.230410697</v>
      </c>
      <c r="Q1438" s="3">
        <v>0.277756161</v>
      </c>
      <c r="R1438" s="3">
        <v>0.936582743</v>
      </c>
      <c r="S1438" s="3">
        <v>3.8626402299999998</v>
      </c>
      <c r="T1438" s="3">
        <v>1.050324254</v>
      </c>
      <c r="U1438" s="3">
        <v>0.51227226699999995</v>
      </c>
      <c r="V1438" s="3">
        <v>0.277565909</v>
      </c>
      <c r="W1438" s="3">
        <v>0.73902346699999999</v>
      </c>
      <c r="X1438" s="3">
        <v>5.5116443190000002</v>
      </c>
      <c r="Y1438" s="3">
        <v>5.1940719829999997</v>
      </c>
      <c r="Z1438" s="3">
        <v>2.050324254</v>
      </c>
      <c r="AA1438" s="3">
        <v>0.20367431</v>
      </c>
      <c r="AB1438" s="3">
        <v>8.743915565</v>
      </c>
      <c r="AC1438" s="3">
        <v>7.4580098799999996</v>
      </c>
      <c r="AD1438" s="3">
        <v>0.178447199</v>
      </c>
      <c r="AE1438" s="3">
        <v>9.5514303100000006</v>
      </c>
      <c r="AF1438" s="4">
        <v>41075</v>
      </c>
      <c r="AG1438" s="5">
        <f>YEAR(AF1438)</f>
        <v>2012</v>
      </c>
      <c r="AH1438" s="5" t="str">
        <f>"Q"&amp;ROUNDUP(MONTH(AF1438)/3,0)</f>
        <v>Q2</v>
      </c>
      <c r="AI1438" s="5">
        <f>INDEX(RatingLookup!$B$2:$B$11,MATCH(A1438,RatingLookup!$A$2:$A$11,0))</f>
        <v>9</v>
      </c>
      <c r="AJ1438" s="5" t="str">
        <f>INDEX(RatingLookup!$C$2:$C$11,MATCH(A1438,RatingLookup!$A$2:$A$11,0))</f>
        <v>Investment Grade</v>
      </c>
    </row>
    <row r="1439" spans="1:36" x14ac:dyDescent="0.3">
      <c r="A1439" s="3" t="s">
        <v>92</v>
      </c>
      <c r="B1439" s="3" t="s">
        <v>1534</v>
      </c>
      <c r="C1439" s="3" t="s">
        <v>1535</v>
      </c>
      <c r="D1439" s="3" t="s">
        <v>60</v>
      </c>
      <c r="E1439" s="3" t="s">
        <v>1536</v>
      </c>
      <c r="F1439" s="3" t="s">
        <v>219</v>
      </c>
      <c r="G1439" s="3">
        <v>4.2804434149999997</v>
      </c>
      <c r="H1439" s="3">
        <v>1.9774983450000001</v>
      </c>
      <c r="I1439" s="3">
        <v>1.6955658499999999</v>
      </c>
      <c r="J1439" s="3">
        <v>17.943051669999999</v>
      </c>
      <c r="K1439" s="3">
        <v>-0.35998038300000001</v>
      </c>
      <c r="L1439" s="3">
        <v>-0.32833280399999998</v>
      </c>
      <c r="M1439" s="3">
        <v>-0.182038485</v>
      </c>
      <c r="N1439" s="3">
        <v>-0.35850907300000001</v>
      </c>
      <c r="O1439" s="3">
        <v>-0.139397189</v>
      </c>
      <c r="P1439" s="3">
        <v>-0.12675212699999999</v>
      </c>
      <c r="Q1439" s="3">
        <v>-0.25765021700000001</v>
      </c>
      <c r="R1439" s="3">
        <v>0.387235516</v>
      </c>
      <c r="S1439" s="3">
        <v>0.64079195499999997</v>
      </c>
      <c r="T1439" s="3">
        <v>0.83824076000000003</v>
      </c>
      <c r="U1439" s="3">
        <v>0.45351565100000002</v>
      </c>
      <c r="V1439" s="3">
        <v>-9.6388717999999998E-2</v>
      </c>
      <c r="W1439" s="3">
        <v>0.42371094500000001</v>
      </c>
      <c r="X1439" s="3">
        <v>0.386644353</v>
      </c>
      <c r="Y1439" s="3">
        <v>0.89625227900000004</v>
      </c>
      <c r="Z1439" s="3">
        <v>1.848317159</v>
      </c>
      <c r="AA1439" s="3">
        <v>-0.30522459099999999</v>
      </c>
      <c r="AB1439" s="3">
        <v>-24.600770799999999</v>
      </c>
      <c r="AC1439" s="3">
        <v>0.91251915299999997</v>
      </c>
      <c r="AD1439" s="3">
        <v>0.30101260699999999</v>
      </c>
      <c r="AE1439" s="3">
        <v>9.7115430200000006</v>
      </c>
      <c r="AF1439" s="4">
        <v>42079</v>
      </c>
      <c r="AG1439" s="5">
        <f>YEAR(AF1439)</f>
        <v>2015</v>
      </c>
      <c r="AH1439" s="5" t="str">
        <f>"Q"&amp;ROUNDUP(MONTH(AF1439)/3,0)</f>
        <v>Q1</v>
      </c>
      <c r="AI1439" s="5">
        <f>INDEX(RatingLookup!$B$2:$B$11,MATCH(A1439,RatingLookup!$A$2:$A$11,0))</f>
        <v>6</v>
      </c>
      <c r="AJ1439" s="5" t="str">
        <f>INDEX(RatingLookup!$C$2:$C$11,MATCH(A1439,RatingLookup!$A$2:$A$11,0))</f>
        <v>Speculative Grade</v>
      </c>
    </row>
    <row r="1440" spans="1:36" x14ac:dyDescent="0.3">
      <c r="A1440" s="3" t="s">
        <v>92</v>
      </c>
      <c r="B1440" s="3" t="s">
        <v>1534</v>
      </c>
      <c r="C1440" s="3" t="s">
        <v>1535</v>
      </c>
      <c r="D1440" s="3" t="s">
        <v>47</v>
      </c>
      <c r="E1440" s="3" t="s">
        <v>504</v>
      </c>
      <c r="F1440" s="3" t="s">
        <v>219</v>
      </c>
      <c r="G1440" s="3">
        <v>3.2660302080000001</v>
      </c>
      <c r="H1440" s="3">
        <v>1.656597321</v>
      </c>
      <c r="I1440" s="3">
        <v>1.5024223430000001</v>
      </c>
      <c r="J1440" s="3">
        <v>12.9391914</v>
      </c>
      <c r="K1440" s="3">
        <v>-0.32576502200000002</v>
      </c>
      <c r="L1440" s="3">
        <v>-0.27933949299999999</v>
      </c>
      <c r="M1440" s="3">
        <v>-0.124271018</v>
      </c>
      <c r="N1440" s="3">
        <v>-0.25004914499999997</v>
      </c>
      <c r="O1440" s="3">
        <v>-0.128538925</v>
      </c>
      <c r="P1440" s="3">
        <v>-0.10756938100000001</v>
      </c>
      <c r="Q1440" s="3">
        <v>-0.25565011700000001</v>
      </c>
      <c r="R1440" s="3">
        <v>0.39457558799999998</v>
      </c>
      <c r="S1440" s="3">
        <v>0.664431722</v>
      </c>
      <c r="T1440" s="3">
        <v>0.97760522500000002</v>
      </c>
      <c r="U1440" s="3">
        <v>0.49153243499999999</v>
      </c>
      <c r="V1440" s="3">
        <v>-0.16619751299999999</v>
      </c>
      <c r="W1440" s="3">
        <v>0.37389060899999998</v>
      </c>
      <c r="X1440" s="3">
        <v>0.31653629799999999</v>
      </c>
      <c r="Y1440" s="3">
        <v>0.92121411200000003</v>
      </c>
      <c r="Z1440" s="3">
        <v>1.988892603</v>
      </c>
      <c r="AA1440" s="3">
        <v>-0.24788677000000001</v>
      </c>
      <c r="AB1440" s="3">
        <v>23.199020350000001</v>
      </c>
      <c r="AC1440" s="3">
        <v>0.84660135999999997</v>
      </c>
      <c r="AD1440" s="3">
        <v>0.317475919</v>
      </c>
      <c r="AE1440" s="3">
        <v>9.0397787140000005</v>
      </c>
      <c r="AF1440" s="4">
        <v>42418</v>
      </c>
      <c r="AG1440" s="5">
        <f>YEAR(AF1440)</f>
        <v>2016</v>
      </c>
      <c r="AH1440" s="5" t="str">
        <f>"Q"&amp;ROUNDUP(MONTH(AF1440)/3,0)</f>
        <v>Q1</v>
      </c>
      <c r="AI1440" s="5">
        <f>INDEX(RatingLookup!$B$2:$B$11,MATCH(A1440,RatingLookup!$A$2:$A$11,0))</f>
        <v>6</v>
      </c>
      <c r="AJ1440" s="5" t="str">
        <f>INDEX(RatingLookup!$C$2:$C$11,MATCH(A1440,RatingLookup!$A$2:$A$11,0))</f>
        <v>Speculative Grade</v>
      </c>
    </row>
    <row r="1441" spans="1:36" x14ac:dyDescent="0.3">
      <c r="A1441" s="3" t="s">
        <v>42</v>
      </c>
      <c r="B1441" s="3" t="s">
        <v>1534</v>
      </c>
      <c r="C1441" s="3" t="s">
        <v>1535</v>
      </c>
      <c r="D1441" s="3" t="s">
        <v>44</v>
      </c>
      <c r="E1441" s="3" t="s">
        <v>1537</v>
      </c>
      <c r="F1441" s="3" t="s">
        <v>219</v>
      </c>
      <c r="G1441" s="3">
        <v>3.374666854</v>
      </c>
      <c r="H1441" s="3">
        <v>1.404965633</v>
      </c>
      <c r="I1441" s="3">
        <v>1.113059335</v>
      </c>
      <c r="J1441" s="3">
        <v>20.096970500000001</v>
      </c>
      <c r="K1441" s="3">
        <v>-0.99005159399999998</v>
      </c>
      <c r="L1441" s="3">
        <v>-0.97089562100000004</v>
      </c>
      <c r="M1441" s="3">
        <v>-0.58825241399999995</v>
      </c>
      <c r="N1441" s="3">
        <v>-0.76578912600000004</v>
      </c>
      <c r="O1441" s="3">
        <v>-0.36376097299999999</v>
      </c>
      <c r="P1441" s="3">
        <v>-0.37881510000000002</v>
      </c>
      <c r="Q1441" s="3">
        <v>-0.62219820400000003</v>
      </c>
      <c r="R1441" s="3">
        <v>0.36741617799999998</v>
      </c>
      <c r="S1441" s="3">
        <v>0.57415650100000004</v>
      </c>
      <c r="T1441" s="3">
        <v>0.69783837699999995</v>
      </c>
      <c r="U1441" s="3">
        <v>0.40798312399999997</v>
      </c>
      <c r="V1441" s="3">
        <v>-1.9730207999999999E-2</v>
      </c>
      <c r="W1441" s="3">
        <v>-0.16109057299999999</v>
      </c>
      <c r="X1441" s="3">
        <v>-0.152877019</v>
      </c>
      <c r="Y1441" s="3">
        <v>0.69597197</v>
      </c>
      <c r="Z1441" s="3">
        <v>1.7104589290000001</v>
      </c>
      <c r="AA1441" s="3">
        <v>-0.95957137199999998</v>
      </c>
      <c r="AB1441" s="3">
        <v>-2.3158430239999999</v>
      </c>
      <c r="AC1441" s="3">
        <v>0.94901281900000001</v>
      </c>
      <c r="AD1441" s="3">
        <v>0.28628125399999999</v>
      </c>
      <c r="AE1441" s="3">
        <v>11.02442608</v>
      </c>
      <c r="AF1441" s="4">
        <v>41701</v>
      </c>
      <c r="AG1441" s="5">
        <f>YEAR(AF1441)</f>
        <v>2014</v>
      </c>
      <c r="AH1441" s="5" t="str">
        <f>"Q"&amp;ROUNDUP(MONTH(AF1441)/3,0)</f>
        <v>Q1</v>
      </c>
      <c r="AI1441" s="5">
        <f>INDEX(RatingLookup!$B$2:$B$11,MATCH(A1441,RatingLookup!$A$2:$A$11,0))</f>
        <v>7</v>
      </c>
      <c r="AJ1441" s="5" t="str">
        <f>INDEX(RatingLookup!$C$2:$C$11,MATCH(A1441,RatingLookup!$A$2:$A$11,0))</f>
        <v>Investment Grade</v>
      </c>
    </row>
    <row r="1442" spans="1:36" x14ac:dyDescent="0.3">
      <c r="A1442" s="3" t="s">
        <v>92</v>
      </c>
      <c r="B1442" s="3" t="s">
        <v>1538</v>
      </c>
      <c r="C1442" s="3" t="s">
        <v>1539</v>
      </c>
      <c r="D1442" s="3" t="s">
        <v>47</v>
      </c>
      <c r="E1442" s="3" t="s">
        <v>682</v>
      </c>
      <c r="F1442" s="3" t="s">
        <v>219</v>
      </c>
      <c r="G1442" s="3">
        <v>4.4427447549999997</v>
      </c>
      <c r="H1442" s="3">
        <v>2.9995629369999999</v>
      </c>
      <c r="I1442" s="3">
        <v>2.881555944</v>
      </c>
      <c r="J1442" s="3">
        <v>3.6281006539999998</v>
      </c>
      <c r="K1442" s="3">
        <v>6.7072624999999997E-2</v>
      </c>
      <c r="L1442" s="3">
        <v>7.3833617000000004E-2</v>
      </c>
      <c r="M1442" s="3">
        <v>0.228082744</v>
      </c>
      <c r="N1442" s="3">
        <v>9.1340557000000003E-2</v>
      </c>
      <c r="O1442" s="3">
        <v>7.3749508000000005E-2</v>
      </c>
      <c r="P1442" s="3">
        <v>9.1489126000000004E-2</v>
      </c>
      <c r="Q1442" s="3">
        <v>0.12528226100000001</v>
      </c>
      <c r="R1442" s="3">
        <v>1.099547066</v>
      </c>
      <c r="S1442" s="3">
        <v>2.5287590579999999</v>
      </c>
      <c r="T1442" s="3">
        <v>0.69875386799999994</v>
      </c>
      <c r="U1442" s="3">
        <v>0.41133320200000001</v>
      </c>
      <c r="V1442" s="3">
        <v>0.12128562800000001</v>
      </c>
      <c r="W1442" s="3">
        <v>0.63540753699999997</v>
      </c>
      <c r="X1442" s="3">
        <v>1.516736402</v>
      </c>
      <c r="Y1442" s="3">
        <v>4.6311018129999999</v>
      </c>
      <c r="Z1442" s="3">
        <v>1.6987538680000001</v>
      </c>
      <c r="AA1442" s="3">
        <v>7.3833617000000004E-2</v>
      </c>
      <c r="AB1442" s="3">
        <v>7.6866477270000004</v>
      </c>
      <c r="AC1442" s="3">
        <v>2.387029289</v>
      </c>
      <c r="AD1442" s="3">
        <v>0.153264082</v>
      </c>
      <c r="AE1442" s="3">
        <v>7.7378815080000001</v>
      </c>
      <c r="AF1442" s="4">
        <v>42620</v>
      </c>
      <c r="AG1442" s="5">
        <f>YEAR(AF1442)</f>
        <v>2016</v>
      </c>
      <c r="AH1442" s="5" t="str">
        <f>"Q"&amp;ROUNDUP(MONTH(AF1442)/3,0)</f>
        <v>Q3</v>
      </c>
      <c r="AI1442" s="5">
        <f>INDEX(RatingLookup!$B$2:$B$11,MATCH(A1442,RatingLookup!$A$2:$A$11,0))</f>
        <v>6</v>
      </c>
      <c r="AJ1442" s="5" t="str">
        <f>INDEX(RatingLookup!$C$2:$C$11,MATCH(A1442,RatingLookup!$A$2:$A$11,0))</f>
        <v>Speculative Grade</v>
      </c>
    </row>
    <row r="1443" spans="1:36" x14ac:dyDescent="0.3">
      <c r="A1443" s="3" t="s">
        <v>109</v>
      </c>
      <c r="B1443" s="3" t="s">
        <v>1538</v>
      </c>
      <c r="C1443" s="3" t="s">
        <v>1539</v>
      </c>
      <c r="D1443" s="3" t="s">
        <v>60</v>
      </c>
      <c r="E1443" s="3" t="s">
        <v>46</v>
      </c>
      <c r="F1443" s="3" t="s">
        <v>219</v>
      </c>
      <c r="G1443" s="3">
        <v>4.7082437280000002</v>
      </c>
      <c r="H1443" s="3">
        <v>6.8279569889999996</v>
      </c>
      <c r="I1443" s="3">
        <v>2.4372759859999999</v>
      </c>
      <c r="J1443" s="3">
        <v>143.50910160000001</v>
      </c>
      <c r="K1443" s="3">
        <v>-0.133613383</v>
      </c>
      <c r="L1443" s="3">
        <v>-0.126685828</v>
      </c>
      <c r="M1443" s="3">
        <v>8.3056967999999995E-2</v>
      </c>
      <c r="N1443" s="3">
        <v>-0.10325005499999999</v>
      </c>
      <c r="O1443" s="3">
        <v>-8.4723585000000004E-2</v>
      </c>
      <c r="P1443" s="3">
        <v>-8.5932812999999997E-2</v>
      </c>
      <c r="Q1443" s="3">
        <v>-0.181136977</v>
      </c>
      <c r="R1443" s="3">
        <v>0.63409505099999997</v>
      </c>
      <c r="S1443" s="3">
        <v>1.7347225770000001</v>
      </c>
      <c r="T1443" s="3">
        <v>1.137975822</v>
      </c>
      <c r="U1443" s="3">
        <v>0.53226786299999995</v>
      </c>
      <c r="V1443" s="3">
        <v>0.227457824</v>
      </c>
      <c r="W1443" s="3">
        <v>1.5323383079999999</v>
      </c>
      <c r="X1443" s="3">
        <v>-0.46246246200000002</v>
      </c>
      <c r="Y1443" s="3">
        <v>3.1456456460000002</v>
      </c>
      <c r="Z1443" s="3">
        <v>2.137975822</v>
      </c>
      <c r="AA1443" s="3">
        <v>-0.126685828</v>
      </c>
      <c r="AB1443" s="3">
        <v>-26.03464052</v>
      </c>
      <c r="AC1443" s="3">
        <v>-0.30180180200000001</v>
      </c>
      <c r="AD1443" s="3">
        <v>-2.9626354000000001E-2</v>
      </c>
      <c r="AE1443" s="3">
        <v>10.17334424</v>
      </c>
      <c r="AF1443" s="4">
        <v>41075</v>
      </c>
      <c r="AG1443" s="5">
        <f>YEAR(AF1443)</f>
        <v>2012</v>
      </c>
      <c r="AH1443" s="5" t="str">
        <f>"Q"&amp;ROUNDUP(MONTH(AF1443)/3,0)</f>
        <v>Q2</v>
      </c>
      <c r="AI1443" s="5">
        <f>INDEX(RatingLookup!$B$2:$B$11,MATCH(A1443,RatingLookup!$A$2:$A$11,0))</f>
        <v>5</v>
      </c>
      <c r="AJ1443" s="5" t="str">
        <f>INDEX(RatingLookup!$C$2:$C$11,MATCH(A1443,RatingLookup!$A$2:$A$11,0))</f>
        <v>Speculative Grade</v>
      </c>
    </row>
    <row r="1444" spans="1:36" x14ac:dyDescent="0.3">
      <c r="A1444" s="3" t="s">
        <v>49</v>
      </c>
      <c r="B1444" s="3" t="s">
        <v>1540</v>
      </c>
      <c r="C1444" s="3" t="s">
        <v>1541</v>
      </c>
      <c r="D1444" s="3" t="s">
        <v>39</v>
      </c>
      <c r="E1444" s="3" t="s">
        <v>525</v>
      </c>
      <c r="F1444" s="3" t="s">
        <v>66</v>
      </c>
      <c r="G1444" s="3">
        <v>2.6114661950000002</v>
      </c>
      <c r="H1444" s="3">
        <v>1.2647813990000001</v>
      </c>
      <c r="I1444" s="3">
        <v>0.553582931</v>
      </c>
      <c r="J1444" s="3">
        <v>23.00108071</v>
      </c>
      <c r="K1444" s="3">
        <v>6.0127034000000003E-2</v>
      </c>
      <c r="L1444" s="3">
        <v>9.1240695999999996E-2</v>
      </c>
      <c r="M1444" s="3">
        <v>0.16143416999999999</v>
      </c>
      <c r="N1444" s="3">
        <v>9.1240695999999996E-2</v>
      </c>
      <c r="O1444" s="3">
        <v>0.10704309300000001</v>
      </c>
      <c r="P1444" s="3">
        <v>0.193255549</v>
      </c>
      <c r="Q1444" s="3">
        <v>0.15892619799999999</v>
      </c>
      <c r="R1444" s="3">
        <v>1.780282269</v>
      </c>
      <c r="S1444" s="3">
        <v>9.1608412979999994</v>
      </c>
      <c r="T1444" s="3">
        <v>0.48469363100000001</v>
      </c>
      <c r="U1444" s="3">
        <v>0.32646036899999997</v>
      </c>
      <c r="V1444" s="3">
        <v>0.33616612000000001</v>
      </c>
      <c r="W1444" s="3">
        <v>0.83261028100000001</v>
      </c>
      <c r="X1444" s="3">
        <v>2.009114056</v>
      </c>
      <c r="Y1444" s="3">
        <v>1.6650461379999999</v>
      </c>
      <c r="Z1444" s="3">
        <v>1.4846936310000001</v>
      </c>
      <c r="AA1444" s="3">
        <v>9.1240695999999996E-2</v>
      </c>
      <c r="AB1444" s="3">
        <v>6.2357594729999999</v>
      </c>
      <c r="AC1444" s="3">
        <v>2.4130305660000002</v>
      </c>
      <c r="AD1444" s="3">
        <v>7.2878224000000005E-2</v>
      </c>
      <c r="AE1444" s="3">
        <v>18.949499589999999</v>
      </c>
      <c r="AF1444" s="4">
        <v>41719</v>
      </c>
      <c r="AG1444" s="5">
        <f>YEAR(AF1444)</f>
        <v>2014</v>
      </c>
      <c r="AH1444" s="5" t="str">
        <f>"Q"&amp;ROUNDUP(MONTH(AF1444)/3,0)</f>
        <v>Q1</v>
      </c>
      <c r="AI1444" s="5">
        <f>INDEX(RatingLookup!$B$2:$B$11,MATCH(A1444,RatingLookup!$A$2:$A$11,0))</f>
        <v>9</v>
      </c>
      <c r="AJ1444" s="5" t="str">
        <f>INDEX(RatingLookup!$C$2:$C$11,MATCH(A1444,RatingLookup!$A$2:$A$11,0))</f>
        <v>Investment Grade</v>
      </c>
    </row>
    <row r="1445" spans="1:36" x14ac:dyDescent="0.3">
      <c r="A1445" s="3" t="s">
        <v>36</v>
      </c>
      <c r="B1445" s="3" t="s">
        <v>1540</v>
      </c>
      <c r="C1445" s="3" t="s">
        <v>1541</v>
      </c>
      <c r="D1445" s="3" t="s">
        <v>60</v>
      </c>
      <c r="E1445" s="3" t="s">
        <v>46</v>
      </c>
      <c r="F1445" s="3" t="s">
        <v>66</v>
      </c>
      <c r="G1445" s="3">
        <v>2.5678064109999998</v>
      </c>
      <c r="H1445" s="3">
        <v>1.2854471810000001</v>
      </c>
      <c r="I1445" s="3">
        <v>0.59514049300000005</v>
      </c>
      <c r="J1445" s="3">
        <v>21.317701419999999</v>
      </c>
      <c r="K1445" s="3">
        <v>6.0062021E-2</v>
      </c>
      <c r="L1445" s="3">
        <v>9.1048499000000005E-2</v>
      </c>
      <c r="M1445" s="3">
        <v>0.16898010899999999</v>
      </c>
      <c r="N1445" s="3">
        <v>9.1048499000000005E-2</v>
      </c>
      <c r="O1445" s="3">
        <v>0.111722742</v>
      </c>
      <c r="P1445" s="3">
        <v>0.20738415599999999</v>
      </c>
      <c r="Q1445" s="3">
        <v>0.17849815999999999</v>
      </c>
      <c r="R1445" s="3">
        <v>1.860122925</v>
      </c>
      <c r="S1445" s="3">
        <v>8.7037548640000004</v>
      </c>
      <c r="T1445" s="3">
        <v>0.59768868399999997</v>
      </c>
      <c r="U1445" s="3">
        <v>0.37409583600000001</v>
      </c>
      <c r="V1445" s="3">
        <v>0.33337228499999999</v>
      </c>
      <c r="W1445" s="3">
        <v>0.80241559799999995</v>
      </c>
      <c r="X1445" s="3">
        <v>1.4773906320000001</v>
      </c>
      <c r="Y1445" s="3">
        <v>2.0240958880000002</v>
      </c>
      <c r="Z1445" s="3">
        <v>1.597688684</v>
      </c>
      <c r="AA1445" s="3">
        <v>9.1048499000000005E-2</v>
      </c>
      <c r="AB1445" s="3">
        <v>4.3735157610000002</v>
      </c>
      <c r="AC1445" s="3">
        <v>1.8411788549999999</v>
      </c>
      <c r="AD1445" s="3">
        <v>6.2124568999999998E-2</v>
      </c>
      <c r="AE1445" s="3">
        <v>16.815642369999999</v>
      </c>
      <c r="AF1445" s="4">
        <v>41075</v>
      </c>
      <c r="AG1445" s="5">
        <f>YEAR(AF1445)</f>
        <v>2012</v>
      </c>
      <c r="AH1445" s="5" t="str">
        <f>"Q"&amp;ROUNDUP(MONTH(AF1445)/3,0)</f>
        <v>Q2</v>
      </c>
      <c r="AI1445" s="5">
        <f>INDEX(RatingLookup!$B$2:$B$11,MATCH(A1445,RatingLookup!$A$2:$A$11,0))</f>
        <v>8</v>
      </c>
      <c r="AJ1445" s="5" t="str">
        <f>INDEX(RatingLookup!$C$2:$C$11,MATCH(A1445,RatingLookup!$A$2:$A$11,0))</f>
        <v>Investment Grade</v>
      </c>
    </row>
    <row r="1446" spans="1:36" x14ac:dyDescent="0.3">
      <c r="A1446" s="3" t="s">
        <v>49</v>
      </c>
      <c r="B1446" s="3" t="s">
        <v>1540</v>
      </c>
      <c r="C1446" s="3" t="s">
        <v>1541</v>
      </c>
      <c r="D1446" s="3" t="s">
        <v>39</v>
      </c>
      <c r="E1446" s="3" t="s">
        <v>950</v>
      </c>
      <c r="F1446" s="3" t="s">
        <v>66</v>
      </c>
      <c r="G1446" s="3">
        <v>2.2339885530000001</v>
      </c>
      <c r="H1446" s="3">
        <v>0.99211159199999999</v>
      </c>
      <c r="I1446" s="3">
        <v>0.35003330900000001</v>
      </c>
      <c r="J1446" s="3">
        <v>23.88051488</v>
      </c>
      <c r="K1446" s="3">
        <v>6.4690901999999995E-2</v>
      </c>
      <c r="L1446" s="3">
        <v>9.8983110999999999E-2</v>
      </c>
      <c r="M1446" s="3">
        <v>0.16798411299999999</v>
      </c>
      <c r="N1446" s="3">
        <v>9.8983110999999999E-2</v>
      </c>
      <c r="O1446" s="3">
        <v>0.110469041</v>
      </c>
      <c r="P1446" s="3">
        <v>0.20488046100000001</v>
      </c>
      <c r="Q1446" s="3">
        <v>0.16714665000000001</v>
      </c>
      <c r="R1446" s="3">
        <v>1.7076441739999999</v>
      </c>
      <c r="S1446" s="3">
        <v>9.2998232119999997</v>
      </c>
      <c r="T1446" s="3">
        <v>0.51306328499999998</v>
      </c>
      <c r="U1446" s="3">
        <v>0.33908911200000003</v>
      </c>
      <c r="V1446" s="3">
        <v>0.34281333200000003</v>
      </c>
      <c r="W1446" s="3">
        <v>0.78692934199999998</v>
      </c>
      <c r="X1446" s="3">
        <v>2.2278781859999999</v>
      </c>
      <c r="Y1446" s="3">
        <v>1.2798318500000001</v>
      </c>
      <c r="Z1446" s="3">
        <v>1.5130632850000001</v>
      </c>
      <c r="AA1446" s="3">
        <v>9.8983110999999999E-2</v>
      </c>
      <c r="AB1446" s="3">
        <v>6.3536089469999997</v>
      </c>
      <c r="AC1446" s="3">
        <v>2.8311032100000002</v>
      </c>
      <c r="AD1446" s="3">
        <v>8.0169436999999996E-2</v>
      </c>
      <c r="AE1446" s="3">
        <v>16.013637249999999</v>
      </c>
      <c r="AF1446" s="4">
        <v>42164</v>
      </c>
      <c r="AG1446" s="5">
        <f>YEAR(AF1446)</f>
        <v>2015</v>
      </c>
      <c r="AH1446" s="5" t="str">
        <f>"Q"&amp;ROUNDUP(MONTH(AF1446)/3,0)</f>
        <v>Q2</v>
      </c>
      <c r="AI1446" s="5">
        <f>INDEX(RatingLookup!$B$2:$B$11,MATCH(A1446,RatingLookup!$A$2:$A$11,0))</f>
        <v>9</v>
      </c>
      <c r="AJ1446" s="5" t="str">
        <f>INDEX(RatingLookup!$C$2:$C$11,MATCH(A1446,RatingLookup!$A$2:$A$11,0))</f>
        <v>Investment Grade</v>
      </c>
    </row>
    <row r="1447" spans="1:36" x14ac:dyDescent="0.3">
      <c r="A1447" s="3" t="s">
        <v>49</v>
      </c>
      <c r="B1447" s="3" t="s">
        <v>1540</v>
      </c>
      <c r="C1447" s="3" t="s">
        <v>1541</v>
      </c>
      <c r="D1447" s="3" t="s">
        <v>39</v>
      </c>
      <c r="E1447" s="3" t="s">
        <v>333</v>
      </c>
      <c r="F1447" s="3" t="s">
        <v>66</v>
      </c>
      <c r="G1447" s="3">
        <v>1.699332386</v>
      </c>
      <c r="H1447" s="3">
        <v>0.79027449999999999</v>
      </c>
      <c r="I1447" s="3">
        <v>0.28602294</v>
      </c>
      <c r="J1447" s="3">
        <v>23.864394910000001</v>
      </c>
      <c r="K1447" s="3">
        <v>7.4060681000000003E-2</v>
      </c>
      <c r="L1447" s="3">
        <v>0.114114706</v>
      </c>
      <c r="M1447" s="3">
        <v>0.19522967899999999</v>
      </c>
      <c r="N1447" s="3">
        <v>0.115213275</v>
      </c>
      <c r="O1447" s="3">
        <v>0.11174379199999999</v>
      </c>
      <c r="P1447" s="3">
        <v>0.214613202</v>
      </c>
      <c r="Q1447" s="3">
        <v>0.17159930500000001</v>
      </c>
      <c r="R1447" s="3">
        <v>1.5088140050000001</v>
      </c>
      <c r="S1447" s="3">
        <v>9.1563762989999997</v>
      </c>
      <c r="T1447" s="3">
        <v>0.53564955999999997</v>
      </c>
      <c r="U1447" s="3">
        <v>0.34880976400000002</v>
      </c>
      <c r="V1447" s="3">
        <v>0.34988549299999999</v>
      </c>
      <c r="W1447" s="3">
        <v>0.85477402999999996</v>
      </c>
      <c r="X1447" s="3">
        <v>3.210976552</v>
      </c>
      <c r="Y1447" s="3">
        <v>1.339498319</v>
      </c>
      <c r="Z1447" s="3">
        <v>1.53564956</v>
      </c>
      <c r="AA1447" s="3">
        <v>0.114114706</v>
      </c>
      <c r="AB1447" s="3">
        <v>7.9155001939999998</v>
      </c>
      <c r="AC1447" s="3">
        <v>3.756520949</v>
      </c>
      <c r="AD1447" s="3">
        <v>0.107081894</v>
      </c>
      <c r="AE1447" s="3">
        <v>15.051536690000001</v>
      </c>
      <c r="AF1447" s="4">
        <v>42271</v>
      </c>
      <c r="AG1447" s="5">
        <f>YEAR(AF1447)</f>
        <v>2015</v>
      </c>
      <c r="AH1447" s="5" t="str">
        <f>"Q"&amp;ROUNDUP(MONTH(AF1447)/3,0)</f>
        <v>Q3</v>
      </c>
      <c r="AI1447" s="5">
        <f>INDEX(RatingLookup!$B$2:$B$11,MATCH(A1447,RatingLookup!$A$2:$A$11,0))</f>
        <v>9</v>
      </c>
      <c r="AJ1447" s="5" t="str">
        <f>INDEX(RatingLookup!$C$2:$C$11,MATCH(A1447,RatingLookup!$A$2:$A$11,0))</f>
        <v>Investment Grade</v>
      </c>
    </row>
    <row r="1448" spans="1:36" x14ac:dyDescent="0.3">
      <c r="A1448" s="3" t="s">
        <v>36</v>
      </c>
      <c r="B1448" s="3" t="s">
        <v>1540</v>
      </c>
      <c r="C1448" s="3" t="s">
        <v>1541</v>
      </c>
      <c r="D1448" s="3" t="s">
        <v>39</v>
      </c>
      <c r="E1448" s="3" t="s">
        <v>1127</v>
      </c>
      <c r="F1448" s="3" t="s">
        <v>66</v>
      </c>
      <c r="G1448" s="3">
        <v>2.9513976849999999</v>
      </c>
      <c r="H1448" s="3">
        <v>1.611110263</v>
      </c>
      <c r="I1448" s="3">
        <v>0.86784687800000004</v>
      </c>
      <c r="J1448" s="3">
        <v>22.48540702</v>
      </c>
      <c r="K1448" s="3">
        <v>6.0754470999999997E-2</v>
      </c>
      <c r="L1448" s="3">
        <v>9.2135270000000005E-2</v>
      </c>
      <c r="M1448" s="3">
        <v>0.16181562399999999</v>
      </c>
      <c r="N1448" s="3">
        <v>9.2135270000000005E-2</v>
      </c>
      <c r="O1448" s="3">
        <v>0.10956479500000001</v>
      </c>
      <c r="P1448" s="3">
        <v>0.20074167500000001</v>
      </c>
      <c r="Q1448" s="3">
        <v>0.177356971</v>
      </c>
      <c r="R1448" s="3">
        <v>1.8034030050000001</v>
      </c>
      <c r="S1448" s="3">
        <v>8.9030265659999994</v>
      </c>
      <c r="T1448" s="3">
        <v>0.618740501</v>
      </c>
      <c r="U1448" s="3">
        <v>0.38223575700000001</v>
      </c>
      <c r="V1448" s="3">
        <v>0.33411882599999998</v>
      </c>
      <c r="W1448" s="3">
        <v>0.74448077499999998</v>
      </c>
      <c r="X1448" s="3">
        <v>1.463103399</v>
      </c>
      <c r="Y1448" s="3">
        <v>2.8837686840000001</v>
      </c>
      <c r="Z1448" s="3">
        <v>1.618740501</v>
      </c>
      <c r="AA1448" s="3">
        <v>9.2135270000000005E-2</v>
      </c>
      <c r="AB1448" s="3">
        <v>4.0934766109999998</v>
      </c>
      <c r="AC1448" s="3">
        <v>1.9652668659999999</v>
      </c>
      <c r="AD1448" s="3">
        <v>6.2908729999999996E-2</v>
      </c>
      <c r="AE1448" s="3">
        <v>17.878285049999999</v>
      </c>
      <c r="AF1448" s="4">
        <v>41443</v>
      </c>
      <c r="AG1448" s="5">
        <f>YEAR(AF1448)</f>
        <v>2013</v>
      </c>
      <c r="AH1448" s="5" t="str">
        <f>"Q"&amp;ROUNDUP(MONTH(AF1448)/3,0)</f>
        <v>Q2</v>
      </c>
      <c r="AI1448" s="5">
        <f>INDEX(RatingLookup!$B$2:$B$11,MATCH(A1448,RatingLookup!$A$2:$A$11,0))</f>
        <v>8</v>
      </c>
      <c r="AJ1448" s="5" t="str">
        <f>INDEX(RatingLookup!$C$2:$C$11,MATCH(A1448,RatingLookup!$A$2:$A$11,0))</f>
        <v>Investment Grade</v>
      </c>
    </row>
    <row r="1449" spans="1:36" x14ac:dyDescent="0.3">
      <c r="A1449" s="3" t="s">
        <v>42</v>
      </c>
      <c r="B1449" s="3" t="s">
        <v>1542</v>
      </c>
      <c r="C1449" s="3" t="s">
        <v>1543</v>
      </c>
      <c r="D1449" s="3" t="s">
        <v>39</v>
      </c>
      <c r="E1449" s="3" t="s">
        <v>114</v>
      </c>
      <c r="F1449" s="3" t="s">
        <v>53</v>
      </c>
      <c r="G1449" s="3">
        <v>2.223902292</v>
      </c>
      <c r="H1449" s="3">
        <v>1.304136237</v>
      </c>
      <c r="I1449" s="3">
        <v>0.45387856700000001</v>
      </c>
      <c r="J1449" s="3">
        <v>10.89413897</v>
      </c>
      <c r="K1449" s="3">
        <v>1.4232309E-2</v>
      </c>
      <c r="L1449" s="3">
        <v>2.3653726999999999E-2</v>
      </c>
      <c r="M1449" s="3">
        <v>0.108198169</v>
      </c>
      <c r="N1449" s="3">
        <v>2.6084065E-2</v>
      </c>
      <c r="O1449" s="3">
        <v>3.0473726999999999E-2</v>
      </c>
      <c r="P1449" s="3">
        <v>5.8589561999999998E-2</v>
      </c>
      <c r="Q1449" s="3">
        <v>5.0925630999999999E-2</v>
      </c>
      <c r="R1449" s="3">
        <v>2.1411654009999999</v>
      </c>
      <c r="S1449" s="3">
        <v>5.3845843889999996</v>
      </c>
      <c r="T1449" s="3">
        <v>0.67113236600000004</v>
      </c>
      <c r="U1449" s="3">
        <v>0.40160335600000002</v>
      </c>
      <c r="V1449" s="3">
        <v>0.301972193</v>
      </c>
      <c r="W1449" s="3">
        <v>0.360658374</v>
      </c>
      <c r="X1449" s="3">
        <v>1.38709105</v>
      </c>
      <c r="Y1449" s="3">
        <v>5.2833053640000003</v>
      </c>
      <c r="Z1449" s="3">
        <v>1.6711323659999999</v>
      </c>
      <c r="AA1449" s="3">
        <v>2.3653726999999999E-2</v>
      </c>
      <c r="AB1449" s="3">
        <v>8.6150237050000005</v>
      </c>
      <c r="AC1449" s="3">
        <v>3.8459970700000001</v>
      </c>
      <c r="AD1449" s="3">
        <v>3.8382080999999998E-2</v>
      </c>
      <c r="AE1449" s="3">
        <v>15.90583754</v>
      </c>
      <c r="AF1449" s="4">
        <v>42095</v>
      </c>
      <c r="AG1449" s="5">
        <f>YEAR(AF1449)</f>
        <v>2015</v>
      </c>
      <c r="AH1449" s="5" t="str">
        <f>"Q"&amp;ROUNDUP(MONTH(AF1449)/3,0)</f>
        <v>Q2</v>
      </c>
      <c r="AI1449" s="5">
        <f>INDEX(RatingLookup!$B$2:$B$11,MATCH(A1449,RatingLookup!$A$2:$A$11,0))</f>
        <v>7</v>
      </c>
      <c r="AJ1449" s="5" t="str">
        <f>INDEX(RatingLookup!$C$2:$C$11,MATCH(A1449,RatingLookup!$A$2:$A$11,0))</f>
        <v>Investment Grade</v>
      </c>
    </row>
    <row r="1450" spans="1:36" x14ac:dyDescent="0.3">
      <c r="A1450" s="3" t="s">
        <v>42</v>
      </c>
      <c r="B1450" s="3" t="s">
        <v>1542</v>
      </c>
      <c r="C1450" s="3" t="s">
        <v>1543</v>
      </c>
      <c r="D1450" s="3" t="s">
        <v>39</v>
      </c>
      <c r="E1450" s="3" t="s">
        <v>132</v>
      </c>
      <c r="F1450" s="3" t="s">
        <v>53</v>
      </c>
      <c r="G1450" s="3">
        <v>1.6825932619999999</v>
      </c>
      <c r="H1450" s="3">
        <v>0.65363722499999999</v>
      </c>
      <c r="I1450" s="3">
        <v>7.7308668999999997E-2</v>
      </c>
      <c r="J1450" s="3">
        <v>9.7048456250000008</v>
      </c>
      <c r="K1450" s="3">
        <v>5.5907650000000003E-2</v>
      </c>
      <c r="L1450" s="3">
        <v>9.1295914000000006E-2</v>
      </c>
      <c r="M1450" s="3">
        <v>0.22652365299999999</v>
      </c>
      <c r="N1450" s="3">
        <v>9.3999132999999999E-2</v>
      </c>
      <c r="O1450" s="3">
        <v>8.8230164E-2</v>
      </c>
      <c r="P1450" s="3">
        <v>0.160549779</v>
      </c>
      <c r="Q1450" s="3">
        <v>0.14087997999999999</v>
      </c>
      <c r="R1450" s="3">
        <v>1.5781411700000001</v>
      </c>
      <c r="S1450" s="3">
        <v>3.216474045</v>
      </c>
      <c r="T1450" s="3">
        <v>0.596732602</v>
      </c>
      <c r="U1450" s="3">
        <v>0.37372106100000002</v>
      </c>
      <c r="V1450" s="3">
        <v>0.33598440499999999</v>
      </c>
      <c r="W1450" s="3">
        <v>0.40626422699999998</v>
      </c>
      <c r="X1450" s="3">
        <v>2.1087526689999998</v>
      </c>
      <c r="Y1450" s="3">
        <v>1.115619586</v>
      </c>
      <c r="Z1450" s="3">
        <v>1.5967326019999999</v>
      </c>
      <c r="AA1450" s="3">
        <v>9.1295914000000006E-2</v>
      </c>
      <c r="AB1450" s="3">
        <v>4.7616542109999997</v>
      </c>
      <c r="AC1450" s="3">
        <v>5.1905940199999998</v>
      </c>
      <c r="AD1450" s="3">
        <v>7.4001504999999995E-2</v>
      </c>
      <c r="AE1450" s="3">
        <v>14.290803779999999</v>
      </c>
      <c r="AF1450" s="4">
        <v>42244</v>
      </c>
      <c r="AG1450" s="5">
        <f>YEAR(AF1450)</f>
        <v>2015</v>
      </c>
      <c r="AH1450" s="5" t="str">
        <f>"Q"&amp;ROUNDUP(MONTH(AF1450)/3,0)</f>
        <v>Q3</v>
      </c>
      <c r="AI1450" s="5">
        <f>INDEX(RatingLookup!$B$2:$B$11,MATCH(A1450,RatingLookup!$A$2:$A$11,0))</f>
        <v>7</v>
      </c>
      <c r="AJ1450" s="5" t="str">
        <f>INDEX(RatingLookup!$C$2:$C$11,MATCH(A1450,RatingLookup!$A$2:$A$11,0))</f>
        <v>Investment Grade</v>
      </c>
    </row>
    <row r="1451" spans="1:36" x14ac:dyDescent="0.3">
      <c r="A1451" s="3" t="s">
        <v>36</v>
      </c>
      <c r="B1451" s="3" t="s">
        <v>1542</v>
      </c>
      <c r="C1451" s="3" t="s">
        <v>1543</v>
      </c>
      <c r="D1451" s="3" t="s">
        <v>39</v>
      </c>
      <c r="E1451" s="3" t="s">
        <v>366</v>
      </c>
      <c r="F1451" s="3" t="s">
        <v>53</v>
      </c>
      <c r="G1451" s="3">
        <v>2.3269437260000001</v>
      </c>
      <c r="H1451" s="3">
        <v>1.4177839219999999</v>
      </c>
      <c r="I1451" s="3">
        <v>0.56142646399999996</v>
      </c>
      <c r="J1451" s="3">
        <v>12.83261626</v>
      </c>
      <c r="K1451" s="3">
        <v>3.6499085000000001E-2</v>
      </c>
      <c r="L1451" s="3">
        <v>5.7508273999999998E-2</v>
      </c>
      <c r="M1451" s="3">
        <v>0.137314291</v>
      </c>
      <c r="N1451" s="3">
        <v>6.1807508999999997E-2</v>
      </c>
      <c r="O1451" s="3">
        <v>7.3169046000000001E-2</v>
      </c>
      <c r="P1451" s="3">
        <v>0.138315982</v>
      </c>
      <c r="Q1451" s="3">
        <v>0.122648101</v>
      </c>
      <c r="R1451" s="3">
        <v>2.004681637</v>
      </c>
      <c r="S1451" s="3">
        <v>5.9390160129999998</v>
      </c>
      <c r="T1451" s="3">
        <v>0.67622932800000002</v>
      </c>
      <c r="U1451" s="3">
        <v>0.40342291899999999</v>
      </c>
      <c r="V1451" s="3">
        <v>0.337740502</v>
      </c>
      <c r="W1451" s="3">
        <v>0.57054513799999995</v>
      </c>
      <c r="X1451" s="3">
        <v>2.474331276</v>
      </c>
      <c r="Y1451" s="3">
        <v>8.3089078379999997</v>
      </c>
      <c r="Z1451" s="3">
        <v>1.676229328</v>
      </c>
      <c r="AA1451" s="3">
        <v>5.7508273999999998E-2</v>
      </c>
      <c r="AB1451" s="3">
        <v>6.117451333</v>
      </c>
      <c r="AC1451" s="3">
        <v>4.3367844370000004</v>
      </c>
      <c r="AD1451" s="3">
        <v>4.3112591999999998E-2</v>
      </c>
      <c r="AE1451" s="3">
        <v>13.12248524</v>
      </c>
      <c r="AF1451" s="4">
        <v>41801</v>
      </c>
      <c r="AG1451" s="5">
        <f>YEAR(AF1451)</f>
        <v>2014</v>
      </c>
      <c r="AH1451" s="5" t="str">
        <f>"Q"&amp;ROUNDUP(MONTH(AF1451)/3,0)</f>
        <v>Q2</v>
      </c>
      <c r="AI1451" s="5">
        <f>INDEX(RatingLookup!$B$2:$B$11,MATCH(A1451,RatingLookup!$A$2:$A$11,0))</f>
        <v>8</v>
      </c>
      <c r="AJ1451" s="5" t="str">
        <f>INDEX(RatingLookup!$C$2:$C$11,MATCH(A1451,RatingLookup!$A$2:$A$11,0))</f>
        <v>Investment Grade</v>
      </c>
    </row>
    <row r="1452" spans="1:36" x14ac:dyDescent="0.3">
      <c r="A1452" s="3" t="s">
        <v>92</v>
      </c>
      <c r="B1452" s="3" t="s">
        <v>1542</v>
      </c>
      <c r="C1452" s="3" t="s">
        <v>1543</v>
      </c>
      <c r="D1452" s="3" t="s">
        <v>60</v>
      </c>
      <c r="E1452" s="3" t="s">
        <v>46</v>
      </c>
      <c r="F1452" s="3" t="s">
        <v>53</v>
      </c>
      <c r="G1452" s="3">
        <v>1.7721627609999999</v>
      </c>
      <c r="H1452" s="3">
        <v>1.231533996</v>
      </c>
      <c r="I1452" s="3">
        <v>0.60055814600000001</v>
      </c>
      <c r="J1452" s="3">
        <v>34.213531330000002</v>
      </c>
      <c r="K1452" s="3">
        <v>6.6284214999999994E-2</v>
      </c>
      <c r="L1452" s="3">
        <v>0.106330647</v>
      </c>
      <c r="M1452" s="3">
        <v>0.17872631899999999</v>
      </c>
      <c r="N1452" s="3">
        <v>0.11215032</v>
      </c>
      <c r="O1452" s="3">
        <v>9.9218090999999994E-2</v>
      </c>
      <c r="P1452" s="3">
        <v>0.213607727</v>
      </c>
      <c r="Q1452" s="3">
        <v>0.196655464</v>
      </c>
      <c r="R1452" s="3">
        <v>1.4968584890000001</v>
      </c>
      <c r="S1452" s="3">
        <v>5.0573234349999998</v>
      </c>
      <c r="T1452" s="3">
        <v>0.98205249400000005</v>
      </c>
      <c r="U1452" s="3">
        <v>0.49547249500000001</v>
      </c>
      <c r="V1452" s="3">
        <v>0.35450616600000001</v>
      </c>
      <c r="W1452" s="3">
        <v>0.74977117999999998</v>
      </c>
      <c r="X1452" s="3">
        <v>6.3317075330000003</v>
      </c>
      <c r="Y1452" s="3">
        <v>11.297799169999999</v>
      </c>
      <c r="Z1452" s="3">
        <v>1.9820524939999999</v>
      </c>
      <c r="AA1452" s="3">
        <v>0.106330647</v>
      </c>
      <c r="AB1452" s="3">
        <v>2.313889063</v>
      </c>
      <c r="AC1452" s="3">
        <v>8.4448531730000003</v>
      </c>
      <c r="AD1452" s="3">
        <v>8.6686004999999997E-2</v>
      </c>
      <c r="AE1452" s="3">
        <v>5.6529964259999996</v>
      </c>
      <c r="AF1452" s="4">
        <v>41075</v>
      </c>
      <c r="AG1452" s="5">
        <f>YEAR(AF1452)</f>
        <v>2012</v>
      </c>
      <c r="AH1452" s="5" t="str">
        <f>"Q"&amp;ROUNDUP(MONTH(AF1452)/3,0)</f>
        <v>Q2</v>
      </c>
      <c r="AI1452" s="5">
        <f>INDEX(RatingLookup!$B$2:$B$11,MATCH(A1452,RatingLookup!$A$2:$A$11,0))</f>
        <v>6</v>
      </c>
      <c r="AJ1452" s="5" t="str">
        <f>INDEX(RatingLookup!$C$2:$C$11,MATCH(A1452,RatingLookup!$A$2:$A$11,0))</f>
        <v>Speculative Grade</v>
      </c>
    </row>
    <row r="1453" spans="1:36" x14ac:dyDescent="0.3">
      <c r="A1453" s="3" t="s">
        <v>42</v>
      </c>
      <c r="B1453" s="3" t="s">
        <v>1542</v>
      </c>
      <c r="C1453" s="3" t="s">
        <v>1543</v>
      </c>
      <c r="D1453" s="3" t="s">
        <v>39</v>
      </c>
      <c r="E1453" s="3" t="s">
        <v>1056</v>
      </c>
      <c r="F1453" s="3" t="s">
        <v>53</v>
      </c>
      <c r="G1453" s="3">
        <v>2.7019741979999998</v>
      </c>
      <c r="H1453" s="3">
        <v>1.8269068040000001</v>
      </c>
      <c r="I1453" s="3">
        <v>1.0624106950000001</v>
      </c>
      <c r="J1453" s="3">
        <v>11.52242946</v>
      </c>
      <c r="K1453" s="3">
        <v>8.5968629000000005E-2</v>
      </c>
      <c r="L1453" s="3">
        <v>8.3376736000000007E-2</v>
      </c>
      <c r="M1453" s="3">
        <v>0.211544442</v>
      </c>
      <c r="N1453" s="3">
        <v>0.14355610099999999</v>
      </c>
      <c r="O1453" s="3">
        <v>0.167215849</v>
      </c>
      <c r="P1453" s="3">
        <v>0.193104936</v>
      </c>
      <c r="Q1453" s="3">
        <v>0.285343652</v>
      </c>
      <c r="R1453" s="3">
        <v>1.945079856</v>
      </c>
      <c r="S1453" s="3">
        <v>6.2887670199999999</v>
      </c>
      <c r="T1453" s="3">
        <v>0.70643903799999996</v>
      </c>
      <c r="U1453" s="3">
        <v>0.41398433899999998</v>
      </c>
      <c r="V1453" s="3">
        <v>0.61367238599999996</v>
      </c>
      <c r="W1453" s="3">
        <v>0.82538264900000002</v>
      </c>
      <c r="X1453" s="3">
        <v>6.6849806860000003</v>
      </c>
      <c r="Y1453" s="3">
        <v>11.63376995</v>
      </c>
      <c r="Z1453" s="3">
        <v>1.7064390380000001</v>
      </c>
      <c r="AA1453" s="3">
        <v>8.3376736000000007E-2</v>
      </c>
      <c r="AB1453" s="3">
        <v>3.1713618929999998</v>
      </c>
      <c r="AC1453" s="3">
        <v>8.0992503249999999</v>
      </c>
      <c r="AD1453" s="3">
        <v>8.2758939000000004E-2</v>
      </c>
      <c r="AE1453" s="3">
        <v>12.05389868</v>
      </c>
      <c r="AF1453" s="4">
        <v>41438</v>
      </c>
      <c r="AG1453" s="5">
        <f>YEAR(AF1453)</f>
        <v>2013</v>
      </c>
      <c r="AH1453" s="5" t="str">
        <f>"Q"&amp;ROUNDUP(MONTH(AF1453)/3,0)</f>
        <v>Q2</v>
      </c>
      <c r="AI1453" s="5">
        <f>INDEX(RatingLookup!$B$2:$B$11,MATCH(A1453,RatingLookup!$A$2:$A$11,0))</f>
        <v>7</v>
      </c>
      <c r="AJ1453" s="5" t="str">
        <f>INDEX(RatingLookup!$C$2:$C$11,MATCH(A1453,RatingLookup!$A$2:$A$11,0))</f>
        <v>Investment Grade</v>
      </c>
    </row>
    <row r="1454" spans="1:36" x14ac:dyDescent="0.3">
      <c r="A1454" s="3" t="s">
        <v>42</v>
      </c>
      <c r="B1454" s="3" t="s">
        <v>1542</v>
      </c>
      <c r="C1454" s="3" t="s">
        <v>1543</v>
      </c>
      <c r="D1454" s="3" t="s">
        <v>47</v>
      </c>
      <c r="E1454" s="3" t="s">
        <v>644</v>
      </c>
      <c r="F1454" s="3" t="s">
        <v>53</v>
      </c>
      <c r="G1454" s="3">
        <v>2.6319540930000001</v>
      </c>
      <c r="H1454" s="3">
        <v>1.489921337</v>
      </c>
      <c r="I1454" s="3">
        <v>0.65598225300000002</v>
      </c>
      <c r="J1454" s="3">
        <v>16.601425150000001</v>
      </c>
      <c r="K1454" s="3">
        <v>-2.4720995999999999E-2</v>
      </c>
      <c r="L1454" s="3">
        <v>-1.6281215000000002E-2</v>
      </c>
      <c r="M1454" s="3">
        <v>0.16797868199999999</v>
      </c>
      <c r="N1454" s="3">
        <v>-9.4808129999999994E-3</v>
      </c>
      <c r="O1454" s="3">
        <v>-2.7603048000000002E-2</v>
      </c>
      <c r="P1454" s="3">
        <v>-2.0537012E-2</v>
      </c>
      <c r="Q1454" s="3">
        <v>-5.5635779000000003E-2</v>
      </c>
      <c r="R1454" s="3">
        <v>1.116583141</v>
      </c>
      <c r="S1454" s="3">
        <v>2.6283738740000002</v>
      </c>
      <c r="T1454" s="3">
        <v>1.0155665169999999</v>
      </c>
      <c r="U1454" s="3">
        <v>0.50386157399999998</v>
      </c>
      <c r="V1454" s="3">
        <v>-0.113161239</v>
      </c>
      <c r="W1454" s="3">
        <v>0.38201407700000001</v>
      </c>
      <c r="X1454" s="3">
        <v>1.306500247</v>
      </c>
      <c r="Y1454" s="3">
        <v>6.4436147439999996</v>
      </c>
      <c r="Z1454" s="3">
        <v>2.0155665169999999</v>
      </c>
      <c r="AA1454" s="3">
        <v>-1.6281215000000002E-2</v>
      </c>
      <c r="AB1454" s="3">
        <v>25.462363719999999</v>
      </c>
      <c r="AC1454" s="3">
        <v>3.4200316860000002</v>
      </c>
      <c r="AD1454" s="3">
        <v>5.7164782999999997E-2</v>
      </c>
      <c r="AE1454" s="3">
        <v>9.3714441189999995</v>
      </c>
      <c r="AF1454" s="4">
        <v>42690</v>
      </c>
      <c r="AG1454" s="5">
        <f>YEAR(AF1454)</f>
        <v>2016</v>
      </c>
      <c r="AH1454" s="5" t="str">
        <f>"Q"&amp;ROUNDUP(MONTH(AF1454)/3,0)</f>
        <v>Q4</v>
      </c>
      <c r="AI1454" s="5">
        <f>INDEX(RatingLookup!$B$2:$B$11,MATCH(A1454,RatingLookup!$A$2:$A$11,0))</f>
        <v>7</v>
      </c>
      <c r="AJ1454" s="5" t="str">
        <f>INDEX(RatingLookup!$C$2:$C$11,MATCH(A1454,RatingLookup!$A$2:$A$11,0))</f>
        <v>Investment Grade</v>
      </c>
    </row>
    <row r="1455" spans="1:36" x14ac:dyDescent="0.3">
      <c r="A1455" s="3" t="s">
        <v>92</v>
      </c>
      <c r="B1455" s="3" t="s">
        <v>1544</v>
      </c>
      <c r="C1455" s="3" t="s">
        <v>1545</v>
      </c>
      <c r="D1455" s="3" t="s">
        <v>47</v>
      </c>
      <c r="E1455" s="3" t="s">
        <v>1546</v>
      </c>
      <c r="F1455" s="3" t="s">
        <v>219</v>
      </c>
      <c r="G1455" s="3">
        <v>1.660098522</v>
      </c>
      <c r="H1455" s="3">
        <v>0.70935960600000003</v>
      </c>
      <c r="I1455" s="3">
        <v>4.4334974999999999E-2</v>
      </c>
      <c r="J1455" s="3">
        <v>32.654075550000002</v>
      </c>
      <c r="K1455" s="3">
        <v>-3.7110668999999999E-2</v>
      </c>
      <c r="L1455" s="3">
        <v>-5.5003312999999998E-2</v>
      </c>
      <c r="M1455" s="3">
        <v>8.8137839999999995E-2</v>
      </c>
      <c r="N1455" s="3">
        <v>2.0543406E-2</v>
      </c>
      <c r="O1455" s="3">
        <v>-3.4250765000000002E-2</v>
      </c>
      <c r="P1455" s="3">
        <v>-1.9553073000000001E-2</v>
      </c>
      <c r="Q1455" s="3">
        <v>-0.107899807</v>
      </c>
      <c r="R1455" s="3">
        <v>0.92293577999999998</v>
      </c>
      <c r="S1455" s="3">
        <v>1.197619048</v>
      </c>
      <c r="T1455" s="3">
        <v>2.150289017</v>
      </c>
      <c r="U1455" s="3">
        <v>0.682568807</v>
      </c>
      <c r="V1455" s="3">
        <v>0.32530120499999998</v>
      </c>
      <c r="W1455" s="3">
        <v>-1.8333333329999999</v>
      </c>
      <c r="X1455" s="3">
        <v>-0.51495776199999999</v>
      </c>
      <c r="Y1455" s="3">
        <v>0.10533226900000001</v>
      </c>
      <c r="Z1455" s="3">
        <v>3.150289017</v>
      </c>
      <c r="AA1455" s="3">
        <v>-1.8555334999999999E-2</v>
      </c>
      <c r="AB1455" s="3">
        <v>38.270833690000003</v>
      </c>
      <c r="AC1455" s="3">
        <v>0.280886052</v>
      </c>
      <c r="AD1455" s="3">
        <v>1.5904573000000002E-2</v>
      </c>
      <c r="AE1455" s="3">
        <v>6.8457711440000004</v>
      </c>
      <c r="AF1455" s="4">
        <v>42326</v>
      </c>
      <c r="AG1455" s="5">
        <f>YEAR(AF1455)</f>
        <v>2015</v>
      </c>
      <c r="AH1455" s="5" t="str">
        <f>"Q"&amp;ROUNDUP(MONTH(AF1455)/3,0)</f>
        <v>Q4</v>
      </c>
      <c r="AI1455" s="5">
        <f>INDEX(RatingLookup!$B$2:$B$11,MATCH(A1455,RatingLookup!$A$2:$A$11,0))</f>
        <v>6</v>
      </c>
      <c r="AJ1455" s="5" t="str">
        <f>INDEX(RatingLookup!$C$2:$C$11,MATCH(A1455,RatingLookup!$A$2:$A$11,0))</f>
        <v>Speculative Grade</v>
      </c>
    </row>
    <row r="1456" spans="1:36" x14ac:dyDescent="0.3">
      <c r="A1456" s="3" t="s">
        <v>36</v>
      </c>
      <c r="B1456" s="3" t="s">
        <v>1547</v>
      </c>
      <c r="C1456" s="3" t="s">
        <v>1548</v>
      </c>
      <c r="D1456" s="3" t="s">
        <v>39</v>
      </c>
      <c r="E1456" s="3" t="s">
        <v>1549</v>
      </c>
      <c r="F1456" s="3" t="s">
        <v>215</v>
      </c>
      <c r="G1456" s="3">
        <v>3.4927087939999999</v>
      </c>
      <c r="H1456" s="3">
        <v>2.9827662400000001</v>
      </c>
      <c r="I1456" s="3">
        <v>0.80954485200000004</v>
      </c>
      <c r="J1456" s="3">
        <v>26.295973</v>
      </c>
      <c r="K1456" s="3">
        <v>0.200768156</v>
      </c>
      <c r="L1456" s="3">
        <v>0.28002793300000001</v>
      </c>
      <c r="M1456" s="3">
        <v>0.79387802600000001</v>
      </c>
      <c r="N1456" s="3">
        <v>0.25570298000000002</v>
      </c>
      <c r="O1456" s="3">
        <v>9.6991847000000006E-2</v>
      </c>
      <c r="P1456" s="3">
        <v>0.155005798</v>
      </c>
      <c r="Q1456" s="3">
        <v>0.26231751800000003</v>
      </c>
      <c r="R1456" s="3">
        <v>0.48310373899999998</v>
      </c>
      <c r="S1456" s="3">
        <v>5.5289575290000004</v>
      </c>
      <c r="T1456" s="3">
        <v>1.70453163</v>
      </c>
      <c r="U1456" s="3">
        <v>0.630250211</v>
      </c>
      <c r="V1456" s="3">
        <v>0.19077306699999999</v>
      </c>
      <c r="W1456" s="3">
        <v>0.834366477</v>
      </c>
      <c r="X1456" s="3">
        <v>2.7855960259999999</v>
      </c>
      <c r="Y1456" s="3">
        <v>5.075331126</v>
      </c>
      <c r="Z1456" s="3">
        <v>2.70453163</v>
      </c>
      <c r="AA1456" s="3">
        <v>0.28002793300000001</v>
      </c>
      <c r="AB1456" s="3">
        <v>11.541844660000001</v>
      </c>
      <c r="AC1456" s="3">
        <v>3.338576159</v>
      </c>
      <c r="AD1456" s="3">
        <v>0.46939013000000002</v>
      </c>
      <c r="AE1456" s="3">
        <v>5.074498567</v>
      </c>
      <c r="AF1456" s="4">
        <v>42206</v>
      </c>
      <c r="AG1456" s="5">
        <f>YEAR(AF1456)</f>
        <v>2015</v>
      </c>
      <c r="AH1456" s="5" t="str">
        <f>"Q"&amp;ROUNDUP(MONTH(AF1456)/3,0)</f>
        <v>Q3</v>
      </c>
      <c r="AI1456" s="5">
        <f>INDEX(RatingLookup!$B$2:$B$11,MATCH(A1456,RatingLookup!$A$2:$A$11,0))</f>
        <v>8</v>
      </c>
      <c r="AJ1456" s="5" t="str">
        <f>INDEX(RatingLookup!$C$2:$C$11,MATCH(A1456,RatingLookup!$A$2:$A$11,0))</f>
        <v>Investment Grade</v>
      </c>
    </row>
    <row r="1457" spans="1:36" x14ac:dyDescent="0.3">
      <c r="A1457" s="3" t="s">
        <v>36</v>
      </c>
      <c r="B1457" s="3" t="s">
        <v>1547</v>
      </c>
      <c r="C1457" s="3" t="s">
        <v>1548</v>
      </c>
      <c r="D1457" s="3" t="s">
        <v>39</v>
      </c>
      <c r="E1457" s="3" t="s">
        <v>1550</v>
      </c>
      <c r="F1457" s="3" t="s">
        <v>215</v>
      </c>
      <c r="G1457" s="3">
        <v>1.842155234</v>
      </c>
      <c r="H1457" s="3">
        <v>0.78518870200000002</v>
      </c>
      <c r="I1457" s="3">
        <v>0.35556610500000002</v>
      </c>
      <c r="J1457" s="3">
        <v>20.448370409999999</v>
      </c>
      <c r="K1457" s="3">
        <v>0.17797719200000001</v>
      </c>
      <c r="L1457" s="3">
        <v>5.6085200000000003E-4</v>
      </c>
      <c r="M1457" s="3">
        <v>0.68617187000000002</v>
      </c>
      <c r="N1457" s="3">
        <v>0.21007041800000001</v>
      </c>
      <c r="O1457" s="3">
        <v>6.8839181999999999E-2</v>
      </c>
      <c r="P1457" s="3">
        <v>3.1196899999999999E-4</v>
      </c>
      <c r="Q1457" s="3">
        <v>0.12077642</v>
      </c>
      <c r="R1457" s="3">
        <v>0.38678654099999998</v>
      </c>
      <c r="S1457" s="3">
        <v>5.814130435</v>
      </c>
      <c r="T1457" s="3">
        <v>0.75447202599999996</v>
      </c>
      <c r="U1457" s="3">
        <v>0.43002795999999999</v>
      </c>
      <c r="V1457" s="3">
        <v>67.777777779999994</v>
      </c>
      <c r="W1457" s="3">
        <v>0.74974974999999999</v>
      </c>
      <c r="X1457" s="3">
        <v>2.8918918919999999</v>
      </c>
      <c r="Y1457" s="3">
        <v>6.9691119690000001</v>
      </c>
      <c r="Z1457" s="3">
        <v>1.754472026</v>
      </c>
      <c r="AA1457" s="3">
        <v>5.6085200000000003E-4</v>
      </c>
      <c r="AB1457" s="3">
        <v>5.9968769650000002</v>
      </c>
      <c r="AC1457" s="3">
        <v>3.8571428569999999</v>
      </c>
      <c r="AD1457" s="3">
        <v>0.31127313499999998</v>
      </c>
      <c r="AE1457" s="3">
        <v>16.297734630000001</v>
      </c>
      <c r="AF1457" s="4">
        <v>41564</v>
      </c>
      <c r="AG1457" s="5">
        <f>YEAR(AF1457)</f>
        <v>2013</v>
      </c>
      <c r="AH1457" s="5" t="str">
        <f>"Q"&amp;ROUNDUP(MONTH(AF1457)/3,0)</f>
        <v>Q4</v>
      </c>
      <c r="AI1457" s="5">
        <f>INDEX(RatingLookup!$B$2:$B$11,MATCH(A1457,RatingLookup!$A$2:$A$11,0))</f>
        <v>8</v>
      </c>
      <c r="AJ1457" s="5" t="str">
        <f>INDEX(RatingLookup!$C$2:$C$11,MATCH(A1457,RatingLookup!$A$2:$A$11,0))</f>
        <v>Investment Grade</v>
      </c>
    </row>
    <row r="1458" spans="1:36" x14ac:dyDescent="0.3">
      <c r="A1458" s="3" t="s">
        <v>36</v>
      </c>
      <c r="B1458" s="3" t="s">
        <v>1547</v>
      </c>
      <c r="C1458" s="3" t="s">
        <v>1548</v>
      </c>
      <c r="D1458" s="3" t="s">
        <v>39</v>
      </c>
      <c r="E1458" s="3" t="s">
        <v>1551</v>
      </c>
      <c r="F1458" s="3" t="s">
        <v>215</v>
      </c>
      <c r="G1458" s="3">
        <v>1.513376305</v>
      </c>
      <c r="H1458" s="3">
        <v>0.62147053799999996</v>
      </c>
      <c r="I1458" s="3">
        <v>0.36096058399999997</v>
      </c>
      <c r="J1458" s="3">
        <v>16.249860349999999</v>
      </c>
      <c r="K1458" s="3">
        <v>2.5695449999999999E-3</v>
      </c>
      <c r="L1458" s="3">
        <v>0.197240532</v>
      </c>
      <c r="M1458" s="3">
        <v>0.67981231099999995</v>
      </c>
      <c r="N1458" s="3">
        <v>0.19629091700000001</v>
      </c>
      <c r="O1458" s="3">
        <v>1.0192319999999999E-3</v>
      </c>
      <c r="P1458" s="3">
        <v>0.12793014699999999</v>
      </c>
      <c r="Q1458" s="3">
        <v>2.310861E-3</v>
      </c>
      <c r="R1458" s="3">
        <v>0.39665868999999998</v>
      </c>
      <c r="S1458" s="3">
        <v>6.1688490700000003</v>
      </c>
      <c r="T1458" s="3">
        <v>1.2672561040000001</v>
      </c>
      <c r="U1458" s="3">
        <v>0.55893822599999998</v>
      </c>
      <c r="V1458" s="3">
        <v>0.98697252899999999</v>
      </c>
      <c r="W1458" s="3">
        <v>0.77611414499999998</v>
      </c>
      <c r="X1458" s="3">
        <v>3.521982414</v>
      </c>
      <c r="Y1458" s="3">
        <v>8.0719424459999995</v>
      </c>
      <c r="Z1458" s="3">
        <v>2.2672561039999999</v>
      </c>
      <c r="AA1458" s="3">
        <v>0.197240532</v>
      </c>
      <c r="AB1458" s="3">
        <v>5.8370923259999996</v>
      </c>
      <c r="AC1458" s="3">
        <v>4.5379696239999996</v>
      </c>
      <c r="AD1458" s="3">
        <v>0.31711540599999999</v>
      </c>
      <c r="AE1458" s="3">
        <v>14.29426434</v>
      </c>
      <c r="AF1458" s="4">
        <v>42121</v>
      </c>
      <c r="AG1458" s="5">
        <f>YEAR(AF1458)</f>
        <v>2015</v>
      </c>
      <c r="AH1458" s="5" t="str">
        <f>"Q"&amp;ROUNDUP(MONTH(AF1458)/3,0)</f>
        <v>Q2</v>
      </c>
      <c r="AI1458" s="5">
        <f>INDEX(RatingLookup!$B$2:$B$11,MATCH(A1458,RatingLookup!$A$2:$A$11,0))</f>
        <v>8</v>
      </c>
      <c r="AJ1458" s="5" t="str">
        <f>INDEX(RatingLookup!$C$2:$C$11,MATCH(A1458,RatingLookup!$A$2:$A$11,0))</f>
        <v>Investment Grade</v>
      </c>
    </row>
    <row r="1459" spans="1:36" x14ac:dyDescent="0.3">
      <c r="A1459" s="3" t="s">
        <v>92</v>
      </c>
      <c r="B1459" s="3" t="s">
        <v>1552</v>
      </c>
      <c r="C1459" s="3" t="s">
        <v>1553</v>
      </c>
      <c r="D1459" s="3" t="s">
        <v>60</v>
      </c>
      <c r="E1459" s="3" t="s">
        <v>1554</v>
      </c>
      <c r="F1459" s="3" t="s">
        <v>174</v>
      </c>
      <c r="G1459" s="3">
        <v>1.370101555</v>
      </c>
      <c r="H1459" s="3">
        <v>1.2538686960000001</v>
      </c>
      <c r="I1459" s="3">
        <v>0.24407357399999999</v>
      </c>
      <c r="J1459" s="3">
        <v>59.323562920000001</v>
      </c>
      <c r="K1459" s="3">
        <v>4.4090832000000003E-2</v>
      </c>
      <c r="L1459" s="3">
        <v>7.3163000000000006E-2</v>
      </c>
      <c r="M1459" s="3">
        <v>0.50825363000000001</v>
      </c>
      <c r="N1459" s="3">
        <v>8.6984267000000004E-2</v>
      </c>
      <c r="O1459" s="3">
        <v>8.0823481000000003E-2</v>
      </c>
      <c r="P1459" s="3">
        <v>0.19024806</v>
      </c>
      <c r="Q1459" s="3">
        <v>1.24703214</v>
      </c>
      <c r="R1459" s="3">
        <v>1.8331130609999999</v>
      </c>
      <c r="S1459" s="3">
        <v>47.363851050000001</v>
      </c>
      <c r="T1459" s="3">
        <v>14.42908235</v>
      </c>
      <c r="U1459" s="3">
        <v>0.93518733099999996</v>
      </c>
      <c r="V1459" s="3">
        <v>0.39736161599999997</v>
      </c>
      <c r="W1459" s="3">
        <v>0.88372295599999995</v>
      </c>
      <c r="X1459" s="3">
        <v>1.883703E-3</v>
      </c>
      <c r="Y1459" s="3">
        <v>1.4250129999999999E-3</v>
      </c>
      <c r="Z1459" s="3">
        <v>15.42908235</v>
      </c>
      <c r="AA1459" s="3">
        <v>7.3163000000000006E-2</v>
      </c>
      <c r="AB1459" s="3">
        <v>7504.3661140000004</v>
      </c>
      <c r="AC1459" s="3">
        <v>2.1315539999999999E-3</v>
      </c>
      <c r="AD1459" s="3">
        <v>5.8762373E-2</v>
      </c>
      <c r="AE1459" s="3">
        <v>5.3834957399999999</v>
      </c>
      <c r="AF1459" s="4">
        <v>42541</v>
      </c>
      <c r="AG1459" s="5">
        <f>YEAR(AF1459)</f>
        <v>2016</v>
      </c>
      <c r="AH1459" s="5" t="str">
        <f>"Q"&amp;ROUNDUP(MONTH(AF1459)/3,0)</f>
        <v>Q2</v>
      </c>
      <c r="AI1459" s="5">
        <f>INDEX(RatingLookup!$B$2:$B$11,MATCH(A1459,RatingLookup!$A$2:$A$11,0))</f>
        <v>6</v>
      </c>
      <c r="AJ1459" s="5" t="str">
        <f>INDEX(RatingLookup!$C$2:$C$11,MATCH(A1459,RatingLookup!$A$2:$A$11,0))</f>
        <v>Speculative Grade</v>
      </c>
    </row>
    <row r="1460" spans="1:36" x14ac:dyDescent="0.3">
      <c r="A1460" s="3" t="s">
        <v>92</v>
      </c>
      <c r="B1460" s="3" t="s">
        <v>1552</v>
      </c>
      <c r="C1460" s="3" t="s">
        <v>1553</v>
      </c>
      <c r="D1460" s="3" t="s">
        <v>60</v>
      </c>
      <c r="E1460" s="3" t="s">
        <v>46</v>
      </c>
      <c r="F1460" s="3" t="s">
        <v>174</v>
      </c>
      <c r="G1460" s="3">
        <v>1.5767161009999999</v>
      </c>
      <c r="H1460" s="3">
        <v>1.505117563</v>
      </c>
      <c r="I1460" s="3">
        <v>0.222402974</v>
      </c>
      <c r="J1460" s="3">
        <v>72.526380290000006</v>
      </c>
      <c r="K1460" s="3">
        <v>1.5147472E-2</v>
      </c>
      <c r="L1460" s="3">
        <v>2.2904171000000001E-2</v>
      </c>
      <c r="M1460" s="3">
        <v>0.49261226699999999</v>
      </c>
      <c r="N1460" s="3">
        <v>5.7132371000000001E-2</v>
      </c>
      <c r="O1460" s="3">
        <v>2.8007061999999999E-2</v>
      </c>
      <c r="P1460" s="3">
        <v>5.9346916999999999E-2</v>
      </c>
      <c r="Q1460" s="3">
        <v>9.3352438999999995E-2</v>
      </c>
      <c r="R1460" s="3">
        <v>1.8489594819999999</v>
      </c>
      <c r="S1460" s="3">
        <v>32.239497200000002</v>
      </c>
      <c r="T1460" s="3">
        <v>2.3331749789999998</v>
      </c>
      <c r="U1460" s="3">
        <v>0.69998574700000005</v>
      </c>
      <c r="V1460" s="3">
        <v>0.33865879599999998</v>
      </c>
      <c r="W1460" s="3">
        <v>0.70039717999999995</v>
      </c>
      <c r="X1460" s="3">
        <v>1.813041E-3</v>
      </c>
      <c r="Y1460" s="3">
        <v>1.6826759999999999E-3</v>
      </c>
      <c r="Z1460" s="3">
        <v>3.3331749789999998</v>
      </c>
      <c r="AA1460" s="3">
        <v>2.2904171000000001E-2</v>
      </c>
      <c r="AB1460" s="3">
        <v>5534.0002649999997</v>
      </c>
      <c r="AC1460" s="3">
        <v>2.5885890000000001E-3</v>
      </c>
      <c r="AD1460" s="3">
        <v>5.3000055999999997E-2</v>
      </c>
      <c r="AE1460" s="3">
        <v>6.9822426230000003</v>
      </c>
      <c r="AF1460" s="4">
        <v>41075</v>
      </c>
      <c r="AG1460" s="5">
        <f>YEAR(AF1460)</f>
        <v>2012</v>
      </c>
      <c r="AH1460" s="5" t="str">
        <f>"Q"&amp;ROUNDUP(MONTH(AF1460)/3,0)</f>
        <v>Q2</v>
      </c>
      <c r="AI1460" s="5">
        <f>INDEX(RatingLookup!$B$2:$B$11,MATCH(A1460,RatingLookup!$A$2:$A$11,0))</f>
        <v>6</v>
      </c>
      <c r="AJ1460" s="5" t="str">
        <f>INDEX(RatingLookup!$C$2:$C$11,MATCH(A1460,RatingLookup!$A$2:$A$11,0))</f>
        <v>Speculative Grade</v>
      </c>
    </row>
    <row r="1461" spans="1:36" x14ac:dyDescent="0.3">
      <c r="A1461" s="3" t="s">
        <v>42</v>
      </c>
      <c r="B1461" s="3" t="s">
        <v>1555</v>
      </c>
      <c r="C1461" s="3" t="s">
        <v>1556</v>
      </c>
      <c r="D1461" s="3" t="s">
        <v>44</v>
      </c>
      <c r="E1461" s="3" t="s">
        <v>620</v>
      </c>
      <c r="F1461" s="3" t="s">
        <v>53</v>
      </c>
      <c r="G1461" s="3">
        <v>1.051136364</v>
      </c>
      <c r="H1461" s="3">
        <v>0.92755681800000001</v>
      </c>
      <c r="I1461" s="3">
        <v>0.33238636399999999</v>
      </c>
      <c r="J1461" s="3">
        <v>41.855212360000003</v>
      </c>
      <c r="K1461" s="3">
        <v>8.9961390000000002E-2</v>
      </c>
      <c r="L1461" s="3">
        <v>9.4980695000000004E-2</v>
      </c>
      <c r="M1461" s="3">
        <v>0.86332046299999998</v>
      </c>
      <c r="N1461" s="3">
        <v>9.4980695000000004E-2</v>
      </c>
      <c r="O1461" s="3">
        <v>1.3997357E-2</v>
      </c>
      <c r="P1461" s="3">
        <v>1.5430937E-2</v>
      </c>
      <c r="Q1461" s="3">
        <v>2.2619163000000001E-2</v>
      </c>
      <c r="R1461" s="3">
        <v>0.15559293499999999</v>
      </c>
      <c r="S1461" s="3">
        <v>0.24137931000000001</v>
      </c>
      <c r="T1461" s="3">
        <v>0.61595961600000004</v>
      </c>
      <c r="U1461" s="3">
        <v>0.381172654</v>
      </c>
      <c r="V1461" s="3">
        <v>-4.8780487999999997E-2</v>
      </c>
      <c r="W1461" s="3">
        <v>6.3664596000000004E-2</v>
      </c>
      <c r="X1461" s="3">
        <v>0.24260355</v>
      </c>
      <c r="Y1461" s="3">
        <v>1.053254438</v>
      </c>
      <c r="Z1461" s="3">
        <v>1.615959616</v>
      </c>
      <c r="AA1461" s="3">
        <v>9.4980695000000004E-2</v>
      </c>
      <c r="AB1461" s="3">
        <v>20.111217180000001</v>
      </c>
      <c r="AC1461" s="3">
        <v>3.8106508880000001</v>
      </c>
      <c r="AD1461" s="3">
        <v>0.49729729700000003</v>
      </c>
      <c r="AE1461" s="3">
        <v>2.8780487799999999</v>
      </c>
      <c r="AF1461" s="4">
        <v>42627</v>
      </c>
      <c r="AG1461" s="5">
        <f>YEAR(AF1461)</f>
        <v>2016</v>
      </c>
      <c r="AH1461" s="5" t="str">
        <f>"Q"&amp;ROUNDUP(MONTH(AF1461)/3,0)</f>
        <v>Q3</v>
      </c>
      <c r="AI1461" s="5">
        <f>INDEX(RatingLookup!$B$2:$B$11,MATCH(A1461,RatingLookup!$A$2:$A$11,0))</f>
        <v>7</v>
      </c>
      <c r="AJ1461" s="5" t="str">
        <f>INDEX(RatingLookup!$C$2:$C$11,MATCH(A1461,RatingLookup!$A$2:$A$11,0))</f>
        <v>Investment Grade</v>
      </c>
    </row>
    <row r="1462" spans="1:36" x14ac:dyDescent="0.3">
      <c r="A1462" s="3" t="s">
        <v>42</v>
      </c>
      <c r="B1462" s="3" t="s">
        <v>1555</v>
      </c>
      <c r="C1462" s="3" t="s">
        <v>1556</v>
      </c>
      <c r="D1462" s="3" t="s">
        <v>47</v>
      </c>
      <c r="E1462" s="3" t="s">
        <v>1557</v>
      </c>
      <c r="F1462" s="3" t="s">
        <v>53</v>
      </c>
      <c r="G1462" s="3">
        <v>0.77450980400000002</v>
      </c>
      <c r="H1462" s="3">
        <v>0.61274509799999999</v>
      </c>
      <c r="I1462" s="3">
        <v>7.0261437999999996E-2</v>
      </c>
      <c r="J1462" s="3">
        <v>126.685633</v>
      </c>
      <c r="K1462" s="3">
        <v>0.22190611700000001</v>
      </c>
      <c r="L1462" s="3">
        <v>0.22617354200000001</v>
      </c>
      <c r="M1462" s="3">
        <v>0.75533428199999997</v>
      </c>
      <c r="N1462" s="3">
        <v>0.22617354200000001</v>
      </c>
      <c r="O1462" s="3">
        <v>9.9508830000000006E-3</v>
      </c>
      <c r="P1462" s="3">
        <v>1.0554265E-2</v>
      </c>
      <c r="Q1462" s="3">
        <v>1.688129E-2</v>
      </c>
      <c r="R1462" s="3">
        <v>4.4842763000000001E-2</v>
      </c>
      <c r="S1462" s="3">
        <v>7.2601466000000003E-2</v>
      </c>
      <c r="T1462" s="3">
        <v>0.69646142200000005</v>
      </c>
      <c r="U1462" s="3">
        <v>0.41053772999999999</v>
      </c>
      <c r="V1462" s="3">
        <v>1.2578616000000001E-2</v>
      </c>
      <c r="W1462" s="3">
        <v>-0.10460251</v>
      </c>
      <c r="X1462" s="3">
        <v>-0.25252525300000001</v>
      </c>
      <c r="Y1462" s="3">
        <v>1.323232323</v>
      </c>
      <c r="Z1462" s="3">
        <v>1.6964614220000001</v>
      </c>
      <c r="AA1462" s="3">
        <v>0.22617354200000001</v>
      </c>
      <c r="AB1462" s="3">
        <v>33.347701610000001</v>
      </c>
      <c r="AC1462" s="3">
        <v>2.4141414139999999</v>
      </c>
      <c r="AD1462" s="3">
        <v>0.33997155000000001</v>
      </c>
      <c r="AE1462" s="3">
        <v>1.93258427</v>
      </c>
      <c r="AF1462" s="4">
        <v>42366</v>
      </c>
      <c r="AG1462" s="5">
        <f>YEAR(AF1462)</f>
        <v>2015</v>
      </c>
      <c r="AH1462" s="5" t="str">
        <f>"Q"&amp;ROUNDUP(MONTH(AF1462)/3,0)</f>
        <v>Q4</v>
      </c>
      <c r="AI1462" s="5">
        <f>INDEX(RatingLookup!$B$2:$B$11,MATCH(A1462,RatingLookup!$A$2:$A$11,0))</f>
        <v>7</v>
      </c>
      <c r="AJ1462" s="5" t="str">
        <f>INDEX(RatingLookup!$C$2:$C$11,MATCH(A1462,RatingLookup!$A$2:$A$11,0))</f>
        <v>Investment Grade</v>
      </c>
    </row>
    <row r="1463" spans="1:36" x14ac:dyDescent="0.3">
      <c r="A1463" s="3" t="s">
        <v>42</v>
      </c>
      <c r="B1463" s="3" t="s">
        <v>1555</v>
      </c>
      <c r="C1463" s="3" t="s">
        <v>1556</v>
      </c>
      <c r="D1463" s="3" t="s">
        <v>60</v>
      </c>
      <c r="E1463" s="3" t="s">
        <v>140</v>
      </c>
      <c r="F1463" s="3" t="s">
        <v>53</v>
      </c>
      <c r="G1463" s="3">
        <v>0.96620278299999995</v>
      </c>
      <c r="H1463" s="3">
        <v>0.78031809100000005</v>
      </c>
      <c r="I1463" s="3">
        <v>0.27137176899999998</v>
      </c>
      <c r="J1463" s="3">
        <v>6.7900784239999998</v>
      </c>
      <c r="K1463" s="3">
        <v>0.22122925399999999</v>
      </c>
      <c r="L1463" s="3">
        <v>0.32463979599999998</v>
      </c>
      <c r="M1463" s="3">
        <v>0.73499908800000002</v>
      </c>
      <c r="N1463" s="3">
        <v>0.32463979599999998</v>
      </c>
      <c r="O1463" s="3">
        <v>9.9876491999999997E-2</v>
      </c>
      <c r="P1463" s="3">
        <v>0.15979890499999999</v>
      </c>
      <c r="Q1463" s="3">
        <v>0.26473155799999998</v>
      </c>
      <c r="R1463" s="3">
        <v>0.45146150699999998</v>
      </c>
      <c r="S1463" s="3">
        <v>0.54362482599999995</v>
      </c>
      <c r="T1463" s="3">
        <v>1.650589262</v>
      </c>
      <c r="U1463" s="3">
        <v>0.62272540099999996</v>
      </c>
      <c r="V1463" s="3">
        <v>-5.6179799999999996E-4</v>
      </c>
      <c r="W1463" s="3">
        <v>0.68152350100000003</v>
      </c>
      <c r="X1463" s="3">
        <v>2.216073781</v>
      </c>
      <c r="Y1463" s="3">
        <v>0.89986824799999998</v>
      </c>
      <c r="Z1463" s="3">
        <v>2.650589262</v>
      </c>
      <c r="AA1463" s="3">
        <v>0.32463979599999998</v>
      </c>
      <c r="AB1463" s="3">
        <v>29.161200699999998</v>
      </c>
      <c r="AC1463" s="3">
        <v>3.2516469039999998</v>
      </c>
      <c r="AD1463" s="3">
        <v>0.45011854800000001</v>
      </c>
      <c r="AE1463" s="3">
        <v>3.4431279620000002</v>
      </c>
      <c r="AF1463" s="4">
        <v>42044</v>
      </c>
      <c r="AG1463" s="5">
        <f>YEAR(AF1463)</f>
        <v>2015</v>
      </c>
      <c r="AH1463" s="5" t="str">
        <f>"Q"&amp;ROUNDUP(MONTH(AF1463)/3,0)</f>
        <v>Q1</v>
      </c>
      <c r="AI1463" s="5">
        <f>INDEX(RatingLookup!$B$2:$B$11,MATCH(A1463,RatingLookup!$A$2:$A$11,0))</f>
        <v>7</v>
      </c>
      <c r="AJ1463" s="5" t="str">
        <f>INDEX(RatingLookup!$C$2:$C$11,MATCH(A1463,RatingLookup!$A$2:$A$11,0))</f>
        <v>Investment Grade</v>
      </c>
    </row>
    <row r="1464" spans="1:36" x14ac:dyDescent="0.3">
      <c r="A1464" s="3" t="s">
        <v>42</v>
      </c>
      <c r="B1464" s="3" t="s">
        <v>1558</v>
      </c>
      <c r="C1464" s="3" t="s">
        <v>1559</v>
      </c>
      <c r="D1464" s="3" t="s">
        <v>47</v>
      </c>
      <c r="E1464" s="3" t="s">
        <v>1560</v>
      </c>
      <c r="F1464" s="3" t="s">
        <v>174</v>
      </c>
      <c r="G1464" s="3">
        <v>0.19026806399999999</v>
      </c>
      <c r="H1464" s="3">
        <v>-2.7959055E-2</v>
      </c>
      <c r="I1464" s="3">
        <v>1.2856843E-2</v>
      </c>
      <c r="J1464" s="3">
        <v>51.237515350000002</v>
      </c>
      <c r="K1464" s="3">
        <v>0.46205260100000001</v>
      </c>
      <c r="L1464" s="3">
        <v>0.40382454899999998</v>
      </c>
      <c r="M1464" s="3">
        <v>0.94434191499999998</v>
      </c>
      <c r="N1464" s="3">
        <v>0.40382454899999998</v>
      </c>
      <c r="O1464" s="3">
        <v>4.6127471000000003E-2</v>
      </c>
      <c r="P1464" s="3">
        <v>4.3772108999999997E-2</v>
      </c>
      <c r="Q1464" s="3">
        <v>9.3801534000000006E-2</v>
      </c>
      <c r="R1464" s="3">
        <v>9.9831644999999997E-2</v>
      </c>
      <c r="S1464" s="3">
        <v>3.5379579830000001</v>
      </c>
      <c r="T1464" s="3">
        <v>1.0335286530000001</v>
      </c>
      <c r="U1464" s="3">
        <v>0.50824395899999997</v>
      </c>
      <c r="V1464" s="3">
        <v>2.8350110000000001E-3</v>
      </c>
      <c r="W1464" s="3">
        <v>0.35423400100000002</v>
      </c>
      <c r="X1464" s="3">
        <v>1.6966527920000001</v>
      </c>
      <c r="Y1464" s="3">
        <v>-1.1767690669999999</v>
      </c>
      <c r="Z1464" s="3">
        <v>2.0335286529999999</v>
      </c>
      <c r="AA1464" s="3">
        <v>0.40382454899999998</v>
      </c>
      <c r="AB1464" s="3">
        <v>21.40208196</v>
      </c>
      <c r="AC1464" s="3">
        <v>4.7896384459999997</v>
      </c>
      <c r="AD1464" s="3">
        <v>0.66139847100000004</v>
      </c>
      <c r="AE1464" s="3">
        <v>0.25421467199999997</v>
      </c>
      <c r="AF1464" s="4">
        <v>42235</v>
      </c>
      <c r="AG1464" s="5">
        <f>YEAR(AF1464)</f>
        <v>2015</v>
      </c>
      <c r="AH1464" s="5" t="str">
        <f>"Q"&amp;ROUNDUP(MONTH(AF1464)/3,0)</f>
        <v>Q3</v>
      </c>
      <c r="AI1464" s="5">
        <f>INDEX(RatingLookup!$B$2:$B$11,MATCH(A1464,RatingLookup!$A$2:$A$11,0))</f>
        <v>7</v>
      </c>
      <c r="AJ1464" s="5" t="str">
        <f>INDEX(RatingLookup!$C$2:$C$11,MATCH(A1464,RatingLookup!$A$2:$A$11,0))</f>
        <v>Investment Grade</v>
      </c>
    </row>
    <row r="1465" spans="1:36" x14ac:dyDescent="0.3">
      <c r="A1465" s="3" t="s">
        <v>42</v>
      </c>
      <c r="B1465" s="3" t="s">
        <v>1558</v>
      </c>
      <c r="C1465" s="3" t="s">
        <v>1559</v>
      </c>
      <c r="D1465" s="3" t="s">
        <v>47</v>
      </c>
      <c r="E1465" s="3" t="s">
        <v>159</v>
      </c>
      <c r="F1465" s="3" t="s">
        <v>174</v>
      </c>
      <c r="G1465" s="3">
        <v>0.70747347100000002</v>
      </c>
      <c r="H1465" s="3">
        <v>-0.60351840599999995</v>
      </c>
      <c r="I1465" s="3">
        <v>0.11565517</v>
      </c>
      <c r="J1465" s="3">
        <v>73.215044539999994</v>
      </c>
      <c r="K1465" s="3">
        <v>0.45612903999999999</v>
      </c>
      <c r="L1465" s="3">
        <v>0.445219588</v>
      </c>
      <c r="M1465" s="3">
        <v>0.95417665200000001</v>
      </c>
      <c r="N1465" s="3">
        <v>0.445219588</v>
      </c>
      <c r="O1465" s="3">
        <v>4.6244805999999999E-2</v>
      </c>
      <c r="P1465" s="3">
        <v>4.6745059999999998E-2</v>
      </c>
      <c r="Q1465" s="3">
        <v>0.10292414900000001</v>
      </c>
      <c r="R1465" s="3">
        <v>0.10138535899999999</v>
      </c>
      <c r="S1465" s="3">
        <v>4.1729441620000003</v>
      </c>
      <c r="T1465" s="3">
        <v>1.225636934</v>
      </c>
      <c r="U1465" s="3">
        <v>0.55069041799999996</v>
      </c>
      <c r="V1465" s="3">
        <v>2.5182030000000001E-3</v>
      </c>
      <c r="W1465" s="3">
        <v>0.28423393699999999</v>
      </c>
      <c r="X1465" s="3">
        <v>1.373171771</v>
      </c>
      <c r="Y1465" s="3">
        <v>-3.1529007120000001</v>
      </c>
      <c r="Z1465" s="3">
        <v>2.2256369340000002</v>
      </c>
      <c r="AA1465" s="3">
        <v>0.445219588</v>
      </c>
      <c r="AB1465" s="3">
        <v>21.382220780000001</v>
      </c>
      <c r="AC1465" s="3">
        <v>4.8311323579999996</v>
      </c>
      <c r="AD1465" s="3">
        <v>0.62079466100000003</v>
      </c>
      <c r="AE1465" s="3">
        <v>0.18873060699999999</v>
      </c>
      <c r="AF1465" s="4">
        <v>42678</v>
      </c>
      <c r="AG1465" s="5">
        <f>YEAR(AF1465)</f>
        <v>2016</v>
      </c>
      <c r="AH1465" s="5" t="str">
        <f>"Q"&amp;ROUNDUP(MONTH(AF1465)/3,0)</f>
        <v>Q4</v>
      </c>
      <c r="AI1465" s="5">
        <f>INDEX(RatingLookup!$B$2:$B$11,MATCH(A1465,RatingLookup!$A$2:$A$11,0))</f>
        <v>7</v>
      </c>
      <c r="AJ1465" s="5" t="str">
        <f>INDEX(RatingLookup!$C$2:$C$11,MATCH(A1465,RatingLookup!$A$2:$A$11,0))</f>
        <v>Investment Grade</v>
      </c>
    </row>
    <row r="1466" spans="1:36" x14ac:dyDescent="0.3">
      <c r="A1466" s="3" t="s">
        <v>92</v>
      </c>
      <c r="B1466" s="3" t="s">
        <v>1558</v>
      </c>
      <c r="C1466" s="3" t="s">
        <v>1559</v>
      </c>
      <c r="D1466" s="3" t="s">
        <v>47</v>
      </c>
      <c r="E1466" s="3" t="s">
        <v>1561</v>
      </c>
      <c r="F1466" s="3" t="s">
        <v>174</v>
      </c>
      <c r="G1466" s="3">
        <v>0.42656328300000002</v>
      </c>
      <c r="H1466" s="3">
        <v>0.42656328300000002</v>
      </c>
      <c r="I1466" s="3">
        <v>9.2078677999999997E-2</v>
      </c>
      <c r="J1466" s="3">
        <v>43.940289509999999</v>
      </c>
      <c r="K1466" s="3">
        <v>0.37775416000000001</v>
      </c>
      <c r="L1466" s="3">
        <v>0.41282405100000003</v>
      </c>
      <c r="M1466" s="3">
        <v>0.92142914899999995</v>
      </c>
      <c r="N1466" s="3">
        <v>0.41282405100000003</v>
      </c>
      <c r="O1466" s="3">
        <v>4.125115E-2</v>
      </c>
      <c r="P1466" s="3">
        <v>4.6925094000000001E-2</v>
      </c>
      <c r="Q1466" s="3">
        <v>8.3284859000000003E-2</v>
      </c>
      <c r="R1466" s="3">
        <v>0.109201047</v>
      </c>
      <c r="S1466" s="3">
        <v>6.5670612239999997</v>
      </c>
      <c r="T1466" s="3">
        <v>1.018970607</v>
      </c>
      <c r="U1466" s="3">
        <v>0.50469808900000002</v>
      </c>
      <c r="V1466" s="3">
        <v>0</v>
      </c>
      <c r="W1466" s="3">
        <v>0.646869798</v>
      </c>
      <c r="X1466" s="3">
        <v>2.8648019150000001</v>
      </c>
      <c r="Y1466" s="3">
        <v>0.227872986</v>
      </c>
      <c r="Z1466" s="3">
        <v>2.018970607</v>
      </c>
      <c r="AA1466" s="3">
        <v>0.41282405100000003</v>
      </c>
      <c r="AB1466" s="3">
        <v>19.118964829999999</v>
      </c>
      <c r="AC1466" s="3">
        <v>4.4287149020000003</v>
      </c>
      <c r="AD1466" s="3">
        <v>0.64407711999999995</v>
      </c>
      <c r="AE1466" s="3">
        <v>0.38611200200000001</v>
      </c>
      <c r="AF1466" s="4">
        <v>41429</v>
      </c>
      <c r="AG1466" s="5">
        <f>YEAR(AF1466)</f>
        <v>2013</v>
      </c>
      <c r="AH1466" s="5" t="str">
        <f>"Q"&amp;ROUNDUP(MONTH(AF1466)/3,0)</f>
        <v>Q2</v>
      </c>
      <c r="AI1466" s="5">
        <f>INDEX(RatingLookup!$B$2:$B$11,MATCH(A1466,RatingLookup!$A$2:$A$11,0))</f>
        <v>6</v>
      </c>
      <c r="AJ1466" s="5" t="str">
        <f>INDEX(RatingLookup!$C$2:$C$11,MATCH(A1466,RatingLookup!$A$2:$A$11,0))</f>
        <v>Speculative Grade</v>
      </c>
    </row>
    <row r="1467" spans="1:36" x14ac:dyDescent="0.3">
      <c r="A1467" s="3" t="s">
        <v>92</v>
      </c>
      <c r="B1467" s="3" t="s">
        <v>1558</v>
      </c>
      <c r="C1467" s="3" t="s">
        <v>1559</v>
      </c>
      <c r="D1467" s="3" t="s">
        <v>47</v>
      </c>
      <c r="E1467" s="3" t="s">
        <v>1562</v>
      </c>
      <c r="F1467" s="3" t="s">
        <v>174</v>
      </c>
      <c r="G1467" s="3">
        <v>0.56500285299999997</v>
      </c>
      <c r="H1467" s="3">
        <v>3.2751278350000002</v>
      </c>
      <c r="I1467" s="3">
        <v>8.9042551999999997E-2</v>
      </c>
      <c r="J1467" s="3">
        <v>45.257940210000001</v>
      </c>
      <c r="K1467" s="3">
        <v>0.52534221000000003</v>
      </c>
      <c r="L1467" s="3">
        <v>0.51196569700000005</v>
      </c>
      <c r="M1467" s="3">
        <v>0.92416575300000003</v>
      </c>
      <c r="N1467" s="3">
        <v>0.52534221000000003</v>
      </c>
      <c r="O1467" s="3">
        <v>5.5076649999999998E-2</v>
      </c>
      <c r="P1467" s="3">
        <v>5.5181385999999999E-2</v>
      </c>
      <c r="Q1467" s="3">
        <v>0.106791923</v>
      </c>
      <c r="R1467" s="3">
        <v>0.10483956699999999</v>
      </c>
      <c r="S1467" s="3">
        <v>40.840952379999997</v>
      </c>
      <c r="T1467" s="3">
        <v>0.93896910300000003</v>
      </c>
      <c r="U1467" s="3">
        <v>0.48426202400000001</v>
      </c>
      <c r="V1467" s="3">
        <v>-8.0711923000000005E-2</v>
      </c>
      <c r="W1467" s="3">
        <v>0.47250555300000002</v>
      </c>
      <c r="X1467" s="3">
        <v>2.3033022399999998</v>
      </c>
      <c r="Y1467" s="3">
        <v>5.2088365120000004</v>
      </c>
      <c r="Z1467" s="3">
        <v>1.938969103</v>
      </c>
      <c r="AA1467" s="3">
        <v>0.51196569700000005</v>
      </c>
      <c r="AB1467" s="3">
        <v>16.370604</v>
      </c>
      <c r="AC1467" s="3">
        <v>4.8746564499999998</v>
      </c>
      <c r="AD1467" s="3">
        <v>0.68243826200000002</v>
      </c>
      <c r="AE1467" s="3">
        <v>0.35969969699999998</v>
      </c>
      <c r="AF1467" s="4">
        <v>41554</v>
      </c>
      <c r="AG1467" s="5">
        <f>YEAR(AF1467)</f>
        <v>2013</v>
      </c>
      <c r="AH1467" s="5" t="str">
        <f>"Q"&amp;ROUNDUP(MONTH(AF1467)/3,0)</f>
        <v>Q4</v>
      </c>
      <c r="AI1467" s="5">
        <f>INDEX(RatingLookup!$B$2:$B$11,MATCH(A1467,RatingLookup!$A$2:$A$11,0))</f>
        <v>6</v>
      </c>
      <c r="AJ1467" s="5" t="str">
        <f>INDEX(RatingLookup!$C$2:$C$11,MATCH(A1467,RatingLookup!$A$2:$A$11,0))</f>
        <v>Speculative Grade</v>
      </c>
    </row>
    <row r="1468" spans="1:36" x14ac:dyDescent="0.3">
      <c r="A1468" s="3" t="s">
        <v>42</v>
      </c>
      <c r="B1468" s="3" t="s">
        <v>1558</v>
      </c>
      <c r="C1468" s="3" t="s">
        <v>1559</v>
      </c>
      <c r="D1468" s="3" t="s">
        <v>47</v>
      </c>
      <c r="E1468" s="3" t="s">
        <v>1563</v>
      </c>
      <c r="F1468" s="3" t="s">
        <v>174</v>
      </c>
      <c r="G1468" s="3">
        <v>0.29809838500000002</v>
      </c>
      <c r="H1468" s="3">
        <v>1.471999906</v>
      </c>
      <c r="I1468" s="3">
        <v>1.9646296000000001E-2</v>
      </c>
      <c r="J1468" s="3">
        <v>44.819855029999999</v>
      </c>
      <c r="K1468" s="3">
        <v>0.46651742200000001</v>
      </c>
      <c r="L1468" s="3">
        <v>0.46040134900000002</v>
      </c>
      <c r="M1468" s="3">
        <v>0.93534103300000004</v>
      </c>
      <c r="N1468" s="3">
        <v>0.46040134900000002</v>
      </c>
      <c r="O1468" s="3">
        <v>4.8522601999999998E-2</v>
      </c>
      <c r="P1468" s="3">
        <v>5.0188478000000002E-2</v>
      </c>
      <c r="Q1468" s="3">
        <v>9.326197E-2</v>
      </c>
      <c r="R1468" s="3">
        <v>0.104010267</v>
      </c>
      <c r="S1468" s="3">
        <v>3.1613382589999999</v>
      </c>
      <c r="T1468" s="3">
        <v>0.92203153299999996</v>
      </c>
      <c r="U1468" s="3">
        <v>0.479717173</v>
      </c>
      <c r="V1468" s="3">
        <v>2.3849546999999999E-2</v>
      </c>
      <c r="W1468" s="3">
        <v>0.659581694</v>
      </c>
      <c r="X1468" s="3">
        <v>3.043470246</v>
      </c>
      <c r="Y1468" s="3">
        <v>3.7362288920000002</v>
      </c>
      <c r="Z1468" s="3">
        <v>1.922031533</v>
      </c>
      <c r="AA1468" s="3">
        <v>0.46040134900000002</v>
      </c>
      <c r="AB1468" s="3">
        <v>21.063208679999999</v>
      </c>
      <c r="AC1468" s="3">
        <v>4.6142430499999998</v>
      </c>
      <c r="AD1468" s="3">
        <v>0.65003077499999995</v>
      </c>
      <c r="AE1468" s="3">
        <v>0.30295692400000002</v>
      </c>
      <c r="AF1468" s="4">
        <v>41828</v>
      </c>
      <c r="AG1468" s="5">
        <f>YEAR(AF1468)</f>
        <v>2014</v>
      </c>
      <c r="AH1468" s="5" t="str">
        <f>"Q"&amp;ROUNDUP(MONTH(AF1468)/3,0)</f>
        <v>Q3</v>
      </c>
      <c r="AI1468" s="5">
        <f>INDEX(RatingLookup!$B$2:$B$11,MATCH(A1468,RatingLookup!$A$2:$A$11,0))</f>
        <v>7</v>
      </c>
      <c r="AJ1468" s="5" t="str">
        <f>INDEX(RatingLookup!$C$2:$C$11,MATCH(A1468,RatingLookup!$A$2:$A$11,0))</f>
        <v>Investment Grade</v>
      </c>
    </row>
    <row r="1469" spans="1:36" x14ac:dyDescent="0.3">
      <c r="A1469" s="3" t="s">
        <v>92</v>
      </c>
      <c r="B1469" s="3" t="s">
        <v>1558</v>
      </c>
      <c r="C1469" s="3" t="s">
        <v>1559</v>
      </c>
      <c r="D1469" s="3" t="s">
        <v>47</v>
      </c>
      <c r="E1469" s="3" t="s">
        <v>1564</v>
      </c>
      <c r="F1469" s="3" t="s">
        <v>174</v>
      </c>
      <c r="G1469" s="3">
        <v>7.3866242999999998E-2</v>
      </c>
      <c r="H1469" s="3">
        <v>7.3866242999999998E-2</v>
      </c>
      <c r="I1469" s="3">
        <v>5.5004775999999998E-2</v>
      </c>
      <c r="J1469" s="3">
        <v>6.0680271430000001</v>
      </c>
      <c r="K1469" s="3">
        <v>0.381980979</v>
      </c>
      <c r="L1469" s="3">
        <v>0.33055867700000002</v>
      </c>
      <c r="M1469" s="3">
        <v>0.92194166300000002</v>
      </c>
      <c r="N1469" s="3">
        <v>0.33055867700000002</v>
      </c>
      <c r="O1469" s="3">
        <v>4.2146383000000003E-2</v>
      </c>
      <c r="P1469" s="3">
        <v>4.0401780999999998E-2</v>
      </c>
      <c r="Q1469" s="3">
        <v>7.8383781999999999E-2</v>
      </c>
      <c r="R1469" s="3">
        <v>0.11033633900000001</v>
      </c>
      <c r="S1469" s="3">
        <v>3.7058845210000002</v>
      </c>
      <c r="T1469" s="3">
        <v>0.85979855100000002</v>
      </c>
      <c r="U1469" s="3">
        <v>0.462307356</v>
      </c>
      <c r="V1469" s="3">
        <v>0</v>
      </c>
      <c r="W1469" s="3">
        <v>0.72842047200000004</v>
      </c>
      <c r="X1469" s="3">
        <v>3.0579759860000002</v>
      </c>
      <c r="Y1469" s="3">
        <v>0.31357204100000002</v>
      </c>
      <c r="Z1469" s="3">
        <v>1.8597985509999999</v>
      </c>
      <c r="AA1469" s="3">
        <v>0.33055867700000002</v>
      </c>
      <c r="AB1469" s="3">
        <v>22.70463123</v>
      </c>
      <c r="AC1469" s="3">
        <v>4.1980917670000002</v>
      </c>
      <c r="AD1469" s="3">
        <v>0.64907395400000001</v>
      </c>
      <c r="AE1469" s="3">
        <v>0.65342990300000003</v>
      </c>
      <c r="AF1469" s="4">
        <v>40770</v>
      </c>
      <c r="AG1469" s="5">
        <f>YEAR(AF1469)</f>
        <v>2011</v>
      </c>
      <c r="AH1469" s="5" t="str">
        <f>"Q"&amp;ROUNDUP(MONTH(AF1469)/3,0)</f>
        <v>Q3</v>
      </c>
      <c r="AI1469" s="5">
        <f>INDEX(RatingLookup!$B$2:$B$11,MATCH(A1469,RatingLookup!$A$2:$A$11,0))</f>
        <v>6</v>
      </c>
      <c r="AJ1469" s="5" t="str">
        <f>INDEX(RatingLookup!$C$2:$C$11,MATCH(A1469,RatingLookup!$A$2:$A$11,0))</f>
        <v>Speculative Grade</v>
      </c>
    </row>
    <row r="1470" spans="1:36" x14ac:dyDescent="0.3">
      <c r="A1470" s="3" t="s">
        <v>42</v>
      </c>
      <c r="B1470" s="3" t="s">
        <v>1565</v>
      </c>
      <c r="C1470" s="3" t="s">
        <v>1566</v>
      </c>
      <c r="D1470" s="3" t="s">
        <v>47</v>
      </c>
      <c r="E1470" s="3" t="s">
        <v>210</v>
      </c>
      <c r="F1470" s="3" t="s">
        <v>53</v>
      </c>
      <c r="G1470" s="3">
        <v>2.5231286179999999</v>
      </c>
      <c r="H1470" s="3">
        <v>1.828364527</v>
      </c>
      <c r="I1470" s="3">
        <v>0.63420782600000003</v>
      </c>
      <c r="J1470" s="3">
        <v>77.632505420000001</v>
      </c>
      <c r="K1470" s="3">
        <v>0.117041805</v>
      </c>
      <c r="L1470" s="3">
        <v>8.1392241000000004E-2</v>
      </c>
      <c r="M1470" s="3">
        <v>0.23477849100000001</v>
      </c>
      <c r="N1470" s="3">
        <v>0.171692502</v>
      </c>
      <c r="O1470" s="3">
        <v>0.121971945</v>
      </c>
      <c r="P1470" s="3">
        <v>0.105157377</v>
      </c>
      <c r="Q1470" s="3">
        <v>0.25839999499999999</v>
      </c>
      <c r="R1470" s="3">
        <v>1.042122891</v>
      </c>
      <c r="S1470" s="3">
        <v>2.8025442979999999</v>
      </c>
      <c r="T1470" s="3">
        <v>1.1185199260000001</v>
      </c>
      <c r="U1470" s="3">
        <v>0.52797234199999998</v>
      </c>
      <c r="V1470" s="3">
        <v>0.65515585899999995</v>
      </c>
      <c r="W1470" s="3">
        <v>0.46397427400000002</v>
      </c>
      <c r="X1470" s="3">
        <v>3.141660334</v>
      </c>
      <c r="Y1470" s="3">
        <v>4.3467957559999997</v>
      </c>
      <c r="Z1470" s="3">
        <v>2.1185199259999998</v>
      </c>
      <c r="AA1470" s="3">
        <v>8.1392241000000004E-2</v>
      </c>
      <c r="AB1470" s="3">
        <v>6.8761608140000003</v>
      </c>
      <c r="AC1470" s="3">
        <v>6.7711951069999996</v>
      </c>
      <c r="AD1470" s="3">
        <v>0.19722299300000001</v>
      </c>
      <c r="AE1470" s="3">
        <v>22.64102419</v>
      </c>
      <c r="AF1470" s="4">
        <v>41957</v>
      </c>
      <c r="AG1470" s="5">
        <f>YEAR(AF1470)</f>
        <v>2014</v>
      </c>
      <c r="AH1470" s="5" t="str">
        <f>"Q"&amp;ROUNDUP(MONTH(AF1470)/3,0)</f>
        <v>Q4</v>
      </c>
      <c r="AI1470" s="5">
        <f>INDEX(RatingLookup!$B$2:$B$11,MATCH(A1470,RatingLookup!$A$2:$A$11,0))</f>
        <v>7</v>
      </c>
      <c r="AJ1470" s="5" t="str">
        <f>INDEX(RatingLookup!$C$2:$C$11,MATCH(A1470,RatingLookup!$A$2:$A$11,0))</f>
        <v>Investment Grade</v>
      </c>
    </row>
    <row r="1471" spans="1:36" x14ac:dyDescent="0.3">
      <c r="A1471" s="3" t="s">
        <v>42</v>
      </c>
      <c r="B1471" s="3" t="s">
        <v>1565</v>
      </c>
      <c r="C1471" s="3" t="s">
        <v>1566</v>
      </c>
      <c r="D1471" s="3" t="s">
        <v>47</v>
      </c>
      <c r="E1471" s="3" t="s">
        <v>250</v>
      </c>
      <c r="F1471" s="3" t="s">
        <v>53</v>
      </c>
      <c r="G1471" s="3">
        <v>2.4836436100000001</v>
      </c>
      <c r="H1471" s="3">
        <v>1.962062617</v>
      </c>
      <c r="I1471" s="3">
        <v>0.88557214900000003</v>
      </c>
      <c r="J1471" s="3">
        <v>78.692617060000003</v>
      </c>
      <c r="K1471" s="3">
        <v>1.0823194E-2</v>
      </c>
      <c r="L1471" s="3">
        <v>9.8102529999999997E-3</v>
      </c>
      <c r="M1471" s="3">
        <v>0.122920686</v>
      </c>
      <c r="N1471" s="3">
        <v>3.115157E-2</v>
      </c>
      <c r="O1471" s="3">
        <v>7.8541619999999996E-3</v>
      </c>
      <c r="P1471" s="3">
        <v>8.4993959999999993E-3</v>
      </c>
      <c r="Q1471" s="3">
        <v>1.6210802E-2</v>
      </c>
      <c r="R1471" s="3">
        <v>0.72567872600000005</v>
      </c>
      <c r="S1471" s="3">
        <v>1.969726635</v>
      </c>
      <c r="T1471" s="3">
        <v>1.063976163</v>
      </c>
      <c r="U1471" s="3">
        <v>0.51549828099999995</v>
      </c>
      <c r="V1471" s="3">
        <v>0.84182185300000001</v>
      </c>
      <c r="W1471" s="3">
        <v>0.66994202999999997</v>
      </c>
      <c r="X1471" s="3">
        <v>2.3270260619999998</v>
      </c>
      <c r="Y1471" s="3">
        <v>5.1786912840000001</v>
      </c>
      <c r="Z1471" s="3">
        <v>2.063976163</v>
      </c>
      <c r="AA1471" s="3">
        <v>9.8102529999999997E-3</v>
      </c>
      <c r="AB1471" s="3">
        <v>9.4206187640000003</v>
      </c>
      <c r="AC1471" s="3">
        <v>3.473473759</v>
      </c>
      <c r="AD1471" s="3">
        <v>0.14990383400000001</v>
      </c>
      <c r="AE1471" s="3">
        <v>25.677264699999998</v>
      </c>
      <c r="AF1471" s="4">
        <v>42657</v>
      </c>
      <c r="AG1471" s="5">
        <f>YEAR(AF1471)</f>
        <v>2016</v>
      </c>
      <c r="AH1471" s="5" t="str">
        <f>"Q"&amp;ROUNDUP(MONTH(AF1471)/3,0)</f>
        <v>Q4</v>
      </c>
      <c r="AI1471" s="5">
        <f>INDEX(RatingLookup!$B$2:$B$11,MATCH(A1471,RatingLookup!$A$2:$A$11,0))</f>
        <v>7</v>
      </c>
      <c r="AJ1471" s="5" t="str">
        <f>INDEX(RatingLookup!$C$2:$C$11,MATCH(A1471,RatingLookup!$A$2:$A$11,0))</f>
        <v>Investment Grade</v>
      </c>
    </row>
    <row r="1472" spans="1:36" x14ac:dyDescent="0.3">
      <c r="A1472" s="3" t="s">
        <v>42</v>
      </c>
      <c r="B1472" s="3" t="s">
        <v>1565</v>
      </c>
      <c r="C1472" s="3" t="s">
        <v>1566</v>
      </c>
      <c r="D1472" s="3" t="s">
        <v>47</v>
      </c>
      <c r="E1472" s="3" t="s">
        <v>1567</v>
      </c>
      <c r="F1472" s="3" t="s">
        <v>53</v>
      </c>
      <c r="G1472" s="3">
        <v>2.4636386369999999</v>
      </c>
      <c r="H1472" s="3">
        <v>1.6202780720000001</v>
      </c>
      <c r="I1472" s="3">
        <v>0.62542616699999998</v>
      </c>
      <c r="J1472" s="3">
        <v>73.027910500000004</v>
      </c>
      <c r="K1472" s="3">
        <v>7.5425908E-2</v>
      </c>
      <c r="L1472" s="3">
        <v>3.7168183E-2</v>
      </c>
      <c r="M1472" s="3">
        <v>0.19767470700000001</v>
      </c>
      <c r="N1472" s="3">
        <v>0.12205028499999999</v>
      </c>
      <c r="O1472" s="3">
        <v>6.7359258000000005E-2</v>
      </c>
      <c r="P1472" s="3">
        <v>4.0459841000000003E-2</v>
      </c>
      <c r="Q1472" s="3">
        <v>0.14632674000000001</v>
      </c>
      <c r="R1472" s="3">
        <v>0.89305200500000004</v>
      </c>
      <c r="S1472" s="3">
        <v>2.4178408830000002</v>
      </c>
      <c r="T1472" s="3">
        <v>1.172333021</v>
      </c>
      <c r="U1472" s="3">
        <v>0.53966542399999995</v>
      </c>
      <c r="V1472" s="3">
        <v>0.92456758299999997</v>
      </c>
      <c r="W1472" s="3">
        <v>0.64317069000000004</v>
      </c>
      <c r="X1472" s="3">
        <v>3.6623550809999998</v>
      </c>
      <c r="Y1472" s="3">
        <v>3.9143135839999998</v>
      </c>
      <c r="Z1472" s="3">
        <v>2.172333021</v>
      </c>
      <c r="AA1472" s="3">
        <v>3.7168183E-2</v>
      </c>
      <c r="AB1472" s="3">
        <v>6.0079417030000002</v>
      </c>
      <c r="AC1472" s="3">
        <v>5.6942194949999996</v>
      </c>
      <c r="AD1472" s="3">
        <v>0.18297519200000001</v>
      </c>
      <c r="AE1472" s="3">
        <v>20.776017320000001</v>
      </c>
      <c r="AF1472" s="4">
        <v>42285</v>
      </c>
      <c r="AG1472" s="5">
        <f>YEAR(AF1472)</f>
        <v>2015</v>
      </c>
      <c r="AH1472" s="5" t="str">
        <f>"Q"&amp;ROUNDUP(MONTH(AF1472)/3,0)</f>
        <v>Q4</v>
      </c>
      <c r="AI1472" s="5">
        <f>INDEX(RatingLookup!$B$2:$B$11,MATCH(A1472,RatingLookup!$A$2:$A$11,0))</f>
        <v>7</v>
      </c>
      <c r="AJ1472" s="5" t="str">
        <f>INDEX(RatingLookup!$C$2:$C$11,MATCH(A1472,RatingLookup!$A$2:$A$11,0))</f>
        <v>Investment Grade</v>
      </c>
    </row>
    <row r="1473" spans="1:36" x14ac:dyDescent="0.3">
      <c r="A1473" s="3" t="s">
        <v>92</v>
      </c>
      <c r="B1473" s="3" t="s">
        <v>1568</v>
      </c>
      <c r="C1473" s="3" t="s">
        <v>1569</v>
      </c>
      <c r="D1473" s="3" t="s">
        <v>47</v>
      </c>
      <c r="E1473" s="3" t="s">
        <v>274</v>
      </c>
      <c r="F1473" s="3" t="s">
        <v>53</v>
      </c>
      <c r="G1473" s="3">
        <v>0.80904130900000004</v>
      </c>
      <c r="H1473" s="3">
        <v>0.71613406099999999</v>
      </c>
      <c r="I1473" s="3">
        <v>1.8550272999999999E-2</v>
      </c>
      <c r="J1473" s="3">
        <v>196.93897770000001</v>
      </c>
      <c r="K1473" s="3">
        <v>0.210540219</v>
      </c>
      <c r="L1473" s="3">
        <v>0.14806498500000001</v>
      </c>
      <c r="M1473" s="3">
        <v>-1.1623299E-2</v>
      </c>
      <c r="N1473" s="3">
        <v>0.50799101800000002</v>
      </c>
      <c r="O1473" s="3">
        <v>1.6999403E-2</v>
      </c>
      <c r="P1473" s="3">
        <v>1.2832988E-2</v>
      </c>
      <c r="Q1473" s="3">
        <v>4.7207249999999999E-2</v>
      </c>
      <c r="R1473" s="3">
        <v>8.0741831E-2</v>
      </c>
      <c r="S1473" s="3">
        <v>8.6859253999999997E-2</v>
      </c>
      <c r="T1473" s="3">
        <v>1.77699461</v>
      </c>
      <c r="U1473" s="3">
        <v>0.63989847300000002</v>
      </c>
      <c r="V1473" s="3">
        <v>1.0686886710000001</v>
      </c>
      <c r="W1473" s="3">
        <v>-0.34480154400000002</v>
      </c>
      <c r="X1473" s="3">
        <v>-2.29296875</v>
      </c>
      <c r="Y1473" s="3">
        <v>0.284040179</v>
      </c>
      <c r="Z1473" s="3">
        <v>2.77699461</v>
      </c>
      <c r="AA1473" s="3">
        <v>0.14806498500000001</v>
      </c>
      <c r="AB1473" s="3">
        <v>6.1261321960000004</v>
      </c>
      <c r="AC1473" s="3">
        <v>6.6501116070000004</v>
      </c>
      <c r="AD1473" s="3">
        <v>1.5740324919999999</v>
      </c>
      <c r="AE1473" s="3">
        <v>1.7610945039999999</v>
      </c>
      <c r="AF1473" s="4">
        <v>41617</v>
      </c>
      <c r="AG1473" s="5">
        <f>YEAR(AF1473)</f>
        <v>2013</v>
      </c>
      <c r="AH1473" s="5" t="str">
        <f>"Q"&amp;ROUNDUP(MONTH(AF1473)/3,0)</f>
        <v>Q4</v>
      </c>
      <c r="AI1473" s="5">
        <f>INDEX(RatingLookup!$B$2:$B$11,MATCH(A1473,RatingLookup!$A$2:$A$11,0))</f>
        <v>6</v>
      </c>
      <c r="AJ1473" s="5" t="str">
        <f>INDEX(RatingLookup!$C$2:$C$11,MATCH(A1473,RatingLookup!$A$2:$A$11,0))</f>
        <v>Speculative Grade</v>
      </c>
    </row>
    <row r="1474" spans="1:36" x14ac:dyDescent="0.3">
      <c r="A1474" s="3" t="s">
        <v>92</v>
      </c>
      <c r="B1474" s="3" t="s">
        <v>1568</v>
      </c>
      <c r="C1474" s="3" t="s">
        <v>1569</v>
      </c>
      <c r="D1474" s="3" t="s">
        <v>47</v>
      </c>
      <c r="E1474" s="3" t="s">
        <v>324</v>
      </c>
      <c r="F1474" s="3" t="s">
        <v>53</v>
      </c>
      <c r="G1474" s="3">
        <v>1.4523067329999999</v>
      </c>
      <c r="H1474" s="3">
        <v>1.2484413969999999</v>
      </c>
      <c r="I1474" s="3">
        <v>0.58603491299999999</v>
      </c>
      <c r="J1474" s="3">
        <v>163.5679768</v>
      </c>
      <c r="K1474" s="3">
        <v>-0.24065721600000001</v>
      </c>
      <c r="L1474" s="3">
        <v>-0.39143041200000001</v>
      </c>
      <c r="M1474" s="3">
        <v>-9.6649479999999996E-3</v>
      </c>
      <c r="N1474" s="3">
        <v>-0.60824742300000001</v>
      </c>
      <c r="O1474" s="3">
        <v>-1.7731884999999999E-2</v>
      </c>
      <c r="P1474" s="3">
        <v>-3.1218283999999999E-2</v>
      </c>
      <c r="Q1474" s="3">
        <v>-3.7842903999999997E-2</v>
      </c>
      <c r="R1474" s="3">
        <v>7.3681087000000006E-2</v>
      </c>
      <c r="S1474" s="3">
        <v>8.4066842000000003E-2</v>
      </c>
      <c r="T1474" s="3">
        <v>1.1341725979999999</v>
      </c>
      <c r="U1474" s="3">
        <v>0.53143433600000001</v>
      </c>
      <c r="V1474" s="3">
        <v>0.38518518499999999</v>
      </c>
      <c r="W1474" s="3">
        <v>-1.5751090800000001</v>
      </c>
      <c r="X1474" s="3">
        <v>-4.2927519820000004</v>
      </c>
      <c r="Y1474" s="3">
        <v>2.9603624009999998</v>
      </c>
      <c r="Z1474" s="3">
        <v>2.1341725980000001</v>
      </c>
      <c r="AA1474" s="3">
        <v>-0.39143041200000001</v>
      </c>
      <c r="AB1474" s="3">
        <v>8.0573121440000008</v>
      </c>
      <c r="AC1474" s="3">
        <v>2.7253680629999999</v>
      </c>
      <c r="AD1474" s="3">
        <v>0.77528994799999995</v>
      </c>
      <c r="AE1474" s="3">
        <v>1.7822007390000001</v>
      </c>
      <c r="AF1474" s="4">
        <v>42409</v>
      </c>
      <c r="AG1474" s="5">
        <f>YEAR(AF1474)</f>
        <v>2016</v>
      </c>
      <c r="AH1474" s="5" t="str">
        <f>"Q"&amp;ROUNDUP(MONTH(AF1474)/3,0)</f>
        <v>Q1</v>
      </c>
      <c r="AI1474" s="5">
        <f>INDEX(RatingLookup!$B$2:$B$11,MATCH(A1474,RatingLookup!$A$2:$A$11,0))</f>
        <v>6</v>
      </c>
      <c r="AJ1474" s="5" t="str">
        <f>INDEX(RatingLookup!$C$2:$C$11,MATCH(A1474,RatingLookup!$A$2:$A$11,0))</f>
        <v>Speculative Grade</v>
      </c>
    </row>
    <row r="1475" spans="1:36" x14ac:dyDescent="0.3">
      <c r="A1475" s="3" t="s">
        <v>92</v>
      </c>
      <c r="B1475" s="3" t="s">
        <v>1568</v>
      </c>
      <c r="C1475" s="3" t="s">
        <v>1569</v>
      </c>
      <c r="D1475" s="3" t="s">
        <v>47</v>
      </c>
      <c r="E1475" s="3" t="s">
        <v>1570</v>
      </c>
      <c r="F1475" s="3" t="s">
        <v>53</v>
      </c>
      <c r="G1475" s="3">
        <v>1.283474443</v>
      </c>
      <c r="H1475" s="3">
        <v>0.73439949800000004</v>
      </c>
      <c r="I1475" s="3">
        <v>4.5468798999999997E-2</v>
      </c>
      <c r="J1475" s="3">
        <v>133.65060349999999</v>
      </c>
      <c r="K1475" s="3">
        <v>0.246199208</v>
      </c>
      <c r="L1475" s="3">
        <v>0.249147701</v>
      </c>
      <c r="M1475" s="3">
        <v>7.5555149999999996E-3</v>
      </c>
      <c r="N1475" s="3">
        <v>0.46613839499999998</v>
      </c>
      <c r="O1475" s="3">
        <v>3.5900950000000001E-2</v>
      </c>
      <c r="P1475" s="3">
        <v>3.9736072999999997E-2</v>
      </c>
      <c r="Q1475" s="3">
        <v>8.0932908999999997E-2</v>
      </c>
      <c r="R1475" s="3">
        <v>0.14582073700000001</v>
      </c>
      <c r="S1475" s="3">
        <v>0.10839992</v>
      </c>
      <c r="T1475" s="3">
        <v>1.254338937</v>
      </c>
      <c r="U1475" s="3">
        <v>0.55641098</v>
      </c>
      <c r="V1475" s="3">
        <v>0.57100591700000003</v>
      </c>
      <c r="W1475" s="3">
        <v>-2.24354E-3</v>
      </c>
      <c r="X1475" s="3">
        <v>-1.6430594999999999E-2</v>
      </c>
      <c r="Y1475" s="3">
        <v>0.402266289</v>
      </c>
      <c r="Z1475" s="3">
        <v>2.254338937</v>
      </c>
      <c r="AA1475" s="3">
        <v>0.249147701</v>
      </c>
      <c r="AB1475" s="3">
        <v>5.3391053790000003</v>
      </c>
      <c r="AC1475" s="3">
        <v>7.3235127479999997</v>
      </c>
      <c r="AD1475" s="3">
        <v>1.191007095</v>
      </c>
      <c r="AE1475" s="3">
        <v>2.3553465999999998</v>
      </c>
      <c r="AF1475" s="4">
        <v>40787</v>
      </c>
      <c r="AG1475" s="5">
        <f>YEAR(AF1475)</f>
        <v>2011</v>
      </c>
      <c r="AH1475" s="5" t="str">
        <f>"Q"&amp;ROUNDUP(MONTH(AF1475)/3,0)</f>
        <v>Q3</v>
      </c>
      <c r="AI1475" s="5">
        <f>INDEX(RatingLookup!$B$2:$B$11,MATCH(A1475,RatingLookup!$A$2:$A$11,0))</f>
        <v>6</v>
      </c>
      <c r="AJ1475" s="5" t="str">
        <f>INDEX(RatingLookup!$C$2:$C$11,MATCH(A1475,RatingLookup!$A$2:$A$11,0))</f>
        <v>Speculative Grade</v>
      </c>
    </row>
    <row r="1476" spans="1:36" x14ac:dyDescent="0.3">
      <c r="A1476" s="3" t="s">
        <v>92</v>
      </c>
      <c r="B1476" s="3" t="s">
        <v>1568</v>
      </c>
      <c r="C1476" s="3" t="s">
        <v>1569</v>
      </c>
      <c r="D1476" s="3" t="s">
        <v>47</v>
      </c>
      <c r="E1476" s="3" t="s">
        <v>1571</v>
      </c>
      <c r="F1476" s="3" t="s">
        <v>53</v>
      </c>
      <c r="G1476" s="3">
        <v>1.4883254020000001</v>
      </c>
      <c r="H1476" s="3">
        <v>1.1911808450000001</v>
      </c>
      <c r="I1476" s="3">
        <v>0.86258179700000004</v>
      </c>
      <c r="J1476" s="3">
        <v>155.83913039999999</v>
      </c>
      <c r="K1476" s="3">
        <v>0.75787439599999995</v>
      </c>
      <c r="L1476" s="3">
        <v>-0.620289855</v>
      </c>
      <c r="M1476" s="3">
        <v>3.671498E-3</v>
      </c>
      <c r="N1476" s="3">
        <v>-0.81864734299999997</v>
      </c>
      <c r="O1476" s="3">
        <v>8.4463969999999999E-2</v>
      </c>
      <c r="P1476" s="3">
        <v>-8.0836061000000001E-2</v>
      </c>
      <c r="Q1476" s="3">
        <v>0.19247662700000001</v>
      </c>
      <c r="R1476" s="3">
        <v>0.111448508</v>
      </c>
      <c r="S1476" s="3">
        <v>0.14312977099999999</v>
      </c>
      <c r="T1476" s="3">
        <v>1.2788015610000001</v>
      </c>
      <c r="U1476" s="3">
        <v>0.56117284700000003</v>
      </c>
      <c r="V1476" s="3">
        <v>0.36214953300000002</v>
      </c>
      <c r="W1476" s="3">
        <v>-0.76752025899999998</v>
      </c>
      <c r="X1476" s="3">
        <v>-6.5845383760000002</v>
      </c>
      <c r="Y1476" s="3">
        <v>6.451612903</v>
      </c>
      <c r="Z1476" s="3">
        <v>2.2788015609999999</v>
      </c>
      <c r="AA1476" s="3">
        <v>-0.620289855</v>
      </c>
      <c r="AB1476" s="3">
        <v>23.46828</v>
      </c>
      <c r="AC1476" s="3">
        <v>8.5789766410000006</v>
      </c>
      <c r="AD1476" s="3">
        <v>1.490338164</v>
      </c>
      <c r="AE1476" s="3">
        <v>1.7921445949999999</v>
      </c>
      <c r="AF1476" s="4">
        <v>41932</v>
      </c>
      <c r="AG1476" s="5">
        <f>YEAR(AF1476)</f>
        <v>2014</v>
      </c>
      <c r="AH1476" s="5" t="str">
        <f>"Q"&amp;ROUNDUP(MONTH(AF1476)/3,0)</f>
        <v>Q4</v>
      </c>
      <c r="AI1476" s="5">
        <f>INDEX(RatingLookup!$B$2:$B$11,MATCH(A1476,RatingLookup!$A$2:$A$11,0))</f>
        <v>6</v>
      </c>
      <c r="AJ1476" s="5" t="str">
        <f>INDEX(RatingLookup!$C$2:$C$11,MATCH(A1476,RatingLookup!$A$2:$A$11,0))</f>
        <v>Speculative Grade</v>
      </c>
    </row>
    <row r="1477" spans="1:36" x14ac:dyDescent="0.3">
      <c r="A1477" s="3" t="s">
        <v>92</v>
      </c>
      <c r="B1477" s="3" t="s">
        <v>1568</v>
      </c>
      <c r="C1477" s="3" t="s">
        <v>1569</v>
      </c>
      <c r="D1477" s="3" t="s">
        <v>47</v>
      </c>
      <c r="E1477" s="3" t="s">
        <v>1148</v>
      </c>
      <c r="F1477" s="3" t="s">
        <v>53</v>
      </c>
      <c r="G1477" s="3">
        <v>1.243395493</v>
      </c>
      <c r="H1477" s="3">
        <v>1.1629759129999999</v>
      </c>
      <c r="I1477" s="3">
        <v>0.86052836099999996</v>
      </c>
      <c r="J1477" s="3">
        <v>561.56620550000002</v>
      </c>
      <c r="K1477" s="3">
        <v>-12.302371539999999</v>
      </c>
      <c r="L1477" s="3">
        <v>-19.300395259999998</v>
      </c>
      <c r="M1477" s="3">
        <v>-4.2490119E-2</v>
      </c>
      <c r="N1477" s="3">
        <v>-15.835968380000001</v>
      </c>
      <c r="O1477" s="3">
        <v>-0.17183316300000001</v>
      </c>
      <c r="P1477" s="3">
        <v>-0.290197011</v>
      </c>
      <c r="Q1477" s="3">
        <v>-0.35544008900000001</v>
      </c>
      <c r="R1477" s="3">
        <v>1.3967482999999999E-2</v>
      </c>
      <c r="S1477" s="3">
        <v>1.5476373E-2</v>
      </c>
      <c r="T1477" s="3">
        <v>1.068518571</v>
      </c>
      <c r="U1477" s="3">
        <v>0.51656223300000004</v>
      </c>
      <c r="V1477" s="3">
        <v>0.36258447700000002</v>
      </c>
      <c r="W1477" s="3">
        <v>1</v>
      </c>
      <c r="X1477" s="3">
        <v>2.9936851600000001</v>
      </c>
      <c r="Y1477" s="3">
        <v>1.99819576</v>
      </c>
      <c r="Z1477" s="3">
        <v>2.0685185709999998</v>
      </c>
      <c r="AA1477" s="3">
        <v>-19.300395259999998</v>
      </c>
      <c r="AB1477" s="3">
        <v>-7.5084098749999999</v>
      </c>
      <c r="AC1477" s="3">
        <v>2.9936851600000001</v>
      </c>
      <c r="AD1477" s="3">
        <v>6.5583003949999998</v>
      </c>
      <c r="AE1477" s="3">
        <v>0.39117538000000002</v>
      </c>
      <c r="AF1477" s="4">
        <v>42566</v>
      </c>
      <c r="AG1477" s="5">
        <f>YEAR(AF1477)</f>
        <v>2016</v>
      </c>
      <c r="AH1477" s="5" t="str">
        <f>"Q"&amp;ROUNDUP(MONTH(AF1477)/3,0)</f>
        <v>Q3</v>
      </c>
      <c r="AI1477" s="5">
        <f>INDEX(RatingLookup!$B$2:$B$11,MATCH(A1477,RatingLookup!$A$2:$A$11,0))</f>
        <v>6</v>
      </c>
      <c r="AJ1477" s="5" t="str">
        <f>INDEX(RatingLookup!$C$2:$C$11,MATCH(A1477,RatingLookup!$A$2:$A$11,0))</f>
        <v>Speculative Grade</v>
      </c>
    </row>
    <row r="1478" spans="1:36" x14ac:dyDescent="0.3">
      <c r="A1478" s="3" t="s">
        <v>92</v>
      </c>
      <c r="B1478" s="3" t="s">
        <v>1568</v>
      </c>
      <c r="C1478" s="3" t="s">
        <v>1569</v>
      </c>
      <c r="D1478" s="3" t="s">
        <v>47</v>
      </c>
      <c r="E1478" s="3" t="s">
        <v>1019</v>
      </c>
      <c r="F1478" s="3" t="s">
        <v>53</v>
      </c>
      <c r="G1478" s="3">
        <v>0.85273657999999997</v>
      </c>
      <c r="H1478" s="3">
        <v>0.61359758499999995</v>
      </c>
      <c r="I1478" s="3">
        <v>5.1187820000000002E-2</v>
      </c>
      <c r="J1478" s="3">
        <v>218.90961150000001</v>
      </c>
      <c r="K1478" s="3">
        <v>0.19857607199999999</v>
      </c>
      <c r="L1478" s="3">
        <v>0.20430274000000001</v>
      </c>
      <c r="M1478" s="3">
        <v>-1.4703605999999999E-2</v>
      </c>
      <c r="N1478" s="3">
        <v>-0.20631481199999999</v>
      </c>
      <c r="O1478" s="3">
        <v>1.4085744000000001E-2</v>
      </c>
      <c r="P1478" s="3">
        <v>1.5814822999999999E-2</v>
      </c>
      <c r="Q1478" s="3">
        <v>3.9283526999999999E-2</v>
      </c>
      <c r="R1478" s="3">
        <v>7.0933742999999994E-2</v>
      </c>
      <c r="S1478" s="3">
        <v>7.7848062999999995E-2</v>
      </c>
      <c r="T1478" s="3">
        <v>1.7888854869999999</v>
      </c>
      <c r="U1478" s="3">
        <v>0.64143382599999998</v>
      </c>
      <c r="V1478" s="3">
        <v>0.50378787899999999</v>
      </c>
      <c r="W1478" s="3">
        <v>-1.1602623460000001</v>
      </c>
      <c r="X1478" s="3">
        <v>-8.4572553429999999</v>
      </c>
      <c r="Y1478" s="3">
        <v>0.449943757</v>
      </c>
      <c r="Z1478" s="3">
        <v>2.7888854869999999</v>
      </c>
      <c r="AA1478" s="3">
        <v>0.20430274000000001</v>
      </c>
      <c r="AB1478" s="3">
        <v>10.86432231</v>
      </c>
      <c r="AC1478" s="3">
        <v>7.289088864</v>
      </c>
      <c r="AD1478" s="3">
        <v>2.0058814429999998</v>
      </c>
      <c r="AE1478" s="3">
        <v>1.0309797140000001</v>
      </c>
      <c r="AF1478" s="4">
        <v>41120</v>
      </c>
      <c r="AG1478" s="5">
        <f>YEAR(AF1478)</f>
        <v>2012</v>
      </c>
      <c r="AH1478" s="5" t="str">
        <f>"Q"&amp;ROUNDUP(MONTH(AF1478)/3,0)</f>
        <v>Q3</v>
      </c>
      <c r="AI1478" s="5">
        <f>INDEX(RatingLookup!$B$2:$B$11,MATCH(A1478,RatingLookup!$A$2:$A$11,0))</f>
        <v>6</v>
      </c>
      <c r="AJ1478" s="5" t="str">
        <f>INDEX(RatingLookup!$C$2:$C$11,MATCH(A1478,RatingLookup!$A$2:$A$11,0))</f>
        <v>Speculative Grade</v>
      </c>
    </row>
    <row r="1479" spans="1:36" x14ac:dyDescent="0.3">
      <c r="A1479" s="3" t="s">
        <v>42</v>
      </c>
      <c r="B1479" s="3" t="s">
        <v>1572</v>
      </c>
      <c r="C1479" s="3" t="s">
        <v>1573</v>
      </c>
      <c r="D1479" s="3" t="s">
        <v>47</v>
      </c>
      <c r="E1479" s="3" t="s">
        <v>903</v>
      </c>
      <c r="F1479" s="3" t="s">
        <v>96</v>
      </c>
      <c r="G1479" s="3">
        <v>2.2644555689999999</v>
      </c>
      <c r="H1479" s="3">
        <v>1.260169455</v>
      </c>
      <c r="I1479" s="3">
        <v>0.386991054</v>
      </c>
      <c r="J1479" s="3">
        <v>119.71821300000001</v>
      </c>
      <c r="K1479" s="3">
        <v>6.5750592999999996E-2</v>
      </c>
      <c r="L1479" s="3">
        <v>0.12584214099999999</v>
      </c>
      <c r="M1479" s="3">
        <v>0.30735319999999999</v>
      </c>
      <c r="N1479" s="3">
        <v>0.13465359900000001</v>
      </c>
      <c r="O1479" s="3">
        <v>4.2989178000000003E-2</v>
      </c>
      <c r="P1479" s="3">
        <v>0.109064249</v>
      </c>
      <c r="Q1479" s="3">
        <v>0.100507719</v>
      </c>
      <c r="R1479" s="3">
        <v>0.65382190600000001</v>
      </c>
      <c r="S1479" s="3">
        <v>14.666518809999999</v>
      </c>
      <c r="T1479" s="3">
        <v>1.3379772270000001</v>
      </c>
      <c r="U1479" s="3">
        <v>0.57227983699999996</v>
      </c>
      <c r="V1479" s="3">
        <v>0.34724401700000002</v>
      </c>
      <c r="W1479" s="3">
        <v>0.62241933699999996</v>
      </c>
      <c r="X1479" s="3">
        <v>1.6045486760000001</v>
      </c>
      <c r="Y1479" s="3">
        <v>2.5181669699999998</v>
      </c>
      <c r="Z1479" s="3">
        <v>2.3379772270000001</v>
      </c>
      <c r="AA1479" s="3">
        <v>0.12584214099999999</v>
      </c>
      <c r="AB1479" s="3">
        <v>7.5112965889999996</v>
      </c>
      <c r="AC1479" s="3">
        <v>2.577922278</v>
      </c>
      <c r="AD1479" s="3">
        <v>0.148816333</v>
      </c>
      <c r="AE1479" s="3">
        <v>10.508015759999999</v>
      </c>
      <c r="AF1479" s="4">
        <v>42039</v>
      </c>
      <c r="AG1479" s="5">
        <f>YEAR(AF1479)</f>
        <v>2015</v>
      </c>
      <c r="AH1479" s="5" t="str">
        <f>"Q"&amp;ROUNDUP(MONTH(AF1479)/3,0)</f>
        <v>Q1</v>
      </c>
      <c r="AI1479" s="5">
        <f>INDEX(RatingLookup!$B$2:$B$11,MATCH(A1479,RatingLookup!$A$2:$A$11,0))</f>
        <v>7</v>
      </c>
      <c r="AJ1479" s="5" t="str">
        <f>INDEX(RatingLookup!$C$2:$C$11,MATCH(A1479,RatingLookup!$A$2:$A$11,0))</f>
        <v>Investment Grade</v>
      </c>
    </row>
    <row r="1480" spans="1:36" x14ac:dyDescent="0.3">
      <c r="A1480" s="3" t="s">
        <v>42</v>
      </c>
      <c r="B1480" s="3" t="s">
        <v>1572</v>
      </c>
      <c r="C1480" s="3" t="s">
        <v>1573</v>
      </c>
      <c r="D1480" s="3" t="s">
        <v>47</v>
      </c>
      <c r="E1480" s="3" t="s">
        <v>1574</v>
      </c>
      <c r="F1480" s="3" t="s">
        <v>96</v>
      </c>
      <c r="G1480" s="3">
        <v>2.221720516</v>
      </c>
      <c r="H1480" s="3">
        <v>1.926079935</v>
      </c>
      <c r="I1480" s="3">
        <v>0.501335164</v>
      </c>
      <c r="J1480" s="3">
        <v>100.21505790000001</v>
      </c>
      <c r="K1480" s="3">
        <v>8.2635310000000003E-2</v>
      </c>
      <c r="L1480" s="3">
        <v>0.13141198300000001</v>
      </c>
      <c r="M1480" s="3">
        <v>0.50700695699999998</v>
      </c>
      <c r="N1480" s="3">
        <v>0.17429214200000001</v>
      </c>
      <c r="O1480" s="3">
        <v>7.0505079999999998E-2</v>
      </c>
      <c r="P1480" s="3">
        <v>0.156285067</v>
      </c>
      <c r="Q1480" s="3">
        <v>0.25016709100000001</v>
      </c>
      <c r="R1480" s="3">
        <v>0.85320766599999998</v>
      </c>
      <c r="S1480" s="3">
        <v>22.978560210000001</v>
      </c>
      <c r="T1480" s="3">
        <v>2.5482137169999999</v>
      </c>
      <c r="U1480" s="3">
        <v>0.71816804700000003</v>
      </c>
      <c r="V1480" s="3">
        <v>0.37117371199999999</v>
      </c>
      <c r="W1480" s="3">
        <v>0.74045565800000002</v>
      </c>
      <c r="X1480" s="3">
        <v>2.0129165590000002</v>
      </c>
      <c r="Y1480" s="3">
        <v>8.9285068459999994</v>
      </c>
      <c r="Z1480" s="3">
        <v>3.5482137169999999</v>
      </c>
      <c r="AA1480" s="3">
        <v>0.13141198300000001</v>
      </c>
      <c r="AB1480" s="3">
        <v>9.7970031950000003</v>
      </c>
      <c r="AC1480" s="3">
        <v>2.718483596</v>
      </c>
      <c r="AD1480" s="3">
        <v>0.110631599</v>
      </c>
      <c r="AE1480" s="3">
        <v>10.68247053</v>
      </c>
      <c r="AF1480" s="4">
        <v>42724</v>
      </c>
      <c r="AG1480" s="5">
        <f>YEAR(AF1480)</f>
        <v>2016</v>
      </c>
      <c r="AH1480" s="5" t="str">
        <f>"Q"&amp;ROUNDUP(MONTH(AF1480)/3,0)</f>
        <v>Q4</v>
      </c>
      <c r="AI1480" s="5">
        <f>INDEX(RatingLookup!$B$2:$B$11,MATCH(A1480,RatingLookup!$A$2:$A$11,0))</f>
        <v>7</v>
      </c>
      <c r="AJ1480" s="5" t="str">
        <f>INDEX(RatingLookup!$C$2:$C$11,MATCH(A1480,RatingLookup!$A$2:$A$11,0))</f>
        <v>Investment Grade</v>
      </c>
    </row>
    <row r="1481" spans="1:36" x14ac:dyDescent="0.3">
      <c r="A1481" s="3" t="s">
        <v>42</v>
      </c>
      <c r="B1481" s="3" t="s">
        <v>1572</v>
      </c>
      <c r="C1481" s="3" t="s">
        <v>1573</v>
      </c>
      <c r="D1481" s="3" t="s">
        <v>47</v>
      </c>
      <c r="E1481" s="3" t="s">
        <v>112</v>
      </c>
      <c r="F1481" s="3" t="s">
        <v>96</v>
      </c>
      <c r="G1481" s="3">
        <v>1.439040984</v>
      </c>
      <c r="H1481" s="3">
        <v>1.1656980050000001</v>
      </c>
      <c r="I1481" s="3">
        <v>0.368297702</v>
      </c>
      <c r="J1481" s="3">
        <v>86.750797320000004</v>
      </c>
      <c r="K1481" s="3">
        <v>8.3143305000000001E-2</v>
      </c>
      <c r="L1481" s="3">
        <v>0.12802450400000001</v>
      </c>
      <c r="M1481" s="3">
        <v>0.49537420900000001</v>
      </c>
      <c r="N1481" s="3">
        <v>0.15034816400000001</v>
      </c>
      <c r="O1481" s="3">
        <v>7.1323126000000001E-2</v>
      </c>
      <c r="P1481" s="3">
        <v>0.186305147</v>
      </c>
      <c r="Q1481" s="3">
        <v>0.18091052399999999</v>
      </c>
      <c r="R1481" s="3">
        <v>0.85783366599999999</v>
      </c>
      <c r="S1481" s="3">
        <v>20.90797955</v>
      </c>
      <c r="T1481" s="3">
        <v>1.5364917810000001</v>
      </c>
      <c r="U1481" s="3">
        <v>0.60575468499999996</v>
      </c>
      <c r="V1481" s="3">
        <v>0.35056725599999999</v>
      </c>
      <c r="W1481" s="3">
        <v>0.80386100900000002</v>
      </c>
      <c r="X1481" s="3">
        <v>3.5456507039999998</v>
      </c>
      <c r="Y1481" s="3">
        <v>7.759363628</v>
      </c>
      <c r="Z1481" s="3">
        <v>2.5364917810000001</v>
      </c>
      <c r="AA1481" s="3">
        <v>0.12802450400000001</v>
      </c>
      <c r="AB1481" s="3">
        <v>7.5675797679999999</v>
      </c>
      <c r="AC1481" s="3">
        <v>4.4107758199999996</v>
      </c>
      <c r="AD1481" s="3">
        <v>0.18200047799999999</v>
      </c>
      <c r="AE1481" s="3">
        <v>8.7514057889999997</v>
      </c>
      <c r="AF1481" s="4">
        <v>42328</v>
      </c>
      <c r="AG1481" s="5">
        <f>YEAR(AF1481)</f>
        <v>2015</v>
      </c>
      <c r="AH1481" s="5" t="str">
        <f>"Q"&amp;ROUNDUP(MONTH(AF1481)/3,0)</f>
        <v>Q4</v>
      </c>
      <c r="AI1481" s="5">
        <f>INDEX(RatingLookup!$B$2:$B$11,MATCH(A1481,RatingLookup!$A$2:$A$11,0))</f>
        <v>7</v>
      </c>
      <c r="AJ1481" s="5" t="str">
        <f>INDEX(RatingLookup!$C$2:$C$11,MATCH(A1481,RatingLookup!$A$2:$A$11,0))</f>
        <v>Investment Grade</v>
      </c>
    </row>
    <row r="1482" spans="1:36" x14ac:dyDescent="0.3">
      <c r="A1482" s="3" t="s">
        <v>92</v>
      </c>
      <c r="B1482" s="3" t="s">
        <v>1575</v>
      </c>
      <c r="C1482" s="3" t="s">
        <v>1576</v>
      </c>
      <c r="D1482" s="3" t="s">
        <v>47</v>
      </c>
      <c r="E1482" s="3" t="s">
        <v>515</v>
      </c>
      <c r="F1482" s="3" t="s">
        <v>174</v>
      </c>
      <c r="G1482" s="3">
        <v>3.5287356320000001</v>
      </c>
      <c r="H1482" s="3">
        <v>1.3979885059999999</v>
      </c>
      <c r="I1482" s="3">
        <v>1.389367816</v>
      </c>
      <c r="J1482" s="3">
        <v>0</v>
      </c>
      <c r="K1482" s="3">
        <v>7.2717103000000005E-2</v>
      </c>
      <c r="L1482" s="3">
        <v>9.1455739999999994E-2</v>
      </c>
      <c r="M1482" s="3">
        <v>0.33198154099999999</v>
      </c>
      <c r="N1482" s="3">
        <v>7.2717103000000005E-2</v>
      </c>
      <c r="O1482" s="3">
        <v>0.145373218</v>
      </c>
      <c r="P1482" s="3">
        <v>0.22700451199999999</v>
      </c>
      <c r="Q1482" s="3">
        <v>0.20833333300000001</v>
      </c>
      <c r="R1482" s="3">
        <v>1.9991613079999999</v>
      </c>
      <c r="S1482" s="3">
        <v>11.533870970000001</v>
      </c>
      <c r="T1482" s="3">
        <v>0.433092949</v>
      </c>
      <c r="U1482" s="3">
        <v>0.30220855499999999</v>
      </c>
      <c r="V1482" s="3">
        <v>0.441896024</v>
      </c>
      <c r="W1482" s="3">
        <v>0.73314606699999996</v>
      </c>
      <c r="X1482" s="3">
        <v>3.6503496499999999</v>
      </c>
      <c r="Y1482" s="3">
        <v>6.8041958039999999</v>
      </c>
      <c r="Z1482" s="3">
        <v>1.4330929489999999</v>
      </c>
      <c r="AA1482" s="3">
        <v>9.1455739999999994E-2</v>
      </c>
      <c r="AB1482" s="3">
        <v>10.922427920000001</v>
      </c>
      <c r="AC1482" s="3">
        <v>4.9790209790000004</v>
      </c>
      <c r="AD1482" s="3">
        <v>9.9566494000000005E-2</v>
      </c>
      <c r="AE1482" s="3">
        <v>15.870431890000001</v>
      </c>
      <c r="AF1482" s="4">
        <v>42272</v>
      </c>
      <c r="AG1482" s="5">
        <f>YEAR(AF1482)</f>
        <v>2015</v>
      </c>
      <c r="AH1482" s="5" t="str">
        <f>"Q"&amp;ROUNDUP(MONTH(AF1482)/3,0)</f>
        <v>Q3</v>
      </c>
      <c r="AI1482" s="5">
        <f>INDEX(RatingLookup!$B$2:$B$11,MATCH(A1482,RatingLookup!$A$2:$A$11,0))</f>
        <v>6</v>
      </c>
      <c r="AJ1482" s="5" t="str">
        <f>INDEX(RatingLookup!$C$2:$C$11,MATCH(A1482,RatingLookup!$A$2:$A$11,0))</f>
        <v>Speculative Grade</v>
      </c>
    </row>
    <row r="1483" spans="1:36" x14ac:dyDescent="0.3">
      <c r="A1483" s="3" t="s">
        <v>92</v>
      </c>
      <c r="B1483" s="3" t="s">
        <v>1575</v>
      </c>
      <c r="C1483" s="3" t="s">
        <v>1576</v>
      </c>
      <c r="D1483" s="3" t="s">
        <v>47</v>
      </c>
      <c r="E1483" s="3" t="s">
        <v>1092</v>
      </c>
      <c r="F1483" s="3" t="s">
        <v>174</v>
      </c>
      <c r="G1483" s="3">
        <v>3.7228571430000001</v>
      </c>
      <c r="H1483" s="3">
        <v>1.4628571429999999</v>
      </c>
      <c r="I1483" s="3">
        <v>1.458571429</v>
      </c>
      <c r="J1483" s="3">
        <v>0</v>
      </c>
      <c r="K1483" s="3">
        <v>7.2989745999999994E-2</v>
      </c>
      <c r="L1483" s="3">
        <v>0.112924987</v>
      </c>
      <c r="M1483" s="3">
        <v>0.33796546100000002</v>
      </c>
      <c r="N1483" s="3">
        <v>0.112924987</v>
      </c>
      <c r="O1483" s="3">
        <v>0.143311258</v>
      </c>
      <c r="P1483" s="3">
        <v>0.27219512200000001</v>
      </c>
      <c r="Q1483" s="3">
        <v>0.21190755999999999</v>
      </c>
      <c r="R1483" s="3">
        <v>1.9634437090000001</v>
      </c>
      <c r="S1483" s="3">
        <v>11.21331316</v>
      </c>
      <c r="T1483" s="3">
        <v>0.478652566</v>
      </c>
      <c r="U1483" s="3">
        <v>0.32370860899999998</v>
      </c>
      <c r="V1483" s="3">
        <v>0.353643967</v>
      </c>
      <c r="W1483" s="3">
        <v>0.69395973200000005</v>
      </c>
      <c r="X1483" s="3">
        <v>3.7194244599999999</v>
      </c>
      <c r="Y1483" s="3">
        <v>7.3669064750000004</v>
      </c>
      <c r="Z1483" s="3">
        <v>1.4786525660000001</v>
      </c>
      <c r="AA1483" s="3">
        <v>0.112924987</v>
      </c>
      <c r="AB1483" s="3">
        <v>7.9152284259999997</v>
      </c>
      <c r="AC1483" s="3">
        <v>5.3597122300000004</v>
      </c>
      <c r="AD1483" s="3">
        <v>0.10051268200000001</v>
      </c>
      <c r="AE1483" s="3">
        <v>17.587813619999999</v>
      </c>
      <c r="AF1483" s="4">
        <v>42634</v>
      </c>
      <c r="AG1483" s="5">
        <f>YEAR(AF1483)</f>
        <v>2016</v>
      </c>
      <c r="AH1483" s="5" t="str">
        <f>"Q"&amp;ROUNDUP(MONTH(AF1483)/3,0)</f>
        <v>Q3</v>
      </c>
      <c r="AI1483" s="5">
        <f>INDEX(RatingLookup!$B$2:$B$11,MATCH(A1483,RatingLookup!$A$2:$A$11,0))</f>
        <v>6</v>
      </c>
      <c r="AJ1483" s="5" t="str">
        <f>INDEX(RatingLookup!$C$2:$C$11,MATCH(A1483,RatingLookup!$A$2:$A$11,0))</f>
        <v>Speculative Grade</v>
      </c>
    </row>
    <row r="1484" spans="1:36" x14ac:dyDescent="0.3">
      <c r="A1484" s="3" t="s">
        <v>92</v>
      </c>
      <c r="B1484" s="3" t="s">
        <v>1575</v>
      </c>
      <c r="C1484" s="3" t="s">
        <v>1576</v>
      </c>
      <c r="D1484" s="3" t="s">
        <v>47</v>
      </c>
      <c r="E1484" s="3" t="s">
        <v>1577</v>
      </c>
      <c r="F1484" s="3" t="s">
        <v>174</v>
      </c>
      <c r="G1484" s="3">
        <v>3.9550102250000001</v>
      </c>
      <c r="H1484" s="3">
        <v>1.4233128829999999</v>
      </c>
      <c r="I1484" s="3">
        <v>1.4233128829999999</v>
      </c>
      <c r="J1484" s="3">
        <v>0</v>
      </c>
      <c r="K1484" s="3">
        <v>3.3471975000000001E-2</v>
      </c>
      <c r="L1484" s="3">
        <v>5.0901169000000003E-2</v>
      </c>
      <c r="M1484" s="3">
        <v>0.30025747699999999</v>
      </c>
      <c r="N1484" s="3">
        <v>5.0901169000000003E-2</v>
      </c>
      <c r="O1484" s="3">
        <v>5.8356353999999999E-2</v>
      </c>
      <c r="P1484" s="3">
        <v>0.106771915</v>
      </c>
      <c r="Q1484" s="3">
        <v>8.3456790000000003E-2</v>
      </c>
      <c r="R1484" s="3">
        <v>1.7434392270000001</v>
      </c>
      <c r="S1484" s="3">
        <v>13.080310880000001</v>
      </c>
      <c r="T1484" s="3">
        <v>0.43012345699999999</v>
      </c>
      <c r="U1484" s="3">
        <v>0.30075966900000001</v>
      </c>
      <c r="V1484" s="3">
        <v>0.34241245100000001</v>
      </c>
      <c r="W1484" s="3">
        <v>0.70245398800000003</v>
      </c>
      <c r="X1484" s="3">
        <v>1.4634319570000001</v>
      </c>
      <c r="Y1484" s="3">
        <v>4.4478106650000004</v>
      </c>
      <c r="Z1484" s="3">
        <v>1.4301234570000001</v>
      </c>
      <c r="AA1484" s="3">
        <v>5.0901169000000003E-2</v>
      </c>
      <c r="AB1484" s="3">
        <v>7.7583664670000001</v>
      </c>
      <c r="AC1484" s="3">
        <v>2.0833136159999999</v>
      </c>
      <c r="AD1484" s="3">
        <v>6.4567240999999997E-2</v>
      </c>
      <c r="AE1484" s="3">
        <v>15.843049329999999</v>
      </c>
      <c r="AF1484" s="4">
        <v>40827</v>
      </c>
      <c r="AG1484" s="5">
        <f>YEAR(AF1484)</f>
        <v>2011</v>
      </c>
      <c r="AH1484" s="5" t="str">
        <f>"Q"&amp;ROUNDUP(MONTH(AF1484)/3,0)</f>
        <v>Q4</v>
      </c>
      <c r="AI1484" s="5">
        <f>INDEX(RatingLookup!$B$2:$B$11,MATCH(A1484,RatingLookup!$A$2:$A$11,0))</f>
        <v>6</v>
      </c>
      <c r="AJ1484" s="5" t="str">
        <f>INDEX(RatingLookup!$C$2:$C$11,MATCH(A1484,RatingLookup!$A$2:$A$11,0))</f>
        <v>Speculative Grade</v>
      </c>
    </row>
    <row r="1485" spans="1:36" x14ac:dyDescent="0.3">
      <c r="A1485" s="3" t="s">
        <v>92</v>
      </c>
      <c r="B1485" s="3" t="s">
        <v>1575</v>
      </c>
      <c r="C1485" s="3" t="s">
        <v>1576</v>
      </c>
      <c r="D1485" s="3" t="s">
        <v>47</v>
      </c>
      <c r="E1485" s="3" t="s">
        <v>432</v>
      </c>
      <c r="F1485" s="3" t="s">
        <v>174</v>
      </c>
      <c r="G1485" s="3">
        <v>3.715408805</v>
      </c>
      <c r="H1485" s="3">
        <v>1.3930817609999999</v>
      </c>
      <c r="I1485" s="3">
        <v>1.383647799</v>
      </c>
      <c r="J1485" s="3">
        <v>0</v>
      </c>
      <c r="K1485" s="3">
        <v>6.4218699000000004E-2</v>
      </c>
      <c r="L1485" s="3">
        <v>8.2174053999999996E-2</v>
      </c>
      <c r="M1485" s="3">
        <v>0.32901973499999998</v>
      </c>
      <c r="N1485" s="3">
        <v>6.4218699000000004E-2</v>
      </c>
      <c r="O1485" s="3">
        <v>0.11790911799999999</v>
      </c>
      <c r="P1485" s="3">
        <v>0.18601245</v>
      </c>
      <c r="Q1485" s="3">
        <v>0.16701724900000001</v>
      </c>
      <c r="R1485" s="3">
        <v>1.8360558360000001</v>
      </c>
      <c r="S1485" s="3">
        <v>12.61632653</v>
      </c>
      <c r="T1485" s="3">
        <v>0.41649137600000002</v>
      </c>
      <c r="U1485" s="3">
        <v>0.29403029400000003</v>
      </c>
      <c r="V1485" s="3">
        <v>0.41338582699999998</v>
      </c>
      <c r="W1485" s="3">
        <v>0.60817307700000001</v>
      </c>
      <c r="X1485" s="3">
        <v>1.675496689</v>
      </c>
      <c r="Y1485" s="3">
        <v>5.8675496689999997</v>
      </c>
      <c r="Z1485" s="3">
        <v>1.416491376</v>
      </c>
      <c r="AA1485" s="3">
        <v>8.2174053999999996E-2</v>
      </c>
      <c r="AB1485" s="3">
        <v>9.3184271840000008</v>
      </c>
      <c r="AC1485" s="3">
        <v>2.7549668870000001</v>
      </c>
      <c r="AD1485" s="3">
        <v>6.7292138000000001E-2</v>
      </c>
      <c r="AE1485" s="3">
        <v>13.919463090000001</v>
      </c>
      <c r="AF1485" s="4">
        <v>41499</v>
      </c>
      <c r="AG1485" s="5">
        <f>YEAR(AF1485)</f>
        <v>2013</v>
      </c>
      <c r="AH1485" s="5" t="str">
        <f>"Q"&amp;ROUNDUP(MONTH(AF1485)/3,0)</f>
        <v>Q3</v>
      </c>
      <c r="AI1485" s="5">
        <f>INDEX(RatingLookup!$B$2:$B$11,MATCH(A1485,RatingLookup!$A$2:$A$11,0))</f>
        <v>6</v>
      </c>
      <c r="AJ1485" s="5" t="str">
        <f>INDEX(RatingLookup!$C$2:$C$11,MATCH(A1485,RatingLookup!$A$2:$A$11,0))</f>
        <v>Speculative Grade</v>
      </c>
    </row>
    <row r="1486" spans="1:36" x14ac:dyDescent="0.3">
      <c r="A1486" s="3" t="s">
        <v>92</v>
      </c>
      <c r="B1486" s="3" t="s">
        <v>1575</v>
      </c>
      <c r="C1486" s="3" t="s">
        <v>1576</v>
      </c>
      <c r="D1486" s="3" t="s">
        <v>47</v>
      </c>
      <c r="E1486" s="3" t="s">
        <v>248</v>
      </c>
      <c r="F1486" s="3" t="s">
        <v>174</v>
      </c>
      <c r="G1486" s="3">
        <v>3.79379562</v>
      </c>
      <c r="H1486" s="3">
        <v>1.5529197079999999</v>
      </c>
      <c r="I1486" s="3">
        <v>1.5529197079999999</v>
      </c>
      <c r="J1486" s="3">
        <v>0</v>
      </c>
      <c r="K1486" s="3">
        <v>4.9439800999999998E-2</v>
      </c>
      <c r="L1486" s="3">
        <v>7.7360839000000001E-2</v>
      </c>
      <c r="M1486" s="3">
        <v>0.319402454</v>
      </c>
      <c r="N1486" s="3">
        <v>7.7360839000000001E-2</v>
      </c>
      <c r="O1486" s="3">
        <v>9.1147540999999999E-2</v>
      </c>
      <c r="P1486" s="3">
        <v>0.17386091100000001</v>
      </c>
      <c r="Q1486" s="3">
        <v>0.13175355499999999</v>
      </c>
      <c r="R1486" s="3">
        <v>1.843606557</v>
      </c>
      <c r="S1486" s="3">
        <v>13.16861827</v>
      </c>
      <c r="T1486" s="3">
        <v>0.44549762999999998</v>
      </c>
      <c r="U1486" s="3">
        <v>0.30819672100000001</v>
      </c>
      <c r="V1486" s="3">
        <v>0.36091953999999998</v>
      </c>
      <c r="W1486" s="3">
        <v>0.69416498999999998</v>
      </c>
      <c r="X1486" s="3">
        <v>2.2462230249999999</v>
      </c>
      <c r="Y1486" s="3">
        <v>5.5406834610000004</v>
      </c>
      <c r="Z1486" s="3">
        <v>1.44549763</v>
      </c>
      <c r="AA1486" s="3">
        <v>7.7360839000000001E-2</v>
      </c>
      <c r="AB1486" s="3">
        <v>7.3931167200000001</v>
      </c>
      <c r="AC1486" s="3">
        <v>3.2358633139999999</v>
      </c>
      <c r="AD1486" s="3">
        <v>8.8386982000000003E-2</v>
      </c>
      <c r="AE1486" s="3">
        <v>15.945833329999999</v>
      </c>
      <c r="AF1486" s="4">
        <v>41199</v>
      </c>
      <c r="AG1486" s="5">
        <f>YEAR(AF1486)</f>
        <v>2012</v>
      </c>
      <c r="AH1486" s="5" t="str">
        <f>"Q"&amp;ROUNDUP(MONTH(AF1486)/3,0)</f>
        <v>Q4</v>
      </c>
      <c r="AI1486" s="5">
        <f>INDEX(RatingLookup!$B$2:$B$11,MATCH(A1486,RatingLookup!$A$2:$A$11,0))</f>
        <v>6</v>
      </c>
      <c r="AJ1486" s="5" t="str">
        <f>INDEX(RatingLookup!$C$2:$C$11,MATCH(A1486,RatingLookup!$A$2:$A$11,0))</f>
        <v>Speculative Grade</v>
      </c>
    </row>
    <row r="1487" spans="1:36" x14ac:dyDescent="0.3">
      <c r="A1487" s="3" t="s">
        <v>92</v>
      </c>
      <c r="B1487" s="3" t="s">
        <v>1575</v>
      </c>
      <c r="C1487" s="3" t="s">
        <v>1576</v>
      </c>
      <c r="D1487" s="3" t="s">
        <v>47</v>
      </c>
      <c r="E1487" s="3" t="s">
        <v>203</v>
      </c>
      <c r="F1487" s="3" t="s">
        <v>174</v>
      </c>
      <c r="G1487" s="3">
        <v>3.7539936100000002</v>
      </c>
      <c r="H1487" s="3">
        <v>1.3849840259999999</v>
      </c>
      <c r="I1487" s="3">
        <v>1.3706070290000001</v>
      </c>
      <c r="J1487" s="3">
        <v>0</v>
      </c>
      <c r="K1487" s="3">
        <v>6.5949270000000004E-2</v>
      </c>
      <c r="L1487" s="3">
        <v>8.5780169000000003E-2</v>
      </c>
      <c r="M1487" s="3">
        <v>0.32790161400000001</v>
      </c>
      <c r="N1487" s="3">
        <v>6.5949270000000004E-2</v>
      </c>
      <c r="O1487" s="3">
        <v>0.123028391</v>
      </c>
      <c r="P1487" s="3">
        <v>0.19503670000000001</v>
      </c>
      <c r="Q1487" s="3">
        <v>0.171875</v>
      </c>
      <c r="R1487" s="3">
        <v>1.86550043</v>
      </c>
      <c r="S1487" s="3">
        <v>11.02542373</v>
      </c>
      <c r="T1487" s="3">
        <v>0.397035256</v>
      </c>
      <c r="U1487" s="3">
        <v>0.28419845100000002</v>
      </c>
      <c r="V1487" s="3">
        <v>0.41935483899999998</v>
      </c>
      <c r="W1487" s="3">
        <v>0.61132075500000005</v>
      </c>
      <c r="X1487" s="3">
        <v>2.1891891889999999</v>
      </c>
      <c r="Y1487" s="3">
        <v>5.8581081079999997</v>
      </c>
      <c r="Z1487" s="3">
        <v>1.3970352559999999</v>
      </c>
      <c r="AA1487" s="3">
        <v>8.5780169000000003E-2</v>
      </c>
      <c r="AB1487" s="3">
        <v>9.7258362989999991</v>
      </c>
      <c r="AC1487" s="3">
        <v>3.5810810810000002</v>
      </c>
      <c r="AD1487" s="3">
        <v>8.1475787999999993E-2</v>
      </c>
      <c r="AE1487" s="3">
        <v>16.623574139999999</v>
      </c>
      <c r="AF1487" s="4">
        <v>41941</v>
      </c>
      <c r="AG1487" s="5">
        <f>YEAR(AF1487)</f>
        <v>2014</v>
      </c>
      <c r="AH1487" s="5" t="str">
        <f>"Q"&amp;ROUNDUP(MONTH(AF1487)/3,0)</f>
        <v>Q4</v>
      </c>
      <c r="AI1487" s="5">
        <f>INDEX(RatingLookup!$B$2:$B$11,MATCH(A1487,RatingLookup!$A$2:$A$11,0))</f>
        <v>6</v>
      </c>
      <c r="AJ1487" s="5" t="str">
        <f>INDEX(RatingLookup!$C$2:$C$11,MATCH(A1487,RatingLookup!$A$2:$A$11,0))</f>
        <v>Speculative Grade</v>
      </c>
    </row>
    <row r="1488" spans="1:36" x14ac:dyDescent="0.3">
      <c r="A1488" s="3" t="s">
        <v>116</v>
      </c>
      <c r="B1488" s="3" t="s">
        <v>1578</v>
      </c>
      <c r="C1488" s="3" t="s">
        <v>1579</v>
      </c>
      <c r="D1488" s="3" t="s">
        <v>60</v>
      </c>
      <c r="E1488" s="3" t="s">
        <v>1279</v>
      </c>
      <c r="F1488" s="3" t="s">
        <v>53</v>
      </c>
      <c r="G1488" s="3">
        <v>0.98574620599999996</v>
      </c>
      <c r="H1488" s="3">
        <v>0.66363528400000005</v>
      </c>
      <c r="I1488" s="3">
        <v>2.6256989000000001E-2</v>
      </c>
      <c r="J1488" s="3">
        <v>48.804269810000001</v>
      </c>
      <c r="K1488" s="3">
        <v>-5.5770488999999999E-2</v>
      </c>
      <c r="L1488" s="3">
        <v>-7.8111662999999998E-2</v>
      </c>
      <c r="M1488" s="3">
        <v>1</v>
      </c>
      <c r="N1488" s="3">
        <v>-0.15819374999999999</v>
      </c>
      <c r="O1488" s="3">
        <v>-7.1243280000000001E-3</v>
      </c>
      <c r="P1488" s="3">
        <v>-1.0678739E-2</v>
      </c>
      <c r="Q1488" s="3">
        <v>-1.7353198E-2</v>
      </c>
      <c r="R1488" s="3">
        <v>0.12774368799999999</v>
      </c>
      <c r="S1488" s="3">
        <v>0.13829791699999999</v>
      </c>
      <c r="T1488" s="3">
        <v>1.435766265</v>
      </c>
      <c r="U1488" s="3">
        <v>0.58945157699999995</v>
      </c>
      <c r="V1488" s="3">
        <v>0.28601585899999998</v>
      </c>
      <c r="W1488" s="3">
        <v>1</v>
      </c>
      <c r="X1488" s="3">
        <v>2.763853256</v>
      </c>
      <c r="Y1488" s="3">
        <v>1.14779623</v>
      </c>
      <c r="Z1488" s="3">
        <v>2.4357662649999998</v>
      </c>
      <c r="AA1488" s="3">
        <v>-7.8111662999999998E-2</v>
      </c>
      <c r="AB1488" s="3">
        <v>7.8127380649999996</v>
      </c>
      <c r="AC1488" s="3">
        <v>2.763853256</v>
      </c>
      <c r="AD1488" s="3">
        <v>0.49858522999999999</v>
      </c>
      <c r="AE1488" s="3">
        <v>0</v>
      </c>
      <c r="AF1488" s="4">
        <v>42440</v>
      </c>
      <c r="AG1488" s="5">
        <f>YEAR(AF1488)</f>
        <v>2016</v>
      </c>
      <c r="AH1488" s="5" t="str">
        <f>"Q"&amp;ROUNDUP(MONTH(AF1488)/3,0)</f>
        <v>Q1</v>
      </c>
      <c r="AI1488" s="5">
        <f>INDEX(RatingLookup!$B$2:$B$11,MATCH(A1488,RatingLookup!$A$2:$A$11,0))</f>
        <v>4</v>
      </c>
      <c r="AJ1488" s="5" t="str">
        <f>INDEX(RatingLookup!$C$2:$C$11,MATCH(A1488,RatingLookup!$A$2:$A$11,0))</f>
        <v>Speculative Grade</v>
      </c>
    </row>
    <row r="1489" spans="1:36" x14ac:dyDescent="0.3">
      <c r="A1489" s="3" t="s">
        <v>92</v>
      </c>
      <c r="B1489" s="3" t="s">
        <v>1578</v>
      </c>
      <c r="C1489" s="3" t="s">
        <v>1579</v>
      </c>
      <c r="D1489" s="3" t="s">
        <v>39</v>
      </c>
      <c r="E1489" s="3" t="s">
        <v>648</v>
      </c>
      <c r="F1489" s="3" t="s">
        <v>53</v>
      </c>
      <c r="G1489" s="3">
        <v>0.87609416299999998</v>
      </c>
      <c r="H1489" s="3">
        <v>0.60229799500000003</v>
      </c>
      <c r="I1489" s="3">
        <v>5.7614622999999997E-2</v>
      </c>
      <c r="J1489" s="3">
        <v>36.64935844</v>
      </c>
      <c r="K1489" s="3">
        <v>0.388708163</v>
      </c>
      <c r="L1489" s="3">
        <v>0.624590109</v>
      </c>
      <c r="M1489" s="3">
        <v>1</v>
      </c>
      <c r="N1489" s="3">
        <v>0.49513038300000001</v>
      </c>
      <c r="O1489" s="3">
        <v>8.5355647000000007E-2</v>
      </c>
      <c r="P1489" s="3">
        <v>0.158355634</v>
      </c>
      <c r="Q1489" s="3">
        <v>0.27072409800000002</v>
      </c>
      <c r="R1489" s="3">
        <v>0.21958799800000001</v>
      </c>
      <c r="S1489" s="3">
        <v>0.25140886899999998</v>
      </c>
      <c r="T1489" s="3">
        <v>2.1717186499999999</v>
      </c>
      <c r="U1489" s="3">
        <v>0.68471352299999999</v>
      </c>
      <c r="V1489" s="3">
        <v>0.37765879099999999</v>
      </c>
      <c r="W1489" s="3">
        <v>1</v>
      </c>
      <c r="X1489" s="3">
        <v>8.7534335900000002</v>
      </c>
      <c r="Y1489" s="3">
        <v>3.490975852</v>
      </c>
      <c r="Z1489" s="3">
        <v>3.1717186499999999</v>
      </c>
      <c r="AA1489" s="3">
        <v>0.624590109</v>
      </c>
      <c r="AB1489" s="3">
        <v>3.736010829</v>
      </c>
      <c r="AC1489" s="3">
        <v>8.7534335900000002</v>
      </c>
      <c r="AD1489" s="3">
        <v>0.66910530899999998</v>
      </c>
      <c r="AE1489" s="3">
        <v>0</v>
      </c>
      <c r="AF1489" s="4">
        <v>41906</v>
      </c>
      <c r="AG1489" s="5">
        <f>YEAR(AF1489)</f>
        <v>2014</v>
      </c>
      <c r="AH1489" s="5" t="str">
        <f>"Q"&amp;ROUNDUP(MONTH(AF1489)/3,0)</f>
        <v>Q3</v>
      </c>
      <c r="AI1489" s="5">
        <f>INDEX(RatingLookup!$B$2:$B$11,MATCH(A1489,RatingLookup!$A$2:$A$11,0))</f>
        <v>6</v>
      </c>
      <c r="AJ1489" s="5" t="str">
        <f>INDEX(RatingLookup!$C$2:$C$11,MATCH(A1489,RatingLookup!$A$2:$A$11,0))</f>
        <v>Speculative Grade</v>
      </c>
    </row>
    <row r="1490" spans="1:36" x14ac:dyDescent="0.3">
      <c r="A1490" s="3" t="s">
        <v>109</v>
      </c>
      <c r="B1490" s="3" t="s">
        <v>1578</v>
      </c>
      <c r="C1490" s="3" t="s">
        <v>1579</v>
      </c>
      <c r="D1490" s="3" t="s">
        <v>60</v>
      </c>
      <c r="E1490" s="3" t="s">
        <v>1580</v>
      </c>
      <c r="F1490" s="3" t="s">
        <v>53</v>
      </c>
      <c r="G1490" s="3">
        <v>0.95966708000000001</v>
      </c>
      <c r="H1490" s="3">
        <v>0.57848968099999998</v>
      </c>
      <c r="I1490" s="3">
        <v>0.197035706</v>
      </c>
      <c r="J1490" s="3">
        <v>59.122681229999998</v>
      </c>
      <c r="K1490" s="3">
        <v>0.210214383</v>
      </c>
      <c r="L1490" s="3">
        <v>0.33475929799999998</v>
      </c>
      <c r="M1490" s="3">
        <v>1</v>
      </c>
      <c r="N1490" s="3">
        <v>0.46513502200000001</v>
      </c>
      <c r="O1490" s="3">
        <v>4.8379176000000003E-2</v>
      </c>
      <c r="P1490" s="3">
        <v>8.5506180000000001E-2</v>
      </c>
      <c r="Q1490" s="3">
        <v>0.169040205</v>
      </c>
      <c r="R1490" s="3">
        <v>0.230142082</v>
      </c>
      <c r="S1490" s="3">
        <v>0.265803542</v>
      </c>
      <c r="T1490" s="3">
        <v>2.494069552</v>
      </c>
      <c r="U1490" s="3">
        <v>0.71380077399999997</v>
      </c>
      <c r="V1490" s="3">
        <v>0.372043183</v>
      </c>
      <c r="W1490" s="3">
        <v>1</v>
      </c>
      <c r="X1490" s="3">
        <v>7.5145746070000001</v>
      </c>
      <c r="Y1490" s="3">
        <v>1.0139769780000001</v>
      </c>
      <c r="Z1490" s="3">
        <v>3.494069552</v>
      </c>
      <c r="AA1490" s="3">
        <v>0.33475929799999998</v>
      </c>
      <c r="AB1490" s="3">
        <v>7.7478605270000003</v>
      </c>
      <c r="AC1490" s="3">
        <v>7.5145746070000001</v>
      </c>
      <c r="AD1490" s="3">
        <v>0.64353400699999996</v>
      </c>
      <c r="AE1490" s="3">
        <v>0</v>
      </c>
      <c r="AF1490" s="4">
        <v>41697</v>
      </c>
      <c r="AG1490" s="5">
        <f>YEAR(AF1490)</f>
        <v>2014</v>
      </c>
      <c r="AH1490" s="5" t="str">
        <f>"Q"&amp;ROUNDUP(MONTH(AF1490)/3,0)</f>
        <v>Q1</v>
      </c>
      <c r="AI1490" s="5">
        <f>INDEX(RatingLookup!$B$2:$B$11,MATCH(A1490,RatingLookup!$A$2:$A$11,0))</f>
        <v>5</v>
      </c>
      <c r="AJ1490" s="5" t="str">
        <f>INDEX(RatingLookup!$C$2:$C$11,MATCH(A1490,RatingLookup!$A$2:$A$11,0))</f>
        <v>Speculative Grade</v>
      </c>
    </row>
    <row r="1491" spans="1:36" x14ac:dyDescent="0.3">
      <c r="A1491" s="3" t="s">
        <v>116</v>
      </c>
      <c r="B1491" s="3" t="s">
        <v>1578</v>
      </c>
      <c r="C1491" s="3" t="s">
        <v>1579</v>
      </c>
      <c r="D1491" s="3" t="s">
        <v>60</v>
      </c>
      <c r="E1491" s="3" t="s">
        <v>46</v>
      </c>
      <c r="F1491" s="3" t="s">
        <v>53</v>
      </c>
      <c r="G1491" s="3">
        <v>3.415633352</v>
      </c>
      <c r="H1491" s="3">
        <v>2.974137931</v>
      </c>
      <c r="I1491" s="3">
        <v>2.5789335320000002</v>
      </c>
      <c r="J1491" s="3">
        <v>57.622858039999997</v>
      </c>
      <c r="K1491" s="3">
        <v>0.24026850499999999</v>
      </c>
      <c r="L1491" s="3">
        <v>0.38187227200000001</v>
      </c>
      <c r="M1491" s="3">
        <v>1</v>
      </c>
      <c r="N1491" s="3">
        <v>0.46173378300000001</v>
      </c>
      <c r="O1491" s="3">
        <v>4.5959724E-2</v>
      </c>
      <c r="P1491" s="3">
        <v>8.1679934999999995E-2</v>
      </c>
      <c r="Q1491" s="3">
        <v>0.12517383100000001</v>
      </c>
      <c r="R1491" s="3">
        <v>0.19128484600000001</v>
      </c>
      <c r="S1491" s="3">
        <v>0.30595904499999999</v>
      </c>
      <c r="T1491" s="3">
        <v>1.72355488</v>
      </c>
      <c r="U1491" s="3">
        <v>0.632832807</v>
      </c>
      <c r="V1491" s="3">
        <v>0.370814478</v>
      </c>
      <c r="W1491" s="3">
        <v>1</v>
      </c>
      <c r="X1491" s="3">
        <v>1.9121404360000001</v>
      </c>
      <c r="Y1491" s="3">
        <v>5.3322542799999999</v>
      </c>
      <c r="Z1491" s="3">
        <v>2.72355488</v>
      </c>
      <c r="AA1491" s="3">
        <v>0.38187227200000001</v>
      </c>
      <c r="AB1491" s="3">
        <v>14.617657100000001</v>
      </c>
      <c r="AC1491" s="3">
        <v>1.9121404360000001</v>
      </c>
      <c r="AD1491" s="3">
        <v>0.53272481900000002</v>
      </c>
      <c r="AE1491" s="3">
        <v>0</v>
      </c>
      <c r="AF1491" s="4">
        <v>41075</v>
      </c>
      <c r="AG1491" s="5">
        <f>YEAR(AF1491)</f>
        <v>2012</v>
      </c>
      <c r="AH1491" s="5" t="str">
        <f>"Q"&amp;ROUNDUP(MONTH(AF1491)/3,0)</f>
        <v>Q2</v>
      </c>
      <c r="AI1491" s="5">
        <f>INDEX(RatingLookup!$B$2:$B$11,MATCH(A1491,RatingLookup!$A$2:$A$11,0))</f>
        <v>4</v>
      </c>
      <c r="AJ1491" s="5" t="str">
        <f>INDEX(RatingLookup!$C$2:$C$11,MATCH(A1491,RatingLookup!$A$2:$A$11,0))</f>
        <v>Speculative Grade</v>
      </c>
    </row>
    <row r="1492" spans="1:36" x14ac:dyDescent="0.3">
      <c r="A1492" s="3" t="s">
        <v>92</v>
      </c>
      <c r="B1492" s="3" t="s">
        <v>1581</v>
      </c>
      <c r="C1492" s="3" t="s">
        <v>1582</v>
      </c>
      <c r="D1492" s="3" t="s">
        <v>47</v>
      </c>
      <c r="E1492" s="3" t="s">
        <v>404</v>
      </c>
      <c r="F1492" s="3" t="s">
        <v>96</v>
      </c>
      <c r="G1492" s="3">
        <v>1.634315425</v>
      </c>
      <c r="H1492" s="3">
        <v>1.5008665510000001</v>
      </c>
      <c r="I1492" s="3">
        <v>0.52166377799999997</v>
      </c>
      <c r="J1492" s="3">
        <v>51.109395110000001</v>
      </c>
      <c r="K1492" s="3">
        <v>3.6293435999999998E-2</v>
      </c>
      <c r="L1492" s="3">
        <v>5.7400257000000003E-2</v>
      </c>
      <c r="M1492" s="3">
        <v>8.6229085999999996E-2</v>
      </c>
      <c r="N1492" s="3">
        <v>6.1776062E-2</v>
      </c>
      <c r="O1492" s="3">
        <v>0.100858369</v>
      </c>
      <c r="P1492" s="3">
        <v>0.27161997599999999</v>
      </c>
      <c r="Q1492" s="3">
        <v>0.40869565200000002</v>
      </c>
      <c r="R1492" s="3">
        <v>2.7789699570000002</v>
      </c>
      <c r="S1492" s="3">
        <v>65.847457629999994</v>
      </c>
      <c r="T1492" s="3">
        <v>3.0521739129999998</v>
      </c>
      <c r="U1492" s="3">
        <v>0.75321888400000003</v>
      </c>
      <c r="V1492" s="3">
        <v>0.36771300400000001</v>
      </c>
      <c r="W1492" s="3">
        <v>0.92057761699999996</v>
      </c>
      <c r="X1492" s="3">
        <v>5.4436171169999996</v>
      </c>
      <c r="Y1492" s="3">
        <v>6.8739008300000002</v>
      </c>
      <c r="Z1492" s="3">
        <v>4.0521739129999998</v>
      </c>
      <c r="AA1492" s="3">
        <v>5.7400257000000003E-2</v>
      </c>
      <c r="AB1492" s="3">
        <v>10.534183459999999</v>
      </c>
      <c r="AC1492" s="3">
        <v>5.9132625150000004</v>
      </c>
      <c r="AD1492" s="3">
        <v>7.1299871000000001E-2</v>
      </c>
      <c r="AE1492" s="3">
        <v>11.269841270000001</v>
      </c>
      <c r="AF1492" s="4">
        <v>42482</v>
      </c>
      <c r="AG1492" s="5">
        <f>YEAR(AF1492)</f>
        <v>2016</v>
      </c>
      <c r="AH1492" s="5" t="str">
        <f>"Q"&amp;ROUNDUP(MONTH(AF1492)/3,0)</f>
        <v>Q2</v>
      </c>
      <c r="AI1492" s="5">
        <f>INDEX(RatingLookup!$B$2:$B$11,MATCH(A1492,RatingLookup!$A$2:$A$11,0))</f>
        <v>6</v>
      </c>
      <c r="AJ1492" s="5" t="str">
        <f>INDEX(RatingLookup!$C$2:$C$11,MATCH(A1492,RatingLookup!$A$2:$A$11,0))</f>
        <v>Speculative Grade</v>
      </c>
    </row>
    <row r="1493" spans="1:36" x14ac:dyDescent="0.3">
      <c r="A1493" s="3" t="s">
        <v>92</v>
      </c>
      <c r="B1493" s="3" t="s">
        <v>1581</v>
      </c>
      <c r="C1493" s="3" t="s">
        <v>1582</v>
      </c>
      <c r="D1493" s="3" t="s">
        <v>47</v>
      </c>
      <c r="E1493" s="3" t="s">
        <v>1583</v>
      </c>
      <c r="F1493" s="3" t="s">
        <v>96</v>
      </c>
      <c r="G1493" s="3">
        <v>1.7624113480000001</v>
      </c>
      <c r="H1493" s="3">
        <v>1.55141844</v>
      </c>
      <c r="I1493" s="3">
        <v>0.45035460999999999</v>
      </c>
      <c r="J1493" s="3">
        <v>55.0024266</v>
      </c>
      <c r="K1493" s="3">
        <v>2.7420528999999999E-2</v>
      </c>
      <c r="L1493" s="3">
        <v>4.2708081000000002E-2</v>
      </c>
      <c r="M1493" s="3">
        <v>8.0805630000000003E-2</v>
      </c>
      <c r="N1493" s="3">
        <v>4.4406697000000002E-2</v>
      </c>
      <c r="O1493" s="3">
        <v>7.8092604999999995E-2</v>
      </c>
      <c r="P1493" s="3">
        <v>0.19932049800000001</v>
      </c>
      <c r="Q1493" s="3">
        <v>0.299734748</v>
      </c>
      <c r="R1493" s="3">
        <v>2.8479612990000001</v>
      </c>
      <c r="S1493" s="3">
        <v>68.683333329999996</v>
      </c>
      <c r="T1493" s="3">
        <v>2.8381962860000001</v>
      </c>
      <c r="U1493" s="3">
        <v>0.739460954</v>
      </c>
      <c r="V1493" s="3">
        <v>0.35795454500000001</v>
      </c>
      <c r="W1493" s="3">
        <v>0.91256830600000005</v>
      </c>
      <c r="X1493" s="3">
        <v>3.4434513330000001</v>
      </c>
      <c r="Y1493" s="3">
        <v>5.2373451409999996</v>
      </c>
      <c r="Z1493" s="3">
        <v>3.8381962860000001</v>
      </c>
      <c r="AA1493" s="3">
        <v>4.2708081000000002E-2</v>
      </c>
      <c r="AB1493" s="3">
        <v>10.49474466</v>
      </c>
      <c r="AC1493" s="3">
        <v>3.7733628380000002</v>
      </c>
      <c r="AD1493" s="3">
        <v>4.4406697000000002E-2</v>
      </c>
      <c r="AE1493" s="3">
        <v>9.7881136949999998</v>
      </c>
      <c r="AF1493" s="4">
        <v>42102</v>
      </c>
      <c r="AG1493" s="5">
        <f>YEAR(AF1493)</f>
        <v>2015</v>
      </c>
      <c r="AH1493" s="5" t="str">
        <f>"Q"&amp;ROUNDUP(MONTH(AF1493)/3,0)</f>
        <v>Q2</v>
      </c>
      <c r="AI1493" s="5">
        <f>INDEX(RatingLookup!$B$2:$B$11,MATCH(A1493,RatingLookup!$A$2:$A$11,0))</f>
        <v>6</v>
      </c>
      <c r="AJ1493" s="5" t="str">
        <f>INDEX(RatingLookup!$C$2:$C$11,MATCH(A1493,RatingLookup!$A$2:$A$11,0))</f>
        <v>Speculative Grade</v>
      </c>
    </row>
    <row r="1494" spans="1:36" x14ac:dyDescent="0.3">
      <c r="A1494" s="3" t="s">
        <v>92</v>
      </c>
      <c r="B1494" s="3" t="s">
        <v>1581</v>
      </c>
      <c r="C1494" s="3" t="s">
        <v>1582</v>
      </c>
      <c r="D1494" s="3" t="s">
        <v>60</v>
      </c>
      <c r="E1494" s="3" t="s">
        <v>1178</v>
      </c>
      <c r="F1494" s="3" t="s">
        <v>96</v>
      </c>
      <c r="G1494" s="3">
        <v>1.38372093</v>
      </c>
      <c r="H1494" s="3">
        <v>1.2369186050000001</v>
      </c>
      <c r="I1494" s="3">
        <v>0.28343023299999998</v>
      </c>
      <c r="J1494" s="3">
        <v>53.71378911</v>
      </c>
      <c r="K1494" s="3">
        <v>2.7114716000000001E-2</v>
      </c>
      <c r="L1494" s="3">
        <v>4.2410196999999997E-2</v>
      </c>
      <c r="M1494" s="3">
        <v>9.5249131000000001E-2</v>
      </c>
      <c r="N1494" s="3">
        <v>5.2607184000000001E-2</v>
      </c>
      <c r="O1494" s="3">
        <v>5.5136664000000002E-2</v>
      </c>
      <c r="P1494" s="3">
        <v>0.127615063</v>
      </c>
      <c r="Q1494" s="3">
        <v>0.30789473699999997</v>
      </c>
      <c r="R1494" s="3">
        <v>2.0334590010000002</v>
      </c>
      <c r="S1494" s="3">
        <v>60.774647889999997</v>
      </c>
      <c r="T1494" s="3">
        <v>4.5842105259999997</v>
      </c>
      <c r="U1494" s="3">
        <v>0.82092365700000003</v>
      </c>
      <c r="V1494" s="3">
        <v>0.360655738</v>
      </c>
      <c r="W1494" s="3">
        <v>0.91150442499999995</v>
      </c>
      <c r="X1494" s="3">
        <v>4.4897436820000003</v>
      </c>
      <c r="Y1494" s="3">
        <v>4.7076924040000003</v>
      </c>
      <c r="Z1494" s="3">
        <v>5.5842105259999997</v>
      </c>
      <c r="AA1494" s="3">
        <v>4.2410196999999997E-2</v>
      </c>
      <c r="AB1494" s="3">
        <v>10.119600910000001</v>
      </c>
      <c r="AC1494" s="3">
        <v>4.9256411269999996</v>
      </c>
      <c r="AD1494" s="3">
        <v>5.2375434999999998E-2</v>
      </c>
      <c r="AE1494" s="3">
        <v>11.12250712</v>
      </c>
      <c r="AF1494" s="4">
        <v>42585</v>
      </c>
      <c r="AG1494" s="5">
        <f>YEAR(AF1494)</f>
        <v>2016</v>
      </c>
      <c r="AH1494" s="5" t="str">
        <f>"Q"&amp;ROUNDUP(MONTH(AF1494)/3,0)</f>
        <v>Q3</v>
      </c>
      <c r="AI1494" s="5">
        <f>INDEX(RatingLookup!$B$2:$B$11,MATCH(A1494,RatingLookup!$A$2:$A$11,0))</f>
        <v>6</v>
      </c>
      <c r="AJ1494" s="5" t="str">
        <f>INDEX(RatingLookup!$C$2:$C$11,MATCH(A1494,RatingLookup!$A$2:$A$11,0))</f>
        <v>Speculative Grade</v>
      </c>
    </row>
    <row r="1495" spans="1:36" x14ac:dyDescent="0.3">
      <c r="A1495" s="3" t="s">
        <v>42</v>
      </c>
      <c r="B1495" s="3" t="s">
        <v>1584</v>
      </c>
      <c r="C1495" s="3" t="s">
        <v>1585</v>
      </c>
      <c r="D1495" s="3" t="s">
        <v>39</v>
      </c>
      <c r="E1495" s="3" t="s">
        <v>1586</v>
      </c>
      <c r="F1495" s="3" t="s">
        <v>219</v>
      </c>
      <c r="G1495" s="3">
        <v>2.508915037</v>
      </c>
      <c r="H1495" s="3">
        <v>1.8431989440000001</v>
      </c>
      <c r="I1495" s="3">
        <v>0.98039237099999998</v>
      </c>
      <c r="J1495" s="3">
        <v>77.489625610000004</v>
      </c>
      <c r="K1495" s="3">
        <v>5.6012987E-2</v>
      </c>
      <c r="L1495" s="3">
        <v>9.0562088999999998E-2</v>
      </c>
      <c r="M1495" s="3">
        <v>0.39127518100000003</v>
      </c>
      <c r="N1495" s="3">
        <v>9.5740899000000004E-2</v>
      </c>
      <c r="O1495" s="3">
        <v>4.0560418000000001E-2</v>
      </c>
      <c r="P1495" s="3">
        <v>7.9796099999999995E-2</v>
      </c>
      <c r="Q1495" s="3">
        <v>8.1881816999999996E-2</v>
      </c>
      <c r="R1495" s="3">
        <v>0.72412523399999995</v>
      </c>
      <c r="S1495" s="3">
        <v>1.886409711</v>
      </c>
      <c r="T1495" s="3">
        <v>1.011506877</v>
      </c>
      <c r="U1495" s="3">
        <v>0.50105313900000004</v>
      </c>
      <c r="V1495" s="3">
        <v>0.38149629600000001</v>
      </c>
      <c r="W1495" s="3">
        <v>1.0227445479999999</v>
      </c>
      <c r="X1495" s="3">
        <v>1.299430664</v>
      </c>
      <c r="Y1495" s="3">
        <v>2.7132449080000001</v>
      </c>
      <c r="Z1495" s="3">
        <v>2.0187616820000001</v>
      </c>
      <c r="AA1495" s="3">
        <v>9.0562088999999998E-2</v>
      </c>
      <c r="AB1495" s="3">
        <v>16.669476490000001</v>
      </c>
      <c r="AC1495" s="3">
        <v>1.2705329649999999</v>
      </c>
      <c r="AD1495" s="3">
        <v>0.112962454</v>
      </c>
      <c r="AE1495" s="3">
        <v>13.04251588</v>
      </c>
      <c r="AF1495" s="4">
        <v>42157</v>
      </c>
      <c r="AG1495" s="5">
        <f>YEAR(AF1495)</f>
        <v>2015</v>
      </c>
      <c r="AH1495" s="5" t="str">
        <f>"Q"&amp;ROUNDUP(MONTH(AF1495)/3,0)</f>
        <v>Q2</v>
      </c>
      <c r="AI1495" s="5">
        <f>INDEX(RatingLookup!$B$2:$B$11,MATCH(A1495,RatingLookup!$A$2:$A$11,0))</f>
        <v>7</v>
      </c>
      <c r="AJ1495" s="5" t="str">
        <f>INDEX(RatingLookup!$C$2:$C$11,MATCH(A1495,RatingLookup!$A$2:$A$11,0))</f>
        <v>Investment Grade</v>
      </c>
    </row>
    <row r="1496" spans="1:36" x14ac:dyDescent="0.3">
      <c r="A1496" s="3" t="s">
        <v>42</v>
      </c>
      <c r="B1496" s="3" t="s">
        <v>1584</v>
      </c>
      <c r="C1496" s="3" t="s">
        <v>1585</v>
      </c>
      <c r="D1496" s="3" t="s">
        <v>39</v>
      </c>
      <c r="E1496" s="3" t="s">
        <v>1157</v>
      </c>
      <c r="F1496" s="3" t="s">
        <v>219</v>
      </c>
      <c r="G1496" s="3">
        <v>3.581212222</v>
      </c>
      <c r="H1496" s="3">
        <v>2.626106107</v>
      </c>
      <c r="I1496" s="3">
        <v>1.4664622789999999</v>
      </c>
      <c r="J1496" s="3">
        <v>75.267225740000001</v>
      </c>
      <c r="K1496" s="3">
        <v>8.0669927000000002E-2</v>
      </c>
      <c r="L1496" s="3">
        <v>7.2517708E-2</v>
      </c>
      <c r="M1496" s="3">
        <v>0.39258848099999999</v>
      </c>
      <c r="N1496" s="3">
        <v>9.0009692000000002E-2</v>
      </c>
      <c r="O1496" s="3">
        <v>5.6722618000000002E-2</v>
      </c>
      <c r="P1496" s="3">
        <v>5.8277135000000001E-2</v>
      </c>
      <c r="Q1496" s="3">
        <v>0.114791035</v>
      </c>
      <c r="R1496" s="3">
        <v>0.70314453200000004</v>
      </c>
      <c r="S1496" s="3">
        <v>1.985811397</v>
      </c>
      <c r="T1496" s="3">
        <v>1.0163291320000001</v>
      </c>
      <c r="U1496" s="3">
        <v>0.50220689799999996</v>
      </c>
      <c r="V1496" s="3">
        <v>-0.112416955</v>
      </c>
      <c r="W1496" s="3">
        <v>1.0090371810000001</v>
      </c>
      <c r="X1496" s="3">
        <v>1.1326059580000001</v>
      </c>
      <c r="Y1496" s="3">
        <v>2.1658204900000002</v>
      </c>
      <c r="Z1496" s="3">
        <v>2.023725953</v>
      </c>
      <c r="AA1496" s="3">
        <v>7.2517708E-2</v>
      </c>
      <c r="AB1496" s="3">
        <v>23.228036979999999</v>
      </c>
      <c r="AC1496" s="3">
        <v>1.122462066</v>
      </c>
      <c r="AD1496" s="3">
        <v>0.135147661</v>
      </c>
      <c r="AE1496" s="3">
        <v>16.117145740000002</v>
      </c>
      <c r="AF1496" s="4">
        <v>42249</v>
      </c>
      <c r="AG1496" s="5">
        <f>YEAR(AF1496)</f>
        <v>2015</v>
      </c>
      <c r="AH1496" s="5" t="str">
        <f>"Q"&amp;ROUNDUP(MONTH(AF1496)/3,0)</f>
        <v>Q3</v>
      </c>
      <c r="AI1496" s="5">
        <f>INDEX(RatingLookup!$B$2:$B$11,MATCH(A1496,RatingLookup!$A$2:$A$11,0))</f>
        <v>7</v>
      </c>
      <c r="AJ1496" s="5" t="str">
        <f>INDEX(RatingLookup!$C$2:$C$11,MATCH(A1496,RatingLookup!$A$2:$A$11,0))</f>
        <v>Investment Grade</v>
      </c>
    </row>
    <row r="1497" spans="1:36" x14ac:dyDescent="0.3">
      <c r="A1497" s="3" t="s">
        <v>109</v>
      </c>
      <c r="B1497" s="3" t="s">
        <v>1587</v>
      </c>
      <c r="C1497" s="3" t="s">
        <v>1588</v>
      </c>
      <c r="D1497" s="3" t="s">
        <v>47</v>
      </c>
      <c r="E1497" s="3" t="s">
        <v>1437</v>
      </c>
      <c r="F1497" s="3" t="s">
        <v>96</v>
      </c>
      <c r="G1497" s="3">
        <v>0.58628768399999998</v>
      </c>
      <c r="H1497" s="3">
        <v>0.57159933600000001</v>
      </c>
      <c r="I1497" s="3">
        <v>0.107762922</v>
      </c>
      <c r="J1497" s="3">
        <v>50.328151750000004</v>
      </c>
      <c r="K1497" s="3">
        <v>5.4569470000000002E-2</v>
      </c>
      <c r="L1497" s="3">
        <v>8.3979109999999996E-2</v>
      </c>
      <c r="M1497" s="3">
        <v>1</v>
      </c>
      <c r="N1497" s="3">
        <v>0.14063046600000001</v>
      </c>
      <c r="O1497" s="3">
        <v>2.7267837E-2</v>
      </c>
      <c r="P1497" s="3">
        <v>5.0623118000000002E-2</v>
      </c>
      <c r="Q1497" s="3">
        <v>0.10623300099999999</v>
      </c>
      <c r="R1497" s="3">
        <v>0.49969034200000001</v>
      </c>
      <c r="S1497" s="3">
        <v>4.3467527749999997</v>
      </c>
      <c r="T1497" s="3">
        <v>2.8959086090000001</v>
      </c>
      <c r="U1497" s="3">
        <v>0.74332046799999996</v>
      </c>
      <c r="V1497" s="3">
        <v>0.33251613099999999</v>
      </c>
      <c r="W1497" s="3">
        <v>0.80482107800000002</v>
      </c>
      <c r="X1497" s="3">
        <v>3.8038101989999999</v>
      </c>
      <c r="Y1497" s="3">
        <v>1.2895705239999999</v>
      </c>
      <c r="Z1497" s="3">
        <v>3.8959086090000001</v>
      </c>
      <c r="AA1497" s="3">
        <v>8.3979109999999996E-2</v>
      </c>
      <c r="AB1497" s="3">
        <v>10.19332415</v>
      </c>
      <c r="AC1497" s="3">
        <v>4.7262805419999996</v>
      </c>
      <c r="AD1497" s="3">
        <v>0.21180380400000001</v>
      </c>
      <c r="AE1497" s="3">
        <v>6.2034239739999997</v>
      </c>
      <c r="AF1497" s="4">
        <v>42571</v>
      </c>
      <c r="AG1497" s="5">
        <f>YEAR(AF1497)</f>
        <v>2016</v>
      </c>
      <c r="AH1497" s="5" t="str">
        <f>"Q"&amp;ROUNDUP(MONTH(AF1497)/3,0)</f>
        <v>Q3</v>
      </c>
      <c r="AI1497" s="5">
        <f>INDEX(RatingLookup!$B$2:$B$11,MATCH(A1497,RatingLookup!$A$2:$A$11,0))</f>
        <v>5</v>
      </c>
      <c r="AJ1497" s="5" t="str">
        <f>INDEX(RatingLookup!$C$2:$C$11,MATCH(A1497,RatingLookup!$A$2:$A$11,0))</f>
        <v>Speculative Grade</v>
      </c>
    </row>
    <row r="1498" spans="1:36" x14ac:dyDescent="0.3">
      <c r="A1498" s="3" t="s">
        <v>109</v>
      </c>
      <c r="B1498" s="3" t="s">
        <v>1587</v>
      </c>
      <c r="C1498" s="3" t="s">
        <v>1588</v>
      </c>
      <c r="D1498" s="3" t="s">
        <v>47</v>
      </c>
      <c r="E1498" s="3" t="s">
        <v>1589</v>
      </c>
      <c r="F1498" s="3" t="s">
        <v>96</v>
      </c>
      <c r="G1498" s="3">
        <v>1.1728853100000001</v>
      </c>
      <c r="H1498" s="3">
        <v>1.013819257</v>
      </c>
      <c r="I1498" s="3">
        <v>0.61283465400000003</v>
      </c>
      <c r="J1498" s="3">
        <v>48.87234857</v>
      </c>
      <c r="K1498" s="3">
        <v>-4.1477952999999998E-2</v>
      </c>
      <c r="L1498" s="3">
        <v>5.2394177E-2</v>
      </c>
      <c r="M1498" s="3">
        <v>0.68776150899999999</v>
      </c>
      <c r="N1498" s="3">
        <v>7.7835383999999994E-2</v>
      </c>
      <c r="O1498" s="3">
        <v>-2.0911029000000001E-2</v>
      </c>
      <c r="P1498" s="3">
        <v>3.4153911000000002E-2</v>
      </c>
      <c r="Q1498" s="3">
        <v>-4.3597912000000003E-2</v>
      </c>
      <c r="R1498" s="3">
        <v>0.50414804300000005</v>
      </c>
      <c r="S1498" s="3">
        <v>7.6768597779999999</v>
      </c>
      <c r="T1498" s="3">
        <v>1.0849243040000001</v>
      </c>
      <c r="U1498" s="3">
        <v>0.52036627999999996</v>
      </c>
      <c r="V1498" s="3">
        <v>0.41520282200000003</v>
      </c>
      <c r="W1498" s="3">
        <v>1</v>
      </c>
      <c r="X1498" s="3">
        <v>1.8487926910000001</v>
      </c>
      <c r="Y1498" s="3">
        <v>4.6836786840000002</v>
      </c>
      <c r="Z1498" s="3">
        <v>2.0849243039999998</v>
      </c>
      <c r="AA1498" s="3">
        <v>5.2394177E-2</v>
      </c>
      <c r="AB1498" s="3">
        <v>10.744205109999999</v>
      </c>
      <c r="AC1498" s="3">
        <v>1.8487926910000001</v>
      </c>
      <c r="AD1498" s="3">
        <v>0.12702368999999999</v>
      </c>
      <c r="AE1498" s="3">
        <v>3.6840773960000002</v>
      </c>
      <c r="AF1498" s="4">
        <v>40669</v>
      </c>
      <c r="AG1498" s="5">
        <f>YEAR(AF1498)</f>
        <v>2011</v>
      </c>
      <c r="AH1498" s="5" t="str">
        <f>"Q"&amp;ROUNDUP(MONTH(AF1498)/3,0)</f>
        <v>Q2</v>
      </c>
      <c r="AI1498" s="5">
        <f>INDEX(RatingLookup!$B$2:$B$11,MATCH(A1498,RatingLookup!$A$2:$A$11,0))</f>
        <v>5</v>
      </c>
      <c r="AJ1498" s="5" t="str">
        <f>INDEX(RatingLookup!$C$2:$C$11,MATCH(A1498,RatingLookup!$A$2:$A$11,0))</f>
        <v>Speculative Grade</v>
      </c>
    </row>
    <row r="1499" spans="1:36" x14ac:dyDescent="0.3">
      <c r="A1499" s="3" t="s">
        <v>109</v>
      </c>
      <c r="B1499" s="3" t="s">
        <v>1587</v>
      </c>
      <c r="C1499" s="3" t="s">
        <v>1588</v>
      </c>
      <c r="D1499" s="3" t="s">
        <v>47</v>
      </c>
      <c r="E1499" s="3" t="s">
        <v>1590</v>
      </c>
      <c r="F1499" s="3" t="s">
        <v>96</v>
      </c>
      <c r="G1499" s="3">
        <v>1.3102311149999999</v>
      </c>
      <c r="H1499" s="3">
        <v>0.98567887499999995</v>
      </c>
      <c r="I1499" s="3">
        <v>0.51784947400000003</v>
      </c>
      <c r="J1499" s="3">
        <v>58.174076069999998</v>
      </c>
      <c r="K1499" s="3">
        <v>-5.5738797E-2</v>
      </c>
      <c r="L1499" s="3">
        <v>6.7535918E-2</v>
      </c>
      <c r="M1499" s="3">
        <v>1</v>
      </c>
      <c r="N1499" s="3">
        <v>6.6254677999999997E-2</v>
      </c>
      <c r="O1499" s="3">
        <v>-2.3989483999999998E-2</v>
      </c>
      <c r="P1499" s="3">
        <v>3.4643819999999999E-2</v>
      </c>
      <c r="Q1499" s="3">
        <v>-6.0046469999999998E-2</v>
      </c>
      <c r="R1499" s="3">
        <v>0.43039113899999998</v>
      </c>
      <c r="S1499" s="3">
        <v>6.2479730389999997</v>
      </c>
      <c r="T1499" s="3">
        <v>1.5030329469999999</v>
      </c>
      <c r="U1499" s="3">
        <v>0.60048468300000002</v>
      </c>
      <c r="V1499" s="3">
        <v>0.74308628300000001</v>
      </c>
      <c r="W1499" s="3">
        <v>0.55122811999999999</v>
      </c>
      <c r="X1499" s="3">
        <v>0.81297080300000002</v>
      </c>
      <c r="Y1499" s="3">
        <v>2.5673099829999999</v>
      </c>
      <c r="Z1499" s="3">
        <v>2.5030329469999999</v>
      </c>
      <c r="AA1499" s="3">
        <v>6.7535918E-2</v>
      </c>
      <c r="AB1499" s="3">
        <v>10.82918871</v>
      </c>
      <c r="AC1499" s="3">
        <v>1.4748355049999999</v>
      </c>
      <c r="AD1499" s="3">
        <v>0.12023261</v>
      </c>
      <c r="AE1499" s="3">
        <v>0</v>
      </c>
      <c r="AF1499" s="4">
        <v>40786</v>
      </c>
      <c r="AG1499" s="5">
        <f>YEAR(AF1499)</f>
        <v>2011</v>
      </c>
      <c r="AH1499" s="5" t="str">
        <f>"Q"&amp;ROUNDUP(MONTH(AF1499)/3,0)</f>
        <v>Q3</v>
      </c>
      <c r="AI1499" s="5">
        <f>INDEX(RatingLookup!$B$2:$B$11,MATCH(A1499,RatingLookup!$A$2:$A$11,0))</f>
        <v>5</v>
      </c>
      <c r="AJ1499" s="5" t="str">
        <f>INDEX(RatingLookup!$C$2:$C$11,MATCH(A1499,RatingLookup!$A$2:$A$11,0))</f>
        <v>Speculative Grade</v>
      </c>
    </row>
    <row r="1500" spans="1:36" x14ac:dyDescent="0.3">
      <c r="A1500" s="3" t="s">
        <v>109</v>
      </c>
      <c r="B1500" s="3" t="s">
        <v>1587</v>
      </c>
      <c r="C1500" s="3" t="s">
        <v>1588</v>
      </c>
      <c r="D1500" s="3" t="s">
        <v>47</v>
      </c>
      <c r="E1500" s="3" t="s">
        <v>594</v>
      </c>
      <c r="F1500" s="3" t="s">
        <v>96</v>
      </c>
      <c r="G1500" s="3">
        <v>0.88248523899999998</v>
      </c>
      <c r="H1500" s="3">
        <v>0.59040060100000002</v>
      </c>
      <c r="I1500" s="3">
        <v>0.161259349</v>
      </c>
      <c r="J1500" s="3">
        <v>57.561706950000001</v>
      </c>
      <c r="K1500" s="3">
        <v>8.3661517000000005E-2</v>
      </c>
      <c r="L1500" s="3">
        <v>0.11335964</v>
      </c>
      <c r="M1500" s="3">
        <v>1</v>
      </c>
      <c r="N1500" s="3">
        <v>0.132794105</v>
      </c>
      <c r="O1500" s="3">
        <v>3.4542629999999998E-2</v>
      </c>
      <c r="P1500" s="3">
        <v>5.6122419E-2</v>
      </c>
      <c r="Q1500" s="3">
        <v>0.121815358</v>
      </c>
      <c r="R1500" s="3">
        <v>0.412885532</v>
      </c>
      <c r="S1500" s="3">
        <v>4.0678656420000001</v>
      </c>
      <c r="T1500" s="3">
        <v>2.5265224060000002</v>
      </c>
      <c r="U1500" s="3">
        <v>0.71643452500000004</v>
      </c>
      <c r="V1500" s="3">
        <v>0.33132439699999999</v>
      </c>
      <c r="W1500" s="3">
        <v>0.75479778500000005</v>
      </c>
      <c r="X1500" s="3">
        <v>2.7840911639999999</v>
      </c>
      <c r="Y1500" s="3">
        <v>1.367452565</v>
      </c>
      <c r="Z1500" s="3">
        <v>3.5265224060000002</v>
      </c>
      <c r="AA1500" s="3">
        <v>0.11335964</v>
      </c>
      <c r="AB1500" s="3">
        <v>12.716231179999999</v>
      </c>
      <c r="AC1500" s="3">
        <v>3.6885258790000002</v>
      </c>
      <c r="AD1500" s="3">
        <v>0.21499564800000001</v>
      </c>
      <c r="AE1500" s="3">
        <v>4.9079974460000004</v>
      </c>
      <c r="AF1500" s="4">
        <v>42454</v>
      </c>
      <c r="AG1500" s="5">
        <f>YEAR(AF1500)</f>
        <v>2016</v>
      </c>
      <c r="AH1500" s="5" t="str">
        <f>"Q"&amp;ROUNDUP(MONTH(AF1500)/3,0)</f>
        <v>Q1</v>
      </c>
      <c r="AI1500" s="5">
        <f>INDEX(RatingLookup!$B$2:$B$11,MATCH(A1500,RatingLookup!$A$2:$A$11,0))</f>
        <v>5</v>
      </c>
      <c r="AJ1500" s="5" t="str">
        <f>INDEX(RatingLookup!$C$2:$C$11,MATCH(A1500,RatingLookup!$A$2:$A$11,0))</f>
        <v>Speculative Grade</v>
      </c>
    </row>
    <row r="1501" spans="1:36" x14ac:dyDescent="0.3">
      <c r="A1501" s="3" t="s">
        <v>109</v>
      </c>
      <c r="B1501" s="3" t="s">
        <v>1587</v>
      </c>
      <c r="C1501" s="3" t="s">
        <v>1588</v>
      </c>
      <c r="D1501" s="3" t="s">
        <v>47</v>
      </c>
      <c r="E1501" s="3" t="s">
        <v>1536</v>
      </c>
      <c r="F1501" s="3" t="s">
        <v>96</v>
      </c>
      <c r="G1501" s="3">
        <v>0.90925189299999998</v>
      </c>
      <c r="H1501" s="3">
        <v>0.61985324799999997</v>
      </c>
      <c r="I1501" s="3">
        <v>0.19011787399999999</v>
      </c>
      <c r="J1501" s="3">
        <v>55.682087340000002</v>
      </c>
      <c r="K1501" s="3">
        <v>5.2098160999999997E-2</v>
      </c>
      <c r="L1501" s="3">
        <v>7.5911006000000003E-2</v>
      </c>
      <c r="M1501" s="3">
        <v>1</v>
      </c>
      <c r="N1501" s="3">
        <v>0.12082076</v>
      </c>
      <c r="O1501" s="3">
        <v>2.0816969000000001E-2</v>
      </c>
      <c r="P1501" s="3">
        <v>3.5962979999999999E-2</v>
      </c>
      <c r="Q1501" s="3">
        <v>7.2177461999999998E-2</v>
      </c>
      <c r="R1501" s="3">
        <v>0.39957205800000001</v>
      </c>
      <c r="S1501" s="3">
        <v>3.8116837669999999</v>
      </c>
      <c r="T1501" s="3">
        <v>2.4672415879999998</v>
      </c>
      <c r="U1501" s="3">
        <v>0.71158629299999998</v>
      </c>
      <c r="V1501" s="3">
        <v>0.27911642800000003</v>
      </c>
      <c r="W1501" s="3">
        <v>0.729231132</v>
      </c>
      <c r="X1501" s="3">
        <v>2.5843325080000001</v>
      </c>
      <c r="Y1501" s="3">
        <v>1.397643821</v>
      </c>
      <c r="Z1501" s="3">
        <v>3.4672415879999998</v>
      </c>
      <c r="AA1501" s="3">
        <v>7.5911006000000003E-2</v>
      </c>
      <c r="AB1501" s="3">
        <v>13.763584209999999</v>
      </c>
      <c r="AC1501" s="3">
        <v>3.5439141209999998</v>
      </c>
      <c r="AD1501" s="3">
        <v>0.229086716</v>
      </c>
      <c r="AE1501" s="3">
        <v>4.3440305600000002</v>
      </c>
      <c r="AF1501" s="4">
        <v>42079</v>
      </c>
      <c r="AG1501" s="5">
        <f>YEAR(AF1501)</f>
        <v>2015</v>
      </c>
      <c r="AH1501" s="5" t="str">
        <f>"Q"&amp;ROUNDUP(MONTH(AF1501)/3,0)</f>
        <v>Q1</v>
      </c>
      <c r="AI1501" s="5">
        <f>INDEX(RatingLookup!$B$2:$B$11,MATCH(A1501,RatingLookup!$A$2:$A$11,0))</f>
        <v>5</v>
      </c>
      <c r="AJ1501" s="5" t="str">
        <f>INDEX(RatingLookup!$C$2:$C$11,MATCH(A1501,RatingLookup!$A$2:$A$11,0))</f>
        <v>Speculative Grade</v>
      </c>
    </row>
    <row r="1502" spans="1:36" x14ac:dyDescent="0.3">
      <c r="A1502" s="3" t="s">
        <v>109</v>
      </c>
      <c r="B1502" s="3" t="s">
        <v>1587</v>
      </c>
      <c r="C1502" s="3" t="s">
        <v>1588</v>
      </c>
      <c r="D1502" s="3" t="s">
        <v>47</v>
      </c>
      <c r="E1502" s="3" t="s">
        <v>1591</v>
      </c>
      <c r="F1502" s="3" t="s">
        <v>96</v>
      </c>
      <c r="G1502" s="3">
        <v>1.1408514169999999</v>
      </c>
      <c r="H1502" s="3">
        <v>0.82417601500000004</v>
      </c>
      <c r="I1502" s="3">
        <v>0.287875828</v>
      </c>
      <c r="J1502" s="3">
        <v>59.407412319999999</v>
      </c>
      <c r="K1502" s="3">
        <v>7.1632199999999993E-2</v>
      </c>
      <c r="L1502" s="3">
        <v>0.106706098</v>
      </c>
      <c r="M1502" s="3">
        <v>1</v>
      </c>
      <c r="N1502" s="3">
        <v>0.14178063399999999</v>
      </c>
      <c r="O1502" s="3">
        <v>3.7062511999999999E-2</v>
      </c>
      <c r="P1502" s="3">
        <v>6.6571258999999994E-2</v>
      </c>
      <c r="Q1502" s="3">
        <v>9.6034297000000005E-2</v>
      </c>
      <c r="R1502" s="3">
        <v>0.51740016799999999</v>
      </c>
      <c r="S1502" s="3">
        <v>8.4002689999999998</v>
      </c>
      <c r="T1502" s="3">
        <v>1.5911437690000001</v>
      </c>
      <c r="U1502" s="3">
        <v>0.61407004399999998</v>
      </c>
      <c r="V1502" s="3">
        <v>0.48061885700000001</v>
      </c>
      <c r="W1502" s="3">
        <v>0.76734899599999995</v>
      </c>
      <c r="X1502" s="3">
        <v>2.707519944</v>
      </c>
      <c r="Y1502" s="3">
        <v>1.6618503010000001</v>
      </c>
      <c r="Z1502" s="3">
        <v>2.5911437689999999</v>
      </c>
      <c r="AA1502" s="3">
        <v>0.106706098</v>
      </c>
      <c r="AB1502" s="3">
        <v>9.0267986150000006</v>
      </c>
      <c r="AC1502" s="3">
        <v>3.5284074900000002</v>
      </c>
      <c r="AD1502" s="3">
        <v>0.23163521100000001</v>
      </c>
      <c r="AE1502" s="3">
        <v>5.341262167</v>
      </c>
      <c r="AF1502" s="4">
        <v>41415</v>
      </c>
      <c r="AG1502" s="5">
        <f>YEAR(AF1502)</f>
        <v>2013</v>
      </c>
      <c r="AH1502" s="5" t="str">
        <f>"Q"&amp;ROUNDUP(MONTH(AF1502)/3,0)</f>
        <v>Q2</v>
      </c>
      <c r="AI1502" s="5">
        <f>INDEX(RatingLookup!$B$2:$B$11,MATCH(A1502,RatingLookup!$A$2:$A$11,0))</f>
        <v>5</v>
      </c>
      <c r="AJ1502" s="5" t="str">
        <f>INDEX(RatingLookup!$C$2:$C$11,MATCH(A1502,RatingLookup!$A$2:$A$11,0))</f>
        <v>Speculative Grade</v>
      </c>
    </row>
    <row r="1503" spans="1:36" x14ac:dyDescent="0.3">
      <c r="A1503" s="3" t="s">
        <v>109</v>
      </c>
      <c r="B1503" s="3" t="s">
        <v>1587</v>
      </c>
      <c r="C1503" s="3" t="s">
        <v>1588</v>
      </c>
      <c r="D1503" s="3" t="s">
        <v>47</v>
      </c>
      <c r="E1503" s="3" t="s">
        <v>259</v>
      </c>
      <c r="F1503" s="3" t="s">
        <v>96</v>
      </c>
      <c r="G1503" s="3">
        <v>1.1925312299999999</v>
      </c>
      <c r="H1503" s="3">
        <v>0.65655255199999996</v>
      </c>
      <c r="I1503" s="3">
        <v>0.25043538700000001</v>
      </c>
      <c r="J1503" s="3">
        <v>53.841360860000002</v>
      </c>
      <c r="K1503" s="3">
        <v>8.0960146999999996E-2</v>
      </c>
      <c r="L1503" s="3">
        <v>0.103153394</v>
      </c>
      <c r="M1503" s="3">
        <v>1</v>
      </c>
      <c r="N1503" s="3">
        <v>0.12992041400000001</v>
      </c>
      <c r="O1503" s="3">
        <v>3.586922E-2</v>
      </c>
      <c r="P1503" s="3">
        <v>5.5675756E-2</v>
      </c>
      <c r="Q1503" s="3">
        <v>0.103150886</v>
      </c>
      <c r="R1503" s="3">
        <v>0.44304785800000002</v>
      </c>
      <c r="S1503" s="3">
        <v>6.8012471569999997</v>
      </c>
      <c r="T1503" s="3">
        <v>1.8757493730000001</v>
      </c>
      <c r="U1503" s="3">
        <v>0.65226455100000003</v>
      </c>
      <c r="V1503" s="3">
        <v>0.25115293</v>
      </c>
      <c r="W1503" s="3">
        <v>0.69877141300000001</v>
      </c>
      <c r="X1503" s="3">
        <v>2.6001177860000002</v>
      </c>
      <c r="Y1503" s="3">
        <v>1.650691991</v>
      </c>
      <c r="Z1503" s="3">
        <v>2.8757493730000001</v>
      </c>
      <c r="AA1503" s="3">
        <v>0.103153394</v>
      </c>
      <c r="AB1503" s="3">
        <v>12.618169099999999</v>
      </c>
      <c r="AC1503" s="3">
        <v>3.720984772</v>
      </c>
      <c r="AD1503" s="3">
        <v>0.26590487200000001</v>
      </c>
      <c r="AE1503" s="3">
        <v>4.3373154029999998</v>
      </c>
      <c r="AF1503" s="4">
        <v>41456</v>
      </c>
      <c r="AG1503" s="5">
        <f>YEAR(AF1503)</f>
        <v>2013</v>
      </c>
      <c r="AH1503" s="5" t="str">
        <f>"Q"&amp;ROUNDUP(MONTH(AF1503)/3,0)</f>
        <v>Q3</v>
      </c>
      <c r="AI1503" s="5">
        <f>INDEX(RatingLookup!$B$2:$B$11,MATCH(A1503,RatingLookup!$A$2:$A$11,0))</f>
        <v>5</v>
      </c>
      <c r="AJ1503" s="5" t="str">
        <f>INDEX(RatingLookup!$C$2:$C$11,MATCH(A1503,RatingLookup!$A$2:$A$11,0))</f>
        <v>Speculative Grade</v>
      </c>
    </row>
    <row r="1504" spans="1:36" x14ac:dyDescent="0.3">
      <c r="A1504" s="3" t="s">
        <v>42</v>
      </c>
      <c r="B1504" s="3" t="s">
        <v>1592</v>
      </c>
      <c r="C1504" s="3" t="s">
        <v>1593</v>
      </c>
      <c r="D1504" s="3" t="s">
        <v>47</v>
      </c>
      <c r="E1504" s="3" t="s">
        <v>87</v>
      </c>
      <c r="F1504" s="3" t="s">
        <v>41</v>
      </c>
      <c r="G1504" s="3">
        <v>1.2770799610000001</v>
      </c>
      <c r="H1504" s="3">
        <v>0.64949674800000001</v>
      </c>
      <c r="I1504" s="3">
        <v>4.4757423999999997E-2</v>
      </c>
      <c r="J1504" s="3">
        <v>56.479157979999997</v>
      </c>
      <c r="K1504" s="3">
        <v>0.103845626</v>
      </c>
      <c r="L1504" s="3">
        <v>0.13853253099999999</v>
      </c>
      <c r="M1504" s="3">
        <v>0.31396335399999997</v>
      </c>
      <c r="N1504" s="3">
        <v>0.14286533900000001</v>
      </c>
      <c r="O1504" s="3">
        <v>9.0939178999999995E-2</v>
      </c>
      <c r="P1504" s="3">
        <v>0.16521291299999999</v>
      </c>
      <c r="Q1504" s="3">
        <v>0.161061178</v>
      </c>
      <c r="R1504" s="3">
        <v>0.87571506099999996</v>
      </c>
      <c r="S1504" s="3">
        <v>2.6582082919999999</v>
      </c>
      <c r="T1504" s="3">
        <v>0.77108677999999997</v>
      </c>
      <c r="U1504" s="3">
        <v>0.43537492799999999</v>
      </c>
      <c r="V1504" s="3">
        <v>0.247806627</v>
      </c>
      <c r="W1504" s="3">
        <v>0.49371136199999999</v>
      </c>
      <c r="X1504" s="3">
        <v>8.8447047390000009</v>
      </c>
      <c r="Y1504" s="3">
        <v>5.1175914929999999</v>
      </c>
      <c r="Z1504" s="3">
        <v>1.7710867800000001</v>
      </c>
      <c r="AA1504" s="3">
        <v>0.13853253099999999</v>
      </c>
      <c r="AB1504" s="3">
        <v>10.86549022</v>
      </c>
      <c r="AC1504" s="3">
        <v>17.91472795</v>
      </c>
      <c r="AD1504" s="3">
        <v>0.14817949599999999</v>
      </c>
      <c r="AE1504" s="3">
        <v>4.6019353360000004</v>
      </c>
      <c r="AF1504" s="4">
        <v>42592</v>
      </c>
      <c r="AG1504" s="5">
        <f>YEAR(AF1504)</f>
        <v>2016</v>
      </c>
      <c r="AH1504" s="5" t="str">
        <f>"Q"&amp;ROUNDUP(MONTH(AF1504)/3,0)</f>
        <v>Q3</v>
      </c>
      <c r="AI1504" s="5">
        <f>INDEX(RatingLookup!$B$2:$B$11,MATCH(A1504,RatingLookup!$A$2:$A$11,0))</f>
        <v>7</v>
      </c>
      <c r="AJ1504" s="5" t="str">
        <f>INDEX(RatingLookup!$C$2:$C$11,MATCH(A1504,RatingLookup!$A$2:$A$11,0))</f>
        <v>Investment Grade</v>
      </c>
    </row>
    <row r="1505" spans="1:36" x14ac:dyDescent="0.3">
      <c r="A1505" s="3" t="s">
        <v>42</v>
      </c>
      <c r="B1505" s="3" t="s">
        <v>1592</v>
      </c>
      <c r="C1505" s="3" t="s">
        <v>1593</v>
      </c>
      <c r="D1505" s="3" t="s">
        <v>47</v>
      </c>
      <c r="E1505" s="3" t="s">
        <v>1586</v>
      </c>
      <c r="F1505" s="3" t="s">
        <v>41</v>
      </c>
      <c r="G1505" s="3">
        <v>1.6015173220000001</v>
      </c>
      <c r="H1505" s="3">
        <v>0.79628379800000004</v>
      </c>
      <c r="I1505" s="3">
        <v>5.0044125000000002E-2</v>
      </c>
      <c r="J1505" s="3">
        <v>50.585977659999998</v>
      </c>
      <c r="K1505" s="3">
        <v>6.8170523999999996E-2</v>
      </c>
      <c r="L1505" s="3">
        <v>8.5076644000000007E-2</v>
      </c>
      <c r="M1505" s="3">
        <v>0.27605650100000001</v>
      </c>
      <c r="N1505" s="3">
        <v>9.9032657999999996E-2</v>
      </c>
      <c r="O1505" s="3">
        <v>6.4203992000000001E-2</v>
      </c>
      <c r="P1505" s="3">
        <v>0.104884569</v>
      </c>
      <c r="Q1505" s="3">
        <v>0.120408392</v>
      </c>
      <c r="R1505" s="3">
        <v>0.94181456299999999</v>
      </c>
      <c r="S1505" s="3">
        <v>2.8867331799999998</v>
      </c>
      <c r="T1505" s="3">
        <v>0.87540351900000002</v>
      </c>
      <c r="U1505" s="3">
        <v>0.46678142099999997</v>
      </c>
      <c r="V1505" s="3">
        <v>0.19828104299999999</v>
      </c>
      <c r="W1505" s="3">
        <v>0.15159441100000001</v>
      </c>
      <c r="X1505" s="3">
        <v>1.37820064</v>
      </c>
      <c r="Y1505" s="3">
        <v>6.5336298859999999</v>
      </c>
      <c r="Z1505" s="3">
        <v>1.875403519</v>
      </c>
      <c r="AA1505" s="3">
        <v>8.5076644000000007E-2</v>
      </c>
      <c r="AB1505" s="3">
        <v>12.676155639999999</v>
      </c>
      <c r="AC1505" s="3">
        <v>9.0913683980000002</v>
      </c>
      <c r="AD1505" s="3">
        <v>8.4858406999999997E-2</v>
      </c>
      <c r="AE1505" s="3">
        <v>5.1147197530000001</v>
      </c>
      <c r="AF1505" s="4">
        <v>42157</v>
      </c>
      <c r="AG1505" s="5">
        <f>YEAR(AF1505)</f>
        <v>2015</v>
      </c>
      <c r="AH1505" s="5" t="str">
        <f>"Q"&amp;ROUNDUP(MONTH(AF1505)/3,0)</f>
        <v>Q2</v>
      </c>
      <c r="AI1505" s="5">
        <f>INDEX(RatingLookup!$B$2:$B$11,MATCH(A1505,RatingLookup!$A$2:$A$11,0))</f>
        <v>7</v>
      </c>
      <c r="AJ1505" s="5" t="str">
        <f>INDEX(RatingLookup!$C$2:$C$11,MATCH(A1505,RatingLookup!$A$2:$A$11,0))</f>
        <v>Investment Grade</v>
      </c>
    </row>
    <row r="1506" spans="1:36" x14ac:dyDescent="0.3">
      <c r="A1506" s="3" t="s">
        <v>42</v>
      </c>
      <c r="B1506" s="3" t="s">
        <v>1592</v>
      </c>
      <c r="C1506" s="3" t="s">
        <v>1593</v>
      </c>
      <c r="D1506" s="3" t="s">
        <v>47</v>
      </c>
      <c r="E1506" s="3" t="s">
        <v>800</v>
      </c>
      <c r="F1506" s="3" t="s">
        <v>41</v>
      </c>
      <c r="G1506" s="3">
        <v>0.99722125699999997</v>
      </c>
      <c r="H1506" s="3">
        <v>0.49027808299999998</v>
      </c>
      <c r="I1506" s="3">
        <v>2.5066369000000002E-2</v>
      </c>
      <c r="J1506" s="3">
        <v>56.233166359999998</v>
      </c>
      <c r="K1506" s="3">
        <v>7.6230836999999996E-2</v>
      </c>
      <c r="L1506" s="3">
        <v>9.2777693999999994E-2</v>
      </c>
      <c r="M1506" s="3">
        <v>0.29866408799999999</v>
      </c>
      <c r="N1506" s="3">
        <v>0.10376751100000001</v>
      </c>
      <c r="O1506" s="3">
        <v>6.1886890999999999E-2</v>
      </c>
      <c r="P1506" s="3">
        <v>0.112048983</v>
      </c>
      <c r="Q1506" s="3">
        <v>0.126757328</v>
      </c>
      <c r="R1506" s="3">
        <v>0.81183539400000004</v>
      </c>
      <c r="S1506" s="3">
        <v>2.564747493</v>
      </c>
      <c r="T1506" s="3">
        <v>1.0482096540000001</v>
      </c>
      <c r="U1506" s="3">
        <v>0.51176873000000001</v>
      </c>
      <c r="V1506" s="3">
        <v>0.17610077199999999</v>
      </c>
      <c r="W1506" s="3">
        <v>0.44766760300000003</v>
      </c>
      <c r="X1506" s="3">
        <v>5.5527504219999999</v>
      </c>
      <c r="Y1506" s="3">
        <v>4.8193182439999998</v>
      </c>
      <c r="Z1506" s="3">
        <v>2.0482096539999999</v>
      </c>
      <c r="AA1506" s="3">
        <v>9.2777693999999994E-2</v>
      </c>
      <c r="AB1506" s="3">
        <v>12.79109338</v>
      </c>
      <c r="AC1506" s="3">
        <v>12.40373524</v>
      </c>
      <c r="AD1506" s="3">
        <v>0.112973534</v>
      </c>
      <c r="AE1506" s="3">
        <v>4.506977966</v>
      </c>
      <c r="AF1506" s="4">
        <v>42243</v>
      </c>
      <c r="AG1506" s="5">
        <f>YEAR(AF1506)</f>
        <v>2015</v>
      </c>
      <c r="AH1506" s="5" t="str">
        <f>"Q"&amp;ROUNDUP(MONTH(AF1506)/3,0)</f>
        <v>Q3</v>
      </c>
      <c r="AI1506" s="5">
        <f>INDEX(RatingLookup!$B$2:$B$11,MATCH(A1506,RatingLookup!$A$2:$A$11,0))</f>
        <v>7</v>
      </c>
      <c r="AJ1506" s="5" t="str">
        <f>INDEX(RatingLookup!$C$2:$C$11,MATCH(A1506,RatingLookup!$A$2:$A$11,0))</f>
        <v>Investment Grade</v>
      </c>
    </row>
    <row r="1507" spans="1:36" x14ac:dyDescent="0.3">
      <c r="A1507" s="3" t="s">
        <v>116</v>
      </c>
      <c r="B1507" s="3" t="s">
        <v>1594</v>
      </c>
      <c r="C1507" s="3" t="s">
        <v>1595</v>
      </c>
      <c r="D1507" s="3" t="s">
        <v>39</v>
      </c>
      <c r="E1507" s="3" t="s">
        <v>1596</v>
      </c>
      <c r="F1507" s="3" t="s">
        <v>113</v>
      </c>
      <c r="G1507" s="3">
        <v>0.70040512099999996</v>
      </c>
      <c r="H1507" s="3">
        <v>0.64566249200000003</v>
      </c>
      <c r="I1507" s="3">
        <v>0.11857770099999999</v>
      </c>
      <c r="J1507" s="3">
        <v>14.262954929999999</v>
      </c>
      <c r="K1507" s="3">
        <v>-3.8883463E-2</v>
      </c>
      <c r="L1507" s="3">
        <v>-8.6314294E-2</v>
      </c>
      <c r="M1507" s="3">
        <v>1</v>
      </c>
      <c r="N1507" s="3">
        <v>-2.2158536999999999E-2</v>
      </c>
      <c r="O1507" s="3">
        <v>-1.4160713E-2</v>
      </c>
      <c r="P1507" s="3">
        <v>-3.4295383999999998E-2</v>
      </c>
      <c r="Q1507" s="3">
        <v>-5.1701690000000002E-2</v>
      </c>
      <c r="R1507" s="3">
        <v>0.36418342399999998</v>
      </c>
      <c r="S1507" s="3">
        <v>0.45672611200000002</v>
      </c>
      <c r="T1507" s="3">
        <v>2.6510654730000001</v>
      </c>
      <c r="U1507" s="3">
        <v>0.72610734899999996</v>
      </c>
      <c r="V1507" s="3">
        <v>0.54819475600000001</v>
      </c>
      <c r="W1507" s="3">
        <v>-0.25383264900000002</v>
      </c>
      <c r="X1507" s="3">
        <v>-0.415649357</v>
      </c>
      <c r="Y1507" s="3">
        <v>2.8141039920000002</v>
      </c>
      <c r="Z1507" s="3">
        <v>3.6510654730000001</v>
      </c>
      <c r="AA1507" s="3">
        <v>-8.6314294E-2</v>
      </c>
      <c r="AB1507" s="3">
        <v>17.781510600000001</v>
      </c>
      <c r="AC1507" s="3">
        <v>1.637493673</v>
      </c>
      <c r="AD1507" s="3">
        <v>6.3327406000000003E-2</v>
      </c>
      <c r="AE1507" s="3">
        <v>0</v>
      </c>
      <c r="AF1507" s="4">
        <v>42146</v>
      </c>
      <c r="AG1507" s="5">
        <f>YEAR(AF1507)</f>
        <v>2015</v>
      </c>
      <c r="AH1507" s="5" t="str">
        <f>"Q"&amp;ROUNDUP(MONTH(AF1507)/3,0)</f>
        <v>Q2</v>
      </c>
      <c r="AI1507" s="5">
        <f>INDEX(RatingLookup!$B$2:$B$11,MATCH(A1507,RatingLookup!$A$2:$A$11,0))</f>
        <v>4</v>
      </c>
      <c r="AJ1507" s="5" t="str">
        <f>INDEX(RatingLookup!$C$2:$C$11,MATCH(A1507,RatingLookup!$A$2:$A$11,0))</f>
        <v>Speculative Grade</v>
      </c>
    </row>
    <row r="1508" spans="1:36" x14ac:dyDescent="0.3">
      <c r="A1508" s="3" t="s">
        <v>116</v>
      </c>
      <c r="B1508" s="3" t="s">
        <v>1594</v>
      </c>
      <c r="C1508" s="3" t="s">
        <v>1595</v>
      </c>
      <c r="D1508" s="3" t="s">
        <v>39</v>
      </c>
      <c r="E1508" s="3" t="s">
        <v>448</v>
      </c>
      <c r="F1508" s="3" t="s">
        <v>113</v>
      </c>
      <c r="G1508" s="3">
        <v>0.59268485999999998</v>
      </c>
      <c r="H1508" s="3">
        <v>0.71858886799999999</v>
      </c>
      <c r="I1508" s="3">
        <v>0.104777968</v>
      </c>
      <c r="J1508" s="3">
        <v>10.599375119999999</v>
      </c>
      <c r="K1508" s="3">
        <v>-9.2221962000000005E-2</v>
      </c>
      <c r="L1508" s="3">
        <v>-0.110946884</v>
      </c>
      <c r="M1508" s="3">
        <v>1</v>
      </c>
      <c r="N1508" s="3">
        <v>-3.3303579E-2</v>
      </c>
      <c r="O1508" s="3">
        <v>-4.5526604999999998E-2</v>
      </c>
      <c r="P1508" s="3">
        <v>-5.9767500000000001E-2</v>
      </c>
      <c r="Q1508" s="3">
        <v>-0.186050361</v>
      </c>
      <c r="R1508" s="3">
        <v>0.49366337300000002</v>
      </c>
      <c r="S1508" s="3">
        <v>0.61765356299999996</v>
      </c>
      <c r="T1508" s="3">
        <v>3.0866294029999999</v>
      </c>
      <c r="U1508" s="3">
        <v>0.75529956300000001</v>
      </c>
      <c r="V1508" s="3">
        <v>0.16754184499999999</v>
      </c>
      <c r="W1508" s="3">
        <v>-0.40594665600000002</v>
      </c>
      <c r="X1508" s="3">
        <v>-0.64386192399999997</v>
      </c>
      <c r="Y1508" s="3">
        <v>2.4936826289999998</v>
      </c>
      <c r="Z1508" s="3">
        <v>4.0866294029999999</v>
      </c>
      <c r="AA1508" s="3">
        <v>-0.110946884</v>
      </c>
      <c r="AB1508" s="3">
        <v>11.05706329</v>
      </c>
      <c r="AC1508" s="3">
        <v>1.5860752010000001</v>
      </c>
      <c r="AD1508" s="3">
        <v>5.8937533E-2</v>
      </c>
      <c r="AE1508" s="3">
        <v>0</v>
      </c>
      <c r="AF1508" s="4">
        <v>42257</v>
      </c>
      <c r="AG1508" s="5">
        <f>YEAR(AF1508)</f>
        <v>2015</v>
      </c>
      <c r="AH1508" s="5" t="str">
        <f>"Q"&amp;ROUNDUP(MONTH(AF1508)/3,0)</f>
        <v>Q3</v>
      </c>
      <c r="AI1508" s="5">
        <f>INDEX(RatingLookup!$B$2:$B$11,MATCH(A1508,RatingLookup!$A$2:$A$11,0))</f>
        <v>4</v>
      </c>
      <c r="AJ1508" s="5" t="str">
        <f>INDEX(RatingLookup!$C$2:$C$11,MATCH(A1508,RatingLookup!$A$2:$A$11,0))</f>
        <v>Speculative Grade</v>
      </c>
    </row>
    <row r="1509" spans="1:36" x14ac:dyDescent="0.3">
      <c r="A1509" s="3" t="s">
        <v>109</v>
      </c>
      <c r="B1509" s="3" t="s">
        <v>1597</v>
      </c>
      <c r="C1509" s="3" t="s">
        <v>1598</v>
      </c>
      <c r="D1509" s="3" t="s">
        <v>47</v>
      </c>
      <c r="E1509" s="3" t="s">
        <v>1599</v>
      </c>
      <c r="F1509" s="3" t="s">
        <v>96</v>
      </c>
      <c r="G1509" s="3">
        <v>1.287671233</v>
      </c>
      <c r="H1509" s="3">
        <v>0.82297154900000002</v>
      </c>
      <c r="I1509" s="3">
        <v>0.16438356200000001</v>
      </c>
      <c r="J1509" s="3">
        <v>63.829043089999999</v>
      </c>
      <c r="K1509" s="3">
        <v>-3.8332401000000002E-2</v>
      </c>
      <c r="L1509" s="3">
        <v>-3.6094012000000002E-2</v>
      </c>
      <c r="M1509" s="3">
        <v>0.459429211</v>
      </c>
      <c r="N1509" s="3">
        <v>2.2383884E-2</v>
      </c>
      <c r="O1509" s="3">
        <v>-2.9576857000000002E-2</v>
      </c>
      <c r="P1509" s="3">
        <v>-3.5025793999999999E-2</v>
      </c>
      <c r="Q1509" s="3">
        <v>-0.17297979799999999</v>
      </c>
      <c r="R1509" s="3">
        <v>0.77158894600000005</v>
      </c>
      <c r="S1509" s="3">
        <v>12.23972603</v>
      </c>
      <c r="T1509" s="3">
        <v>4.848484848</v>
      </c>
      <c r="U1509" s="3">
        <v>0.82901554399999999</v>
      </c>
      <c r="V1509" s="3">
        <v>-6.2015503999999999E-2</v>
      </c>
      <c r="W1509" s="3">
        <v>0.79301075300000001</v>
      </c>
      <c r="X1509" s="3">
        <v>5.7193695</v>
      </c>
      <c r="Y1509" s="3">
        <v>3.0244801419999998</v>
      </c>
      <c r="Z1509" s="3">
        <v>5.848484848</v>
      </c>
      <c r="AA1509" s="3">
        <v>-3.6094012000000002E-2</v>
      </c>
      <c r="AB1509" s="3">
        <v>16.82900094</v>
      </c>
      <c r="AC1509" s="3">
        <v>7.2122218780000003</v>
      </c>
      <c r="AD1509" s="3">
        <v>0.10408505899999999</v>
      </c>
      <c r="AE1509" s="3">
        <v>4.6779661020000001</v>
      </c>
      <c r="AF1509" s="4">
        <v>42639</v>
      </c>
      <c r="AG1509" s="5">
        <f>YEAR(AF1509)</f>
        <v>2016</v>
      </c>
      <c r="AH1509" s="5" t="str">
        <f>"Q"&amp;ROUNDUP(MONTH(AF1509)/3,0)</f>
        <v>Q3</v>
      </c>
      <c r="AI1509" s="5">
        <f>INDEX(RatingLookup!$B$2:$B$11,MATCH(A1509,RatingLookup!$A$2:$A$11,0))</f>
        <v>5</v>
      </c>
      <c r="AJ1509" s="5" t="str">
        <f>INDEX(RatingLookup!$C$2:$C$11,MATCH(A1509,RatingLookup!$A$2:$A$11,0))</f>
        <v>Speculative Grade</v>
      </c>
    </row>
    <row r="1510" spans="1:36" x14ac:dyDescent="0.3">
      <c r="A1510" s="3" t="s">
        <v>109</v>
      </c>
      <c r="B1510" s="3" t="s">
        <v>1597</v>
      </c>
      <c r="C1510" s="3" t="s">
        <v>1598</v>
      </c>
      <c r="D1510" s="3" t="s">
        <v>60</v>
      </c>
      <c r="E1510" s="3" t="s">
        <v>1525</v>
      </c>
      <c r="F1510" s="3" t="s">
        <v>96</v>
      </c>
      <c r="G1510" s="3">
        <v>1.749286235</v>
      </c>
      <c r="H1510" s="3">
        <v>1.139028527</v>
      </c>
      <c r="I1510" s="3">
        <v>0.412147551</v>
      </c>
      <c r="J1510" s="3">
        <v>146.47481819999999</v>
      </c>
      <c r="K1510" s="3">
        <v>1.9411913999999999E-2</v>
      </c>
      <c r="L1510" s="3">
        <v>9.9540759999999992E-3</v>
      </c>
      <c r="M1510" s="3">
        <v>0.46572371600000001</v>
      </c>
      <c r="N1510" s="3">
        <v>5.3029740999999998E-2</v>
      </c>
      <c r="O1510" s="3">
        <v>5.8232839999999998E-3</v>
      </c>
      <c r="P1510" s="3">
        <v>3.6048090000000001E-3</v>
      </c>
      <c r="Q1510" s="3">
        <v>3.1184488999999999E-2</v>
      </c>
      <c r="R1510" s="3">
        <v>0.29998504199999998</v>
      </c>
      <c r="S1510" s="3">
        <v>6.5489000050000001</v>
      </c>
      <c r="T1510" s="3">
        <v>4.3551381469999999</v>
      </c>
      <c r="U1510" s="3">
        <v>0.813263454</v>
      </c>
      <c r="V1510" s="3">
        <v>-0.95014733299999998</v>
      </c>
      <c r="W1510" s="3">
        <v>0.84177589900000005</v>
      </c>
      <c r="X1510" s="3">
        <v>4.1157337219999999</v>
      </c>
      <c r="Y1510" s="3">
        <v>8.2367244880000001</v>
      </c>
      <c r="Z1510" s="3">
        <v>5.3551381469999999</v>
      </c>
      <c r="AA1510" s="3">
        <v>9.9540759999999992E-3</v>
      </c>
      <c r="AB1510" s="3">
        <v>40.8858046</v>
      </c>
      <c r="AC1510" s="3">
        <v>4.8893461179999997</v>
      </c>
      <c r="AD1510" s="3">
        <v>0.148646691</v>
      </c>
      <c r="AE1510" s="3">
        <v>2.73348054</v>
      </c>
      <c r="AF1510" s="4">
        <v>41899</v>
      </c>
      <c r="AG1510" s="5">
        <f>YEAR(AF1510)</f>
        <v>2014</v>
      </c>
      <c r="AH1510" s="5" t="str">
        <f>"Q"&amp;ROUNDUP(MONTH(AF1510)/3,0)</f>
        <v>Q3</v>
      </c>
      <c r="AI1510" s="5">
        <f>INDEX(RatingLookup!$B$2:$B$11,MATCH(A1510,RatingLookup!$A$2:$A$11,0))</f>
        <v>5</v>
      </c>
      <c r="AJ1510" s="5" t="str">
        <f>INDEX(RatingLookup!$C$2:$C$11,MATCH(A1510,RatingLookup!$A$2:$A$11,0))</f>
        <v>Speculative Grade</v>
      </c>
    </row>
    <row r="1511" spans="1:36" x14ac:dyDescent="0.3">
      <c r="A1511" s="3" t="s">
        <v>109</v>
      </c>
      <c r="B1511" s="3" t="s">
        <v>1597</v>
      </c>
      <c r="C1511" s="3" t="s">
        <v>1598</v>
      </c>
      <c r="D1511" s="3" t="s">
        <v>47</v>
      </c>
      <c r="E1511" s="3" t="s">
        <v>1419</v>
      </c>
      <c r="F1511" s="3" t="s">
        <v>96</v>
      </c>
      <c r="G1511" s="3">
        <v>1.4905027930000001</v>
      </c>
      <c r="H1511" s="3">
        <v>0.96424580999999998</v>
      </c>
      <c r="I1511" s="3">
        <v>0.21452514</v>
      </c>
      <c r="J1511" s="3">
        <v>67.099999999999994</v>
      </c>
      <c r="K1511" s="3">
        <v>-4.3287671E-2</v>
      </c>
      <c r="L1511" s="3">
        <v>-4.9315067999999997E-2</v>
      </c>
      <c r="M1511" s="3">
        <v>0.450410959</v>
      </c>
      <c r="N1511" s="3">
        <v>1.0136986000000001E-2</v>
      </c>
      <c r="O1511" s="3">
        <v>-3.1349205999999998E-2</v>
      </c>
      <c r="P1511" s="3">
        <v>-4.3425814E-2</v>
      </c>
      <c r="Q1511" s="3">
        <v>-0.176931691</v>
      </c>
      <c r="R1511" s="3">
        <v>0.72420634900000003</v>
      </c>
      <c r="S1511" s="3">
        <v>12.24832215</v>
      </c>
      <c r="T1511" s="3">
        <v>4.6438969759999997</v>
      </c>
      <c r="U1511" s="3">
        <v>0.82281746</v>
      </c>
      <c r="V1511" s="3">
        <v>0.12222222200000001</v>
      </c>
      <c r="W1511" s="3">
        <v>-0.109090909</v>
      </c>
      <c r="X1511" s="3">
        <v>-0.235311203</v>
      </c>
      <c r="Y1511" s="3">
        <v>3.764979249</v>
      </c>
      <c r="Z1511" s="3">
        <v>5.6438969759999997</v>
      </c>
      <c r="AA1511" s="3">
        <v>-4.9315067999999997E-2</v>
      </c>
      <c r="AB1511" s="3">
        <v>15.818167130000001</v>
      </c>
      <c r="AC1511" s="3">
        <v>2.1570193620000002</v>
      </c>
      <c r="AD1511" s="3">
        <v>3.0136986000000001E-2</v>
      </c>
      <c r="AE1511" s="3">
        <v>6.9411764710000003</v>
      </c>
      <c r="AF1511" s="4">
        <v>42250</v>
      </c>
      <c r="AG1511" s="5">
        <f>YEAR(AF1511)</f>
        <v>2015</v>
      </c>
      <c r="AH1511" s="5" t="str">
        <f>"Q"&amp;ROUNDUP(MONTH(AF1511)/3,0)</f>
        <v>Q3</v>
      </c>
      <c r="AI1511" s="5">
        <f>INDEX(RatingLookup!$B$2:$B$11,MATCH(A1511,RatingLookup!$A$2:$A$11,0))</f>
        <v>5</v>
      </c>
      <c r="AJ1511" s="5" t="str">
        <f>INDEX(RatingLookup!$C$2:$C$11,MATCH(A1511,RatingLookup!$A$2:$A$11,0))</f>
        <v>Speculative Grade</v>
      </c>
    </row>
    <row r="1512" spans="1:36" x14ac:dyDescent="0.3">
      <c r="A1512" s="3" t="s">
        <v>42</v>
      </c>
      <c r="B1512" s="3" t="s">
        <v>1600</v>
      </c>
      <c r="C1512" s="3" t="s">
        <v>1601</v>
      </c>
      <c r="D1512" s="3" t="s">
        <v>47</v>
      </c>
      <c r="E1512" s="3" t="s">
        <v>1103</v>
      </c>
      <c r="F1512" s="3" t="s">
        <v>246</v>
      </c>
      <c r="G1512" s="3">
        <v>1.4724238030000001</v>
      </c>
      <c r="H1512" s="3">
        <v>1.064586357</v>
      </c>
      <c r="I1512" s="3">
        <v>0.64368650199999999</v>
      </c>
      <c r="J1512" s="3">
        <v>34.518180340000001</v>
      </c>
      <c r="K1512" s="3">
        <v>0.14267079699999999</v>
      </c>
      <c r="L1512" s="3">
        <v>0.18343388199999999</v>
      </c>
      <c r="M1512" s="3">
        <v>0.61927278699999999</v>
      </c>
      <c r="N1512" s="3">
        <v>0.23153432299999999</v>
      </c>
      <c r="O1512" s="3">
        <v>5.1289566000000002E-2</v>
      </c>
      <c r="P1512" s="3">
        <v>8.9465629000000005E-2</v>
      </c>
      <c r="Q1512" s="3">
        <v>0.123291532</v>
      </c>
      <c r="R1512" s="3">
        <v>0.35949589700000001</v>
      </c>
      <c r="S1512" s="3">
        <v>0.46019359199999998</v>
      </c>
      <c r="T1512" s="3">
        <v>1.4038326050000001</v>
      </c>
      <c r="U1512" s="3">
        <v>0.583997655</v>
      </c>
      <c r="V1512" s="3">
        <v>0.222222222</v>
      </c>
      <c r="W1512" s="3">
        <v>0.40358974399999997</v>
      </c>
      <c r="X1512" s="3">
        <v>4.5245540269999998</v>
      </c>
      <c r="Y1512" s="3">
        <v>5.0994655939999998</v>
      </c>
      <c r="Z1512" s="3">
        <v>2.4038326049999998</v>
      </c>
      <c r="AA1512" s="3">
        <v>0.22876243299999999</v>
      </c>
      <c r="AB1512" s="3">
        <v>15.563830790000001</v>
      </c>
      <c r="AC1512" s="3">
        <v>11.21077554</v>
      </c>
      <c r="AD1512" s="3">
        <v>0.31795206300000001</v>
      </c>
      <c r="AE1512" s="3">
        <v>1.963835156</v>
      </c>
      <c r="AF1512" s="4">
        <v>41710</v>
      </c>
      <c r="AG1512" s="5">
        <f>YEAR(AF1512)</f>
        <v>2014</v>
      </c>
      <c r="AH1512" s="5" t="str">
        <f>"Q"&amp;ROUNDUP(MONTH(AF1512)/3,0)</f>
        <v>Q1</v>
      </c>
      <c r="AI1512" s="5">
        <f>INDEX(RatingLookup!$B$2:$B$11,MATCH(A1512,RatingLookup!$A$2:$A$11,0))</f>
        <v>7</v>
      </c>
      <c r="AJ1512" s="5" t="str">
        <f>INDEX(RatingLookup!$C$2:$C$11,MATCH(A1512,RatingLookup!$A$2:$A$11,0))</f>
        <v>Investment Grade</v>
      </c>
    </row>
    <row r="1513" spans="1:36" x14ac:dyDescent="0.3">
      <c r="A1513" s="3" t="s">
        <v>109</v>
      </c>
      <c r="B1513" s="3" t="s">
        <v>1602</v>
      </c>
      <c r="C1513" s="3" t="s">
        <v>1603</v>
      </c>
      <c r="D1513" s="3" t="s">
        <v>47</v>
      </c>
      <c r="E1513" s="3" t="s">
        <v>527</v>
      </c>
      <c r="F1513" s="3" t="s">
        <v>59</v>
      </c>
      <c r="G1513" s="3">
        <v>2.2174291529999999</v>
      </c>
      <c r="H1513" s="3">
        <v>1.402177333</v>
      </c>
      <c r="I1513" s="3">
        <v>0.44669938999999997</v>
      </c>
      <c r="J1513" s="3">
        <v>55.625682740000002</v>
      </c>
      <c r="K1513" s="3">
        <v>1.0851837E-2</v>
      </c>
      <c r="L1513" s="3">
        <v>7.7988689999999999E-3</v>
      </c>
      <c r="M1513" s="3">
        <v>0.12512483699999999</v>
      </c>
      <c r="N1513" s="3">
        <v>2.7963511999999999E-2</v>
      </c>
      <c r="O1513" s="3">
        <v>2.2665412999999999E-2</v>
      </c>
      <c r="P1513" s="3">
        <v>2.4426152999999999E-2</v>
      </c>
      <c r="Q1513" s="3">
        <v>-57.919642860000003</v>
      </c>
      <c r="R1513" s="3">
        <v>2.0886246669999999</v>
      </c>
      <c r="S1513" s="3">
        <v>10.077021630000001</v>
      </c>
      <c r="T1513" s="3">
        <v>-2556.4196430000002</v>
      </c>
      <c r="U1513" s="3">
        <v>1.0003913250000001</v>
      </c>
      <c r="V1513" s="3">
        <v>-0.39146289099999998</v>
      </c>
      <c r="W1513" s="3">
        <v>0.424870466</v>
      </c>
      <c r="X1513" s="3">
        <v>0.284299158</v>
      </c>
      <c r="Y1513" s="3">
        <v>1.622699737</v>
      </c>
      <c r="Z1513" s="3">
        <v>-2555.4196430000002</v>
      </c>
      <c r="AA1513" s="3">
        <v>7.7988689999999999E-3</v>
      </c>
      <c r="AB1513" s="3">
        <v>19.177793489999999</v>
      </c>
      <c r="AC1513" s="3">
        <v>0.66914313999999997</v>
      </c>
      <c r="AD1513" s="3">
        <v>2.9380422999999999E-2</v>
      </c>
      <c r="AE1513" s="3">
        <v>8.5432239939999999</v>
      </c>
      <c r="AF1513" s="4">
        <v>40641</v>
      </c>
      <c r="AG1513" s="5">
        <f>YEAR(AF1513)</f>
        <v>2011</v>
      </c>
      <c r="AH1513" s="5" t="str">
        <f>"Q"&amp;ROUNDUP(MONTH(AF1513)/3,0)</f>
        <v>Q2</v>
      </c>
      <c r="AI1513" s="5">
        <f>INDEX(RatingLookup!$B$2:$B$11,MATCH(A1513,RatingLookup!$A$2:$A$11,0))</f>
        <v>5</v>
      </c>
      <c r="AJ1513" s="5" t="str">
        <f>INDEX(RatingLookup!$C$2:$C$11,MATCH(A1513,RatingLookup!$A$2:$A$11,0))</f>
        <v>Speculative Grade</v>
      </c>
    </row>
    <row r="1514" spans="1:36" x14ac:dyDescent="0.3">
      <c r="A1514" s="3" t="s">
        <v>109</v>
      </c>
      <c r="B1514" s="3" t="s">
        <v>1602</v>
      </c>
      <c r="C1514" s="3" t="s">
        <v>1603</v>
      </c>
      <c r="D1514" s="3" t="s">
        <v>47</v>
      </c>
      <c r="E1514" s="3" t="s">
        <v>1604</v>
      </c>
      <c r="F1514" s="3" t="s">
        <v>59</v>
      </c>
      <c r="G1514" s="3">
        <v>2.8766277250000001</v>
      </c>
      <c r="H1514" s="3">
        <v>2.0383306050000001</v>
      </c>
      <c r="I1514" s="3">
        <v>0.65193652800000002</v>
      </c>
      <c r="J1514" s="3">
        <v>60.813701330000001</v>
      </c>
      <c r="K1514" s="3">
        <v>9.0861129999999998E-3</v>
      </c>
      <c r="L1514" s="3">
        <v>-3.9881250000000004E-3</v>
      </c>
      <c r="M1514" s="3">
        <v>0.12823923500000001</v>
      </c>
      <c r="N1514" s="3">
        <v>4.0122989999999997E-2</v>
      </c>
      <c r="O1514" s="3">
        <v>1.7261935999999999E-2</v>
      </c>
      <c r="P1514" s="3">
        <v>-1.0011928E-2</v>
      </c>
      <c r="Q1514" s="3">
        <v>0.12975969800000001</v>
      </c>
      <c r="R1514" s="3">
        <v>1.8998151640000001</v>
      </c>
      <c r="S1514" s="3">
        <v>11.43098473</v>
      </c>
      <c r="T1514" s="3">
        <v>6.5171000489999997</v>
      </c>
      <c r="U1514" s="3">
        <v>0.86696997600000003</v>
      </c>
      <c r="V1514" s="3">
        <v>-1.5320991340000001</v>
      </c>
      <c r="W1514" s="3">
        <v>-0.439647022</v>
      </c>
      <c r="X1514" s="3">
        <v>-0.144679527</v>
      </c>
      <c r="Y1514" s="3">
        <v>2.7391619999999999</v>
      </c>
      <c r="Z1514" s="3">
        <v>7.5171000489999997</v>
      </c>
      <c r="AA1514" s="3">
        <v>-3.9881250000000004E-3</v>
      </c>
      <c r="AB1514" s="3">
        <v>6.4331506120000004</v>
      </c>
      <c r="AC1514" s="3">
        <v>0.32908110400000001</v>
      </c>
      <c r="AD1514" s="3">
        <v>1.1335611000000001E-2</v>
      </c>
      <c r="AE1514" s="3">
        <v>10.33596419</v>
      </c>
      <c r="AF1514" s="4">
        <v>42061</v>
      </c>
      <c r="AG1514" s="5">
        <f>YEAR(AF1514)</f>
        <v>2015</v>
      </c>
      <c r="AH1514" s="5" t="str">
        <f>"Q"&amp;ROUNDUP(MONTH(AF1514)/3,0)</f>
        <v>Q1</v>
      </c>
      <c r="AI1514" s="5">
        <f>INDEX(RatingLookup!$B$2:$B$11,MATCH(A1514,RatingLookup!$A$2:$A$11,0))</f>
        <v>5</v>
      </c>
      <c r="AJ1514" s="5" t="str">
        <f>INDEX(RatingLookup!$C$2:$C$11,MATCH(A1514,RatingLookup!$A$2:$A$11,0))</f>
        <v>Speculative Grade</v>
      </c>
    </row>
    <row r="1515" spans="1:36" x14ac:dyDescent="0.3">
      <c r="A1515" s="3" t="s">
        <v>109</v>
      </c>
      <c r="B1515" s="3" t="s">
        <v>1602</v>
      </c>
      <c r="C1515" s="3" t="s">
        <v>1603</v>
      </c>
      <c r="D1515" s="3" t="s">
        <v>47</v>
      </c>
      <c r="E1515" s="3" t="s">
        <v>1605</v>
      </c>
      <c r="F1515" s="3" t="s">
        <v>59</v>
      </c>
      <c r="G1515" s="3">
        <v>3.1479567149999998</v>
      </c>
      <c r="H1515" s="3">
        <v>2.1040227859999998</v>
      </c>
      <c r="I1515" s="3">
        <v>0.75186952900000004</v>
      </c>
      <c r="J1515" s="3">
        <v>48.745034480000001</v>
      </c>
      <c r="K1515" s="3">
        <v>5.8370515999999997E-2</v>
      </c>
      <c r="L1515" s="3">
        <v>5.8281930000000003E-2</v>
      </c>
      <c r="M1515" s="3">
        <v>0.13583847399999999</v>
      </c>
      <c r="N1515" s="3">
        <v>5.1398971000000002E-2</v>
      </c>
      <c r="O1515" s="3">
        <v>0.113898081</v>
      </c>
      <c r="P1515" s="3">
        <v>0.14337903199999999</v>
      </c>
      <c r="Q1515" s="3">
        <v>0.75546872600000003</v>
      </c>
      <c r="R1515" s="3">
        <v>1.9512947359999999</v>
      </c>
      <c r="S1515" s="3">
        <v>10.29861711</v>
      </c>
      <c r="T1515" s="3">
        <v>5.6328485649999998</v>
      </c>
      <c r="U1515" s="3">
        <v>0.84923521300000004</v>
      </c>
      <c r="V1515" s="3">
        <v>-0.53894922099999998</v>
      </c>
      <c r="W1515" s="3">
        <v>0.27967898899999999</v>
      </c>
      <c r="X1515" s="3">
        <v>0.23825717299999999</v>
      </c>
      <c r="Y1515" s="3">
        <v>2.7187389300000002</v>
      </c>
      <c r="Z1515" s="3">
        <v>6.6328485649999998</v>
      </c>
      <c r="AA1515" s="3">
        <v>5.8281930000000003E-2</v>
      </c>
      <c r="AB1515" s="3">
        <v>6.8624066109999999</v>
      </c>
      <c r="AC1515" s="3">
        <v>0.85189514700000002</v>
      </c>
      <c r="AD1515" s="3">
        <v>2.8031882000000001E-2</v>
      </c>
      <c r="AE1515" s="3">
        <v>12.76851007</v>
      </c>
      <c r="AF1515" s="4">
        <v>41305</v>
      </c>
      <c r="AG1515" s="5">
        <f>YEAR(AF1515)</f>
        <v>2013</v>
      </c>
      <c r="AH1515" s="5" t="str">
        <f>"Q"&amp;ROUNDUP(MONTH(AF1515)/3,0)</f>
        <v>Q1</v>
      </c>
      <c r="AI1515" s="5">
        <f>INDEX(RatingLookup!$B$2:$B$11,MATCH(A1515,RatingLookup!$A$2:$A$11,0))</f>
        <v>5</v>
      </c>
      <c r="AJ1515" s="5" t="str">
        <f>INDEX(RatingLookup!$C$2:$C$11,MATCH(A1515,RatingLookup!$A$2:$A$11,0))</f>
        <v>Speculative Grade</v>
      </c>
    </row>
    <row r="1516" spans="1:36" x14ac:dyDescent="0.3">
      <c r="A1516" s="3" t="s">
        <v>109</v>
      </c>
      <c r="B1516" s="3" t="s">
        <v>1602</v>
      </c>
      <c r="C1516" s="3" t="s">
        <v>1603</v>
      </c>
      <c r="D1516" s="3" t="s">
        <v>47</v>
      </c>
      <c r="E1516" s="3" t="s">
        <v>672</v>
      </c>
      <c r="F1516" s="3" t="s">
        <v>59</v>
      </c>
      <c r="G1516" s="3">
        <v>2.8042022129999999</v>
      </c>
      <c r="H1516" s="3">
        <v>1.949436942</v>
      </c>
      <c r="I1516" s="3">
        <v>0.70877004799999999</v>
      </c>
      <c r="J1516" s="3">
        <v>58.123764569999999</v>
      </c>
      <c r="K1516" s="3">
        <v>-1.6643974999999998E-2</v>
      </c>
      <c r="L1516" s="3">
        <v>-1.4549602999999999E-2</v>
      </c>
      <c r="M1516" s="3">
        <v>0.106629772</v>
      </c>
      <c r="N1516" s="3">
        <v>8.6101979999999995E-3</v>
      </c>
      <c r="O1516" s="3">
        <v>-2.8778491999999999E-2</v>
      </c>
      <c r="P1516" s="3">
        <v>-3.2979058999999998E-2</v>
      </c>
      <c r="Q1516" s="3">
        <v>-0.20773519400000001</v>
      </c>
      <c r="R1516" s="3">
        <v>1.7290636180000001</v>
      </c>
      <c r="S1516" s="3">
        <v>9.479664283</v>
      </c>
      <c r="T1516" s="3">
        <v>6.2184182410000002</v>
      </c>
      <c r="U1516" s="3">
        <v>0.86146549500000003</v>
      </c>
      <c r="V1516" s="3">
        <v>0.214817538</v>
      </c>
      <c r="W1516" s="3">
        <v>0.34081654</v>
      </c>
      <c r="X1516" s="3">
        <v>0.22837951300000001</v>
      </c>
      <c r="Y1516" s="3">
        <v>2.8293800729999998</v>
      </c>
      <c r="Z1516" s="3">
        <v>7.2184182410000002</v>
      </c>
      <c r="AA1516" s="3">
        <v>-1.4549602999999999E-2</v>
      </c>
      <c r="AB1516" s="3">
        <v>14.38992221</v>
      </c>
      <c r="AC1516" s="3">
        <v>0.67009515799999997</v>
      </c>
      <c r="AD1516" s="3">
        <v>2.5616608999999999E-2</v>
      </c>
      <c r="AE1516" s="3">
        <v>9.7830843590000001</v>
      </c>
      <c r="AF1516" s="4">
        <v>41620</v>
      </c>
      <c r="AG1516" s="5">
        <f>YEAR(AF1516)</f>
        <v>2013</v>
      </c>
      <c r="AH1516" s="5" t="str">
        <f>"Q"&amp;ROUNDUP(MONTH(AF1516)/3,0)</f>
        <v>Q4</v>
      </c>
      <c r="AI1516" s="5">
        <f>INDEX(RatingLookup!$B$2:$B$11,MATCH(A1516,RatingLookup!$A$2:$A$11,0))</f>
        <v>5</v>
      </c>
      <c r="AJ1516" s="5" t="str">
        <f>INDEX(RatingLookup!$C$2:$C$11,MATCH(A1516,RatingLookup!$A$2:$A$11,0))</f>
        <v>Speculative Grade</v>
      </c>
    </row>
    <row r="1517" spans="1:36" x14ac:dyDescent="0.3">
      <c r="A1517" s="3" t="s">
        <v>109</v>
      </c>
      <c r="B1517" s="3" t="s">
        <v>1602</v>
      </c>
      <c r="C1517" s="3" t="s">
        <v>1603</v>
      </c>
      <c r="D1517" s="3" t="s">
        <v>47</v>
      </c>
      <c r="E1517" s="3" t="s">
        <v>1606</v>
      </c>
      <c r="F1517" s="3" t="s">
        <v>59</v>
      </c>
      <c r="G1517" s="3">
        <v>2.6841005459999998</v>
      </c>
      <c r="H1517" s="3">
        <v>1.936684283</v>
      </c>
      <c r="I1517" s="3">
        <v>0.80271303299999996</v>
      </c>
      <c r="J1517" s="3">
        <v>57.597526360000003</v>
      </c>
      <c r="K1517" s="3">
        <v>8.5540400000000006E-3</v>
      </c>
      <c r="L1517" s="3">
        <v>2.0378244E-2</v>
      </c>
      <c r="M1517" s="3">
        <v>0.13427419700000001</v>
      </c>
      <c r="N1517" s="3">
        <v>4.6073078000000003E-2</v>
      </c>
      <c r="O1517" s="3">
        <v>1.6167482E-2</v>
      </c>
      <c r="P1517" s="3">
        <v>5.2261160000000001E-2</v>
      </c>
      <c r="Q1517" s="3">
        <v>0.10708326999999999</v>
      </c>
      <c r="R1517" s="3">
        <v>1.89004051</v>
      </c>
      <c r="S1517" s="3">
        <v>11.63090994</v>
      </c>
      <c r="T1517" s="3">
        <v>5.6233732749999996</v>
      </c>
      <c r="U1517" s="3">
        <v>0.84901953200000002</v>
      </c>
      <c r="V1517" s="3">
        <v>0.58017718100000004</v>
      </c>
      <c r="W1517" s="3">
        <v>0.73444366100000003</v>
      </c>
      <c r="X1517" s="3">
        <v>1.3904618440000001</v>
      </c>
      <c r="Y1517" s="3">
        <v>3.156355918</v>
      </c>
      <c r="Z1517" s="3">
        <v>6.6233732749999996</v>
      </c>
      <c r="AA1517" s="3">
        <v>2.0378244E-2</v>
      </c>
      <c r="AB1517" s="3">
        <v>4.1087049919999998</v>
      </c>
      <c r="AC1517" s="3">
        <v>1.893217844</v>
      </c>
      <c r="AD1517" s="3">
        <v>6.7001397000000004E-2</v>
      </c>
      <c r="AE1517" s="3">
        <v>10.7193393</v>
      </c>
      <c r="AF1517" s="4">
        <v>42412</v>
      </c>
      <c r="AG1517" s="5">
        <f>YEAR(AF1517)</f>
        <v>2016</v>
      </c>
      <c r="AH1517" s="5" t="str">
        <f>"Q"&amp;ROUNDUP(MONTH(AF1517)/3,0)</f>
        <v>Q1</v>
      </c>
      <c r="AI1517" s="5">
        <f>INDEX(RatingLookup!$B$2:$B$11,MATCH(A1517,RatingLookup!$A$2:$A$11,0))</f>
        <v>5</v>
      </c>
      <c r="AJ1517" s="5" t="str">
        <f>INDEX(RatingLookup!$C$2:$C$11,MATCH(A1517,RatingLookup!$A$2:$A$11,0))</f>
        <v>Speculative Grade</v>
      </c>
    </row>
    <row r="1518" spans="1:36" x14ac:dyDescent="0.3">
      <c r="A1518" s="3" t="s">
        <v>42</v>
      </c>
      <c r="B1518" s="3" t="s">
        <v>1607</v>
      </c>
      <c r="C1518" s="3" t="s">
        <v>1608</v>
      </c>
      <c r="D1518" s="3" t="s">
        <v>47</v>
      </c>
      <c r="E1518" s="3" t="s">
        <v>1609</v>
      </c>
      <c r="F1518" s="3" t="s">
        <v>66</v>
      </c>
      <c r="G1518" s="3">
        <v>2.2268076990000001</v>
      </c>
      <c r="H1518" s="3">
        <v>1.282209121</v>
      </c>
      <c r="I1518" s="3">
        <v>0.86552800399999996</v>
      </c>
      <c r="J1518" s="3">
        <v>39.278772949999997</v>
      </c>
      <c r="K1518" s="3">
        <v>9.1133005000000003E-2</v>
      </c>
      <c r="L1518" s="3">
        <v>5.5373935999999999E-2</v>
      </c>
      <c r="M1518" s="3">
        <v>0.47118226600000002</v>
      </c>
      <c r="N1518" s="3">
        <v>9.1133005000000003E-2</v>
      </c>
      <c r="O1518" s="3">
        <v>6.0588917999999999E-2</v>
      </c>
      <c r="P1518" s="3">
        <v>4.4446441000000003E-2</v>
      </c>
      <c r="Q1518" s="3">
        <v>0.16587870900000001</v>
      </c>
      <c r="R1518" s="3">
        <v>0.66484056300000005</v>
      </c>
      <c r="S1518" s="3">
        <v>5.910534674</v>
      </c>
      <c r="T1518" s="3">
        <v>1.7377730680000001</v>
      </c>
      <c r="U1518" s="3">
        <v>0.63473963099999997</v>
      </c>
      <c r="V1518" s="3">
        <v>0.65062676900000005</v>
      </c>
      <c r="W1518" s="3">
        <v>0.87919999999999998</v>
      </c>
      <c r="X1518" s="3">
        <v>10.618357489999999</v>
      </c>
      <c r="Y1518" s="3">
        <v>16.075684379999998</v>
      </c>
      <c r="Z1518" s="3">
        <v>2.7377730680000001</v>
      </c>
      <c r="AA1518" s="3">
        <v>5.5373935999999999E-2</v>
      </c>
      <c r="AB1518" s="3">
        <v>10.174213959999999</v>
      </c>
      <c r="AC1518" s="3">
        <v>12.07729469</v>
      </c>
      <c r="AD1518" s="3">
        <v>0.16793551300000001</v>
      </c>
      <c r="AE1518" s="3">
        <v>6.9380141010000003</v>
      </c>
      <c r="AF1518" s="4">
        <v>41810</v>
      </c>
      <c r="AG1518" s="5">
        <f>YEAR(AF1518)</f>
        <v>2014</v>
      </c>
      <c r="AH1518" s="5" t="str">
        <f>"Q"&amp;ROUNDUP(MONTH(AF1518)/3,0)</f>
        <v>Q2</v>
      </c>
      <c r="AI1518" s="5">
        <f>INDEX(RatingLookup!$B$2:$B$11,MATCH(A1518,RatingLookup!$A$2:$A$11,0))</f>
        <v>7</v>
      </c>
      <c r="AJ1518" s="5" t="str">
        <f>INDEX(RatingLookup!$C$2:$C$11,MATCH(A1518,RatingLookup!$A$2:$A$11,0))</f>
        <v>Investment Grade</v>
      </c>
    </row>
    <row r="1519" spans="1:36" x14ac:dyDescent="0.3">
      <c r="A1519" s="3" t="s">
        <v>92</v>
      </c>
      <c r="B1519" s="3" t="s">
        <v>1607</v>
      </c>
      <c r="C1519" s="3" t="s">
        <v>1608</v>
      </c>
      <c r="D1519" s="3" t="s">
        <v>60</v>
      </c>
      <c r="E1519" s="3" t="s">
        <v>1610</v>
      </c>
      <c r="F1519" s="3" t="s">
        <v>66</v>
      </c>
      <c r="G1519" s="3">
        <v>2.4544091180000001</v>
      </c>
      <c r="H1519" s="3">
        <v>1.4875524899999999</v>
      </c>
      <c r="I1519" s="3">
        <v>1.067936413</v>
      </c>
      <c r="J1519" s="3">
        <v>42.180323809999997</v>
      </c>
      <c r="K1519" s="3">
        <v>-0.113703948</v>
      </c>
      <c r="L1519" s="3">
        <v>-0.18945151199999999</v>
      </c>
      <c r="M1519" s="3">
        <v>0.48893110899999997</v>
      </c>
      <c r="N1519" s="3">
        <v>-0.18945151199999999</v>
      </c>
      <c r="O1519" s="3">
        <v>-5.5151552E-2</v>
      </c>
      <c r="P1519" s="3">
        <v>-0.10606025600000001</v>
      </c>
      <c r="Q1519" s="3">
        <v>-0.14768521000000001</v>
      </c>
      <c r="R1519" s="3">
        <v>0.485045175</v>
      </c>
      <c r="S1519" s="3">
        <v>5.085486242</v>
      </c>
      <c r="T1519" s="3">
        <v>1.6778069849999999</v>
      </c>
      <c r="U1519" s="3">
        <v>0.62656009000000001</v>
      </c>
      <c r="V1519" s="3">
        <v>0.35448005199999999</v>
      </c>
      <c r="W1519" s="3">
        <v>0.33198924699999999</v>
      </c>
      <c r="X1519" s="3">
        <v>0.79677419400000005</v>
      </c>
      <c r="Y1519" s="3">
        <v>11.485483869999999</v>
      </c>
      <c r="Z1519" s="3">
        <v>2.6778069850000001</v>
      </c>
      <c r="AA1519" s="3">
        <v>-0.18945151199999999</v>
      </c>
      <c r="AB1519" s="3">
        <v>-18.232149100000001</v>
      </c>
      <c r="AC1519" s="3">
        <v>2.4</v>
      </c>
      <c r="AD1519" s="3">
        <v>6.1457128999999999E-2</v>
      </c>
      <c r="AE1519" s="3">
        <v>5.2233009709999996</v>
      </c>
      <c r="AF1519" s="4">
        <v>42423</v>
      </c>
      <c r="AG1519" s="5">
        <f>YEAR(AF1519)</f>
        <v>2016</v>
      </c>
      <c r="AH1519" s="5" t="str">
        <f>"Q"&amp;ROUNDUP(MONTH(AF1519)/3,0)</f>
        <v>Q1</v>
      </c>
      <c r="AI1519" s="5">
        <f>INDEX(RatingLookup!$B$2:$B$11,MATCH(A1519,RatingLookup!$A$2:$A$11,0))</f>
        <v>6</v>
      </c>
      <c r="AJ1519" s="5" t="str">
        <f>INDEX(RatingLookup!$C$2:$C$11,MATCH(A1519,RatingLookup!$A$2:$A$11,0))</f>
        <v>Speculative Grade</v>
      </c>
    </row>
    <row r="1520" spans="1:36" x14ac:dyDescent="0.3">
      <c r="A1520" s="3" t="s">
        <v>42</v>
      </c>
      <c r="B1520" s="3" t="s">
        <v>1607</v>
      </c>
      <c r="C1520" s="3" t="s">
        <v>1608</v>
      </c>
      <c r="D1520" s="3" t="s">
        <v>47</v>
      </c>
      <c r="E1520" s="3" t="s">
        <v>1611</v>
      </c>
      <c r="F1520" s="3" t="s">
        <v>66</v>
      </c>
      <c r="G1520" s="3">
        <v>1.734511025</v>
      </c>
      <c r="H1520" s="3">
        <v>1.03196289</v>
      </c>
      <c r="I1520" s="3">
        <v>0.71741755100000004</v>
      </c>
      <c r="J1520" s="3">
        <v>40.622119300000001</v>
      </c>
      <c r="K1520" s="3">
        <v>8.0063853000000004E-2</v>
      </c>
      <c r="L1520" s="3">
        <v>2.0842233000000002E-2</v>
      </c>
      <c r="M1520" s="3">
        <v>0.48006834999999998</v>
      </c>
      <c r="N1520" s="3">
        <v>8.0063853000000004E-2</v>
      </c>
      <c r="O1520" s="3">
        <v>5.1394923000000002E-2</v>
      </c>
      <c r="P1520" s="3">
        <v>1.7310923999999998E-2</v>
      </c>
      <c r="Q1520" s="3">
        <v>0.14118066800000001</v>
      </c>
      <c r="R1520" s="3">
        <v>0.64192417000000002</v>
      </c>
      <c r="S1520" s="3">
        <v>5.9168551279999999</v>
      </c>
      <c r="T1520" s="3">
        <v>1.746976965</v>
      </c>
      <c r="U1520" s="3">
        <v>0.63596345600000004</v>
      </c>
      <c r="V1520" s="3">
        <v>1.266450917</v>
      </c>
      <c r="W1520" s="3">
        <v>0.85087412600000001</v>
      </c>
      <c r="X1520" s="3">
        <v>7.85</v>
      </c>
      <c r="Y1520" s="3">
        <v>18.209677419999998</v>
      </c>
      <c r="Z1520" s="3">
        <v>2.746976965</v>
      </c>
      <c r="AA1520" s="3">
        <v>2.0842233000000002E-2</v>
      </c>
      <c r="AB1520" s="3">
        <v>13.05622588</v>
      </c>
      <c r="AC1520" s="3">
        <v>9.2258064520000005</v>
      </c>
      <c r="AD1520" s="3">
        <v>0.12860579599999999</v>
      </c>
      <c r="AE1520" s="3">
        <v>5.8234701590000002</v>
      </c>
      <c r="AF1520" s="4">
        <v>41869</v>
      </c>
      <c r="AG1520" s="5">
        <f>YEAR(AF1520)</f>
        <v>2014</v>
      </c>
      <c r="AH1520" s="5" t="str">
        <f>"Q"&amp;ROUNDUP(MONTH(AF1520)/3,0)</f>
        <v>Q3</v>
      </c>
      <c r="AI1520" s="5">
        <f>INDEX(RatingLookup!$B$2:$B$11,MATCH(A1520,RatingLookup!$A$2:$A$11,0))</f>
        <v>7</v>
      </c>
      <c r="AJ1520" s="5" t="str">
        <f>INDEX(RatingLookup!$C$2:$C$11,MATCH(A1520,RatingLookup!$A$2:$A$11,0))</f>
        <v>Investment Grade</v>
      </c>
    </row>
    <row r="1521" spans="1:36" x14ac:dyDescent="0.3">
      <c r="A1521" s="3" t="s">
        <v>42</v>
      </c>
      <c r="B1521" s="3" t="s">
        <v>1607</v>
      </c>
      <c r="C1521" s="3" t="s">
        <v>1608</v>
      </c>
      <c r="D1521" s="3" t="s">
        <v>60</v>
      </c>
      <c r="E1521" s="3" t="s">
        <v>46</v>
      </c>
      <c r="F1521" s="3" t="s">
        <v>66</v>
      </c>
      <c r="G1521" s="3">
        <v>2.063831623</v>
      </c>
      <c r="H1521" s="3">
        <v>1.1772621409999999</v>
      </c>
      <c r="I1521" s="3">
        <v>0.40645216899999997</v>
      </c>
      <c r="J1521" s="3">
        <v>70.207718970000002</v>
      </c>
      <c r="K1521" s="3">
        <v>5.6224034999999999E-2</v>
      </c>
      <c r="L1521" s="3">
        <v>4.1242438999999999E-2</v>
      </c>
      <c r="M1521" s="3">
        <v>0.46186796400000002</v>
      </c>
      <c r="N1521" s="3">
        <v>5.6224034999999999E-2</v>
      </c>
      <c r="O1521" s="3">
        <v>3.9199207999999999E-2</v>
      </c>
      <c r="P1521" s="3">
        <v>3.4810413999999998E-2</v>
      </c>
      <c r="Q1521" s="3">
        <v>0.124304002</v>
      </c>
      <c r="R1521" s="3">
        <v>0.69719662599999999</v>
      </c>
      <c r="S1521" s="3">
        <v>5.2470070020000001</v>
      </c>
      <c r="T1521" s="3">
        <v>2.1710845669999999</v>
      </c>
      <c r="U1521" s="3">
        <v>0.68465047899999998</v>
      </c>
      <c r="V1521" s="3">
        <v>0.75574112699999996</v>
      </c>
      <c r="W1521" s="3">
        <v>0.76242424200000003</v>
      </c>
      <c r="X1521" s="3">
        <v>4.5186781610000004</v>
      </c>
      <c r="Y1521" s="3">
        <v>6.7701149430000003</v>
      </c>
      <c r="Z1521" s="3">
        <v>3.1710845669999999</v>
      </c>
      <c r="AA1521" s="3">
        <v>4.1242438999999999E-2</v>
      </c>
      <c r="AB1521" s="3">
        <v>12.92679774</v>
      </c>
      <c r="AC1521" s="3">
        <v>5.926724138</v>
      </c>
      <c r="AD1521" s="3">
        <v>8.8791785999999998E-2</v>
      </c>
      <c r="AE1521" s="3">
        <v>8.6325966849999993</v>
      </c>
      <c r="AF1521" s="4">
        <v>41075</v>
      </c>
      <c r="AG1521" s="5">
        <f>YEAR(AF1521)</f>
        <v>2012</v>
      </c>
      <c r="AH1521" s="5" t="str">
        <f>"Q"&amp;ROUNDUP(MONTH(AF1521)/3,0)</f>
        <v>Q2</v>
      </c>
      <c r="AI1521" s="5">
        <f>INDEX(RatingLookup!$B$2:$B$11,MATCH(A1521,RatingLookup!$A$2:$A$11,0))</f>
        <v>7</v>
      </c>
      <c r="AJ1521" s="5" t="str">
        <f>INDEX(RatingLookup!$C$2:$C$11,MATCH(A1521,RatingLookup!$A$2:$A$11,0))</f>
        <v>Investment Grade</v>
      </c>
    </row>
    <row r="1522" spans="1:36" x14ac:dyDescent="0.3">
      <c r="A1522" s="3" t="s">
        <v>42</v>
      </c>
      <c r="B1522" s="3" t="s">
        <v>1612</v>
      </c>
      <c r="C1522" s="3" t="s">
        <v>1613</v>
      </c>
      <c r="D1522" s="3" t="s">
        <v>47</v>
      </c>
      <c r="E1522" s="3" t="s">
        <v>354</v>
      </c>
      <c r="F1522" s="3" t="s">
        <v>219</v>
      </c>
      <c r="G1522" s="3">
        <v>0.92750164599999996</v>
      </c>
      <c r="H1522" s="3">
        <v>0.699473338</v>
      </c>
      <c r="I1522" s="3">
        <v>0.23535220500000001</v>
      </c>
      <c r="J1522" s="3">
        <v>22.62029107</v>
      </c>
      <c r="K1522" s="3">
        <v>0.162453868</v>
      </c>
      <c r="L1522" s="3">
        <v>0.24547965599999999</v>
      </c>
      <c r="M1522" s="3">
        <v>0.35909755599999998</v>
      </c>
      <c r="N1522" s="3">
        <v>0.27693057599999998</v>
      </c>
      <c r="O1522" s="3">
        <v>5.4941948999999997E-2</v>
      </c>
      <c r="P1522" s="3">
        <v>9.1776078999999997E-2</v>
      </c>
      <c r="Q1522" s="3">
        <v>0.17344865200000001</v>
      </c>
      <c r="R1522" s="3">
        <v>0.338200316</v>
      </c>
      <c r="S1522" s="3">
        <v>0.50454385800000001</v>
      </c>
      <c r="T1522" s="3">
        <v>2.1569438939999999</v>
      </c>
      <c r="U1522" s="3">
        <v>0.68323795600000004</v>
      </c>
      <c r="V1522" s="3">
        <v>0.37424357000000003</v>
      </c>
      <c r="W1522" s="3">
        <v>-1.051424774</v>
      </c>
      <c r="X1522" s="3">
        <v>-5.3786655330000004</v>
      </c>
      <c r="Y1522" s="3">
        <v>2.477688058</v>
      </c>
      <c r="Z1522" s="3">
        <v>3.1569438939999999</v>
      </c>
      <c r="AA1522" s="3">
        <v>0.24547965599999999</v>
      </c>
      <c r="AB1522" s="3">
        <v>7.4706761520000002</v>
      </c>
      <c r="AC1522" s="3">
        <v>5.1155971100000004</v>
      </c>
      <c r="AD1522" s="3">
        <v>0.279390943</v>
      </c>
      <c r="AE1522" s="3">
        <v>3.0088264140000001</v>
      </c>
      <c r="AF1522" s="4">
        <v>42222</v>
      </c>
      <c r="AG1522" s="5">
        <f>YEAR(AF1522)</f>
        <v>2015</v>
      </c>
      <c r="AH1522" s="5" t="str">
        <f>"Q"&amp;ROUNDUP(MONTH(AF1522)/3,0)</f>
        <v>Q3</v>
      </c>
      <c r="AI1522" s="5">
        <f>INDEX(RatingLookup!$B$2:$B$11,MATCH(A1522,RatingLookup!$A$2:$A$11,0))</f>
        <v>7</v>
      </c>
      <c r="AJ1522" s="5" t="str">
        <f>INDEX(RatingLookup!$C$2:$C$11,MATCH(A1522,RatingLookup!$A$2:$A$11,0))</f>
        <v>Investment Grade</v>
      </c>
    </row>
    <row r="1523" spans="1:36" x14ac:dyDescent="0.3">
      <c r="A1523" s="3" t="s">
        <v>42</v>
      </c>
      <c r="B1523" s="3" t="s">
        <v>1612</v>
      </c>
      <c r="C1523" s="3" t="s">
        <v>1613</v>
      </c>
      <c r="D1523" s="3" t="s">
        <v>47</v>
      </c>
      <c r="E1523" s="3" t="s">
        <v>1614</v>
      </c>
      <c r="F1523" s="3" t="s">
        <v>219</v>
      </c>
      <c r="G1523" s="3">
        <v>3.8702623909999998</v>
      </c>
      <c r="H1523" s="3">
        <v>2.2434402329999998</v>
      </c>
      <c r="I1523" s="3">
        <v>1.696793003</v>
      </c>
      <c r="J1523" s="3">
        <v>23.37584803</v>
      </c>
      <c r="K1523" s="3">
        <v>-7.5169606999999999E-2</v>
      </c>
      <c r="L1523" s="3">
        <v>-6.1329715E-2</v>
      </c>
      <c r="M1523" s="3">
        <v>0.22795115299999999</v>
      </c>
      <c r="N1523" s="3">
        <v>3.6363635999999998E-2</v>
      </c>
      <c r="O1523" s="3">
        <v>-1.8306787000000001E-2</v>
      </c>
      <c r="P1523" s="3">
        <v>-1.5645552E-2</v>
      </c>
      <c r="Q1523" s="3">
        <v>-8.2735961999999996E-2</v>
      </c>
      <c r="R1523" s="3">
        <v>0.243539753</v>
      </c>
      <c r="S1523" s="3">
        <v>0.38178615799999999</v>
      </c>
      <c r="T1523" s="3">
        <v>3.519414576</v>
      </c>
      <c r="U1523" s="3">
        <v>0.77873240399999999</v>
      </c>
      <c r="V1523" s="3">
        <v>0.30088495599999998</v>
      </c>
      <c r="W1523" s="3">
        <v>-2.5834683950000001</v>
      </c>
      <c r="X1523" s="3">
        <v>-6.838266838</v>
      </c>
      <c r="Y1523" s="3">
        <v>5.5898755900000001</v>
      </c>
      <c r="Z1523" s="3">
        <v>4.519414576</v>
      </c>
      <c r="AA1523" s="3">
        <v>-6.1329715E-2</v>
      </c>
      <c r="AB1523" s="3">
        <v>15.847794329999999</v>
      </c>
      <c r="AC1523" s="3">
        <v>2.6469326469999999</v>
      </c>
      <c r="AD1523" s="3">
        <v>0.16743554999999999</v>
      </c>
      <c r="AE1523" s="3">
        <v>4.4592476489999999</v>
      </c>
      <c r="AF1523" s="4">
        <v>42682</v>
      </c>
      <c r="AG1523" s="5">
        <f>YEAR(AF1523)</f>
        <v>2016</v>
      </c>
      <c r="AH1523" s="5" t="str">
        <f>"Q"&amp;ROUNDUP(MONTH(AF1523)/3,0)</f>
        <v>Q4</v>
      </c>
      <c r="AI1523" s="5">
        <f>INDEX(RatingLookup!$B$2:$B$11,MATCH(A1523,RatingLookup!$A$2:$A$11,0))</f>
        <v>7</v>
      </c>
      <c r="AJ1523" s="5" t="str">
        <f>INDEX(RatingLookup!$C$2:$C$11,MATCH(A1523,RatingLookup!$A$2:$A$11,0))</f>
        <v>Investment Grade</v>
      </c>
    </row>
    <row r="1524" spans="1:36" x14ac:dyDescent="0.3">
      <c r="A1524" s="3" t="s">
        <v>42</v>
      </c>
      <c r="B1524" s="3" t="s">
        <v>1615</v>
      </c>
      <c r="C1524" s="3" t="s">
        <v>1616</v>
      </c>
      <c r="D1524" s="3" t="s">
        <v>44</v>
      </c>
      <c r="E1524" s="3" t="s">
        <v>122</v>
      </c>
      <c r="F1524" s="3" t="s">
        <v>246</v>
      </c>
      <c r="G1524" s="3">
        <v>0.51671801900000003</v>
      </c>
      <c r="H1524" s="3">
        <v>0.196108639</v>
      </c>
      <c r="I1524" s="3">
        <v>0.112518544</v>
      </c>
      <c r="J1524" s="3">
        <v>0</v>
      </c>
      <c r="K1524" s="3">
        <v>0.111193003</v>
      </c>
      <c r="L1524" s="3">
        <v>0.17583038500000001</v>
      </c>
      <c r="M1524" s="3">
        <v>1</v>
      </c>
      <c r="N1524" s="3">
        <v>0.191676494</v>
      </c>
      <c r="O1524" s="3">
        <v>8.5180862999999996E-2</v>
      </c>
      <c r="P1524" s="3">
        <v>0.20099415900000001</v>
      </c>
      <c r="Q1524" s="3">
        <v>0.41714285699999998</v>
      </c>
      <c r="R1524" s="3">
        <v>0.76606316100000005</v>
      </c>
      <c r="S1524" s="3">
        <v>1.7667433480000001</v>
      </c>
      <c r="T1524" s="3">
        <v>3.897142857</v>
      </c>
      <c r="U1524" s="3">
        <v>0.79579929999999999</v>
      </c>
      <c r="V1524" s="3">
        <v>0.36761212799999998</v>
      </c>
      <c r="W1524" s="3">
        <v>0.62848492499999997</v>
      </c>
      <c r="X1524" s="3">
        <v>6.2509410289999998</v>
      </c>
      <c r="Y1524" s="3">
        <v>4.3124215809999997</v>
      </c>
      <c r="Z1524" s="3">
        <v>4.8971428570000004</v>
      </c>
      <c r="AA1524" s="3">
        <v>0.17583038500000001</v>
      </c>
      <c r="AB1524" s="3">
        <v>4.3225204939999999</v>
      </c>
      <c r="AC1524" s="3">
        <v>9.9460476789999994</v>
      </c>
      <c r="AD1524" s="3">
        <v>0.19474744499999999</v>
      </c>
      <c r="AE1524" s="3">
        <v>2.3857090780000001</v>
      </c>
      <c r="AF1524" s="4">
        <v>42261</v>
      </c>
      <c r="AG1524" s="5">
        <f>YEAR(AF1524)</f>
        <v>2015</v>
      </c>
      <c r="AH1524" s="5" t="str">
        <f>"Q"&amp;ROUNDUP(MONTH(AF1524)/3,0)</f>
        <v>Q3</v>
      </c>
      <c r="AI1524" s="5">
        <f>INDEX(RatingLookup!$B$2:$B$11,MATCH(A1524,RatingLookup!$A$2:$A$11,0))</f>
        <v>7</v>
      </c>
      <c r="AJ1524" s="5" t="str">
        <f>INDEX(RatingLookup!$C$2:$C$11,MATCH(A1524,RatingLookup!$A$2:$A$11,0))</f>
        <v>Investment Grade</v>
      </c>
    </row>
    <row r="1525" spans="1:36" x14ac:dyDescent="0.3">
      <c r="A1525" s="3" t="s">
        <v>92</v>
      </c>
      <c r="B1525" s="3" t="s">
        <v>1615</v>
      </c>
      <c r="C1525" s="3" t="s">
        <v>1616</v>
      </c>
      <c r="D1525" s="3" t="s">
        <v>44</v>
      </c>
      <c r="E1525" s="3" t="s">
        <v>46</v>
      </c>
      <c r="F1525" s="3" t="s">
        <v>246</v>
      </c>
      <c r="G1525" s="3">
        <v>0.60853476100000004</v>
      </c>
      <c r="H1525" s="3">
        <v>0.40768443399999998</v>
      </c>
      <c r="I1525" s="3">
        <v>0.20919612600000001</v>
      </c>
      <c r="J1525" s="3">
        <v>16.246475870000001</v>
      </c>
      <c r="K1525" s="3">
        <v>2.4320090999999999E-2</v>
      </c>
      <c r="L1525" s="3">
        <v>2.1899472999999999E-2</v>
      </c>
      <c r="M1525" s="3">
        <v>1</v>
      </c>
      <c r="N1525" s="3">
        <v>5.6243769999999998E-2</v>
      </c>
      <c r="O1525" s="3">
        <v>1.9632634999999999E-2</v>
      </c>
      <c r="P1525" s="3">
        <v>2.4969154E-2</v>
      </c>
      <c r="Q1525" s="3">
        <v>-0.61174785099999995</v>
      </c>
      <c r="R1525" s="3">
        <v>0.80725993699999998</v>
      </c>
      <c r="S1525" s="3">
        <v>1.7363892599999999</v>
      </c>
      <c r="T1525" s="3">
        <v>-32.159742119999997</v>
      </c>
      <c r="U1525" s="3">
        <v>1.032092692</v>
      </c>
      <c r="V1525" s="3">
        <v>-0.11053316000000001</v>
      </c>
      <c r="W1525" s="3">
        <v>1</v>
      </c>
      <c r="X1525" s="3">
        <v>3.3818615749999998</v>
      </c>
      <c r="Y1525" s="3">
        <v>4.3138424820000001</v>
      </c>
      <c r="Z1525" s="3">
        <v>-31.159742120000001</v>
      </c>
      <c r="AA1525" s="3">
        <v>2.1899472999999999E-2</v>
      </c>
      <c r="AB1525" s="3">
        <v>5.4617339469999999</v>
      </c>
      <c r="AC1525" s="3">
        <v>3.3818615749999998</v>
      </c>
      <c r="AD1525" s="3">
        <v>8.0706251000000007E-2</v>
      </c>
      <c r="AE1525" s="3">
        <v>6.0812499999999998</v>
      </c>
      <c r="AF1525" s="4">
        <v>41075</v>
      </c>
      <c r="AG1525" s="5">
        <f>YEAR(AF1525)</f>
        <v>2012</v>
      </c>
      <c r="AH1525" s="5" t="str">
        <f>"Q"&amp;ROUNDUP(MONTH(AF1525)/3,0)</f>
        <v>Q2</v>
      </c>
      <c r="AI1525" s="5">
        <f>INDEX(RatingLookup!$B$2:$B$11,MATCH(A1525,RatingLookup!$A$2:$A$11,0))</f>
        <v>6</v>
      </c>
      <c r="AJ1525" s="5" t="str">
        <f>INDEX(RatingLookup!$C$2:$C$11,MATCH(A1525,RatingLookup!$A$2:$A$11,0))</f>
        <v>Speculative Grade</v>
      </c>
    </row>
    <row r="1526" spans="1:36" x14ac:dyDescent="0.3">
      <c r="A1526" s="3" t="s">
        <v>92</v>
      </c>
      <c r="B1526" s="3" t="s">
        <v>1617</v>
      </c>
      <c r="C1526" s="3" t="s">
        <v>1618</v>
      </c>
      <c r="D1526" s="3" t="s">
        <v>47</v>
      </c>
      <c r="E1526" s="3" t="s">
        <v>618</v>
      </c>
      <c r="F1526" s="3" t="s">
        <v>219</v>
      </c>
      <c r="G1526" s="3">
        <v>6.0486177310000002</v>
      </c>
      <c r="H1526" s="3">
        <v>3.8636796950000001</v>
      </c>
      <c r="I1526" s="3">
        <v>3.5319351760000002</v>
      </c>
      <c r="J1526" s="3">
        <v>17.49586777</v>
      </c>
      <c r="K1526" s="3">
        <v>-0.65716253400000002</v>
      </c>
      <c r="L1526" s="3">
        <v>-0.56404958699999996</v>
      </c>
      <c r="M1526" s="3">
        <v>0.13402203900000001</v>
      </c>
      <c r="N1526" s="3">
        <v>-0.52878787900000002</v>
      </c>
      <c r="O1526" s="3">
        <v>-0.122906899</v>
      </c>
      <c r="P1526" s="3">
        <v>-0.10135296100000001</v>
      </c>
      <c r="Q1526" s="3">
        <v>-0.210065164</v>
      </c>
      <c r="R1526" s="3">
        <v>0.187026637</v>
      </c>
      <c r="S1526" s="3">
        <v>0.241300229</v>
      </c>
      <c r="T1526" s="3">
        <v>0.70914054199999998</v>
      </c>
      <c r="U1526" s="3">
        <v>0.41491060800000001</v>
      </c>
      <c r="V1526" s="3">
        <v>-0.16507936500000001</v>
      </c>
      <c r="W1526" s="3">
        <v>-3.90625E-2</v>
      </c>
      <c r="X1526" s="3">
        <v>-2.0856197E-2</v>
      </c>
      <c r="Y1526" s="3">
        <v>0.73592581099999999</v>
      </c>
      <c r="Z1526" s="3">
        <v>1.7091405420000001</v>
      </c>
      <c r="AA1526" s="3">
        <v>-0.52727272700000005</v>
      </c>
      <c r="AB1526" s="3">
        <v>-16.997696059999999</v>
      </c>
      <c r="AC1526" s="3">
        <v>0.53391864499999997</v>
      </c>
      <c r="AD1526" s="3">
        <v>0.370247934</v>
      </c>
      <c r="AE1526" s="3">
        <v>6.4814432990000004</v>
      </c>
      <c r="AF1526" s="4">
        <v>41968</v>
      </c>
      <c r="AG1526" s="5">
        <f>YEAR(AF1526)</f>
        <v>2014</v>
      </c>
      <c r="AH1526" s="5" t="str">
        <f>"Q"&amp;ROUNDUP(MONTH(AF1526)/3,0)</f>
        <v>Q4</v>
      </c>
      <c r="AI1526" s="5">
        <f>INDEX(RatingLookup!$B$2:$B$11,MATCH(A1526,RatingLookup!$A$2:$A$11,0))</f>
        <v>6</v>
      </c>
      <c r="AJ1526" s="5" t="str">
        <f>INDEX(RatingLookup!$C$2:$C$11,MATCH(A1526,RatingLookup!$A$2:$A$11,0))</f>
        <v>Speculative Grade</v>
      </c>
    </row>
    <row r="1527" spans="1:36" x14ac:dyDescent="0.3">
      <c r="A1527" s="3" t="s">
        <v>109</v>
      </c>
      <c r="B1527" s="3" t="s">
        <v>1617</v>
      </c>
      <c r="C1527" s="3" t="s">
        <v>1618</v>
      </c>
      <c r="D1527" s="3" t="s">
        <v>60</v>
      </c>
      <c r="E1527" s="3" t="s">
        <v>46</v>
      </c>
      <c r="F1527" s="3" t="s">
        <v>219</v>
      </c>
      <c r="G1527" s="3">
        <v>2.0662785490000002</v>
      </c>
      <c r="H1527" s="3">
        <v>1.5539632779999999</v>
      </c>
      <c r="I1527" s="3">
        <v>1.3855799369999999</v>
      </c>
      <c r="J1527" s="3">
        <v>19.72122431</v>
      </c>
      <c r="K1527" s="3">
        <v>0.25722086500000002</v>
      </c>
      <c r="L1527" s="3">
        <v>0.37131771800000002</v>
      </c>
      <c r="M1527" s="3">
        <v>0.45293864099999998</v>
      </c>
      <c r="N1527" s="3">
        <v>0.38482540599999998</v>
      </c>
      <c r="O1527" s="3">
        <v>5.3136225000000002E-2</v>
      </c>
      <c r="P1527" s="3">
        <v>8.3773129000000002E-2</v>
      </c>
      <c r="Q1527" s="3">
        <v>7.8426218000000006E-2</v>
      </c>
      <c r="R1527" s="3">
        <v>0.20657820499999999</v>
      </c>
      <c r="S1527" s="3">
        <v>0.25819018300000002</v>
      </c>
      <c r="T1527" s="3">
        <v>0.47594637200000001</v>
      </c>
      <c r="U1527" s="3">
        <v>0.32246860799999999</v>
      </c>
      <c r="V1527" s="3">
        <v>0.30727554200000001</v>
      </c>
      <c r="W1527" s="3">
        <v>-0.25892040300000002</v>
      </c>
      <c r="X1527" s="3">
        <v>-0.212759381</v>
      </c>
      <c r="Y1527" s="3">
        <v>0.77535632899999996</v>
      </c>
      <c r="Z1527" s="3">
        <v>1.4759463719999999</v>
      </c>
      <c r="AA1527" s="3">
        <v>0.37864635699999999</v>
      </c>
      <c r="AB1527" s="3">
        <v>12.833967169999999</v>
      </c>
      <c r="AC1527" s="3">
        <v>0.82171732500000005</v>
      </c>
      <c r="AD1527" s="3">
        <v>0.47118838899999999</v>
      </c>
      <c r="AE1527" s="3">
        <v>3.7956131609999999</v>
      </c>
      <c r="AF1527" s="4">
        <v>41075</v>
      </c>
      <c r="AG1527" s="5">
        <f>YEAR(AF1527)</f>
        <v>2012</v>
      </c>
      <c r="AH1527" s="5" t="str">
        <f>"Q"&amp;ROUNDUP(MONTH(AF1527)/3,0)</f>
        <v>Q2</v>
      </c>
      <c r="AI1527" s="5">
        <f>INDEX(RatingLookup!$B$2:$B$11,MATCH(A1527,RatingLookup!$A$2:$A$11,0))</f>
        <v>5</v>
      </c>
      <c r="AJ1527" s="5" t="str">
        <f>INDEX(RatingLookup!$C$2:$C$11,MATCH(A1527,RatingLookup!$A$2:$A$11,0))</f>
        <v>Speculative Grade</v>
      </c>
    </row>
    <row r="1528" spans="1:36" x14ac:dyDescent="0.3">
      <c r="A1528" s="3" t="s">
        <v>92</v>
      </c>
      <c r="B1528" s="3" t="s">
        <v>1617</v>
      </c>
      <c r="C1528" s="3" t="s">
        <v>1618</v>
      </c>
      <c r="D1528" s="3" t="s">
        <v>47</v>
      </c>
      <c r="E1528" s="3" t="s">
        <v>1015</v>
      </c>
      <c r="F1528" s="3" t="s">
        <v>219</v>
      </c>
      <c r="G1528" s="3">
        <v>5.1806888759999996</v>
      </c>
      <c r="H1528" s="3">
        <v>4.1485036700000002</v>
      </c>
      <c r="I1528" s="3">
        <v>3.8836815360000001</v>
      </c>
      <c r="J1528" s="3">
        <v>21.633388100000001</v>
      </c>
      <c r="K1528" s="3">
        <v>0.25148489800000001</v>
      </c>
      <c r="L1528" s="3">
        <v>0.35233160600000002</v>
      </c>
      <c r="M1528" s="3">
        <v>0.41779350399999998</v>
      </c>
      <c r="N1528" s="3">
        <v>0.34613926499999997</v>
      </c>
      <c r="O1528" s="3">
        <v>4.6455166999999999E-2</v>
      </c>
      <c r="P1528" s="3">
        <v>7.1884284000000007E-2</v>
      </c>
      <c r="Q1528" s="3">
        <v>7.4350831000000006E-2</v>
      </c>
      <c r="R1528" s="3">
        <v>0.18472348699999999</v>
      </c>
      <c r="S1528" s="3">
        <v>0.25241634499999999</v>
      </c>
      <c r="T1528" s="3">
        <v>0.60048570899999998</v>
      </c>
      <c r="U1528" s="3">
        <v>0.37518967199999997</v>
      </c>
      <c r="V1528" s="3">
        <v>0.28622668600000001</v>
      </c>
      <c r="W1528" s="3">
        <v>-0.53388822800000002</v>
      </c>
      <c r="X1528" s="3">
        <v>-0.389285616</v>
      </c>
      <c r="Y1528" s="3">
        <v>1.4908165170000001</v>
      </c>
      <c r="Z1528" s="3">
        <v>1.600485709</v>
      </c>
      <c r="AA1528" s="3">
        <v>0.373056995</v>
      </c>
      <c r="AB1528" s="3">
        <v>12.365830170000001</v>
      </c>
      <c r="AC1528" s="3">
        <v>0.72915189899999999</v>
      </c>
      <c r="AD1528" s="3">
        <v>0.425123215</v>
      </c>
      <c r="AE1528" s="3">
        <v>3.8169014080000001</v>
      </c>
      <c r="AF1528" s="4">
        <v>41221</v>
      </c>
      <c r="AG1528" s="5">
        <f>YEAR(AF1528)</f>
        <v>2012</v>
      </c>
      <c r="AH1528" s="5" t="str">
        <f>"Q"&amp;ROUNDUP(MONTH(AF1528)/3,0)</f>
        <v>Q4</v>
      </c>
      <c r="AI1528" s="5">
        <f>INDEX(RatingLookup!$B$2:$B$11,MATCH(A1528,RatingLookup!$A$2:$A$11,0))</f>
        <v>6</v>
      </c>
      <c r="AJ1528" s="5" t="str">
        <f>INDEX(RatingLookup!$C$2:$C$11,MATCH(A1528,RatingLookup!$A$2:$A$11,0))</f>
        <v>Speculative Grade</v>
      </c>
    </row>
    <row r="1529" spans="1:36" x14ac:dyDescent="0.3">
      <c r="A1529" s="3" t="s">
        <v>92</v>
      </c>
      <c r="B1529" s="3" t="s">
        <v>1617</v>
      </c>
      <c r="C1529" s="3" t="s">
        <v>1618</v>
      </c>
      <c r="D1529" s="3" t="s">
        <v>47</v>
      </c>
      <c r="E1529" s="3" t="s">
        <v>458</v>
      </c>
      <c r="F1529" s="3" t="s">
        <v>219</v>
      </c>
      <c r="G1529" s="3">
        <v>7.0727272729999999</v>
      </c>
      <c r="H1529" s="3">
        <v>4.6385026739999997</v>
      </c>
      <c r="I1529" s="3">
        <v>4.4320855610000001</v>
      </c>
      <c r="J1529" s="3">
        <v>9.0348852120000007</v>
      </c>
      <c r="K1529" s="3">
        <v>-0.245222521</v>
      </c>
      <c r="L1529" s="3">
        <v>-0.245735539</v>
      </c>
      <c r="M1529" s="3">
        <v>0.213928434</v>
      </c>
      <c r="N1529" s="3">
        <v>-0.230858022</v>
      </c>
      <c r="O1529" s="3">
        <v>-4.5498892999999999E-2</v>
      </c>
      <c r="P1529" s="3">
        <v>-3.6823402999999998E-2</v>
      </c>
      <c r="Q1529" s="3">
        <v>-7.0296702000000003E-2</v>
      </c>
      <c r="R1529" s="3">
        <v>0.18554125099999999</v>
      </c>
      <c r="S1529" s="3">
        <v>0.23368799600000001</v>
      </c>
      <c r="T1529" s="3">
        <v>0.54502003799999998</v>
      </c>
      <c r="U1529" s="3">
        <v>0.35275920300000002</v>
      </c>
      <c r="V1529" s="3">
        <v>2.0876829999999999E-3</v>
      </c>
      <c r="W1529" s="3">
        <v>-0.68295520700000001</v>
      </c>
      <c r="X1529" s="3">
        <v>-0.246637147</v>
      </c>
      <c r="Y1529" s="3">
        <v>0.87058291099999996</v>
      </c>
      <c r="Z1529" s="3">
        <v>1.5450200380000001</v>
      </c>
      <c r="AA1529" s="3">
        <v>-0.194048993</v>
      </c>
      <c r="AB1529" s="3">
        <v>100.281099</v>
      </c>
      <c r="AC1529" s="3">
        <v>0.36113224500000002</v>
      </c>
      <c r="AD1529" s="3">
        <v>0.220469411</v>
      </c>
      <c r="AE1529" s="3">
        <v>6.7949002219999999</v>
      </c>
      <c r="AF1529" s="4">
        <v>41726</v>
      </c>
      <c r="AG1529" s="5">
        <f>YEAR(AF1529)</f>
        <v>2014</v>
      </c>
      <c r="AH1529" s="5" t="str">
        <f>"Q"&amp;ROUNDUP(MONTH(AF1529)/3,0)</f>
        <v>Q1</v>
      </c>
      <c r="AI1529" s="5">
        <f>INDEX(RatingLookup!$B$2:$B$11,MATCH(A1529,RatingLookup!$A$2:$A$11,0))</f>
        <v>6</v>
      </c>
      <c r="AJ1529" s="5" t="str">
        <f>INDEX(RatingLookup!$C$2:$C$11,MATCH(A1529,RatingLookup!$A$2:$A$11,0))</f>
        <v>Speculative Grade</v>
      </c>
    </row>
    <row r="1530" spans="1:36" x14ac:dyDescent="0.3">
      <c r="A1530" s="3" t="s">
        <v>92</v>
      </c>
      <c r="B1530" s="3" t="s">
        <v>1617</v>
      </c>
      <c r="C1530" s="3" t="s">
        <v>1618</v>
      </c>
      <c r="D1530" s="3" t="s">
        <v>47</v>
      </c>
      <c r="E1530" s="3" t="s">
        <v>1619</v>
      </c>
      <c r="F1530" s="3" t="s">
        <v>219</v>
      </c>
      <c r="G1530" s="3">
        <v>4.1724372030000003</v>
      </c>
      <c r="H1530" s="3">
        <v>3.0176510520000002</v>
      </c>
      <c r="I1530" s="3">
        <v>2.2776646299999999</v>
      </c>
      <c r="J1530" s="3">
        <v>55.8072661</v>
      </c>
      <c r="K1530" s="3">
        <v>-0.282508066</v>
      </c>
      <c r="L1530" s="3">
        <v>-0.43245897</v>
      </c>
      <c r="M1530" s="3">
        <v>7.3783138999999998E-2</v>
      </c>
      <c r="N1530" s="3">
        <v>-0.380418011</v>
      </c>
      <c r="O1530" s="3">
        <v>-5.4795266000000002E-2</v>
      </c>
      <c r="P1530" s="3">
        <v>-7.6469588000000005E-2</v>
      </c>
      <c r="Q1530" s="3">
        <v>-9.5923033000000005E-2</v>
      </c>
      <c r="R1530" s="3">
        <v>0.19396000499999999</v>
      </c>
      <c r="S1530" s="3">
        <v>0.25431649499999998</v>
      </c>
      <c r="T1530" s="3">
        <v>0.75057153700000001</v>
      </c>
      <c r="U1530" s="3">
        <v>0.42875799199999998</v>
      </c>
      <c r="V1530" s="3">
        <v>0.346740188</v>
      </c>
      <c r="W1530" s="3">
        <v>-0.48324447799999998</v>
      </c>
      <c r="X1530" s="3">
        <v>-0.25144754600000002</v>
      </c>
      <c r="Y1530" s="3">
        <v>0.66478055000000003</v>
      </c>
      <c r="Z1530" s="3">
        <v>1.7505715369999999</v>
      </c>
      <c r="AA1530" s="3">
        <v>-0.37845420099999999</v>
      </c>
      <c r="AB1530" s="3">
        <v>-57.857030279999996</v>
      </c>
      <c r="AC1530" s="3">
        <v>0.52033195899999996</v>
      </c>
      <c r="AD1530" s="3">
        <v>0.36835460799999997</v>
      </c>
      <c r="AE1530" s="3">
        <v>4.679659816</v>
      </c>
      <c r="AF1530" s="4">
        <v>42251</v>
      </c>
      <c r="AG1530" s="5">
        <f>YEAR(AF1530)</f>
        <v>2015</v>
      </c>
      <c r="AH1530" s="5" t="str">
        <f>"Q"&amp;ROUNDUP(MONTH(AF1530)/3,0)</f>
        <v>Q3</v>
      </c>
      <c r="AI1530" s="5">
        <f>INDEX(RatingLookup!$B$2:$B$11,MATCH(A1530,RatingLookup!$A$2:$A$11,0))</f>
        <v>6</v>
      </c>
      <c r="AJ1530" s="5" t="str">
        <f>INDEX(RatingLookup!$C$2:$C$11,MATCH(A1530,RatingLookup!$A$2:$A$11,0))</f>
        <v>Speculative Grade</v>
      </c>
    </row>
    <row r="1531" spans="1:36" x14ac:dyDescent="0.3">
      <c r="A1531" s="3" t="s">
        <v>109</v>
      </c>
      <c r="B1531" s="3" t="s">
        <v>1617</v>
      </c>
      <c r="C1531" s="3" t="s">
        <v>1618</v>
      </c>
      <c r="D1531" s="3" t="s">
        <v>47</v>
      </c>
      <c r="E1531" s="3" t="s">
        <v>1620</v>
      </c>
      <c r="F1531" s="3" t="s">
        <v>219</v>
      </c>
      <c r="G1531" s="3">
        <v>2.3375142530000002</v>
      </c>
      <c r="H1531" s="3">
        <v>1.3740022810000001</v>
      </c>
      <c r="I1531" s="3">
        <v>1.0598631700000001</v>
      </c>
      <c r="J1531" s="3">
        <v>25.90187452</v>
      </c>
      <c r="K1531" s="3">
        <v>-1.3389441E-2</v>
      </c>
      <c r="L1531" s="3">
        <v>-1.7406273999999999E-2</v>
      </c>
      <c r="M1531" s="3">
        <v>9.0283090999999996E-2</v>
      </c>
      <c r="N1531" s="3">
        <v>1.0520275000000001E-2</v>
      </c>
      <c r="O1531" s="3">
        <v>-1.779812E-3</v>
      </c>
      <c r="P1531" s="3">
        <v>2.12902E-4</v>
      </c>
      <c r="Q1531" s="3">
        <v>-3.3764229999999999E-3</v>
      </c>
      <c r="R1531" s="3">
        <v>0.13292651899999999</v>
      </c>
      <c r="S1531" s="3">
        <v>0.16382038700000001</v>
      </c>
      <c r="T1531" s="3">
        <v>0.89706733599999999</v>
      </c>
      <c r="U1531" s="3">
        <v>0.47287058199999998</v>
      </c>
      <c r="V1531" s="3">
        <v>0.23076923099999999</v>
      </c>
      <c r="W1531" s="3">
        <v>-0.96987951800000005</v>
      </c>
      <c r="X1531" s="3">
        <v>-0.53722586299999997</v>
      </c>
      <c r="Y1531" s="3">
        <v>0.40022050999999997</v>
      </c>
      <c r="Z1531" s="3">
        <v>1.8970673360000001</v>
      </c>
      <c r="AA1531" s="3">
        <v>1.5302219999999999E-3</v>
      </c>
      <c r="AB1531" s="3">
        <v>12.44170102</v>
      </c>
      <c r="AC1531" s="3">
        <v>0.55390989599999996</v>
      </c>
      <c r="AD1531" s="3">
        <v>0.53978576899999997</v>
      </c>
      <c r="AE1531" s="3">
        <v>2.8108747040000002</v>
      </c>
      <c r="AF1531" s="4">
        <v>42684</v>
      </c>
      <c r="AG1531" s="5">
        <f>YEAR(AF1531)</f>
        <v>2016</v>
      </c>
      <c r="AH1531" s="5" t="str">
        <f>"Q"&amp;ROUNDUP(MONTH(AF1531)/3,0)</f>
        <v>Q4</v>
      </c>
      <c r="AI1531" s="5">
        <f>INDEX(RatingLookup!$B$2:$B$11,MATCH(A1531,RatingLookup!$A$2:$A$11,0))</f>
        <v>5</v>
      </c>
      <c r="AJ1531" s="5" t="str">
        <f>INDEX(RatingLookup!$C$2:$C$11,MATCH(A1531,RatingLookup!$A$2:$A$11,0))</f>
        <v>Speculative Grade</v>
      </c>
    </row>
    <row r="1532" spans="1:36" x14ac:dyDescent="0.3">
      <c r="A1532" s="3" t="s">
        <v>42</v>
      </c>
      <c r="B1532" s="3" t="s">
        <v>1621</v>
      </c>
      <c r="C1532" s="3" t="s">
        <v>1622</v>
      </c>
      <c r="D1532" s="3" t="s">
        <v>47</v>
      </c>
      <c r="E1532" s="3" t="s">
        <v>787</v>
      </c>
      <c r="F1532" s="3" t="s">
        <v>96</v>
      </c>
      <c r="G1532" s="3">
        <v>1.4678899080000001</v>
      </c>
      <c r="H1532" s="3">
        <v>1.025229358</v>
      </c>
      <c r="I1532" s="3">
        <v>0.46330275199999998</v>
      </c>
      <c r="J1532" s="3">
        <v>7.9234255730000003</v>
      </c>
      <c r="K1532" s="3">
        <v>8.7070611000000006E-2</v>
      </c>
      <c r="L1532" s="3">
        <v>0.16984732799999999</v>
      </c>
      <c r="M1532" s="3">
        <v>0.96684160299999999</v>
      </c>
      <c r="N1532" s="3">
        <v>0.17604961799999999</v>
      </c>
      <c r="O1532" s="3">
        <v>7.3470208999999995E-2</v>
      </c>
      <c r="P1532" s="3">
        <v>0.22084367199999999</v>
      </c>
      <c r="Q1532" s="3">
        <v>0.15651801000000001</v>
      </c>
      <c r="R1532" s="3">
        <v>0.84380032199999999</v>
      </c>
      <c r="S1532" s="3">
        <v>6.1466275660000003</v>
      </c>
      <c r="T1532" s="3">
        <v>1.130360206</v>
      </c>
      <c r="U1532" s="3">
        <v>0.53059581300000003</v>
      </c>
      <c r="V1532" s="3">
        <v>0.41994382000000002</v>
      </c>
      <c r="W1532" s="3">
        <v>0.90558510599999997</v>
      </c>
      <c r="X1532" s="3">
        <v>4.8469750889999998</v>
      </c>
      <c r="Y1532" s="3">
        <v>6.039145907</v>
      </c>
      <c r="Z1532" s="3">
        <v>2.1303602060000002</v>
      </c>
      <c r="AA1532" s="3">
        <v>0.16984732799999999</v>
      </c>
      <c r="AB1532" s="3">
        <v>24.836955620000001</v>
      </c>
      <c r="AC1532" s="3">
        <v>5.3523131670000001</v>
      </c>
      <c r="AD1532" s="3">
        <v>0.35877862599999999</v>
      </c>
      <c r="AE1532" s="3">
        <v>0.73157894700000003</v>
      </c>
      <c r="AF1532" s="4">
        <v>42403</v>
      </c>
      <c r="AG1532" s="5">
        <f>YEAR(AF1532)</f>
        <v>2016</v>
      </c>
      <c r="AH1532" s="5" t="str">
        <f>"Q"&amp;ROUNDUP(MONTH(AF1532)/3,0)</f>
        <v>Q1</v>
      </c>
      <c r="AI1532" s="5">
        <f>INDEX(RatingLookup!$B$2:$B$11,MATCH(A1532,RatingLookup!$A$2:$A$11,0))</f>
        <v>7</v>
      </c>
      <c r="AJ1532" s="5" t="str">
        <f>INDEX(RatingLookup!$C$2:$C$11,MATCH(A1532,RatingLookup!$A$2:$A$11,0))</f>
        <v>Investment Grade</v>
      </c>
    </row>
    <row r="1533" spans="1:36" x14ac:dyDescent="0.3">
      <c r="A1533" s="3" t="s">
        <v>36</v>
      </c>
      <c r="B1533" s="3" t="s">
        <v>1621</v>
      </c>
      <c r="C1533" s="3" t="s">
        <v>1622</v>
      </c>
      <c r="D1533" s="3" t="s">
        <v>39</v>
      </c>
      <c r="E1533" s="3" t="s">
        <v>1604</v>
      </c>
      <c r="F1533" s="3" t="s">
        <v>96</v>
      </c>
      <c r="G1533" s="3">
        <v>1.844475721</v>
      </c>
      <c r="H1533" s="3">
        <v>1.4412385640000001</v>
      </c>
      <c r="I1533" s="3">
        <v>0.59746657299999995</v>
      </c>
      <c r="J1533" s="3">
        <v>10.854416329999999</v>
      </c>
      <c r="K1533" s="3">
        <v>0.20128717300000001</v>
      </c>
      <c r="L1533" s="3">
        <v>0.29161118499999999</v>
      </c>
      <c r="M1533" s="3">
        <v>0.968708389</v>
      </c>
      <c r="N1533" s="3">
        <v>0.29161118499999999</v>
      </c>
      <c r="O1533" s="3">
        <v>0.17438954000000001</v>
      </c>
      <c r="P1533" s="3">
        <v>0.34761904799999999</v>
      </c>
      <c r="Q1533" s="3">
        <v>0.29467186499999998</v>
      </c>
      <c r="R1533" s="3">
        <v>0.866371852</v>
      </c>
      <c r="S1533" s="3">
        <v>7.4356435640000003</v>
      </c>
      <c r="T1533" s="3">
        <v>0.68973359300000003</v>
      </c>
      <c r="U1533" s="3">
        <v>0.40819073299999997</v>
      </c>
      <c r="V1533" s="3">
        <v>0.34474885799999999</v>
      </c>
      <c r="W1533" s="3">
        <v>0.91770401099999999</v>
      </c>
      <c r="X1533" s="3">
        <v>4.6561403510000003</v>
      </c>
      <c r="Y1533" s="3">
        <v>6.7157894740000001</v>
      </c>
      <c r="Z1533" s="3">
        <v>1.6897335929999999</v>
      </c>
      <c r="AA1533" s="3">
        <v>0.29161118499999999</v>
      </c>
      <c r="AB1533" s="3">
        <v>15.568034409999999</v>
      </c>
      <c r="AC1533" s="3">
        <v>5.0736842109999998</v>
      </c>
      <c r="AD1533" s="3">
        <v>0.320905459</v>
      </c>
      <c r="AE1533" s="3">
        <v>0.87577639799999996</v>
      </c>
      <c r="AF1533" s="4">
        <v>42061</v>
      </c>
      <c r="AG1533" s="5">
        <f>YEAR(AF1533)</f>
        <v>2015</v>
      </c>
      <c r="AH1533" s="5" t="str">
        <f>"Q"&amp;ROUNDUP(MONTH(AF1533)/3,0)</f>
        <v>Q1</v>
      </c>
      <c r="AI1533" s="5">
        <f>INDEX(RatingLookup!$B$2:$B$11,MATCH(A1533,RatingLookup!$A$2:$A$11,0))</f>
        <v>8</v>
      </c>
      <c r="AJ1533" s="5" t="str">
        <f>INDEX(RatingLookup!$C$2:$C$11,MATCH(A1533,RatingLookup!$A$2:$A$11,0))</f>
        <v>Investment Grade</v>
      </c>
    </row>
    <row r="1534" spans="1:36" x14ac:dyDescent="0.3">
      <c r="A1534" s="3" t="s">
        <v>42</v>
      </c>
      <c r="B1534" s="3" t="s">
        <v>1621</v>
      </c>
      <c r="C1534" s="3" t="s">
        <v>1622</v>
      </c>
      <c r="D1534" s="3" t="s">
        <v>60</v>
      </c>
      <c r="E1534" s="3" t="s">
        <v>46</v>
      </c>
      <c r="F1534" s="3" t="s">
        <v>96</v>
      </c>
      <c r="G1534" s="3">
        <v>1.2487534629999999</v>
      </c>
      <c r="H1534" s="3">
        <v>0.88199446000000004</v>
      </c>
      <c r="I1534" s="3">
        <v>0.4</v>
      </c>
      <c r="J1534" s="3">
        <v>16.20747858</v>
      </c>
      <c r="K1534" s="3">
        <v>0.16463256300000001</v>
      </c>
      <c r="L1534" s="3">
        <v>0.25084393700000002</v>
      </c>
      <c r="M1534" s="3">
        <v>0.96260711499999996</v>
      </c>
      <c r="N1534" s="3">
        <v>0.261490522</v>
      </c>
      <c r="O1534" s="3">
        <v>0.12407045</v>
      </c>
      <c r="P1534" s="3">
        <v>0.29228441799999999</v>
      </c>
      <c r="Q1534" s="3">
        <v>0.24235474000000001</v>
      </c>
      <c r="R1534" s="3">
        <v>0.75362035199999999</v>
      </c>
      <c r="S1534" s="3">
        <v>6.8645276290000004</v>
      </c>
      <c r="T1534" s="3">
        <v>0.95336391399999998</v>
      </c>
      <c r="U1534" s="3">
        <v>0.488062622</v>
      </c>
      <c r="V1534" s="3">
        <v>0.34368530000000003</v>
      </c>
      <c r="W1534" s="3">
        <v>0.87265547899999996</v>
      </c>
      <c r="X1534" s="3">
        <v>2.8794788269999998</v>
      </c>
      <c r="Y1534" s="3">
        <v>4.6286644949999998</v>
      </c>
      <c r="Z1534" s="3">
        <v>1.9533639140000001</v>
      </c>
      <c r="AA1534" s="3">
        <v>0.25084393700000002</v>
      </c>
      <c r="AB1534" s="3">
        <v>12.209222759999999</v>
      </c>
      <c r="AC1534" s="3">
        <v>3.2996742669999999</v>
      </c>
      <c r="AD1534" s="3">
        <v>0.26304855900000002</v>
      </c>
      <c r="AE1534" s="3">
        <v>1.11627907</v>
      </c>
      <c r="AF1534" s="4">
        <v>41075</v>
      </c>
      <c r="AG1534" s="5">
        <f>YEAR(AF1534)</f>
        <v>2012</v>
      </c>
      <c r="AH1534" s="5" t="str">
        <f>"Q"&amp;ROUNDUP(MONTH(AF1534)/3,0)</f>
        <v>Q2</v>
      </c>
      <c r="AI1534" s="5">
        <f>INDEX(RatingLookup!$B$2:$B$11,MATCH(A1534,RatingLookup!$A$2:$A$11,0))</f>
        <v>7</v>
      </c>
      <c r="AJ1534" s="5" t="str">
        <f>INDEX(RatingLookup!$C$2:$C$11,MATCH(A1534,RatingLookup!$A$2:$A$11,0))</f>
        <v>Investment Grade</v>
      </c>
    </row>
    <row r="1535" spans="1:36" x14ac:dyDescent="0.3">
      <c r="A1535" s="3" t="s">
        <v>92</v>
      </c>
      <c r="B1535" s="3" t="s">
        <v>1623</v>
      </c>
      <c r="C1535" s="3" t="s">
        <v>1624</v>
      </c>
      <c r="D1535" s="3" t="s">
        <v>47</v>
      </c>
      <c r="E1535" s="3" t="s">
        <v>1079</v>
      </c>
      <c r="F1535" s="3" t="s">
        <v>59</v>
      </c>
      <c r="G1535" s="3">
        <v>8.248476642</v>
      </c>
      <c r="H1535" s="3">
        <v>4.6316858500000002</v>
      </c>
      <c r="I1535" s="3">
        <v>3.0057549090000002</v>
      </c>
      <c r="J1535" s="3">
        <v>23.976418150000001</v>
      </c>
      <c r="K1535" s="3">
        <v>0.10991896299999999</v>
      </c>
      <c r="L1535" s="3">
        <v>0.172463533</v>
      </c>
      <c r="M1535" s="3">
        <v>0.25124797399999999</v>
      </c>
      <c r="N1535" s="3">
        <v>0.20275526699999999</v>
      </c>
      <c r="O1535" s="3">
        <v>7.7652339000000001E-2</v>
      </c>
      <c r="P1535" s="3">
        <v>0.12610210499999999</v>
      </c>
      <c r="Q1535" s="3">
        <v>0.226376047</v>
      </c>
      <c r="R1535" s="3">
        <v>0.70645080000000005</v>
      </c>
      <c r="S1535" s="3">
        <v>1.258438883</v>
      </c>
      <c r="T1535" s="3">
        <v>1.9152508429999999</v>
      </c>
      <c r="U1535" s="3">
        <v>0.65697634500000002</v>
      </c>
      <c r="V1535" s="3">
        <v>0.33342730900000001</v>
      </c>
      <c r="W1535" s="3">
        <v>0.73229980500000003</v>
      </c>
      <c r="X1535" s="3">
        <v>3.9728476819999998</v>
      </c>
      <c r="Y1535" s="3">
        <v>6.3768211920000004</v>
      </c>
      <c r="Z1535" s="3">
        <v>2.9152508429999999</v>
      </c>
      <c r="AA1535" s="3">
        <v>0.172463533</v>
      </c>
      <c r="AB1535" s="3">
        <v>2.0952368469999998</v>
      </c>
      <c r="AC1535" s="3">
        <v>5.4251655630000002</v>
      </c>
      <c r="AD1535" s="3">
        <v>0.132771475</v>
      </c>
      <c r="AE1535" s="3">
        <v>15.639133380000001</v>
      </c>
      <c r="AF1535" s="4">
        <v>42153</v>
      </c>
      <c r="AG1535" s="5">
        <f>YEAR(AF1535)</f>
        <v>2015</v>
      </c>
      <c r="AH1535" s="5" t="str">
        <f>"Q"&amp;ROUNDUP(MONTH(AF1535)/3,0)</f>
        <v>Q2</v>
      </c>
      <c r="AI1535" s="5">
        <f>INDEX(RatingLookup!$B$2:$B$11,MATCH(A1535,RatingLookup!$A$2:$A$11,0))</f>
        <v>6</v>
      </c>
      <c r="AJ1535" s="5" t="str">
        <f>INDEX(RatingLookup!$C$2:$C$11,MATCH(A1535,RatingLookup!$A$2:$A$11,0))</f>
        <v>Speculative Grade</v>
      </c>
    </row>
    <row r="1536" spans="1:36" x14ac:dyDescent="0.3">
      <c r="A1536" s="3" t="s">
        <v>42</v>
      </c>
      <c r="B1536" s="3" t="s">
        <v>1623</v>
      </c>
      <c r="C1536" s="3" t="s">
        <v>1624</v>
      </c>
      <c r="D1536" s="3" t="s">
        <v>44</v>
      </c>
      <c r="E1536" s="3" t="s">
        <v>980</v>
      </c>
      <c r="F1536" s="3" t="s">
        <v>59</v>
      </c>
      <c r="G1536" s="3">
        <v>7.4706426260000001</v>
      </c>
      <c r="H1536" s="3">
        <v>3.7041146559999998</v>
      </c>
      <c r="I1536" s="3">
        <v>1.981044845</v>
      </c>
      <c r="J1536" s="3">
        <v>31.162921220000001</v>
      </c>
      <c r="K1536" s="3">
        <v>8.6019287999999999E-2</v>
      </c>
      <c r="L1536" s="3">
        <v>8.8447528999999997E-2</v>
      </c>
      <c r="M1536" s="3">
        <v>0.238929741</v>
      </c>
      <c r="N1536" s="3">
        <v>0.17705541399999999</v>
      </c>
      <c r="O1536" s="3">
        <v>5.1344107999999999E-2</v>
      </c>
      <c r="P1536" s="3">
        <v>5.4402501999999998E-2</v>
      </c>
      <c r="Q1536" s="3">
        <v>0.156321552</v>
      </c>
      <c r="R1536" s="3">
        <v>0.59689063899999995</v>
      </c>
      <c r="S1536" s="3">
        <v>0.91504213300000004</v>
      </c>
      <c r="T1536" s="3">
        <v>2.044585987</v>
      </c>
      <c r="U1536" s="3">
        <v>0.67154811699999994</v>
      </c>
      <c r="V1536" s="3">
        <v>0.529396529</v>
      </c>
      <c r="W1536" s="3">
        <v>0.77363334299999997</v>
      </c>
      <c r="X1536" s="3">
        <v>6.7054973819999999</v>
      </c>
      <c r="Y1536" s="3">
        <v>5.6086387430000002</v>
      </c>
      <c r="Z1536" s="3">
        <v>3.044585987</v>
      </c>
      <c r="AA1536" s="3">
        <v>8.8447528999999997E-2</v>
      </c>
      <c r="AB1536" s="3">
        <v>2.4758865249999999</v>
      </c>
      <c r="AC1536" s="3">
        <v>8.6675392670000004</v>
      </c>
      <c r="AD1536" s="3">
        <v>0.15169633199999999</v>
      </c>
      <c r="AE1536" s="3">
        <v>15.35968562</v>
      </c>
      <c r="AF1536" s="4">
        <v>41603</v>
      </c>
      <c r="AG1536" s="5">
        <f>YEAR(AF1536)</f>
        <v>2013</v>
      </c>
      <c r="AH1536" s="5" t="str">
        <f>"Q"&amp;ROUNDUP(MONTH(AF1536)/3,0)</f>
        <v>Q4</v>
      </c>
      <c r="AI1536" s="5">
        <f>INDEX(RatingLookup!$B$2:$B$11,MATCH(A1536,RatingLookup!$A$2:$A$11,0))</f>
        <v>7</v>
      </c>
      <c r="AJ1536" s="5" t="str">
        <f>INDEX(RatingLookup!$C$2:$C$11,MATCH(A1536,RatingLookup!$A$2:$A$11,0))</f>
        <v>Investment Grade</v>
      </c>
    </row>
    <row r="1537" spans="1:36" x14ac:dyDescent="0.3">
      <c r="A1537" s="3" t="s">
        <v>42</v>
      </c>
      <c r="B1537" s="3" t="s">
        <v>1623</v>
      </c>
      <c r="C1537" s="3" t="s">
        <v>1624</v>
      </c>
      <c r="D1537" s="3" t="s">
        <v>47</v>
      </c>
      <c r="E1537" s="3" t="s">
        <v>1625</v>
      </c>
      <c r="F1537" s="3" t="s">
        <v>59</v>
      </c>
      <c r="G1537" s="3">
        <v>10.07333948</v>
      </c>
      <c r="H1537" s="3">
        <v>5.7232472320000003</v>
      </c>
      <c r="I1537" s="3">
        <v>3.6254612549999998</v>
      </c>
      <c r="J1537" s="3">
        <v>21.11994932</v>
      </c>
      <c r="K1537" s="3">
        <v>0.124595241</v>
      </c>
      <c r="L1537" s="3">
        <v>0.19584839000000001</v>
      </c>
      <c r="M1537" s="3">
        <v>0.27163796200000001</v>
      </c>
      <c r="N1537" s="3">
        <v>0.225084862</v>
      </c>
      <c r="O1537" s="3">
        <v>8.9636389999999996E-2</v>
      </c>
      <c r="P1537" s="3">
        <v>0.144420989</v>
      </c>
      <c r="Q1537" s="3">
        <v>0.21798626099999999</v>
      </c>
      <c r="R1537" s="3">
        <v>0.71942065499999996</v>
      </c>
      <c r="S1537" s="3">
        <v>1.195344054</v>
      </c>
      <c r="T1537" s="3">
        <v>1.4318946880000001</v>
      </c>
      <c r="U1537" s="3">
        <v>0.58879798299999997</v>
      </c>
      <c r="V1537" s="3">
        <v>0.34025559100000002</v>
      </c>
      <c r="W1537" s="3">
        <v>0.79142279500000001</v>
      </c>
      <c r="X1537" s="3">
        <v>4.9513981359999999</v>
      </c>
      <c r="Y1537" s="3">
        <v>5.798268975</v>
      </c>
      <c r="Z1537" s="3">
        <v>2.4318946879999999</v>
      </c>
      <c r="AA1537" s="3">
        <v>0.19584839000000001</v>
      </c>
      <c r="AB1537" s="3">
        <v>0.881689524</v>
      </c>
      <c r="AC1537" s="3">
        <v>6.2563249000000001</v>
      </c>
      <c r="AD1537" s="3">
        <v>0.14699579199999999</v>
      </c>
      <c r="AE1537" s="3">
        <v>21.476937270000001</v>
      </c>
      <c r="AF1537" s="4">
        <v>42487</v>
      </c>
      <c r="AG1537" s="5">
        <f>YEAR(AF1537)</f>
        <v>2016</v>
      </c>
      <c r="AH1537" s="5" t="str">
        <f>"Q"&amp;ROUNDUP(MONTH(AF1537)/3,0)</f>
        <v>Q2</v>
      </c>
      <c r="AI1537" s="5">
        <f>INDEX(RatingLookup!$B$2:$B$11,MATCH(A1537,RatingLookup!$A$2:$A$11,0))</f>
        <v>7</v>
      </c>
      <c r="AJ1537" s="5" t="str">
        <f>INDEX(RatingLookup!$C$2:$C$11,MATCH(A1537,RatingLookup!$A$2:$A$11,0))</f>
        <v>Investment Grade</v>
      </c>
    </row>
    <row r="1538" spans="1:36" x14ac:dyDescent="0.3">
      <c r="A1538" s="3" t="s">
        <v>92</v>
      </c>
      <c r="B1538" s="3" t="s">
        <v>1623</v>
      </c>
      <c r="C1538" s="3" t="s">
        <v>1624</v>
      </c>
      <c r="D1538" s="3" t="s">
        <v>47</v>
      </c>
      <c r="E1538" s="3" t="s">
        <v>379</v>
      </c>
      <c r="F1538" s="3" t="s">
        <v>59</v>
      </c>
      <c r="G1538" s="3">
        <v>8.6647183850000005</v>
      </c>
      <c r="H1538" s="3">
        <v>5.1168969180000001</v>
      </c>
      <c r="I1538" s="3">
        <v>3.044633369</v>
      </c>
      <c r="J1538" s="3">
        <v>37.34358194</v>
      </c>
      <c r="K1538" s="3">
        <v>6.6948241000000006E-2</v>
      </c>
      <c r="L1538" s="3">
        <v>0.10123560400000001</v>
      </c>
      <c r="M1538" s="3">
        <v>0.19948057399999999</v>
      </c>
      <c r="N1538" s="3">
        <v>0.15079094400000001</v>
      </c>
      <c r="O1538" s="3">
        <v>3.8261442999999999E-2</v>
      </c>
      <c r="P1538" s="3">
        <v>5.9536850000000002E-2</v>
      </c>
      <c r="Q1538" s="3">
        <v>0.124305894</v>
      </c>
      <c r="R1538" s="3">
        <v>0.57150781900000003</v>
      </c>
      <c r="S1538" s="3">
        <v>0.88669458000000001</v>
      </c>
      <c r="T1538" s="3">
        <v>2.2488553339999999</v>
      </c>
      <c r="U1538" s="3">
        <v>0.692199283</v>
      </c>
      <c r="V1538" s="3">
        <v>0.34724021799999999</v>
      </c>
      <c r="W1538" s="3">
        <v>0.77891543399999996</v>
      </c>
      <c r="X1538" s="3">
        <v>5.314359638</v>
      </c>
      <c r="Y1538" s="3">
        <v>7.4126778780000002</v>
      </c>
      <c r="Z1538" s="3">
        <v>3.2488553339999999</v>
      </c>
      <c r="AA1538" s="3">
        <v>0.10123560400000001</v>
      </c>
      <c r="AB1538" s="3">
        <v>2.8564478179999999</v>
      </c>
      <c r="AC1538" s="3">
        <v>6.8227684350000004</v>
      </c>
      <c r="AD1538" s="3">
        <v>0.13835620000000001</v>
      </c>
      <c r="AE1538" s="3">
        <v>16.2141339</v>
      </c>
      <c r="AF1538" s="4">
        <v>41423</v>
      </c>
      <c r="AG1538" s="5">
        <f>YEAR(AF1538)</f>
        <v>2013</v>
      </c>
      <c r="AH1538" s="5" t="str">
        <f>"Q"&amp;ROUNDUP(MONTH(AF1538)/3,0)</f>
        <v>Q2</v>
      </c>
      <c r="AI1538" s="5">
        <f>INDEX(RatingLookup!$B$2:$B$11,MATCH(A1538,RatingLookup!$A$2:$A$11,0))</f>
        <v>6</v>
      </c>
      <c r="AJ1538" s="5" t="str">
        <f>INDEX(RatingLookup!$C$2:$C$11,MATCH(A1538,RatingLookup!$A$2:$A$11,0))</f>
        <v>Speculative Grade</v>
      </c>
    </row>
    <row r="1539" spans="1:36" x14ac:dyDescent="0.3">
      <c r="A1539" s="3" t="s">
        <v>42</v>
      </c>
      <c r="B1539" s="3" t="s">
        <v>1626</v>
      </c>
      <c r="C1539" s="3" t="s">
        <v>1627</v>
      </c>
      <c r="D1539" s="3" t="s">
        <v>47</v>
      </c>
      <c r="E1539" s="3" t="s">
        <v>1443</v>
      </c>
      <c r="F1539" s="3" t="s">
        <v>59</v>
      </c>
      <c r="G1539" s="3">
        <v>1.2590868900000001</v>
      </c>
      <c r="H1539" s="3">
        <v>1.0457170250000001</v>
      </c>
      <c r="I1539" s="3">
        <v>0.155273036</v>
      </c>
      <c r="J1539" s="3">
        <v>65.297516950000002</v>
      </c>
      <c r="K1539" s="3">
        <v>-7.3276126999999996E-2</v>
      </c>
      <c r="L1539" s="3">
        <v>-6.8517730999999998E-2</v>
      </c>
      <c r="M1539" s="3">
        <v>-0.113489957</v>
      </c>
      <c r="N1539" s="3">
        <v>-6.5117790999999994E-2</v>
      </c>
      <c r="O1539" s="3">
        <v>-7.5629944000000005E-2</v>
      </c>
      <c r="P1539" s="3">
        <v>-0.11862484299999999</v>
      </c>
      <c r="Q1539" s="3">
        <v>-0.209452521</v>
      </c>
      <c r="R1539" s="3">
        <v>1.0321225679999999</v>
      </c>
      <c r="S1539" s="3">
        <v>11.81007505</v>
      </c>
      <c r="T1539" s="3">
        <v>1.769439046</v>
      </c>
      <c r="U1539" s="3">
        <v>0.63891604599999996</v>
      </c>
      <c r="V1539" s="3">
        <v>-6.4204404000000007E-2</v>
      </c>
      <c r="W1539" s="3">
        <v>-8.8768147820000003</v>
      </c>
      <c r="X1539" s="3">
        <v>-0.40250154599999999</v>
      </c>
      <c r="Y1539" s="3">
        <v>7.2497556300000001</v>
      </c>
      <c r="Z1539" s="3">
        <v>2.769439046</v>
      </c>
      <c r="AA1539" s="3">
        <v>-6.8517730999999998E-2</v>
      </c>
      <c r="AB1539" s="3">
        <v>-133.90185159999999</v>
      </c>
      <c r="AC1539" s="3">
        <v>4.5343015E-2</v>
      </c>
      <c r="AD1539" s="3">
        <v>1.440191E-3</v>
      </c>
      <c r="AE1539" s="3">
        <v>6.3385205019999997</v>
      </c>
      <c r="AF1539" s="4">
        <v>42636</v>
      </c>
      <c r="AG1539" s="5">
        <f>YEAR(AF1539)</f>
        <v>2016</v>
      </c>
      <c r="AH1539" s="5" t="str">
        <f>"Q"&amp;ROUNDUP(MONTH(AF1539)/3,0)</f>
        <v>Q3</v>
      </c>
      <c r="AI1539" s="5">
        <f>INDEX(RatingLookup!$B$2:$B$11,MATCH(A1539,RatingLookup!$A$2:$A$11,0))</f>
        <v>7</v>
      </c>
      <c r="AJ1539" s="5" t="str">
        <f>INDEX(RatingLookup!$C$2:$C$11,MATCH(A1539,RatingLookup!$A$2:$A$11,0))</f>
        <v>Investment Grade</v>
      </c>
    </row>
    <row r="1540" spans="1:36" x14ac:dyDescent="0.3">
      <c r="A1540" s="3" t="s">
        <v>42</v>
      </c>
      <c r="B1540" s="3" t="s">
        <v>1626</v>
      </c>
      <c r="C1540" s="3" t="s">
        <v>1627</v>
      </c>
      <c r="D1540" s="3" t="s">
        <v>47</v>
      </c>
      <c r="E1540" s="3" t="s">
        <v>586</v>
      </c>
      <c r="F1540" s="3" t="s">
        <v>59</v>
      </c>
      <c r="G1540" s="3">
        <v>1.7389559299999999</v>
      </c>
      <c r="H1540" s="3">
        <v>1.3438730560000001</v>
      </c>
      <c r="I1540" s="3">
        <v>0.50189514199999996</v>
      </c>
      <c r="J1540" s="3">
        <v>100.5459584</v>
      </c>
      <c r="K1540" s="3">
        <v>-1.7851603000000001E-2</v>
      </c>
      <c r="L1540" s="3">
        <v>-3.4491924E-2</v>
      </c>
      <c r="M1540" s="3">
        <v>0.147394835</v>
      </c>
      <c r="N1540" s="3">
        <v>-3.1396425999999998E-2</v>
      </c>
      <c r="O1540" s="3">
        <v>-1.7492288000000002E-2</v>
      </c>
      <c r="P1540" s="3">
        <v>-4.9359043999999998E-2</v>
      </c>
      <c r="Q1540" s="3">
        <v>-3.8647455999999997E-2</v>
      </c>
      <c r="R1540" s="3">
        <v>0.97987213100000004</v>
      </c>
      <c r="S1540" s="3">
        <v>10.9883316</v>
      </c>
      <c r="T1540" s="3">
        <v>1.2079034399999999</v>
      </c>
      <c r="U1540" s="3">
        <v>0.54671116200000003</v>
      </c>
      <c r="V1540" s="3">
        <v>0.48244108000000002</v>
      </c>
      <c r="W1540" s="3">
        <v>1.6388292600000001</v>
      </c>
      <c r="X1540" s="3">
        <v>-7.4245204610000002</v>
      </c>
      <c r="Y1540" s="3">
        <v>46.11491427</v>
      </c>
      <c r="Z1540" s="3">
        <v>2.2093996300000001</v>
      </c>
      <c r="AA1540" s="3">
        <v>-3.4160840999999997E-2</v>
      </c>
      <c r="AB1540" s="3">
        <v>13.17880399</v>
      </c>
      <c r="AC1540" s="3">
        <v>-4.5303807059999999</v>
      </c>
      <c r="AD1540" s="3">
        <v>-1.6301162000000001E-2</v>
      </c>
      <c r="AE1540" s="3">
        <v>7.8888459959999997</v>
      </c>
      <c r="AF1540" s="4">
        <v>41904</v>
      </c>
      <c r="AG1540" s="5">
        <f>YEAR(AF1540)</f>
        <v>2014</v>
      </c>
      <c r="AH1540" s="5" t="str">
        <f>"Q"&amp;ROUNDUP(MONTH(AF1540)/3,0)</f>
        <v>Q3</v>
      </c>
      <c r="AI1540" s="5">
        <f>INDEX(RatingLookup!$B$2:$B$11,MATCH(A1540,RatingLookup!$A$2:$A$11,0))</f>
        <v>7</v>
      </c>
      <c r="AJ1540" s="5" t="str">
        <f>INDEX(RatingLookup!$C$2:$C$11,MATCH(A1540,RatingLookup!$A$2:$A$11,0))</f>
        <v>Investment Grade</v>
      </c>
    </row>
    <row r="1541" spans="1:36" x14ac:dyDescent="0.3">
      <c r="A1541" s="3" t="s">
        <v>42</v>
      </c>
      <c r="B1541" s="3" t="s">
        <v>1626</v>
      </c>
      <c r="C1541" s="3" t="s">
        <v>1627</v>
      </c>
      <c r="D1541" s="3" t="s">
        <v>47</v>
      </c>
      <c r="E1541" s="3" t="s">
        <v>1628</v>
      </c>
      <c r="F1541" s="3" t="s">
        <v>59</v>
      </c>
      <c r="G1541" s="3">
        <v>1.7425501290000001</v>
      </c>
      <c r="H1541" s="3">
        <v>1.5507435620000001</v>
      </c>
      <c r="I1541" s="3">
        <v>0.65055793900000003</v>
      </c>
      <c r="J1541" s="3">
        <v>60.492592309999999</v>
      </c>
      <c r="K1541" s="3">
        <v>1.0892308999999999E-2</v>
      </c>
      <c r="L1541" s="3">
        <v>1.1497785E-2</v>
      </c>
      <c r="M1541" s="3">
        <v>0.175358719</v>
      </c>
      <c r="N1541" s="3">
        <v>1.2440142E-2</v>
      </c>
      <c r="O1541" s="3">
        <v>1.150961E-2</v>
      </c>
      <c r="P1541" s="3">
        <v>1.8339955000000002E-2</v>
      </c>
      <c r="Q1541" s="3">
        <v>2.5599566000000001E-2</v>
      </c>
      <c r="R1541" s="3">
        <v>1.056673151</v>
      </c>
      <c r="S1541" s="3">
        <v>12.05964301</v>
      </c>
      <c r="T1541" s="3">
        <v>1.2241904589999999</v>
      </c>
      <c r="U1541" s="3">
        <v>0.55039821499999997</v>
      </c>
      <c r="V1541" s="3">
        <v>0.18168770100000001</v>
      </c>
      <c r="W1541" s="3">
        <v>0.79226990799999997</v>
      </c>
      <c r="X1541" s="3">
        <v>2.5240118310000002</v>
      </c>
      <c r="Y1541" s="3">
        <v>10.830112570000001</v>
      </c>
      <c r="Z1541" s="3">
        <v>2.2241904589999999</v>
      </c>
      <c r="AA1541" s="3">
        <v>1.1497785E-2</v>
      </c>
      <c r="AB1541" s="3">
        <v>188.78620889999999</v>
      </c>
      <c r="AC1541" s="3">
        <v>3.185797929</v>
      </c>
      <c r="AD1541" s="3">
        <v>9.6966645000000004E-2</v>
      </c>
      <c r="AE1541" s="3">
        <v>8.2727521839999998</v>
      </c>
      <c r="AF1541" s="4">
        <v>42270</v>
      </c>
      <c r="AG1541" s="5">
        <f>YEAR(AF1541)</f>
        <v>2015</v>
      </c>
      <c r="AH1541" s="5" t="str">
        <f>"Q"&amp;ROUNDUP(MONTH(AF1541)/3,0)</f>
        <v>Q3</v>
      </c>
      <c r="AI1541" s="5">
        <f>INDEX(RatingLookup!$B$2:$B$11,MATCH(A1541,RatingLookup!$A$2:$A$11,0))</f>
        <v>7</v>
      </c>
      <c r="AJ1541" s="5" t="str">
        <f>INDEX(RatingLookup!$C$2:$C$11,MATCH(A1541,RatingLookup!$A$2:$A$11,0))</f>
        <v>Investment Grade</v>
      </c>
    </row>
    <row r="1542" spans="1:36" x14ac:dyDescent="0.3">
      <c r="A1542" s="3" t="s">
        <v>36</v>
      </c>
      <c r="B1542" s="3" t="s">
        <v>1629</v>
      </c>
      <c r="C1542" s="3" t="s">
        <v>1630</v>
      </c>
      <c r="D1542" s="3" t="s">
        <v>39</v>
      </c>
      <c r="E1542" s="3" t="s">
        <v>1256</v>
      </c>
      <c r="F1542" s="3" t="s">
        <v>113</v>
      </c>
      <c r="G1542" s="3">
        <v>0.99436071000000004</v>
      </c>
      <c r="H1542" s="3">
        <v>1.0702461919999999</v>
      </c>
      <c r="I1542" s="3">
        <v>8.0499447000000002E-2</v>
      </c>
      <c r="J1542" s="3">
        <v>31.23128281</v>
      </c>
      <c r="K1542" s="3">
        <v>6.8199016000000001E-2</v>
      </c>
      <c r="L1542" s="3">
        <v>0.111759948</v>
      </c>
      <c r="M1542" s="3">
        <v>0.28951054799999998</v>
      </c>
      <c r="N1542" s="3">
        <v>0.11564999099999999</v>
      </c>
      <c r="O1542" s="3">
        <v>0.115494016</v>
      </c>
      <c r="P1542" s="3">
        <v>0.23781302100000001</v>
      </c>
      <c r="Q1542" s="3">
        <v>0.22004138600000001</v>
      </c>
      <c r="R1542" s="3">
        <v>1.693485066</v>
      </c>
      <c r="S1542" s="3">
        <v>13.825112020000001</v>
      </c>
      <c r="T1542" s="3">
        <v>0.90521894000000003</v>
      </c>
      <c r="U1542" s="3">
        <v>0.47512594000000002</v>
      </c>
      <c r="V1542" s="3">
        <v>0.38977229400000002</v>
      </c>
      <c r="W1542" s="3">
        <v>0.60490211199999999</v>
      </c>
      <c r="X1542" s="3">
        <v>3.8862802209999998</v>
      </c>
      <c r="Y1542" s="3">
        <v>3.6865132539999999</v>
      </c>
      <c r="Z1542" s="3">
        <v>1.9052189399999999</v>
      </c>
      <c r="AA1542" s="3">
        <v>0.111759948</v>
      </c>
      <c r="AB1542" s="3">
        <v>9.0877701020000003</v>
      </c>
      <c r="AC1542" s="3">
        <v>6.4246431690000003</v>
      </c>
      <c r="AD1542" s="3">
        <v>7.5726404999999997E-2</v>
      </c>
      <c r="AE1542" s="3">
        <v>22.085273969999999</v>
      </c>
      <c r="AF1542" s="4">
        <v>42144</v>
      </c>
      <c r="AG1542" s="5">
        <f>YEAR(AF1542)</f>
        <v>2015</v>
      </c>
      <c r="AH1542" s="5" t="str">
        <f>"Q"&amp;ROUNDUP(MONTH(AF1542)/3,0)</f>
        <v>Q2</v>
      </c>
      <c r="AI1542" s="5">
        <f>INDEX(RatingLookup!$B$2:$B$11,MATCH(A1542,RatingLookup!$A$2:$A$11,0))</f>
        <v>8</v>
      </c>
      <c r="AJ1542" s="5" t="str">
        <f>INDEX(RatingLookup!$C$2:$C$11,MATCH(A1542,RatingLookup!$A$2:$A$11,0))</f>
        <v>Investment Grade</v>
      </c>
    </row>
    <row r="1543" spans="1:36" x14ac:dyDescent="0.3">
      <c r="A1543" s="3" t="s">
        <v>36</v>
      </c>
      <c r="B1543" s="3" t="s">
        <v>1629</v>
      </c>
      <c r="C1543" s="3" t="s">
        <v>1630</v>
      </c>
      <c r="D1543" s="3" t="s">
        <v>39</v>
      </c>
      <c r="E1543" s="3" t="s">
        <v>573</v>
      </c>
      <c r="F1543" s="3" t="s">
        <v>113</v>
      </c>
      <c r="G1543" s="3">
        <v>0.61721055199999997</v>
      </c>
      <c r="H1543" s="3">
        <v>0.60071815900000003</v>
      </c>
      <c r="I1543" s="3">
        <v>0.23192650300000001</v>
      </c>
      <c r="J1543" s="3">
        <v>23.70010804</v>
      </c>
      <c r="K1543" s="3">
        <v>5.4641913E-2</v>
      </c>
      <c r="L1543" s="3">
        <v>8.7615127000000001E-2</v>
      </c>
      <c r="M1543" s="3">
        <v>0.28621856600000001</v>
      </c>
      <c r="N1543" s="3">
        <v>9.4382836999999997E-2</v>
      </c>
      <c r="O1543" s="3">
        <v>8.6412569999999994E-2</v>
      </c>
      <c r="P1543" s="3">
        <v>0.23376532699999999</v>
      </c>
      <c r="Q1543" s="3">
        <v>0.17203992100000001</v>
      </c>
      <c r="R1543" s="3">
        <v>1.5814338349999999</v>
      </c>
      <c r="S1543" s="3">
        <v>15.20444301</v>
      </c>
      <c r="T1543" s="3">
        <v>0.99091314100000005</v>
      </c>
      <c r="U1543" s="3">
        <v>0.49771791700000001</v>
      </c>
      <c r="V1543" s="3">
        <v>0.37634156800000002</v>
      </c>
      <c r="W1543" s="3">
        <v>0.80560435399999997</v>
      </c>
      <c r="X1543" s="3">
        <v>6.677454805</v>
      </c>
      <c r="Y1543" s="3">
        <v>6.9719764819999996</v>
      </c>
      <c r="Z1543" s="3">
        <v>1.9909131410000001</v>
      </c>
      <c r="AA1543" s="3">
        <v>8.7615127000000001E-2</v>
      </c>
      <c r="AB1543" s="3">
        <v>9.8514823469999993</v>
      </c>
      <c r="AC1543" s="3">
        <v>8.2887521290000006</v>
      </c>
      <c r="AD1543" s="3">
        <v>0.106731695</v>
      </c>
      <c r="AE1543" s="3">
        <v>24.15843671</v>
      </c>
      <c r="AF1543" s="4">
        <v>41778</v>
      </c>
      <c r="AG1543" s="5">
        <f>YEAR(AF1543)</f>
        <v>2014</v>
      </c>
      <c r="AH1543" s="5" t="str">
        <f>"Q"&amp;ROUNDUP(MONTH(AF1543)/3,0)</f>
        <v>Q2</v>
      </c>
      <c r="AI1543" s="5">
        <f>INDEX(RatingLookup!$B$2:$B$11,MATCH(A1543,RatingLookup!$A$2:$A$11,0))</f>
        <v>8</v>
      </c>
      <c r="AJ1543" s="5" t="str">
        <f>INDEX(RatingLookup!$C$2:$C$11,MATCH(A1543,RatingLookup!$A$2:$A$11,0))</f>
        <v>Investment Grade</v>
      </c>
    </row>
    <row r="1544" spans="1:36" x14ac:dyDescent="0.3">
      <c r="A1544" s="3" t="s">
        <v>36</v>
      </c>
      <c r="B1544" s="3" t="s">
        <v>1629</v>
      </c>
      <c r="C1544" s="3" t="s">
        <v>1630</v>
      </c>
      <c r="D1544" s="3" t="s">
        <v>39</v>
      </c>
      <c r="E1544" s="3" t="s">
        <v>204</v>
      </c>
      <c r="F1544" s="3" t="s">
        <v>113</v>
      </c>
      <c r="G1544" s="3">
        <v>0.880188635</v>
      </c>
      <c r="H1544" s="3">
        <v>0.99494560399999998</v>
      </c>
      <c r="I1544" s="3">
        <v>8.5953915000000006E-2</v>
      </c>
      <c r="J1544" s="3">
        <v>25.13018761</v>
      </c>
      <c r="K1544" s="3">
        <v>7.1449305000000005E-2</v>
      </c>
      <c r="L1544" s="3">
        <v>0.116708177</v>
      </c>
      <c r="M1544" s="3">
        <v>0.29531005799999999</v>
      </c>
      <c r="N1544" s="3">
        <v>0.119514989</v>
      </c>
      <c r="O1544" s="3">
        <v>0.12938022499999999</v>
      </c>
      <c r="P1544" s="3">
        <v>0.26450647500000002</v>
      </c>
      <c r="Q1544" s="3">
        <v>0.21485310399999999</v>
      </c>
      <c r="R1544" s="3">
        <v>1.810797524</v>
      </c>
      <c r="S1544" s="3">
        <v>13.1497657</v>
      </c>
      <c r="T1544" s="3">
        <v>0.66063325500000003</v>
      </c>
      <c r="U1544" s="3">
        <v>0.39782008000000002</v>
      </c>
      <c r="V1544" s="3">
        <v>0.38779521</v>
      </c>
      <c r="W1544" s="3">
        <v>0.74265306099999995</v>
      </c>
      <c r="X1544" s="3">
        <v>7.5497925309999996</v>
      </c>
      <c r="Y1544" s="3">
        <v>3.8060462359999998</v>
      </c>
      <c r="Z1544" s="3">
        <v>1.660633255</v>
      </c>
      <c r="AA1544" s="3">
        <v>0.116708177</v>
      </c>
      <c r="AB1544" s="3">
        <v>11.078265719999999</v>
      </c>
      <c r="AC1544" s="3">
        <v>10.165975100000001</v>
      </c>
      <c r="AD1544" s="3">
        <v>0.111119174</v>
      </c>
      <c r="AE1544" s="3">
        <v>24.89094862</v>
      </c>
      <c r="AF1544" s="4">
        <v>42305</v>
      </c>
      <c r="AG1544" s="5">
        <f>YEAR(AF1544)</f>
        <v>2015</v>
      </c>
      <c r="AH1544" s="5" t="str">
        <f>"Q"&amp;ROUNDUP(MONTH(AF1544)/3,0)</f>
        <v>Q4</v>
      </c>
      <c r="AI1544" s="5">
        <f>INDEX(RatingLookup!$B$2:$B$11,MATCH(A1544,RatingLookup!$A$2:$A$11,0))</f>
        <v>8</v>
      </c>
      <c r="AJ1544" s="5" t="str">
        <f>INDEX(RatingLookup!$C$2:$C$11,MATCH(A1544,RatingLookup!$A$2:$A$11,0))</f>
        <v>Investment Grade</v>
      </c>
    </row>
    <row r="1545" spans="1:36" x14ac:dyDescent="0.3">
      <c r="A1545" s="3" t="s">
        <v>92</v>
      </c>
      <c r="B1545" s="3" t="s">
        <v>1631</v>
      </c>
      <c r="C1545" s="3" t="s">
        <v>1632</v>
      </c>
      <c r="D1545" s="3" t="s">
        <v>47</v>
      </c>
      <c r="E1545" s="3" t="s">
        <v>1633</v>
      </c>
      <c r="F1545" s="3" t="s">
        <v>215</v>
      </c>
      <c r="G1545" s="3">
        <v>1.49178744</v>
      </c>
      <c r="H1545" s="3">
        <v>0.92512077299999995</v>
      </c>
      <c r="I1545" s="3">
        <v>0.24685990299999999</v>
      </c>
      <c r="J1545" s="3">
        <v>77.751479290000006</v>
      </c>
      <c r="K1545" s="3">
        <v>2.8978911E-2</v>
      </c>
      <c r="L1545" s="3">
        <v>2.0785919999999999E-2</v>
      </c>
      <c r="M1545" s="3">
        <v>0.67334243699999996</v>
      </c>
      <c r="N1545" s="3">
        <v>5.3557882000000001E-2</v>
      </c>
      <c r="O1545" s="3">
        <v>2.2191240000000001E-2</v>
      </c>
      <c r="P1545" s="3">
        <v>2.0957626E-2</v>
      </c>
      <c r="Q1545" s="3">
        <v>0.10208444699999999</v>
      </c>
      <c r="R1545" s="3">
        <v>0.76577204600000004</v>
      </c>
      <c r="S1545" s="3">
        <v>16.64393939</v>
      </c>
      <c r="T1545" s="3">
        <v>3.6002137890000001</v>
      </c>
      <c r="U1545" s="3">
        <v>0.78261879899999998</v>
      </c>
      <c r="V1545" s="3">
        <v>-0.350364964</v>
      </c>
      <c r="W1545" s="3">
        <v>0.77480916</v>
      </c>
      <c r="X1545" s="3">
        <v>2.4181060150000002</v>
      </c>
      <c r="Y1545" s="3">
        <v>3.0434782610000002</v>
      </c>
      <c r="Z1545" s="3">
        <v>4.6002137889999997</v>
      </c>
      <c r="AA1545" s="3">
        <v>2.0785919999999999E-2</v>
      </c>
      <c r="AB1545" s="3">
        <v>11.63682889</v>
      </c>
      <c r="AC1545" s="3">
        <v>3.1209053010000001</v>
      </c>
      <c r="AD1545" s="3">
        <v>7.9502351999999998E-2</v>
      </c>
      <c r="AE1545" s="3">
        <v>3.0238764040000001</v>
      </c>
      <c r="AF1545" s="4">
        <v>42097</v>
      </c>
      <c r="AG1545" s="5">
        <f>YEAR(AF1545)</f>
        <v>2015</v>
      </c>
      <c r="AH1545" s="5" t="str">
        <f>"Q"&amp;ROUNDUP(MONTH(AF1545)/3,0)</f>
        <v>Q2</v>
      </c>
      <c r="AI1545" s="5">
        <f>INDEX(RatingLookup!$B$2:$B$11,MATCH(A1545,RatingLookup!$A$2:$A$11,0))</f>
        <v>6</v>
      </c>
      <c r="AJ1545" s="5" t="str">
        <f>INDEX(RatingLookup!$C$2:$C$11,MATCH(A1545,RatingLookup!$A$2:$A$11,0))</f>
        <v>Speculative Grade</v>
      </c>
    </row>
    <row r="1546" spans="1:36" x14ac:dyDescent="0.3">
      <c r="A1546" s="3" t="s">
        <v>92</v>
      </c>
      <c r="B1546" s="3" t="s">
        <v>1631</v>
      </c>
      <c r="C1546" s="3" t="s">
        <v>1632</v>
      </c>
      <c r="D1546" s="3" t="s">
        <v>47</v>
      </c>
      <c r="E1546" s="3" t="s">
        <v>426</v>
      </c>
      <c r="F1546" s="3" t="s">
        <v>215</v>
      </c>
      <c r="G1546" s="3">
        <v>2.3067517280000001</v>
      </c>
      <c r="H1546" s="3">
        <v>1.584795322</v>
      </c>
      <c r="I1546" s="3">
        <v>0.28070175400000003</v>
      </c>
      <c r="J1546" s="3">
        <v>79.819532910000007</v>
      </c>
      <c r="K1546" s="3">
        <v>7.2350154999999999E-2</v>
      </c>
      <c r="L1546" s="3">
        <v>9.0478524000000005E-2</v>
      </c>
      <c r="M1546" s="3">
        <v>0.64853829799999996</v>
      </c>
      <c r="N1546" s="3">
        <v>0.10877021100000001</v>
      </c>
      <c r="O1546" s="3">
        <v>5.4637394999999998E-2</v>
      </c>
      <c r="P1546" s="3">
        <v>8.8967400000000002E-2</v>
      </c>
      <c r="Q1546" s="3">
        <v>0.250423968</v>
      </c>
      <c r="R1546" s="3">
        <v>0.75518006900000001</v>
      </c>
      <c r="S1546" s="3">
        <v>17.394886360000001</v>
      </c>
      <c r="T1546" s="3">
        <v>3.5833804410000001</v>
      </c>
      <c r="U1546" s="3">
        <v>0.78182042399999996</v>
      </c>
      <c r="V1546" s="3">
        <v>0.176895307</v>
      </c>
      <c r="W1546" s="3">
        <v>0.58718861200000005</v>
      </c>
      <c r="X1546" s="3">
        <v>0.99758161999999995</v>
      </c>
      <c r="Y1546" s="3">
        <v>9.9274486090000007</v>
      </c>
      <c r="Z1546" s="3">
        <v>4.5833804410000001</v>
      </c>
      <c r="AA1546" s="3">
        <v>9.0478524000000005E-2</v>
      </c>
      <c r="AB1546" s="3">
        <v>9.9516018309999996</v>
      </c>
      <c r="AC1546" s="3">
        <v>1.698911729</v>
      </c>
      <c r="AD1546" s="3">
        <v>4.5892535999999998E-2</v>
      </c>
      <c r="AE1546" s="3">
        <v>3.2119402990000001</v>
      </c>
      <c r="AF1546" s="4">
        <v>41500</v>
      </c>
      <c r="AG1546" s="5">
        <f>YEAR(AF1546)</f>
        <v>2013</v>
      </c>
      <c r="AH1546" s="5" t="str">
        <f>"Q"&amp;ROUNDUP(MONTH(AF1546)/3,0)</f>
        <v>Q3</v>
      </c>
      <c r="AI1546" s="5">
        <f>INDEX(RatingLookup!$B$2:$B$11,MATCH(A1546,RatingLookup!$A$2:$A$11,0))</f>
        <v>6</v>
      </c>
      <c r="AJ1546" s="5" t="str">
        <f>INDEX(RatingLookup!$C$2:$C$11,MATCH(A1546,RatingLookup!$A$2:$A$11,0))</f>
        <v>Speculative Grade</v>
      </c>
    </row>
    <row r="1547" spans="1:36" x14ac:dyDescent="0.3">
      <c r="A1547" s="3" t="s">
        <v>109</v>
      </c>
      <c r="B1547" s="3" t="s">
        <v>1631</v>
      </c>
      <c r="C1547" s="3" t="s">
        <v>1632</v>
      </c>
      <c r="D1547" s="3" t="s">
        <v>60</v>
      </c>
      <c r="E1547" s="3" t="s">
        <v>139</v>
      </c>
      <c r="F1547" s="3" t="s">
        <v>215</v>
      </c>
      <c r="G1547" s="3">
        <v>1.431218417</v>
      </c>
      <c r="H1547" s="3">
        <v>0.88658057300000004</v>
      </c>
      <c r="I1547" s="3">
        <v>0.184166199</v>
      </c>
      <c r="J1547" s="3">
        <v>71.648360269999998</v>
      </c>
      <c r="K1547" s="3">
        <v>-2.7930330999999999E-2</v>
      </c>
      <c r="L1547" s="3">
        <v>-1.4906637E-2</v>
      </c>
      <c r="M1547" s="3">
        <v>0.67487839299999997</v>
      </c>
      <c r="N1547" s="3">
        <v>2.1183115999999998E-2</v>
      </c>
      <c r="O1547" s="3">
        <v>-2.3313687E-2</v>
      </c>
      <c r="P1547" s="3">
        <v>-1.6228220000000002E-2</v>
      </c>
      <c r="Q1547" s="3">
        <v>-0.24722222199999999</v>
      </c>
      <c r="R1547" s="3">
        <v>0.83470857899999995</v>
      </c>
      <c r="S1547" s="3">
        <v>19.791925469999999</v>
      </c>
      <c r="T1547" s="3">
        <v>9.6041666669999994</v>
      </c>
      <c r="U1547" s="3">
        <v>0.90569744600000002</v>
      </c>
      <c r="V1547" s="3">
        <v>-0.57894736800000002</v>
      </c>
      <c r="W1547" s="3">
        <v>0.88399412600000005</v>
      </c>
      <c r="X1547" s="3">
        <v>3.5918854420000002</v>
      </c>
      <c r="Y1547" s="3">
        <v>1.957040573</v>
      </c>
      <c r="Z1547" s="3">
        <v>10.60416667</v>
      </c>
      <c r="AA1547" s="3">
        <v>-1.4906637E-2</v>
      </c>
      <c r="AB1547" s="3">
        <v>14.67400451</v>
      </c>
      <c r="AC1547" s="3">
        <v>4.0632458229999999</v>
      </c>
      <c r="AD1547" s="3">
        <v>0.10685705299999999</v>
      </c>
      <c r="AE1547" s="3">
        <v>3.153729072</v>
      </c>
      <c r="AF1547" s="4">
        <v>42320</v>
      </c>
      <c r="AG1547" s="5">
        <f>YEAR(AF1547)</f>
        <v>2015</v>
      </c>
      <c r="AH1547" s="5" t="str">
        <f>"Q"&amp;ROUNDUP(MONTH(AF1547)/3,0)</f>
        <v>Q4</v>
      </c>
      <c r="AI1547" s="5">
        <f>INDEX(RatingLookup!$B$2:$B$11,MATCH(A1547,RatingLookup!$A$2:$A$11,0))</f>
        <v>5</v>
      </c>
      <c r="AJ1547" s="5" t="str">
        <f>INDEX(RatingLookup!$C$2:$C$11,MATCH(A1547,RatingLookup!$A$2:$A$11,0))</f>
        <v>Speculative Grade</v>
      </c>
    </row>
    <row r="1548" spans="1:36" x14ac:dyDescent="0.3">
      <c r="A1548" s="3" t="s">
        <v>92</v>
      </c>
      <c r="B1548" s="3" t="s">
        <v>1631</v>
      </c>
      <c r="C1548" s="3" t="s">
        <v>1632</v>
      </c>
      <c r="D1548" s="3" t="s">
        <v>60</v>
      </c>
      <c r="E1548" s="3" t="s">
        <v>1634</v>
      </c>
      <c r="F1548" s="3" t="s">
        <v>215</v>
      </c>
      <c r="G1548" s="3">
        <v>1.955223881</v>
      </c>
      <c r="H1548" s="3">
        <v>1.2370838120000001</v>
      </c>
      <c r="I1548" s="3">
        <v>0.61366245699999999</v>
      </c>
      <c r="J1548" s="3">
        <v>69.178010470000004</v>
      </c>
      <c r="K1548" s="3">
        <v>2.5479930000000001E-2</v>
      </c>
      <c r="L1548" s="3">
        <v>3.1762653000000002E-2</v>
      </c>
      <c r="M1548" s="3">
        <v>0.620069808</v>
      </c>
      <c r="N1548" s="3">
        <v>4.0488655999999998E-2</v>
      </c>
      <c r="O1548" s="3">
        <v>2.291634E-2</v>
      </c>
      <c r="P1548" s="3">
        <v>3.9317347000000002E-2</v>
      </c>
      <c r="Q1548" s="3">
        <v>0.11708099399999999</v>
      </c>
      <c r="R1548" s="3">
        <v>0.89938785099999996</v>
      </c>
      <c r="S1548" s="3">
        <v>18.6038961</v>
      </c>
      <c r="T1548" s="3">
        <v>4.1090617480000002</v>
      </c>
      <c r="U1548" s="3">
        <v>0.80426934500000002</v>
      </c>
      <c r="V1548" s="3">
        <v>0.23076923099999999</v>
      </c>
      <c r="W1548" s="3">
        <v>1.4444444439999999</v>
      </c>
      <c r="X1548" s="3">
        <v>-1.632140615</v>
      </c>
      <c r="Y1548" s="3">
        <v>6.7106089139999998</v>
      </c>
      <c r="Z1548" s="3">
        <v>5.1090617480000002</v>
      </c>
      <c r="AA1548" s="3">
        <v>3.1762653000000002E-2</v>
      </c>
      <c r="AB1548" s="3">
        <v>13.08903769</v>
      </c>
      <c r="AC1548" s="3">
        <v>-1.129943503</v>
      </c>
      <c r="AD1548" s="3">
        <v>-3.1413613E-2</v>
      </c>
      <c r="AE1548" s="3">
        <v>3.563011457</v>
      </c>
      <c r="AF1548" s="4">
        <v>41159</v>
      </c>
      <c r="AG1548" s="5">
        <f>YEAR(AF1548)</f>
        <v>2012</v>
      </c>
      <c r="AH1548" s="5" t="str">
        <f>"Q"&amp;ROUNDUP(MONTH(AF1548)/3,0)</f>
        <v>Q3</v>
      </c>
      <c r="AI1548" s="5">
        <f>INDEX(RatingLookup!$B$2:$B$11,MATCH(A1548,RatingLookup!$A$2:$A$11,0))</f>
        <v>6</v>
      </c>
      <c r="AJ1548" s="5" t="str">
        <f>INDEX(RatingLookup!$C$2:$C$11,MATCH(A1548,RatingLookup!$A$2:$A$11,0))</f>
        <v>Speculative Grade</v>
      </c>
    </row>
    <row r="1549" spans="1:36" x14ac:dyDescent="0.3">
      <c r="A1549" s="3" t="s">
        <v>92</v>
      </c>
      <c r="B1549" s="3" t="s">
        <v>1631</v>
      </c>
      <c r="C1549" s="3" t="s">
        <v>1632</v>
      </c>
      <c r="D1549" s="3" t="s">
        <v>47</v>
      </c>
      <c r="E1549" s="3" t="s">
        <v>610</v>
      </c>
      <c r="F1549" s="3" t="s">
        <v>215</v>
      </c>
      <c r="G1549" s="3">
        <v>1.4030534349999999</v>
      </c>
      <c r="H1549" s="3">
        <v>0.90585241699999997</v>
      </c>
      <c r="I1549" s="3">
        <v>0.25343511499999999</v>
      </c>
      <c r="J1549" s="3">
        <v>71.516124099999999</v>
      </c>
      <c r="K1549" s="3">
        <v>4.1265475000000003E-2</v>
      </c>
      <c r="L1549" s="3">
        <v>5.7924498999999997E-2</v>
      </c>
      <c r="M1549" s="3">
        <v>0.67874063900000003</v>
      </c>
      <c r="N1549" s="3">
        <v>9.1548219E-2</v>
      </c>
      <c r="O1549" s="3">
        <v>3.5188323000000001E-2</v>
      </c>
      <c r="P1549" s="3">
        <v>6.6398038000000006E-2</v>
      </c>
      <c r="Q1549" s="3">
        <v>0.388489209</v>
      </c>
      <c r="R1549" s="3">
        <v>0.852730353</v>
      </c>
      <c r="S1549" s="3">
        <v>22.797909409999999</v>
      </c>
      <c r="T1549" s="3">
        <v>10.040287770000001</v>
      </c>
      <c r="U1549" s="3">
        <v>0.90942265099999997</v>
      </c>
      <c r="V1549" s="3">
        <v>0.24274406300000001</v>
      </c>
      <c r="W1549" s="3">
        <v>0.91834451900000003</v>
      </c>
      <c r="X1549" s="3">
        <v>6.5366242039999998</v>
      </c>
      <c r="Y1549" s="3">
        <v>3.9649681530000001</v>
      </c>
      <c r="Z1549" s="3">
        <v>11.040287770000001</v>
      </c>
      <c r="AA1549" s="3">
        <v>5.7924498999999997E-2</v>
      </c>
      <c r="AB1549" s="3">
        <v>8.3613149520000007</v>
      </c>
      <c r="AC1549" s="3">
        <v>7.117834395</v>
      </c>
      <c r="AD1549" s="3">
        <v>0.13663457100000001</v>
      </c>
      <c r="AE1549" s="3">
        <v>2.6914212549999998</v>
      </c>
      <c r="AF1549" s="4">
        <v>42718</v>
      </c>
      <c r="AG1549" s="5">
        <f>YEAR(AF1549)</f>
        <v>2016</v>
      </c>
      <c r="AH1549" s="5" t="str">
        <f>"Q"&amp;ROUNDUP(MONTH(AF1549)/3,0)</f>
        <v>Q4</v>
      </c>
      <c r="AI1549" s="5">
        <f>INDEX(RatingLookup!$B$2:$B$11,MATCH(A1549,RatingLookup!$A$2:$A$11,0))</f>
        <v>6</v>
      </c>
      <c r="AJ1549" s="5" t="str">
        <f>INDEX(RatingLookup!$C$2:$C$11,MATCH(A1549,RatingLookup!$A$2:$A$11,0))</f>
        <v>Speculative Grade</v>
      </c>
    </row>
    <row r="1550" spans="1:36" x14ac:dyDescent="0.3">
      <c r="A1550" s="3" t="s">
        <v>42</v>
      </c>
      <c r="B1550" s="3" t="s">
        <v>1635</v>
      </c>
      <c r="C1550" s="3" t="s">
        <v>1636</v>
      </c>
      <c r="D1550" s="3" t="s">
        <v>39</v>
      </c>
      <c r="E1550" s="3" t="s">
        <v>463</v>
      </c>
      <c r="F1550" s="3" t="s">
        <v>174</v>
      </c>
      <c r="G1550" s="3">
        <v>0.58626558500000003</v>
      </c>
      <c r="H1550" s="3">
        <v>0.44985269999999999</v>
      </c>
      <c r="I1550" s="3">
        <v>0.14223897599999999</v>
      </c>
      <c r="J1550" s="3">
        <v>88.045332610000003</v>
      </c>
      <c r="K1550" s="3">
        <v>2.2600988999999998E-2</v>
      </c>
      <c r="L1550" s="3">
        <v>8.5663263000000003E-2</v>
      </c>
      <c r="M1550" s="3">
        <v>0.34042710599999998</v>
      </c>
      <c r="N1550" s="3">
        <v>0.18756365899999999</v>
      </c>
      <c r="O1550" s="3">
        <v>1.021446E-2</v>
      </c>
      <c r="P1550" s="3">
        <v>0.108118823</v>
      </c>
      <c r="Q1550" s="3">
        <v>3.3528197000000003E-2</v>
      </c>
      <c r="R1550" s="3">
        <v>0.45194745400000003</v>
      </c>
      <c r="S1550" s="3">
        <v>3.1507535739999999</v>
      </c>
      <c r="T1550" s="3">
        <v>2.135379403</v>
      </c>
      <c r="U1550" s="3">
        <v>0.65054935199999997</v>
      </c>
      <c r="V1550" s="3">
        <v>0.73616473999999998</v>
      </c>
      <c r="W1550" s="3">
        <v>0.68550815700000001</v>
      </c>
      <c r="X1550" s="3">
        <v>3.679280629</v>
      </c>
      <c r="Y1550" s="3">
        <v>2.1411369910000002</v>
      </c>
      <c r="Z1550" s="3">
        <v>3.2824249160000001</v>
      </c>
      <c r="AA1550" s="3">
        <v>0.154445689</v>
      </c>
      <c r="AB1550" s="3">
        <v>5.593078931</v>
      </c>
      <c r="AC1550" s="3">
        <v>5.3672309939999998</v>
      </c>
      <c r="AD1550" s="3">
        <v>0.279596811</v>
      </c>
      <c r="AE1550" s="3">
        <v>2.0261257320000001</v>
      </c>
      <c r="AF1550" s="4">
        <v>41852</v>
      </c>
      <c r="AG1550" s="5">
        <f>YEAR(AF1550)</f>
        <v>2014</v>
      </c>
      <c r="AH1550" s="5" t="str">
        <f>"Q"&amp;ROUNDUP(MONTH(AF1550)/3,0)</f>
        <v>Q3</v>
      </c>
      <c r="AI1550" s="5">
        <f>INDEX(RatingLookup!$B$2:$B$11,MATCH(A1550,RatingLookup!$A$2:$A$11,0))</f>
        <v>7</v>
      </c>
      <c r="AJ1550" s="5" t="str">
        <f>INDEX(RatingLookup!$C$2:$C$11,MATCH(A1550,RatingLookup!$A$2:$A$11,0))</f>
        <v>Investment Grade</v>
      </c>
    </row>
    <row r="1551" spans="1:36" x14ac:dyDescent="0.3">
      <c r="A1551" s="3" t="s">
        <v>92</v>
      </c>
      <c r="B1551" s="3" t="s">
        <v>1635</v>
      </c>
      <c r="C1551" s="3" t="s">
        <v>1636</v>
      </c>
      <c r="D1551" s="3" t="s">
        <v>39</v>
      </c>
      <c r="E1551" s="3" t="s">
        <v>1324</v>
      </c>
      <c r="F1551" s="3" t="s">
        <v>174</v>
      </c>
      <c r="G1551" s="3">
        <v>2.247307706</v>
      </c>
      <c r="H1551" s="3">
        <v>0.72028258499999998</v>
      </c>
      <c r="I1551" s="3">
        <v>0.56737924699999998</v>
      </c>
      <c r="J1551" s="3">
        <v>0</v>
      </c>
      <c r="K1551" s="3">
        <v>6.0967184000000001E-2</v>
      </c>
      <c r="L1551" s="3">
        <v>0.119968906</v>
      </c>
      <c r="M1551" s="3">
        <v>0.32184825</v>
      </c>
      <c r="N1551" s="3">
        <v>0.17860087899999999</v>
      </c>
      <c r="O1551" s="3">
        <v>1.5447354E-2</v>
      </c>
      <c r="P1551" s="3">
        <v>3.2796411999999997E-2</v>
      </c>
      <c r="Q1551" s="3">
        <v>7.7372178999999999E-2</v>
      </c>
      <c r="R1551" s="3">
        <v>0.25337162000000002</v>
      </c>
      <c r="S1551" s="3">
        <v>10.95191848</v>
      </c>
      <c r="T1551" s="3">
        <v>3.8932804619999999</v>
      </c>
      <c r="U1551" s="3">
        <v>0.77729337799999998</v>
      </c>
      <c r="V1551" s="3">
        <v>0.49180845299999998</v>
      </c>
      <c r="W1551" s="3">
        <v>1</v>
      </c>
      <c r="X1551" s="3">
        <v>4.535077749</v>
      </c>
      <c r="Y1551" s="3">
        <v>4.5961688260000004</v>
      </c>
      <c r="Z1551" s="3">
        <v>5.0087657669999999</v>
      </c>
      <c r="AA1551" s="3">
        <v>0.119968906</v>
      </c>
      <c r="AB1551" s="3">
        <v>2.7494298779999999</v>
      </c>
      <c r="AC1551" s="3">
        <v>4.535077749</v>
      </c>
      <c r="AD1551" s="3">
        <v>0.20524076199999999</v>
      </c>
      <c r="AE1551" s="3">
        <v>2.4550252399999999</v>
      </c>
      <c r="AF1551" s="4">
        <v>42333</v>
      </c>
      <c r="AG1551" s="5">
        <f>YEAR(AF1551)</f>
        <v>2015</v>
      </c>
      <c r="AH1551" s="5" t="str">
        <f>"Q"&amp;ROUNDUP(MONTH(AF1551)/3,0)</f>
        <v>Q4</v>
      </c>
      <c r="AI1551" s="5">
        <f>INDEX(RatingLookup!$B$2:$B$11,MATCH(A1551,RatingLookup!$A$2:$A$11,0))</f>
        <v>6</v>
      </c>
      <c r="AJ1551" s="5" t="str">
        <f>INDEX(RatingLookup!$C$2:$C$11,MATCH(A1551,RatingLookup!$A$2:$A$11,0))</f>
        <v>Speculative Grade</v>
      </c>
    </row>
    <row r="1552" spans="1:36" x14ac:dyDescent="0.3">
      <c r="A1552" s="3" t="s">
        <v>92</v>
      </c>
      <c r="B1552" s="3" t="s">
        <v>1637</v>
      </c>
      <c r="C1552" s="3" t="s">
        <v>1638</v>
      </c>
      <c r="D1552" s="3" t="s">
        <v>47</v>
      </c>
      <c r="E1552" s="3" t="s">
        <v>315</v>
      </c>
      <c r="F1552" s="3" t="s">
        <v>96</v>
      </c>
      <c r="G1552" s="3">
        <v>1.666603872</v>
      </c>
      <c r="H1552" s="3">
        <v>1.4525402949999999</v>
      </c>
      <c r="I1552" s="3">
        <v>0.76542344600000001</v>
      </c>
      <c r="J1552" s="3">
        <v>70.530573709999999</v>
      </c>
      <c r="K1552" s="3">
        <v>-5.9555618999999997E-2</v>
      </c>
      <c r="L1552" s="3">
        <v>-4.1670809000000003E-2</v>
      </c>
      <c r="M1552" s="3">
        <v>0.57026382399999997</v>
      </c>
      <c r="N1552" s="3">
        <v>2.8433522999999999E-2</v>
      </c>
      <c r="O1552" s="3">
        <v>-2.0591386999999999E-2</v>
      </c>
      <c r="P1552" s="3">
        <v>-1.6227592999999998E-2</v>
      </c>
      <c r="Q1552" s="3">
        <v>-5.0771392999999998E-2</v>
      </c>
      <c r="R1552" s="3">
        <v>0.34575053100000003</v>
      </c>
      <c r="S1552" s="3">
        <v>10.38206089</v>
      </c>
      <c r="T1552" s="3">
        <v>1.4656616570000001</v>
      </c>
      <c r="U1552" s="3">
        <v>0.59442934999999997</v>
      </c>
      <c r="V1552" s="3">
        <v>-0.42919276299999998</v>
      </c>
      <c r="W1552" s="3">
        <v>0.88096444299999999</v>
      </c>
      <c r="X1552" s="3">
        <v>1.354889789</v>
      </c>
      <c r="Y1552" s="3">
        <v>1.692866245</v>
      </c>
      <c r="Z1552" s="3">
        <v>2.4656616570000001</v>
      </c>
      <c r="AA1552" s="3">
        <v>-4.1670809000000003E-2</v>
      </c>
      <c r="AB1552" s="3">
        <v>24.598398759999998</v>
      </c>
      <c r="AC1552" s="3">
        <v>1.5379619470000001</v>
      </c>
      <c r="AD1552" s="3">
        <v>0.25248195899999998</v>
      </c>
      <c r="AE1552" s="3">
        <v>14.667096730000001</v>
      </c>
      <c r="AF1552" s="4">
        <v>42338</v>
      </c>
      <c r="AG1552" s="5">
        <f>YEAR(AF1552)</f>
        <v>2015</v>
      </c>
      <c r="AH1552" s="5" t="str">
        <f>"Q"&amp;ROUNDUP(MONTH(AF1552)/3,0)</f>
        <v>Q4</v>
      </c>
      <c r="AI1552" s="5">
        <f>INDEX(RatingLookup!$B$2:$B$11,MATCH(A1552,RatingLookup!$A$2:$A$11,0))</f>
        <v>6</v>
      </c>
      <c r="AJ1552" s="5" t="str">
        <f>INDEX(RatingLookup!$C$2:$C$11,MATCH(A1552,RatingLookup!$A$2:$A$11,0))</f>
        <v>Speculative Grade</v>
      </c>
    </row>
    <row r="1553" spans="1:36" x14ac:dyDescent="0.3">
      <c r="A1553" s="3" t="s">
        <v>92</v>
      </c>
      <c r="B1553" s="3" t="s">
        <v>1637</v>
      </c>
      <c r="C1553" s="3" t="s">
        <v>1638</v>
      </c>
      <c r="D1553" s="3" t="s">
        <v>47</v>
      </c>
      <c r="E1553" s="3" t="s">
        <v>1639</v>
      </c>
      <c r="F1553" s="3" t="s">
        <v>96</v>
      </c>
      <c r="G1553" s="3">
        <v>1.763444494</v>
      </c>
      <c r="H1553" s="3">
        <v>1.566372259</v>
      </c>
      <c r="I1553" s="3">
        <v>1.171024386</v>
      </c>
      <c r="J1553" s="3">
        <v>84.296970229999999</v>
      </c>
      <c r="K1553" s="3">
        <v>0.12542165999999999</v>
      </c>
      <c r="L1553" s="3">
        <v>3.9540807999999997E-2</v>
      </c>
      <c r="M1553" s="3">
        <v>0.63371135099999998</v>
      </c>
      <c r="N1553" s="3">
        <v>7.6406485999999996E-2</v>
      </c>
      <c r="O1553" s="3">
        <v>3.5718843E-2</v>
      </c>
      <c r="P1553" s="3">
        <v>1.3508121E-2</v>
      </c>
      <c r="Q1553" s="3">
        <v>7.5921570999999993E-2</v>
      </c>
      <c r="R1553" s="3">
        <v>0.28479006899999998</v>
      </c>
      <c r="S1553" s="3">
        <v>14.220719170000001</v>
      </c>
      <c r="T1553" s="3">
        <v>1.125532754</v>
      </c>
      <c r="U1553" s="3">
        <v>0.52952971500000001</v>
      </c>
      <c r="V1553" s="3">
        <v>-2.1719549169999999</v>
      </c>
      <c r="W1553" s="3">
        <v>0.866997605</v>
      </c>
      <c r="X1553" s="3">
        <v>1.3385372639999999</v>
      </c>
      <c r="Y1553" s="3">
        <v>3.6875585480000002</v>
      </c>
      <c r="Z1553" s="3">
        <v>2.125532754</v>
      </c>
      <c r="AA1553" s="3">
        <v>3.9540807999999997E-2</v>
      </c>
      <c r="AB1553" s="3">
        <v>24.258889199999999</v>
      </c>
      <c r="AC1553" s="3">
        <v>1.543876542</v>
      </c>
      <c r="AD1553" s="3">
        <v>0.28640413100000001</v>
      </c>
      <c r="AE1553" s="3">
        <v>5.3440845970000002</v>
      </c>
      <c r="AF1553" s="4">
        <v>41324</v>
      </c>
      <c r="AG1553" s="5">
        <f>YEAR(AF1553)</f>
        <v>2013</v>
      </c>
      <c r="AH1553" s="5" t="str">
        <f>"Q"&amp;ROUNDUP(MONTH(AF1553)/3,0)</f>
        <v>Q1</v>
      </c>
      <c r="AI1553" s="5">
        <f>INDEX(RatingLookup!$B$2:$B$11,MATCH(A1553,RatingLookup!$A$2:$A$11,0))</f>
        <v>6</v>
      </c>
      <c r="AJ1553" s="5" t="str">
        <f>INDEX(RatingLookup!$C$2:$C$11,MATCH(A1553,RatingLookup!$A$2:$A$11,0))</f>
        <v>Speculative Grade</v>
      </c>
    </row>
    <row r="1554" spans="1:36" x14ac:dyDescent="0.3">
      <c r="A1554" s="3" t="s">
        <v>92</v>
      </c>
      <c r="B1554" s="3" t="s">
        <v>1637</v>
      </c>
      <c r="C1554" s="3" t="s">
        <v>1638</v>
      </c>
      <c r="D1554" s="3" t="s">
        <v>47</v>
      </c>
      <c r="E1554" s="3" t="s">
        <v>1107</v>
      </c>
      <c r="F1554" s="3" t="s">
        <v>96</v>
      </c>
      <c r="G1554" s="3">
        <v>1.503244324</v>
      </c>
      <c r="H1554" s="3">
        <v>1.3901655669999999</v>
      </c>
      <c r="I1554" s="3">
        <v>0.69709175999999995</v>
      </c>
      <c r="J1554" s="3">
        <v>71.168990969999996</v>
      </c>
      <c r="K1554" s="3">
        <v>-6.3923139999999996E-3</v>
      </c>
      <c r="L1554" s="3">
        <v>8.9229700000000001E-4</v>
      </c>
      <c r="M1554" s="3">
        <v>0.57437594400000003</v>
      </c>
      <c r="N1554" s="3">
        <v>7.1077422000000001E-2</v>
      </c>
      <c r="O1554" s="3">
        <v>-2.2004889999999999E-3</v>
      </c>
      <c r="P1554" s="3">
        <v>3.49859E-4</v>
      </c>
      <c r="Q1554" s="3">
        <v>-6.4504769999999996E-3</v>
      </c>
      <c r="R1554" s="3">
        <v>0.34423974699999998</v>
      </c>
      <c r="S1554" s="3">
        <v>10.524996079999999</v>
      </c>
      <c r="T1554" s="3">
        <v>1.931384072</v>
      </c>
      <c r="U1554" s="3">
        <v>0.65886421699999997</v>
      </c>
      <c r="V1554" s="3">
        <v>8.1638872920000001</v>
      </c>
      <c r="W1554" s="3">
        <v>0.90299843599999996</v>
      </c>
      <c r="X1554" s="3">
        <v>1.7489259880000001</v>
      </c>
      <c r="Y1554" s="3">
        <v>1.9869988940000001</v>
      </c>
      <c r="Z1554" s="3">
        <v>2.9313840720000002</v>
      </c>
      <c r="AA1554" s="3">
        <v>8.9229700000000001E-4</v>
      </c>
      <c r="AB1554" s="3">
        <v>16.478086340000001</v>
      </c>
      <c r="AC1554" s="3">
        <v>1.936798469</v>
      </c>
      <c r="AD1554" s="3">
        <v>0.290314603</v>
      </c>
      <c r="AE1554" s="3">
        <v>8.7685916339999999</v>
      </c>
      <c r="AF1554" s="4">
        <v>42712</v>
      </c>
      <c r="AG1554" s="5">
        <f>YEAR(AF1554)</f>
        <v>2016</v>
      </c>
      <c r="AH1554" s="5" t="str">
        <f>"Q"&amp;ROUNDUP(MONTH(AF1554)/3,0)</f>
        <v>Q4</v>
      </c>
      <c r="AI1554" s="5">
        <f>INDEX(RatingLookup!$B$2:$B$11,MATCH(A1554,RatingLookup!$A$2:$A$11,0))</f>
        <v>6</v>
      </c>
      <c r="AJ1554" s="5" t="str">
        <f>INDEX(RatingLookup!$C$2:$C$11,MATCH(A1554,RatingLookup!$A$2:$A$11,0))</f>
        <v>Speculative Grade</v>
      </c>
    </row>
    <row r="1555" spans="1:36" x14ac:dyDescent="0.3">
      <c r="A1555" s="3" t="s">
        <v>92</v>
      </c>
      <c r="B1555" s="3" t="s">
        <v>1637</v>
      </c>
      <c r="C1555" s="3" t="s">
        <v>1638</v>
      </c>
      <c r="D1555" s="3" t="s">
        <v>47</v>
      </c>
      <c r="E1555" s="3" t="s">
        <v>349</v>
      </c>
      <c r="F1555" s="3" t="s">
        <v>96</v>
      </c>
      <c r="G1555" s="3">
        <v>1.8138375010000001</v>
      </c>
      <c r="H1555" s="3">
        <v>1.5832644090000001</v>
      </c>
      <c r="I1555" s="3">
        <v>0.85237122799999998</v>
      </c>
      <c r="J1555" s="3">
        <v>81.269078339999993</v>
      </c>
      <c r="K1555" s="3">
        <v>-7.8163155999999998E-2</v>
      </c>
      <c r="L1555" s="3">
        <v>-0.11696060899999999</v>
      </c>
      <c r="M1555" s="3">
        <v>0.56102858899999997</v>
      </c>
      <c r="N1555" s="3">
        <v>-1.1106599999999999E-2</v>
      </c>
      <c r="O1555" s="3">
        <v>-2.5830869999999999E-2</v>
      </c>
      <c r="P1555" s="3">
        <v>-4.3444583000000002E-2</v>
      </c>
      <c r="Q1555" s="3">
        <v>-5.8227524000000003E-2</v>
      </c>
      <c r="R1555" s="3">
        <v>0.33047373600000002</v>
      </c>
      <c r="S1555" s="3">
        <v>10.04880075</v>
      </c>
      <c r="T1555" s="3">
        <v>1.254183592</v>
      </c>
      <c r="U1555" s="3">
        <v>0.55638041000000005</v>
      </c>
      <c r="V1555" s="3">
        <v>2.0789623E-2</v>
      </c>
      <c r="W1555" s="3">
        <v>0.83166967800000002</v>
      </c>
      <c r="X1555" s="3">
        <v>0.93981119199999996</v>
      </c>
      <c r="Y1555" s="3">
        <v>1.8559078170000001</v>
      </c>
      <c r="Z1555" s="3">
        <v>2.254183592</v>
      </c>
      <c r="AA1555" s="3">
        <v>-0.11696060899999999</v>
      </c>
      <c r="AB1555" s="3">
        <v>31.361023889999998</v>
      </c>
      <c r="AC1555" s="3">
        <v>1.1300294070000001</v>
      </c>
      <c r="AD1555" s="3">
        <v>0.18620022</v>
      </c>
      <c r="AE1555" s="3">
        <v>13.671308290000001</v>
      </c>
      <c r="AF1555" s="4">
        <v>42067</v>
      </c>
      <c r="AG1555" s="5">
        <f>YEAR(AF1555)</f>
        <v>2015</v>
      </c>
      <c r="AH1555" s="5" t="str">
        <f>"Q"&amp;ROUNDUP(MONTH(AF1555)/3,0)</f>
        <v>Q1</v>
      </c>
      <c r="AI1555" s="5">
        <f>INDEX(RatingLookup!$B$2:$B$11,MATCH(A1555,RatingLookup!$A$2:$A$11,0))</f>
        <v>6</v>
      </c>
      <c r="AJ1555" s="5" t="str">
        <f>INDEX(RatingLookup!$C$2:$C$11,MATCH(A1555,RatingLookup!$A$2:$A$11,0))</f>
        <v>Speculative Grade</v>
      </c>
    </row>
    <row r="1556" spans="1:36" x14ac:dyDescent="0.3">
      <c r="A1556" s="3" t="s">
        <v>92</v>
      </c>
      <c r="B1556" s="3" t="s">
        <v>1637</v>
      </c>
      <c r="C1556" s="3" t="s">
        <v>1638</v>
      </c>
      <c r="D1556" s="3" t="s">
        <v>47</v>
      </c>
      <c r="E1556" s="3" t="s">
        <v>1580</v>
      </c>
      <c r="F1556" s="3" t="s">
        <v>96</v>
      </c>
      <c r="G1556" s="3">
        <v>1.750456389</v>
      </c>
      <c r="H1556" s="3">
        <v>1.5269933959999999</v>
      </c>
      <c r="I1556" s="3">
        <v>1.003581568</v>
      </c>
      <c r="J1556" s="3">
        <v>75.298898440000002</v>
      </c>
      <c r="K1556" s="3">
        <v>-6.2113569E-2</v>
      </c>
      <c r="L1556" s="3">
        <v>-0.112431607</v>
      </c>
      <c r="M1556" s="3">
        <v>0.58682764200000004</v>
      </c>
      <c r="N1556" s="3">
        <v>2.6131919E-2</v>
      </c>
      <c r="O1556" s="3">
        <v>-1.9339768E-2</v>
      </c>
      <c r="P1556" s="3">
        <v>-4.0476822000000003E-2</v>
      </c>
      <c r="Q1556" s="3">
        <v>-4.3683619999999999E-2</v>
      </c>
      <c r="R1556" s="3">
        <v>0.31136140499999998</v>
      </c>
      <c r="S1556" s="3">
        <v>12.93192765</v>
      </c>
      <c r="T1556" s="3">
        <v>1.258745784</v>
      </c>
      <c r="U1556" s="3">
        <v>0.55727642899999996</v>
      </c>
      <c r="V1556" s="3">
        <v>-8.8967936999999997E-2</v>
      </c>
      <c r="W1556" s="3">
        <v>0.85927444900000005</v>
      </c>
      <c r="X1556" s="3">
        <v>1.0823854310000001</v>
      </c>
      <c r="Y1556" s="3">
        <v>2.7005137330000002</v>
      </c>
      <c r="Z1556" s="3">
        <v>2.2587457839999998</v>
      </c>
      <c r="AA1556" s="3">
        <v>-0.112431607</v>
      </c>
      <c r="AB1556" s="3">
        <v>25.402585739999999</v>
      </c>
      <c r="AC1556" s="3">
        <v>1.2596504319999999</v>
      </c>
      <c r="AD1556" s="3">
        <v>0.21291137299999999</v>
      </c>
      <c r="AE1556" s="3">
        <v>8.4221455570000003</v>
      </c>
      <c r="AF1556" s="4">
        <v>41697</v>
      </c>
      <c r="AG1556" s="5">
        <f>YEAR(AF1556)</f>
        <v>2014</v>
      </c>
      <c r="AH1556" s="5" t="str">
        <f>"Q"&amp;ROUNDUP(MONTH(AF1556)/3,0)</f>
        <v>Q1</v>
      </c>
      <c r="AI1556" s="5">
        <f>INDEX(RatingLookup!$B$2:$B$11,MATCH(A1556,RatingLookup!$A$2:$A$11,0))</f>
        <v>6</v>
      </c>
      <c r="AJ1556" s="5" t="str">
        <f>INDEX(RatingLookup!$C$2:$C$11,MATCH(A1556,RatingLookup!$A$2:$A$11,0))</f>
        <v>Speculative Grade</v>
      </c>
    </row>
    <row r="1557" spans="1:36" x14ac:dyDescent="0.3">
      <c r="A1557" s="3" t="s">
        <v>92</v>
      </c>
      <c r="B1557" s="3" t="s">
        <v>1640</v>
      </c>
      <c r="C1557" s="3" t="s">
        <v>1641</v>
      </c>
      <c r="D1557" s="3" t="s">
        <v>47</v>
      </c>
      <c r="E1557" s="3" t="s">
        <v>1642</v>
      </c>
      <c r="F1557" s="3" t="s">
        <v>79</v>
      </c>
      <c r="G1557" s="3">
        <v>1.701090443</v>
      </c>
      <c r="H1557" s="3">
        <v>0.80158221100000004</v>
      </c>
      <c r="I1557" s="3">
        <v>0.44622621299999998</v>
      </c>
      <c r="J1557" s="3">
        <v>42.732130140000002</v>
      </c>
      <c r="K1557" s="3">
        <v>6.6373783000000006E-2</v>
      </c>
      <c r="L1557" s="3">
        <v>2.9921633999999999E-2</v>
      </c>
      <c r="M1557" s="3">
        <v>0.27725005899999999</v>
      </c>
      <c r="N1557" s="3">
        <v>4.1557825E-2</v>
      </c>
      <c r="O1557" s="3">
        <v>1.5913231999999999E-2</v>
      </c>
      <c r="P1557" s="3">
        <v>8.2755899999999993E-3</v>
      </c>
      <c r="Q1557" s="3">
        <v>5.3071300000000002E-2</v>
      </c>
      <c r="R1557" s="3">
        <v>0.23975176500000001</v>
      </c>
      <c r="S1557" s="3">
        <v>0.415531873</v>
      </c>
      <c r="T1557" s="3">
        <v>2.3350422480000002</v>
      </c>
      <c r="U1557" s="3">
        <v>0.70015372399999998</v>
      </c>
      <c r="V1557" s="3">
        <v>-1.2976190480000001</v>
      </c>
      <c r="W1557" s="3">
        <v>-1.956483899</v>
      </c>
      <c r="X1557" s="3">
        <v>-9.6896551720000001</v>
      </c>
      <c r="Y1557" s="3">
        <v>11.90948276</v>
      </c>
      <c r="Z1557" s="3">
        <v>3.3350422480000002</v>
      </c>
      <c r="AA1557" s="3">
        <v>2.9921633999999999E-2</v>
      </c>
      <c r="AB1557" s="3">
        <v>12.74968338</v>
      </c>
      <c r="AC1557" s="3">
        <v>4.9525862070000004</v>
      </c>
      <c r="AD1557" s="3">
        <v>0.136428402</v>
      </c>
      <c r="AE1557" s="3">
        <v>5.2025641030000003</v>
      </c>
      <c r="AF1557" s="4">
        <v>41163</v>
      </c>
      <c r="AG1557" s="5">
        <f>YEAR(AF1557)</f>
        <v>2012</v>
      </c>
      <c r="AH1557" s="5" t="str">
        <f>"Q"&amp;ROUNDUP(MONTH(AF1557)/3,0)</f>
        <v>Q3</v>
      </c>
      <c r="AI1557" s="5">
        <f>INDEX(RatingLookup!$B$2:$B$11,MATCH(A1557,RatingLookup!$A$2:$A$11,0))</f>
        <v>6</v>
      </c>
      <c r="AJ1557" s="5" t="str">
        <f>INDEX(RatingLookup!$C$2:$C$11,MATCH(A1557,RatingLookup!$A$2:$A$11,0))</f>
        <v>Speculative Grade</v>
      </c>
    </row>
    <row r="1558" spans="1:36" x14ac:dyDescent="0.3">
      <c r="A1558" s="3" t="s">
        <v>92</v>
      </c>
      <c r="B1558" s="3" t="s">
        <v>1643</v>
      </c>
      <c r="C1558" s="3" t="s">
        <v>1644</v>
      </c>
      <c r="D1558" s="3" t="s">
        <v>47</v>
      </c>
      <c r="E1558" s="3" t="s">
        <v>441</v>
      </c>
      <c r="F1558" s="3" t="s">
        <v>113</v>
      </c>
      <c r="G1558" s="3">
        <v>1.890279002</v>
      </c>
      <c r="H1558" s="3">
        <v>1.1477972670000001</v>
      </c>
      <c r="I1558" s="3">
        <v>0.68016122899999998</v>
      </c>
      <c r="J1558" s="3">
        <v>63.539876589999999</v>
      </c>
      <c r="K1558" s="3">
        <v>8.8948640999999995E-2</v>
      </c>
      <c r="L1558" s="3">
        <v>0.103597833</v>
      </c>
      <c r="M1558" s="3">
        <v>0.49458193900000003</v>
      </c>
      <c r="N1558" s="3">
        <v>0.137513994</v>
      </c>
      <c r="O1558" s="3">
        <v>3.5847173000000003E-2</v>
      </c>
      <c r="P1558" s="3">
        <v>4.9170552999999999E-2</v>
      </c>
      <c r="Q1558" s="3">
        <v>7.8849684000000003E-2</v>
      </c>
      <c r="R1558" s="3">
        <v>0.40300978399999998</v>
      </c>
      <c r="S1558" s="3">
        <v>5.204881866</v>
      </c>
      <c r="T1558" s="3">
        <v>1.1996067989999999</v>
      </c>
      <c r="U1558" s="3">
        <v>0.54537329099999998</v>
      </c>
      <c r="V1558" s="3">
        <v>0.13399533399999999</v>
      </c>
      <c r="W1558" s="3">
        <v>0.72341008699999998</v>
      </c>
      <c r="X1558" s="3">
        <v>4.045517577</v>
      </c>
      <c r="Y1558" s="3">
        <v>10.551003529999999</v>
      </c>
      <c r="Z1558" s="3">
        <v>2.1996067990000001</v>
      </c>
      <c r="AA1558" s="3">
        <v>0.103597833</v>
      </c>
      <c r="AB1558" s="3">
        <v>13.865682919999999</v>
      </c>
      <c r="AC1558" s="3">
        <v>5.5922880429999999</v>
      </c>
      <c r="AD1558" s="3">
        <v>0.13551549299999999</v>
      </c>
      <c r="AE1558" s="3">
        <v>11.912765569999999</v>
      </c>
      <c r="AF1558" s="4">
        <v>41775</v>
      </c>
      <c r="AG1558" s="5">
        <f>YEAR(AF1558)</f>
        <v>2014</v>
      </c>
      <c r="AH1558" s="5" t="str">
        <f>"Q"&amp;ROUNDUP(MONTH(AF1558)/3,0)</f>
        <v>Q2</v>
      </c>
      <c r="AI1558" s="5">
        <f>INDEX(RatingLookup!$B$2:$B$11,MATCH(A1558,RatingLookup!$A$2:$A$11,0))</f>
        <v>6</v>
      </c>
      <c r="AJ1558" s="5" t="str">
        <f>INDEX(RatingLookup!$C$2:$C$11,MATCH(A1558,RatingLookup!$A$2:$A$11,0))</f>
        <v>Speculative Grade</v>
      </c>
    </row>
    <row r="1559" spans="1:36" x14ac:dyDescent="0.3">
      <c r="A1559" s="3" t="s">
        <v>92</v>
      </c>
      <c r="B1559" s="3" t="s">
        <v>1643</v>
      </c>
      <c r="C1559" s="3" t="s">
        <v>1644</v>
      </c>
      <c r="D1559" s="3" t="s">
        <v>47</v>
      </c>
      <c r="E1559" s="3" t="s">
        <v>214</v>
      </c>
      <c r="F1559" s="3" t="s">
        <v>113</v>
      </c>
      <c r="G1559" s="3">
        <v>2.7672256960000001</v>
      </c>
      <c r="H1559" s="3">
        <v>1.9076105000000001</v>
      </c>
      <c r="I1559" s="3">
        <v>1.27158678</v>
      </c>
      <c r="J1559" s="3">
        <v>53.145615669999998</v>
      </c>
      <c r="K1559" s="3">
        <v>0.12707364500000001</v>
      </c>
      <c r="L1559" s="3">
        <v>0.13154253099999999</v>
      </c>
      <c r="M1559" s="3">
        <v>0.53328993599999996</v>
      </c>
      <c r="N1559" s="3">
        <v>0.17101091199999999</v>
      </c>
      <c r="O1559" s="3">
        <v>6.1003343000000002E-2</v>
      </c>
      <c r="P1559" s="3">
        <v>7.0945646000000001E-2</v>
      </c>
      <c r="Q1559" s="3">
        <v>0.111052684</v>
      </c>
      <c r="R1559" s="3">
        <v>0.48006290099999999</v>
      </c>
      <c r="S1559" s="3">
        <v>6.167161331</v>
      </c>
      <c r="T1559" s="3">
        <v>0.82043604800000003</v>
      </c>
      <c r="U1559" s="3">
        <v>0.45068106000000002</v>
      </c>
      <c r="V1559" s="3">
        <v>3.2857869999999997E-2</v>
      </c>
      <c r="W1559" s="3">
        <v>0.87058866499999998</v>
      </c>
      <c r="X1559" s="3">
        <v>8.2505481819999993</v>
      </c>
      <c r="Y1559" s="3">
        <v>12.55139065</v>
      </c>
      <c r="Z1559" s="3">
        <v>1.8204360479999999</v>
      </c>
      <c r="AA1559" s="3">
        <v>0.13154253099999999</v>
      </c>
      <c r="AB1559" s="3">
        <v>17.110327959999999</v>
      </c>
      <c r="AC1559" s="3">
        <v>9.4769763420000004</v>
      </c>
      <c r="AD1559" s="3">
        <v>0.21979874999999999</v>
      </c>
      <c r="AE1559" s="3">
        <v>12.562348699999999</v>
      </c>
      <c r="AF1559" s="4">
        <v>42706</v>
      </c>
      <c r="AG1559" s="5">
        <f>YEAR(AF1559)</f>
        <v>2016</v>
      </c>
      <c r="AH1559" s="5" t="str">
        <f>"Q"&amp;ROUNDUP(MONTH(AF1559)/3,0)</f>
        <v>Q4</v>
      </c>
      <c r="AI1559" s="5">
        <f>INDEX(RatingLookup!$B$2:$B$11,MATCH(A1559,RatingLookup!$A$2:$A$11,0))</f>
        <v>6</v>
      </c>
      <c r="AJ1559" s="5" t="str">
        <f>INDEX(RatingLookup!$C$2:$C$11,MATCH(A1559,RatingLookup!$A$2:$A$11,0))</f>
        <v>Speculative Grade</v>
      </c>
    </row>
    <row r="1560" spans="1:36" x14ac:dyDescent="0.3">
      <c r="A1560" s="3" t="s">
        <v>92</v>
      </c>
      <c r="B1560" s="3" t="s">
        <v>1643</v>
      </c>
      <c r="C1560" s="3" t="s">
        <v>1644</v>
      </c>
      <c r="D1560" s="3" t="s">
        <v>47</v>
      </c>
      <c r="E1560" s="3" t="s">
        <v>1645</v>
      </c>
      <c r="F1560" s="3" t="s">
        <v>113</v>
      </c>
      <c r="G1560" s="3">
        <v>1.5095438510000001</v>
      </c>
      <c r="H1560" s="3">
        <v>0.90133970900000004</v>
      </c>
      <c r="I1560" s="3">
        <v>0.50751448899999996</v>
      </c>
      <c r="J1560" s="3">
        <v>52.927208530000001</v>
      </c>
      <c r="K1560" s="3">
        <v>0.135306599</v>
      </c>
      <c r="L1560" s="3">
        <v>0.135186689</v>
      </c>
      <c r="M1560" s="3">
        <v>0.52185899199999997</v>
      </c>
      <c r="N1560" s="3">
        <v>0.17455531099999999</v>
      </c>
      <c r="O1560" s="3">
        <v>6.3133167000000004E-2</v>
      </c>
      <c r="P1560" s="3">
        <v>7.61709E-2</v>
      </c>
      <c r="Q1560" s="3">
        <v>0.121866527</v>
      </c>
      <c r="R1560" s="3">
        <v>0.46659340799999999</v>
      </c>
      <c r="S1560" s="3">
        <v>5.7246388269999997</v>
      </c>
      <c r="T1560" s="3">
        <v>0.93030908700000003</v>
      </c>
      <c r="U1560" s="3">
        <v>0.48194825000000002</v>
      </c>
      <c r="V1560" s="3">
        <v>3.2038128999999999E-2</v>
      </c>
      <c r="W1560" s="3">
        <v>0.79749939000000003</v>
      </c>
      <c r="X1560" s="3">
        <v>5.8231387459999997</v>
      </c>
      <c r="Y1560" s="3">
        <v>8.1456759230000007</v>
      </c>
      <c r="Z1560" s="3">
        <v>1.9303090869999999</v>
      </c>
      <c r="AA1560" s="3">
        <v>0.135186689</v>
      </c>
      <c r="AB1560" s="3">
        <v>14.429329750000001</v>
      </c>
      <c r="AC1560" s="3">
        <v>7.3017469559999997</v>
      </c>
      <c r="AD1560" s="3">
        <v>0.16767844200000001</v>
      </c>
      <c r="AE1560" s="3">
        <v>13.0501018</v>
      </c>
      <c r="AF1560" s="4">
        <v>42461</v>
      </c>
      <c r="AG1560" s="5">
        <f>YEAR(AF1560)</f>
        <v>2016</v>
      </c>
      <c r="AH1560" s="5" t="str">
        <f>"Q"&amp;ROUNDUP(MONTH(AF1560)/3,0)</f>
        <v>Q2</v>
      </c>
      <c r="AI1560" s="5">
        <f>INDEX(RatingLookup!$B$2:$B$11,MATCH(A1560,RatingLookup!$A$2:$A$11,0))</f>
        <v>6</v>
      </c>
      <c r="AJ1560" s="5" t="str">
        <f>INDEX(RatingLookup!$C$2:$C$11,MATCH(A1560,RatingLookup!$A$2:$A$11,0))</f>
        <v>Speculative Grade</v>
      </c>
    </row>
    <row r="1561" spans="1:36" x14ac:dyDescent="0.3">
      <c r="A1561" s="3" t="s">
        <v>109</v>
      </c>
      <c r="B1561" s="3" t="s">
        <v>1643</v>
      </c>
      <c r="C1561" s="3" t="s">
        <v>1644</v>
      </c>
      <c r="D1561" s="3" t="s">
        <v>60</v>
      </c>
      <c r="E1561" s="3" t="s">
        <v>46</v>
      </c>
      <c r="F1561" s="3" t="s">
        <v>113</v>
      </c>
      <c r="G1561" s="3">
        <v>4.724069858</v>
      </c>
      <c r="H1561" s="3">
        <v>3.2114078230000001</v>
      </c>
      <c r="I1561" s="3">
        <v>2.1552506020000002</v>
      </c>
      <c r="J1561" s="3">
        <v>68.331309020000006</v>
      </c>
      <c r="K1561" s="3">
        <v>0.21147666500000001</v>
      </c>
      <c r="L1561" s="3">
        <v>9.7260730000000004E-2</v>
      </c>
      <c r="M1561" s="3">
        <v>0.47016536599999997</v>
      </c>
      <c r="N1561" s="3">
        <v>0.21147666500000001</v>
      </c>
      <c r="O1561" s="3">
        <v>8.2395646000000003E-2</v>
      </c>
      <c r="P1561" s="3">
        <v>4.0706020000000002E-2</v>
      </c>
      <c r="Q1561" s="3">
        <v>0.16324899500000001</v>
      </c>
      <c r="R1561" s="3">
        <v>0.389620507</v>
      </c>
      <c r="S1561" s="3">
        <v>6.0692265550000002</v>
      </c>
      <c r="T1561" s="3">
        <v>0.98128182100000005</v>
      </c>
      <c r="U1561" s="3">
        <v>0.495276245</v>
      </c>
      <c r="V1561" s="3">
        <v>0.18156997499999999</v>
      </c>
      <c r="W1561" s="3">
        <v>0.56281392399999997</v>
      </c>
      <c r="X1561" s="3">
        <v>1.433125108</v>
      </c>
      <c r="Y1561" s="3">
        <v>14.42156984</v>
      </c>
      <c r="Z1561" s="3">
        <v>1.9812818210000001</v>
      </c>
      <c r="AA1561" s="3">
        <v>9.7260730000000004E-2</v>
      </c>
      <c r="AB1561" s="3">
        <v>6.7419688170000001</v>
      </c>
      <c r="AC1561" s="3">
        <v>2.5463568799999998</v>
      </c>
      <c r="AD1561" s="3">
        <v>6.7453239999999998E-2</v>
      </c>
      <c r="AE1561" s="3">
        <v>12.074017769999999</v>
      </c>
      <c r="AF1561" s="4">
        <v>41075</v>
      </c>
      <c r="AG1561" s="5">
        <f>YEAR(AF1561)</f>
        <v>2012</v>
      </c>
      <c r="AH1561" s="5" t="str">
        <f>"Q"&amp;ROUNDUP(MONTH(AF1561)/3,0)</f>
        <v>Q2</v>
      </c>
      <c r="AI1561" s="5">
        <f>INDEX(RatingLookup!$B$2:$B$11,MATCH(A1561,RatingLookup!$A$2:$A$11,0))</f>
        <v>5</v>
      </c>
      <c r="AJ1561" s="5" t="str">
        <f>INDEX(RatingLookup!$C$2:$C$11,MATCH(A1561,RatingLookup!$A$2:$A$11,0))</f>
        <v>Speculative Grade</v>
      </c>
    </row>
    <row r="1562" spans="1:36" x14ac:dyDescent="0.3">
      <c r="A1562" s="3" t="s">
        <v>92</v>
      </c>
      <c r="B1562" s="3" t="s">
        <v>1643</v>
      </c>
      <c r="C1562" s="3" t="s">
        <v>1644</v>
      </c>
      <c r="D1562" s="3" t="s">
        <v>47</v>
      </c>
      <c r="E1562" s="3" t="s">
        <v>910</v>
      </c>
      <c r="F1562" s="3" t="s">
        <v>113</v>
      </c>
      <c r="G1562" s="3">
        <v>1.658860701</v>
      </c>
      <c r="H1562" s="3">
        <v>0.91052277599999998</v>
      </c>
      <c r="I1562" s="3">
        <v>0.477612975</v>
      </c>
      <c r="J1562" s="3">
        <v>54.29950126</v>
      </c>
      <c r="K1562" s="3">
        <v>0.10200877</v>
      </c>
      <c r="L1562" s="3">
        <v>0.11963592300000001</v>
      </c>
      <c r="M1562" s="3">
        <v>0.51223589999999997</v>
      </c>
      <c r="N1562" s="3">
        <v>0.15483044100000001</v>
      </c>
      <c r="O1562" s="3">
        <v>4.7188072999999997E-2</v>
      </c>
      <c r="P1562" s="3">
        <v>6.5854744000000007E-2</v>
      </c>
      <c r="Q1562" s="3">
        <v>9.8193959999999997E-2</v>
      </c>
      <c r="R1562" s="3">
        <v>0.46258839299999999</v>
      </c>
      <c r="S1562" s="3">
        <v>5.7959330260000002</v>
      </c>
      <c r="T1562" s="3">
        <v>1.0809063320000001</v>
      </c>
      <c r="U1562" s="3">
        <v>0.51944016699999995</v>
      </c>
      <c r="V1562" s="3">
        <v>0.13016219200000001</v>
      </c>
      <c r="W1562" s="3">
        <v>0.767190025</v>
      </c>
      <c r="X1562" s="3">
        <v>5.3829231740000001</v>
      </c>
      <c r="Y1562" s="3">
        <v>7.35836194</v>
      </c>
      <c r="Z1562" s="3">
        <v>2.0809063320000001</v>
      </c>
      <c r="AA1562" s="3">
        <v>0.11963592300000001</v>
      </c>
      <c r="AB1562" s="3">
        <v>12.86071096</v>
      </c>
      <c r="AC1562" s="3">
        <v>7.0164144469999998</v>
      </c>
      <c r="AD1562" s="3">
        <v>0.15775407799999999</v>
      </c>
      <c r="AE1562" s="3">
        <v>14.000062399999999</v>
      </c>
      <c r="AF1562" s="4">
        <v>41913</v>
      </c>
      <c r="AG1562" s="5">
        <f>YEAR(AF1562)</f>
        <v>2014</v>
      </c>
      <c r="AH1562" s="5" t="str">
        <f>"Q"&amp;ROUNDUP(MONTH(AF1562)/3,0)</f>
        <v>Q4</v>
      </c>
      <c r="AI1562" s="5">
        <f>INDEX(RatingLookup!$B$2:$B$11,MATCH(A1562,RatingLookup!$A$2:$A$11,0))</f>
        <v>6</v>
      </c>
      <c r="AJ1562" s="5" t="str">
        <f>INDEX(RatingLookup!$C$2:$C$11,MATCH(A1562,RatingLookup!$A$2:$A$11,0))</f>
        <v>Speculative Grade</v>
      </c>
    </row>
    <row r="1563" spans="1:36" x14ac:dyDescent="0.3">
      <c r="A1563" s="3" t="s">
        <v>92</v>
      </c>
      <c r="B1563" s="3" t="s">
        <v>1646</v>
      </c>
      <c r="C1563" s="3" t="s">
        <v>1647</v>
      </c>
      <c r="D1563" s="3" t="s">
        <v>44</v>
      </c>
      <c r="E1563" s="3" t="s">
        <v>46</v>
      </c>
      <c r="F1563" s="3" t="s">
        <v>219</v>
      </c>
      <c r="G1563" s="3">
        <v>1.0925882069999999</v>
      </c>
      <c r="H1563" s="3">
        <v>0.66457494699999997</v>
      </c>
      <c r="I1563" s="3">
        <v>0.20246270399999999</v>
      </c>
      <c r="J1563" s="3">
        <v>53.81816603</v>
      </c>
      <c r="K1563" s="3">
        <v>3.3576470000000001E-3</v>
      </c>
      <c r="L1563" s="3">
        <v>0.12614333699999999</v>
      </c>
      <c r="M1563" s="3">
        <v>0.23931920800000001</v>
      </c>
      <c r="N1563" s="3">
        <v>0.12614333699999999</v>
      </c>
      <c r="O1563" s="3">
        <v>1.279421E-3</v>
      </c>
      <c r="P1563" s="3">
        <v>5.9072302E-2</v>
      </c>
      <c r="Q1563" s="3">
        <v>9.7544569999999994E-3</v>
      </c>
      <c r="R1563" s="3">
        <v>0.38104691899999998</v>
      </c>
      <c r="S1563" s="3">
        <v>0.67133030199999999</v>
      </c>
      <c r="T1563" s="3">
        <v>6.624117053</v>
      </c>
      <c r="U1563" s="3">
        <v>0.86883727099999997</v>
      </c>
      <c r="V1563" s="3">
        <v>0.29187700799999999</v>
      </c>
      <c r="W1563" s="3">
        <v>0.15742025000000001</v>
      </c>
      <c r="X1563" s="3">
        <v>0.58354755800000002</v>
      </c>
      <c r="Y1563" s="3">
        <v>3.9408740359999999</v>
      </c>
      <c r="Z1563" s="3">
        <v>7.624117053</v>
      </c>
      <c r="AA1563" s="3">
        <v>0.12614333699999999</v>
      </c>
      <c r="AB1563" s="3">
        <v>2.3857890149999998</v>
      </c>
      <c r="AC1563" s="3">
        <v>3.7069408739999998</v>
      </c>
      <c r="AD1563" s="3">
        <v>0.16695611899999999</v>
      </c>
      <c r="AE1563" s="3">
        <v>6.5049504950000001</v>
      </c>
      <c r="AF1563" s="4">
        <v>41075</v>
      </c>
      <c r="AG1563" s="5">
        <f>YEAR(AF1563)</f>
        <v>2012</v>
      </c>
      <c r="AH1563" s="5" t="str">
        <f>"Q"&amp;ROUNDUP(MONTH(AF1563)/3,0)</f>
        <v>Q2</v>
      </c>
      <c r="AI1563" s="5">
        <f>INDEX(RatingLookup!$B$2:$B$11,MATCH(A1563,RatingLookup!$A$2:$A$11,0))</f>
        <v>6</v>
      </c>
      <c r="AJ1563" s="5" t="str">
        <f>INDEX(RatingLookup!$C$2:$C$11,MATCH(A1563,RatingLookup!$A$2:$A$11,0))</f>
        <v>Speculative Grade</v>
      </c>
    </row>
    <row r="1564" spans="1:36" x14ac:dyDescent="0.3">
      <c r="A1564" s="3" t="s">
        <v>92</v>
      </c>
      <c r="B1564" s="3" t="s">
        <v>1648</v>
      </c>
      <c r="C1564" s="3" t="s">
        <v>1649</v>
      </c>
      <c r="D1564" s="3" t="s">
        <v>39</v>
      </c>
      <c r="E1564" s="3" t="s">
        <v>550</v>
      </c>
      <c r="F1564" s="3" t="s">
        <v>59</v>
      </c>
      <c r="G1564" s="3">
        <v>2.0426023980000001</v>
      </c>
      <c r="H1564" s="3">
        <v>0.29103523799999997</v>
      </c>
      <c r="I1564" s="3">
        <v>0.29103523799999997</v>
      </c>
      <c r="J1564" s="3">
        <v>0</v>
      </c>
      <c r="K1564" s="3">
        <v>4.3645418999999998E-2</v>
      </c>
      <c r="L1564" s="3">
        <v>4.0662754000000002E-2</v>
      </c>
      <c r="M1564" s="3">
        <v>0.198867135</v>
      </c>
      <c r="N1564" s="3">
        <v>5.7888328000000003E-2</v>
      </c>
      <c r="O1564" s="3">
        <v>5.3812416000000002E-2</v>
      </c>
      <c r="P1564" s="3">
        <v>6.9359845000000003E-2</v>
      </c>
      <c r="Q1564" s="3">
        <v>0.159030859</v>
      </c>
      <c r="R1564" s="3">
        <v>1.232945344</v>
      </c>
      <c r="S1564" s="3">
        <v>10.588005219999999</v>
      </c>
      <c r="T1564" s="3">
        <v>1.9552819180000001</v>
      </c>
      <c r="U1564" s="3">
        <v>0.66162280699999998</v>
      </c>
      <c r="V1564" s="3">
        <v>0.126850606</v>
      </c>
      <c r="W1564" s="3">
        <v>0.80521061599999999</v>
      </c>
      <c r="X1564" s="3">
        <v>3.0145852319999999</v>
      </c>
      <c r="Y1564" s="3">
        <v>4.3591613489999999</v>
      </c>
      <c r="Z1564" s="3">
        <v>2.9552819179999998</v>
      </c>
      <c r="AA1564" s="3">
        <v>4.0662754000000002E-2</v>
      </c>
      <c r="AB1564" s="3">
        <v>6.5249758120000001</v>
      </c>
      <c r="AC1564" s="3">
        <v>3.7438468550000001</v>
      </c>
      <c r="AD1564" s="3">
        <v>5.6191765999999997E-2</v>
      </c>
      <c r="AE1564" s="3">
        <v>7.9546257300000001</v>
      </c>
      <c r="AF1564" s="4">
        <v>42132</v>
      </c>
      <c r="AG1564" s="5">
        <f>YEAR(AF1564)</f>
        <v>2015</v>
      </c>
      <c r="AH1564" s="5" t="str">
        <f>"Q"&amp;ROUNDUP(MONTH(AF1564)/3,0)</f>
        <v>Q2</v>
      </c>
      <c r="AI1564" s="5">
        <f>INDEX(RatingLookup!$B$2:$B$11,MATCH(A1564,RatingLookup!$A$2:$A$11,0))</f>
        <v>6</v>
      </c>
      <c r="AJ1564" s="5" t="str">
        <f>INDEX(RatingLookup!$C$2:$C$11,MATCH(A1564,RatingLookup!$A$2:$A$11,0))</f>
        <v>Speculative Grade</v>
      </c>
    </row>
    <row r="1565" spans="1:36" x14ac:dyDescent="0.3">
      <c r="A1565" s="3" t="s">
        <v>92</v>
      </c>
      <c r="B1565" s="3" t="s">
        <v>1648</v>
      </c>
      <c r="C1565" s="3" t="s">
        <v>1649</v>
      </c>
      <c r="D1565" s="3" t="s">
        <v>39</v>
      </c>
      <c r="E1565" s="3" t="s">
        <v>561</v>
      </c>
      <c r="F1565" s="3" t="s">
        <v>59</v>
      </c>
      <c r="G1565" s="3">
        <v>2.1101640869999998</v>
      </c>
      <c r="H1565" s="3">
        <v>0.23662086199999999</v>
      </c>
      <c r="I1565" s="3">
        <v>0.23662086199999999</v>
      </c>
      <c r="J1565" s="3">
        <v>0</v>
      </c>
      <c r="K1565" s="3">
        <v>3.1902880000000002E-2</v>
      </c>
      <c r="L1565" s="3">
        <v>4.1120836000000001E-2</v>
      </c>
      <c r="M1565" s="3">
        <v>0.20320440400000001</v>
      </c>
      <c r="N1565" s="3">
        <v>5.9161490999999997E-2</v>
      </c>
      <c r="O1565" s="3">
        <v>3.4574021000000003E-2</v>
      </c>
      <c r="P1565" s="3">
        <v>6.0536159999999999E-2</v>
      </c>
      <c r="Q1565" s="3">
        <v>0.103191635</v>
      </c>
      <c r="R1565" s="3">
        <v>1.0837272630000001</v>
      </c>
      <c r="S1565" s="3">
        <v>8.9739042310000006</v>
      </c>
      <c r="T1565" s="3">
        <v>1.9846582349999999</v>
      </c>
      <c r="U1565" s="3">
        <v>0.66495326399999999</v>
      </c>
      <c r="V1565" s="3">
        <v>0.30003432899999999</v>
      </c>
      <c r="W1565" s="3">
        <v>0.57824933700000003</v>
      </c>
      <c r="X1565" s="3">
        <v>0.98109811000000002</v>
      </c>
      <c r="Y1565" s="3">
        <v>3.673267327</v>
      </c>
      <c r="Z1565" s="3">
        <v>2.9846582349999999</v>
      </c>
      <c r="AA1565" s="3">
        <v>4.1120836000000001E-2</v>
      </c>
      <c r="AB1565" s="3">
        <v>10.485633529999999</v>
      </c>
      <c r="AC1565" s="3">
        <v>1.6966696670000001</v>
      </c>
      <c r="AD1565" s="3">
        <v>2.6609259999999999E-2</v>
      </c>
      <c r="AE1565" s="3">
        <v>8.1911188510000006</v>
      </c>
      <c r="AF1565" s="4">
        <v>41590</v>
      </c>
      <c r="AG1565" s="5">
        <f>YEAR(AF1565)</f>
        <v>2013</v>
      </c>
      <c r="AH1565" s="5" t="str">
        <f>"Q"&amp;ROUNDUP(MONTH(AF1565)/3,0)</f>
        <v>Q4</v>
      </c>
      <c r="AI1565" s="5">
        <f>INDEX(RatingLookup!$B$2:$B$11,MATCH(A1565,RatingLookup!$A$2:$A$11,0))</f>
        <v>6</v>
      </c>
      <c r="AJ1565" s="5" t="str">
        <f>INDEX(RatingLookup!$C$2:$C$11,MATCH(A1565,RatingLookup!$A$2:$A$11,0))</f>
        <v>Speculative Grade</v>
      </c>
    </row>
    <row r="1566" spans="1:36" x14ac:dyDescent="0.3">
      <c r="A1566" s="3" t="s">
        <v>92</v>
      </c>
      <c r="B1566" s="3" t="s">
        <v>1648</v>
      </c>
      <c r="C1566" s="3" t="s">
        <v>1649</v>
      </c>
      <c r="D1566" s="3" t="s">
        <v>39</v>
      </c>
      <c r="E1566" s="3" t="s">
        <v>705</v>
      </c>
      <c r="F1566" s="3" t="s">
        <v>59</v>
      </c>
      <c r="G1566" s="3">
        <v>2.1556286849999999</v>
      </c>
      <c r="H1566" s="3">
        <v>0.31982723200000002</v>
      </c>
      <c r="I1566" s="3">
        <v>0.31982723200000002</v>
      </c>
      <c r="J1566" s="3">
        <v>0</v>
      </c>
      <c r="K1566" s="3">
        <v>2.2298299000000001E-2</v>
      </c>
      <c r="L1566" s="3">
        <v>3.4631901999999999E-2</v>
      </c>
      <c r="M1566" s="3">
        <v>0.19998166000000001</v>
      </c>
      <c r="N1566" s="3">
        <v>5.4286195000000002E-2</v>
      </c>
      <c r="O1566" s="3">
        <v>2.5882102000000001E-2</v>
      </c>
      <c r="P1566" s="3">
        <v>5.4229987E-2</v>
      </c>
      <c r="Q1566" s="3">
        <v>7.7713859999999996E-2</v>
      </c>
      <c r="R1566" s="3">
        <v>1.1607209380000001</v>
      </c>
      <c r="S1566" s="3">
        <v>9.6820065110000009</v>
      </c>
      <c r="T1566" s="3">
        <v>2.0026099930000001</v>
      </c>
      <c r="U1566" s="3">
        <v>0.66695641400000005</v>
      </c>
      <c r="V1566" s="3">
        <v>0.35745807600000001</v>
      </c>
      <c r="W1566" s="3">
        <v>0.51244715799999996</v>
      </c>
      <c r="X1566" s="3">
        <v>1.0158286780000001</v>
      </c>
      <c r="Y1566" s="3">
        <v>4.3435754190000004</v>
      </c>
      <c r="Z1566" s="3">
        <v>3.0026099930000001</v>
      </c>
      <c r="AA1566" s="3">
        <v>3.4631901999999999E-2</v>
      </c>
      <c r="AB1566" s="3">
        <v>7.799875879</v>
      </c>
      <c r="AC1566" s="3">
        <v>1.982309125</v>
      </c>
      <c r="AD1566" s="3">
        <v>3.2538093999999997E-2</v>
      </c>
      <c r="AE1566" s="3">
        <v>7.0958384170000004</v>
      </c>
      <c r="AF1566" s="4">
        <v>42300</v>
      </c>
      <c r="AG1566" s="5">
        <f>YEAR(AF1566)</f>
        <v>2015</v>
      </c>
      <c r="AH1566" s="5" t="str">
        <f>"Q"&amp;ROUNDUP(MONTH(AF1566)/3,0)</f>
        <v>Q4</v>
      </c>
      <c r="AI1566" s="5">
        <f>INDEX(RatingLookup!$B$2:$B$11,MATCH(A1566,RatingLookup!$A$2:$A$11,0))</f>
        <v>6</v>
      </c>
      <c r="AJ1566" s="5" t="str">
        <f>INDEX(RatingLookup!$C$2:$C$11,MATCH(A1566,RatingLookup!$A$2:$A$11,0))</f>
        <v>Speculative Grade</v>
      </c>
    </row>
    <row r="1567" spans="1:36" x14ac:dyDescent="0.3">
      <c r="A1567" s="3" t="s">
        <v>116</v>
      </c>
      <c r="B1567" s="3" t="s">
        <v>1648</v>
      </c>
      <c r="C1567" s="3" t="s">
        <v>1649</v>
      </c>
      <c r="D1567" s="3" t="s">
        <v>60</v>
      </c>
      <c r="E1567" s="3" t="s">
        <v>46</v>
      </c>
      <c r="F1567" s="3" t="s">
        <v>59</v>
      </c>
      <c r="G1567" s="3">
        <v>2.1216366230000001</v>
      </c>
      <c r="H1567" s="3">
        <v>0.41079452300000002</v>
      </c>
      <c r="I1567" s="3">
        <v>0.40920864800000001</v>
      </c>
      <c r="J1567" s="3">
        <v>0</v>
      </c>
      <c r="K1567" s="3">
        <v>6.948928E-3</v>
      </c>
      <c r="L1567" s="3">
        <v>1.2990807E-2</v>
      </c>
      <c r="M1567" s="3">
        <v>0.147633982</v>
      </c>
      <c r="N1567" s="3">
        <v>1.2483473E-2</v>
      </c>
      <c r="O1567" s="3">
        <v>6.4107110000000004E-3</v>
      </c>
      <c r="P1567" s="3">
        <v>1.6379142999999999E-2</v>
      </c>
      <c r="Q1567" s="3">
        <v>2.3709609999999999E-2</v>
      </c>
      <c r="R1567" s="3">
        <v>0.92254669700000003</v>
      </c>
      <c r="S1567" s="3">
        <v>7.7852782759999997</v>
      </c>
      <c r="T1567" s="3">
        <v>2.6984368440000002</v>
      </c>
      <c r="U1567" s="3">
        <v>0.729615499</v>
      </c>
      <c r="V1567" s="3">
        <v>0.59644970399999997</v>
      </c>
      <c r="W1567" s="3">
        <v>-3.1413612569999998</v>
      </c>
      <c r="X1567" s="3">
        <v>-0.54794520499999999</v>
      </c>
      <c r="Y1567" s="3">
        <v>7.0968036530000003</v>
      </c>
      <c r="Z1567" s="3">
        <v>3.6984368440000002</v>
      </c>
      <c r="AA1567" s="3">
        <v>1.2990807E-2</v>
      </c>
      <c r="AB1567" s="3">
        <v>18.100072180000002</v>
      </c>
      <c r="AC1567" s="3">
        <v>0.17442922399999999</v>
      </c>
      <c r="AD1567" s="3">
        <v>2.9363829999999999E-3</v>
      </c>
      <c r="AE1567" s="3">
        <v>7.2512424800000002</v>
      </c>
      <c r="AF1567" s="4">
        <v>41075</v>
      </c>
      <c r="AG1567" s="5">
        <f>YEAR(AF1567)</f>
        <v>2012</v>
      </c>
      <c r="AH1567" s="5" t="str">
        <f>"Q"&amp;ROUNDUP(MONTH(AF1567)/3,0)</f>
        <v>Q2</v>
      </c>
      <c r="AI1567" s="5">
        <f>INDEX(RatingLookup!$B$2:$B$11,MATCH(A1567,RatingLookup!$A$2:$A$11,0))</f>
        <v>4</v>
      </c>
      <c r="AJ1567" s="5" t="str">
        <f>INDEX(RatingLookup!$C$2:$C$11,MATCH(A1567,RatingLookup!$A$2:$A$11,0))</f>
        <v>Speculative Grade</v>
      </c>
    </row>
    <row r="1568" spans="1:36" x14ac:dyDescent="0.3">
      <c r="A1568" s="3" t="s">
        <v>109</v>
      </c>
      <c r="B1568" s="3" t="s">
        <v>1648</v>
      </c>
      <c r="C1568" s="3" t="s">
        <v>1649</v>
      </c>
      <c r="D1568" s="3" t="s">
        <v>60</v>
      </c>
      <c r="E1568" s="3" t="s">
        <v>105</v>
      </c>
      <c r="F1568" s="3" t="s">
        <v>59</v>
      </c>
      <c r="G1568" s="3">
        <v>2.222261236</v>
      </c>
      <c r="H1568" s="3">
        <v>0.39676966299999999</v>
      </c>
      <c r="I1568" s="3">
        <v>0.39676966299999999</v>
      </c>
      <c r="J1568" s="3">
        <v>0</v>
      </c>
      <c r="K1568" s="3">
        <v>1.4397692E-2</v>
      </c>
      <c r="L1568" s="3">
        <v>2.1174676999999999E-2</v>
      </c>
      <c r="M1568" s="3">
        <v>0.19672309599999999</v>
      </c>
      <c r="N1568" s="3">
        <v>5.4243101000000002E-2</v>
      </c>
      <c r="O1568" s="3">
        <v>1.5682903000000002E-2</v>
      </c>
      <c r="P1568" s="3">
        <v>3.0888951000000001E-2</v>
      </c>
      <c r="Q1568" s="3">
        <v>5.2697116000000002E-2</v>
      </c>
      <c r="R1568" s="3">
        <v>1.089265068</v>
      </c>
      <c r="S1568" s="3">
        <v>9.0352883310000003</v>
      </c>
      <c r="T1568" s="3">
        <v>2.3601633710000001</v>
      </c>
      <c r="U1568" s="3">
        <v>0.70239542300000002</v>
      </c>
      <c r="V1568" s="3">
        <v>0.348329049</v>
      </c>
      <c r="W1568" s="3">
        <v>0.71775573000000004</v>
      </c>
      <c r="X1568" s="3">
        <v>1.902085222</v>
      </c>
      <c r="Y1568" s="3">
        <v>6.1468721669999997</v>
      </c>
      <c r="Z1568" s="3">
        <v>3.3601633710000001</v>
      </c>
      <c r="AA1568" s="3">
        <v>2.1174676999999999E-2</v>
      </c>
      <c r="AB1568" s="3">
        <v>8.9704387239999992</v>
      </c>
      <c r="AC1568" s="3">
        <v>2.6500453309999998</v>
      </c>
      <c r="AD1568" s="3">
        <v>3.9777367000000001E-2</v>
      </c>
      <c r="AE1568" s="3">
        <v>9.2884343040000008</v>
      </c>
      <c r="AF1568" s="4">
        <v>41422</v>
      </c>
      <c r="AG1568" s="5">
        <f>YEAR(AF1568)</f>
        <v>2013</v>
      </c>
      <c r="AH1568" s="5" t="str">
        <f>"Q"&amp;ROUNDUP(MONTH(AF1568)/3,0)</f>
        <v>Q2</v>
      </c>
      <c r="AI1568" s="5">
        <f>INDEX(RatingLookup!$B$2:$B$11,MATCH(A1568,RatingLookup!$A$2:$A$11,0))</f>
        <v>5</v>
      </c>
      <c r="AJ1568" s="5" t="str">
        <f>INDEX(RatingLookup!$C$2:$C$11,MATCH(A1568,RatingLookup!$A$2:$A$11,0))</f>
        <v>Speculative Grade</v>
      </c>
    </row>
    <row r="1569" spans="1:36" x14ac:dyDescent="0.3">
      <c r="A1569" s="3" t="s">
        <v>92</v>
      </c>
      <c r="B1569" s="3" t="s">
        <v>1650</v>
      </c>
      <c r="C1569" s="3" t="s">
        <v>1651</v>
      </c>
      <c r="D1569" s="3" t="s">
        <v>60</v>
      </c>
      <c r="E1569" s="3" t="s">
        <v>46</v>
      </c>
      <c r="F1569" s="3" t="s">
        <v>174</v>
      </c>
      <c r="G1569" s="3">
        <v>2.527626701</v>
      </c>
      <c r="H1569" s="3">
        <v>1.4603481739999999</v>
      </c>
      <c r="I1569" s="3">
        <v>0.62707294700000005</v>
      </c>
      <c r="J1569" s="3">
        <v>88.138449379999997</v>
      </c>
      <c r="K1569" s="3">
        <v>0.10646597200000001</v>
      </c>
      <c r="L1569" s="3">
        <v>0.177319803</v>
      </c>
      <c r="M1569" s="3">
        <v>0.641368783</v>
      </c>
      <c r="N1569" s="3">
        <v>0.27490505100000001</v>
      </c>
      <c r="O1569" s="3">
        <v>5.7901933000000003E-2</v>
      </c>
      <c r="P1569" s="3">
        <v>0.114478257</v>
      </c>
      <c r="Q1569" s="3">
        <v>-0.121942729</v>
      </c>
      <c r="R1569" s="3">
        <v>0.54385388899999998</v>
      </c>
      <c r="S1569" s="3">
        <v>18.612545839999999</v>
      </c>
      <c r="T1569" s="3">
        <v>-3.1060217259999998</v>
      </c>
      <c r="U1569" s="3">
        <v>1.47482891</v>
      </c>
      <c r="V1569" s="3">
        <v>0.40001899200000002</v>
      </c>
      <c r="W1569" s="3">
        <v>0.93977659599999996</v>
      </c>
      <c r="X1569" s="3">
        <v>3.4620614000000001</v>
      </c>
      <c r="Y1569" s="3">
        <v>3.1152808049999998</v>
      </c>
      <c r="Z1569" s="3">
        <v>-2.1060217259999998</v>
      </c>
      <c r="AA1569" s="3">
        <v>0.177319803</v>
      </c>
      <c r="AB1569" s="3">
        <v>3.6202811609999999</v>
      </c>
      <c r="AC1569" s="3">
        <v>3.6839195760000001</v>
      </c>
      <c r="AD1569" s="3">
        <v>0.21488944099999999</v>
      </c>
      <c r="AE1569" s="3">
        <v>6.9143900660000002</v>
      </c>
      <c r="AF1569" s="4">
        <v>41075</v>
      </c>
      <c r="AG1569" s="5">
        <f>YEAR(AF1569)</f>
        <v>2012</v>
      </c>
      <c r="AH1569" s="5" t="str">
        <f>"Q"&amp;ROUNDUP(MONTH(AF1569)/3,0)</f>
        <v>Q2</v>
      </c>
      <c r="AI1569" s="5">
        <f>INDEX(RatingLookup!$B$2:$B$11,MATCH(A1569,RatingLookup!$A$2:$A$11,0))</f>
        <v>6</v>
      </c>
      <c r="AJ1569" s="5" t="str">
        <f>INDEX(RatingLookup!$C$2:$C$11,MATCH(A1569,RatingLookup!$A$2:$A$11,0))</f>
        <v>Speculative Grade</v>
      </c>
    </row>
    <row r="1570" spans="1:36" x14ac:dyDescent="0.3">
      <c r="A1570" s="3" t="s">
        <v>92</v>
      </c>
      <c r="B1570" s="3" t="s">
        <v>1650</v>
      </c>
      <c r="C1570" s="3" t="s">
        <v>1651</v>
      </c>
      <c r="D1570" s="3" t="s">
        <v>47</v>
      </c>
      <c r="E1570" s="3" t="s">
        <v>1652</v>
      </c>
      <c r="F1570" s="3" t="s">
        <v>174</v>
      </c>
      <c r="G1570" s="3">
        <v>3.1456264329999999</v>
      </c>
      <c r="H1570" s="3">
        <v>1.5161578099999999</v>
      </c>
      <c r="I1570" s="3">
        <v>0.60276839500000001</v>
      </c>
      <c r="J1570" s="3">
        <v>86.862845179999994</v>
      </c>
      <c r="K1570" s="3">
        <v>0.18264066300000001</v>
      </c>
      <c r="L1570" s="3">
        <v>0.294624897</v>
      </c>
      <c r="M1570" s="3">
        <v>0.58398739099999997</v>
      </c>
      <c r="N1570" s="3">
        <v>0.36571540899999999</v>
      </c>
      <c r="O1570" s="3">
        <v>0.110266323</v>
      </c>
      <c r="P1570" s="3">
        <v>0.21107763700000001</v>
      </c>
      <c r="Q1570" s="3">
        <v>-0.50871099600000003</v>
      </c>
      <c r="R1570" s="3">
        <v>0.60373369799999999</v>
      </c>
      <c r="S1570" s="3">
        <v>22.399082570000001</v>
      </c>
      <c r="T1570" s="3">
        <v>-5.6134756670000003</v>
      </c>
      <c r="U1570" s="3">
        <v>1.2167563180000001</v>
      </c>
      <c r="V1570" s="3">
        <v>0.38132328100000001</v>
      </c>
      <c r="W1570" s="3">
        <v>1.4913369590000001</v>
      </c>
      <c r="X1570" s="3">
        <v>-1.0310722219999999</v>
      </c>
      <c r="Y1570" s="3">
        <v>3.494401968</v>
      </c>
      <c r="Z1570" s="3">
        <v>-4.6134756670000003</v>
      </c>
      <c r="AA1570" s="3">
        <v>0.294624897</v>
      </c>
      <c r="AB1570" s="3">
        <v>5.7178330260000001</v>
      </c>
      <c r="AC1570" s="3">
        <v>-0.69137441799999999</v>
      </c>
      <c r="AD1570" s="3">
        <v>-3.1072494999999999E-2</v>
      </c>
      <c r="AE1570" s="3">
        <v>13.76039978</v>
      </c>
      <c r="AF1570" s="4">
        <v>41593</v>
      </c>
      <c r="AG1570" s="5">
        <f>YEAR(AF1570)</f>
        <v>2013</v>
      </c>
      <c r="AH1570" s="5" t="str">
        <f>"Q"&amp;ROUNDUP(MONTH(AF1570)/3,0)</f>
        <v>Q4</v>
      </c>
      <c r="AI1570" s="5">
        <f>INDEX(RatingLookup!$B$2:$B$11,MATCH(A1570,RatingLookup!$A$2:$A$11,0))</f>
        <v>6</v>
      </c>
      <c r="AJ1570" s="5" t="str">
        <f>INDEX(RatingLookup!$C$2:$C$11,MATCH(A1570,RatingLookup!$A$2:$A$11,0))</f>
        <v>Speculative Grade</v>
      </c>
    </row>
    <row r="1571" spans="1:36" x14ac:dyDescent="0.3">
      <c r="A1571" s="3" t="s">
        <v>92</v>
      </c>
      <c r="B1571" s="3" t="s">
        <v>1650</v>
      </c>
      <c r="C1571" s="3" t="s">
        <v>1651</v>
      </c>
      <c r="D1571" s="3" t="s">
        <v>60</v>
      </c>
      <c r="E1571" s="3" t="s">
        <v>235</v>
      </c>
      <c r="F1571" s="3" t="s">
        <v>174</v>
      </c>
      <c r="G1571" s="3">
        <v>1.6371407689999999</v>
      </c>
      <c r="H1571" s="3">
        <v>1.1073269240000001</v>
      </c>
      <c r="I1571" s="3">
        <v>0.74283241</v>
      </c>
      <c r="J1571" s="3">
        <v>80.900444120000003</v>
      </c>
      <c r="K1571" s="3">
        <v>0.10094064899999999</v>
      </c>
      <c r="L1571" s="3">
        <v>0.16433371299999999</v>
      </c>
      <c r="M1571" s="3">
        <v>0.62483762499999995</v>
      </c>
      <c r="N1571" s="3">
        <v>0.26825681600000001</v>
      </c>
      <c r="O1571" s="3">
        <v>5.2133471000000001E-2</v>
      </c>
      <c r="P1571" s="3">
        <v>0.123735226</v>
      </c>
      <c r="Q1571" s="3">
        <v>-0.15473416500000001</v>
      </c>
      <c r="R1571" s="3">
        <v>0.51647647500000005</v>
      </c>
      <c r="S1571" s="3">
        <v>19.079940749999999</v>
      </c>
      <c r="T1571" s="3">
        <v>-3.968038833</v>
      </c>
      <c r="U1571" s="3">
        <v>1.336922816</v>
      </c>
      <c r="V1571" s="3">
        <v>0.38717078900000002</v>
      </c>
      <c r="W1571" s="3">
        <v>0.96739420700000001</v>
      </c>
      <c r="X1571" s="3">
        <v>7.8235569949999997</v>
      </c>
      <c r="Y1571" s="3">
        <v>8.6817574670000006</v>
      </c>
      <c r="Z1571" s="3">
        <v>-2.968038833</v>
      </c>
      <c r="AA1571" s="3">
        <v>0.16433371299999999</v>
      </c>
      <c r="AB1571" s="3">
        <v>6.733730542</v>
      </c>
      <c r="AC1571" s="3">
        <v>8.0872481310000008</v>
      </c>
      <c r="AD1571" s="3">
        <v>0.42077604499999999</v>
      </c>
      <c r="AE1571" s="3">
        <v>8.5894002740000008</v>
      </c>
      <c r="AF1571" s="4">
        <v>41253</v>
      </c>
      <c r="AG1571" s="5">
        <f>YEAR(AF1571)</f>
        <v>2012</v>
      </c>
      <c r="AH1571" s="5" t="str">
        <f>"Q"&amp;ROUNDUP(MONTH(AF1571)/3,0)</f>
        <v>Q4</v>
      </c>
      <c r="AI1571" s="5">
        <f>INDEX(RatingLookup!$B$2:$B$11,MATCH(A1571,RatingLookup!$A$2:$A$11,0))</f>
        <v>6</v>
      </c>
      <c r="AJ1571" s="5" t="str">
        <f>INDEX(RatingLookup!$C$2:$C$11,MATCH(A1571,RatingLookup!$A$2:$A$11,0))</f>
        <v>Speculative Grade</v>
      </c>
    </row>
    <row r="1572" spans="1:36" x14ac:dyDescent="0.3">
      <c r="A1572" s="3" t="s">
        <v>116</v>
      </c>
      <c r="B1572" s="3" t="s">
        <v>1653</v>
      </c>
      <c r="C1572" s="3" t="s">
        <v>1654</v>
      </c>
      <c r="D1572" s="3" t="s">
        <v>47</v>
      </c>
      <c r="E1572" s="3" t="s">
        <v>542</v>
      </c>
      <c r="F1572" s="3" t="s">
        <v>53</v>
      </c>
      <c r="G1572" s="3">
        <v>0.88643731699999995</v>
      </c>
      <c r="H1572" s="3">
        <v>2.6629344220000002</v>
      </c>
      <c r="I1572" s="3">
        <v>0.37888135099999998</v>
      </c>
      <c r="J1572" s="3">
        <v>37.457282309999997</v>
      </c>
      <c r="K1572" s="3">
        <v>-1.1695226949999999</v>
      </c>
      <c r="L1572" s="3">
        <v>-1.172985932</v>
      </c>
      <c r="M1572" s="3">
        <v>0.268984901</v>
      </c>
      <c r="N1572" s="3">
        <v>-0.97762499300000005</v>
      </c>
      <c r="O1572" s="3">
        <v>-0.33948606799999997</v>
      </c>
      <c r="P1572" s="3">
        <v>-0.37055875900000002</v>
      </c>
      <c r="Q1572" s="3">
        <v>-7.4895200170000003</v>
      </c>
      <c r="R1572" s="3">
        <v>0.29027745199999999</v>
      </c>
      <c r="S1572" s="3">
        <v>7.9826417809999999</v>
      </c>
      <c r="T1572" s="3">
        <v>21.0613472</v>
      </c>
      <c r="U1572" s="3">
        <v>0.95467185300000001</v>
      </c>
      <c r="V1572" s="3">
        <v>0</v>
      </c>
      <c r="W1572" s="3">
        <v>0.94998132000000002</v>
      </c>
      <c r="X1572" s="3">
        <v>15.801226489999999</v>
      </c>
      <c r="Y1572" s="3">
        <v>25.65126738</v>
      </c>
      <c r="Z1572" s="3">
        <v>22.0613472</v>
      </c>
      <c r="AA1572" s="3">
        <v>-1.172985932</v>
      </c>
      <c r="AB1572" s="3">
        <v>-3.8589939090000001</v>
      </c>
      <c r="AC1572" s="3">
        <v>16.633197060000001</v>
      </c>
      <c r="AD1572" s="3">
        <v>0.41612849800000001</v>
      </c>
      <c r="AE1572" s="3">
        <v>18.423981099999999</v>
      </c>
      <c r="AF1572" s="4">
        <v>42522</v>
      </c>
      <c r="AG1572" s="5">
        <f>YEAR(AF1572)</f>
        <v>2016</v>
      </c>
      <c r="AH1572" s="5" t="str">
        <f>"Q"&amp;ROUNDUP(MONTH(AF1572)/3,0)</f>
        <v>Q2</v>
      </c>
      <c r="AI1572" s="5">
        <f>INDEX(RatingLookup!$B$2:$B$11,MATCH(A1572,RatingLookup!$A$2:$A$11,0))</f>
        <v>4</v>
      </c>
      <c r="AJ1572" s="5" t="str">
        <f>INDEX(RatingLookup!$C$2:$C$11,MATCH(A1572,RatingLookup!$A$2:$A$11,0))</f>
        <v>Speculative Grade</v>
      </c>
    </row>
    <row r="1573" spans="1:36" x14ac:dyDescent="0.3">
      <c r="A1573" s="3" t="s">
        <v>109</v>
      </c>
      <c r="B1573" s="3" t="s">
        <v>1653</v>
      </c>
      <c r="C1573" s="3" t="s">
        <v>1654</v>
      </c>
      <c r="D1573" s="3" t="s">
        <v>47</v>
      </c>
      <c r="E1573" s="3" t="s">
        <v>535</v>
      </c>
      <c r="F1573" s="3" t="s">
        <v>53</v>
      </c>
      <c r="G1573" s="3">
        <v>0.92014520300000002</v>
      </c>
      <c r="H1573" s="3">
        <v>0.85191744800000002</v>
      </c>
      <c r="I1573" s="3">
        <v>0.33850917000000003</v>
      </c>
      <c r="J1573" s="3">
        <v>60.677807739999999</v>
      </c>
      <c r="K1573" s="3">
        <v>0.27224379100000001</v>
      </c>
      <c r="L1573" s="3">
        <v>0.272041166</v>
      </c>
      <c r="M1573" s="3">
        <v>0.29628119400000003</v>
      </c>
      <c r="N1573" s="3">
        <v>0.47259050600000002</v>
      </c>
      <c r="O1573" s="3">
        <v>4.4516273000000002E-2</v>
      </c>
      <c r="P1573" s="3">
        <v>4.7348194000000003E-2</v>
      </c>
      <c r="Q1573" s="3">
        <v>0.15112024499999999</v>
      </c>
      <c r="R1573" s="3">
        <v>0.163516209</v>
      </c>
      <c r="S1573" s="3">
        <v>6.6522223890000003</v>
      </c>
      <c r="T1573" s="3">
        <v>2.3947191920000002</v>
      </c>
      <c r="U1573" s="3">
        <v>0.70542482500000003</v>
      </c>
      <c r="V1573" s="3">
        <v>0</v>
      </c>
      <c r="W1573" s="3">
        <v>0.98835614800000005</v>
      </c>
      <c r="X1573" s="3">
        <v>1.8391075560000001</v>
      </c>
      <c r="Y1573" s="3">
        <v>0.52594868500000003</v>
      </c>
      <c r="Z1573" s="3">
        <v>3.3947191920000002</v>
      </c>
      <c r="AA1573" s="3">
        <v>0.272041166</v>
      </c>
      <c r="AB1573" s="3">
        <v>44.910712619999998</v>
      </c>
      <c r="AC1573" s="3">
        <v>1.8607741339999999</v>
      </c>
      <c r="AD1573" s="3">
        <v>0.52721437299999996</v>
      </c>
      <c r="AE1573" s="3">
        <v>0.12262463</v>
      </c>
      <c r="AF1573" s="4">
        <v>41920</v>
      </c>
      <c r="AG1573" s="5">
        <f>YEAR(AF1573)</f>
        <v>2014</v>
      </c>
      <c r="AH1573" s="5" t="str">
        <f>"Q"&amp;ROUNDUP(MONTH(AF1573)/3,0)</f>
        <v>Q4</v>
      </c>
      <c r="AI1573" s="5">
        <f>INDEX(RatingLookup!$B$2:$B$11,MATCH(A1573,RatingLookup!$A$2:$A$11,0))</f>
        <v>5</v>
      </c>
      <c r="AJ1573" s="5" t="str">
        <f>INDEX(RatingLookup!$C$2:$C$11,MATCH(A1573,RatingLookup!$A$2:$A$11,0))</f>
        <v>Speculative Grade</v>
      </c>
    </row>
    <row r="1574" spans="1:36" x14ac:dyDescent="0.3">
      <c r="A1574" s="3" t="s">
        <v>109</v>
      </c>
      <c r="B1574" s="3" t="s">
        <v>1653</v>
      </c>
      <c r="C1574" s="3" t="s">
        <v>1654</v>
      </c>
      <c r="D1574" s="3" t="s">
        <v>47</v>
      </c>
      <c r="E1574" s="3" t="s">
        <v>806</v>
      </c>
      <c r="F1574" s="3" t="s">
        <v>53</v>
      </c>
      <c r="G1574" s="3">
        <v>1.0990290789999999</v>
      </c>
      <c r="H1574" s="3">
        <v>3.2060492109999998</v>
      </c>
      <c r="I1574" s="3">
        <v>0.74977307400000004</v>
      </c>
      <c r="J1574" s="3">
        <v>34.385424319999998</v>
      </c>
      <c r="K1574" s="3">
        <v>0.48050776699999997</v>
      </c>
      <c r="L1574" s="3">
        <v>0.480689272</v>
      </c>
      <c r="M1574" s="3">
        <v>0.26331897100000001</v>
      </c>
      <c r="N1574" s="3">
        <v>0.65966150700000004</v>
      </c>
      <c r="O1574" s="3">
        <v>8.6390782999999999E-2</v>
      </c>
      <c r="P1574" s="3">
        <v>9.2130558000000001E-2</v>
      </c>
      <c r="Q1574" s="3">
        <v>0.27899005999999998</v>
      </c>
      <c r="R1574" s="3">
        <v>0.17979060699999999</v>
      </c>
      <c r="S1574" s="3">
        <v>13.547077740000001</v>
      </c>
      <c r="T1574" s="3">
        <v>2.229396114</v>
      </c>
      <c r="U1574" s="3">
        <v>0.69034458300000001</v>
      </c>
      <c r="V1574" s="3">
        <v>0</v>
      </c>
      <c r="W1574" s="3">
        <v>1</v>
      </c>
      <c r="X1574" s="3">
        <v>2.2546539640000001</v>
      </c>
      <c r="Y1574" s="3">
        <v>3.3020422690000002</v>
      </c>
      <c r="Z1574" s="3">
        <v>3.229396114</v>
      </c>
      <c r="AA1574" s="3">
        <v>0.480689272</v>
      </c>
      <c r="AB1574" s="3">
        <v>60.399389249999999</v>
      </c>
      <c r="AC1574" s="3">
        <v>2.2546539640000001</v>
      </c>
      <c r="AD1574" s="3">
        <v>0.68992536000000004</v>
      </c>
      <c r="AE1574" s="3">
        <v>0.12738191500000001</v>
      </c>
      <c r="AF1574" s="4">
        <v>41526</v>
      </c>
      <c r="AG1574" s="5">
        <f>YEAR(AF1574)</f>
        <v>2013</v>
      </c>
      <c r="AH1574" s="5" t="str">
        <f>"Q"&amp;ROUNDUP(MONTH(AF1574)/3,0)</f>
        <v>Q3</v>
      </c>
      <c r="AI1574" s="5">
        <f>INDEX(RatingLookup!$B$2:$B$11,MATCH(A1574,RatingLookup!$A$2:$A$11,0))</f>
        <v>5</v>
      </c>
      <c r="AJ1574" s="5" t="str">
        <f>INDEX(RatingLookup!$C$2:$C$11,MATCH(A1574,RatingLookup!$A$2:$A$11,0))</f>
        <v>Speculative Grade</v>
      </c>
    </row>
    <row r="1575" spans="1:36" x14ac:dyDescent="0.3">
      <c r="A1575" s="3" t="s">
        <v>36</v>
      </c>
      <c r="B1575" s="3" t="s">
        <v>1655</v>
      </c>
      <c r="C1575" s="3" t="s">
        <v>1656</v>
      </c>
      <c r="D1575" s="3" t="s">
        <v>60</v>
      </c>
      <c r="E1575" s="3" t="s">
        <v>46</v>
      </c>
      <c r="F1575" s="3" t="s">
        <v>59</v>
      </c>
      <c r="G1575" s="3">
        <v>1.206813006</v>
      </c>
      <c r="H1575" s="3">
        <v>0.40909531399999999</v>
      </c>
      <c r="I1575" s="3">
        <v>0.243470466</v>
      </c>
      <c r="J1575" s="3">
        <v>30.762275410000001</v>
      </c>
      <c r="K1575" s="3">
        <v>9.8566959999999995E-2</v>
      </c>
      <c r="L1575" s="3">
        <v>7.8460754999999993E-2</v>
      </c>
      <c r="M1575" s="3">
        <v>1.6785771439999999</v>
      </c>
      <c r="N1575" s="3">
        <v>4.0445189999999999E-3</v>
      </c>
      <c r="O1575" s="3">
        <v>8.4702322999999996E-2</v>
      </c>
      <c r="P1575" s="3">
        <v>0.13931080800000001</v>
      </c>
      <c r="Q1575" s="3">
        <v>1.9274537700000001</v>
      </c>
      <c r="R1575" s="3">
        <v>0.859337884</v>
      </c>
      <c r="S1575" s="3">
        <v>7.3805433269999998</v>
      </c>
      <c r="T1575" s="3">
        <v>22.755618779999999</v>
      </c>
      <c r="U1575" s="3">
        <v>1</v>
      </c>
      <c r="V1575" s="3">
        <v>-0.25625811199999998</v>
      </c>
      <c r="W1575" s="3">
        <v>0.57419835900000005</v>
      </c>
      <c r="X1575" s="3">
        <v>3.1044214490000002</v>
      </c>
      <c r="Y1575" s="3">
        <v>14.906598580000001</v>
      </c>
      <c r="Z1575" s="3">
        <v>22.755618779999999</v>
      </c>
      <c r="AA1575" s="3">
        <v>7.8460754999999993E-2</v>
      </c>
      <c r="AB1575" s="3">
        <v>33.143778670000003</v>
      </c>
      <c r="AC1575" s="3">
        <v>5.4065313799999997</v>
      </c>
      <c r="AD1575" s="3">
        <v>5.8529133999999997E-2</v>
      </c>
      <c r="AE1575" s="3">
        <v>-5.5486557220000003</v>
      </c>
      <c r="AF1575" s="4">
        <v>41075</v>
      </c>
      <c r="AG1575" s="5">
        <f>YEAR(AF1575)</f>
        <v>2012</v>
      </c>
      <c r="AH1575" s="5" t="str">
        <f>"Q"&amp;ROUNDUP(MONTH(AF1575)/3,0)</f>
        <v>Q2</v>
      </c>
      <c r="AI1575" s="5">
        <f>INDEX(RatingLookup!$B$2:$B$11,MATCH(A1575,RatingLookup!$A$2:$A$11,0))</f>
        <v>8</v>
      </c>
      <c r="AJ1575" s="5" t="str">
        <f>INDEX(RatingLookup!$C$2:$C$11,MATCH(A1575,RatingLookup!$A$2:$A$11,0))</f>
        <v>Investment Grade</v>
      </c>
    </row>
    <row r="1576" spans="1:36" x14ac:dyDescent="0.3">
      <c r="A1576" s="3" t="s">
        <v>36</v>
      </c>
      <c r="B1576" s="3" t="s">
        <v>1657</v>
      </c>
      <c r="C1576" s="3" t="s">
        <v>1658</v>
      </c>
      <c r="D1576" s="3" t="s">
        <v>39</v>
      </c>
      <c r="E1576" s="3" t="s">
        <v>440</v>
      </c>
      <c r="F1576" s="3" t="s">
        <v>96</v>
      </c>
      <c r="G1576" s="3">
        <v>1.491731863</v>
      </c>
      <c r="H1576" s="3">
        <v>1.4324620669999999</v>
      </c>
      <c r="I1576" s="3">
        <v>0.207207207</v>
      </c>
      <c r="J1576" s="3">
        <v>72.682513920000005</v>
      </c>
      <c r="K1576" s="3">
        <v>2.0594524999999999E-2</v>
      </c>
      <c r="L1576" s="3">
        <v>3.2827941999999999E-2</v>
      </c>
      <c r="M1576" s="3">
        <v>0.168002389</v>
      </c>
      <c r="N1576" s="3">
        <v>3.4672587999999997E-2</v>
      </c>
      <c r="O1576" s="3">
        <v>5.9533588999999998E-2</v>
      </c>
      <c r="P1576" s="3">
        <v>0.17898689600000001</v>
      </c>
      <c r="Q1576" s="3">
        <v>0.14529391799999999</v>
      </c>
      <c r="R1576" s="3">
        <v>2.8907483470000002</v>
      </c>
      <c r="S1576" s="3">
        <v>139.2541918</v>
      </c>
      <c r="T1576" s="3">
        <v>1.4405368670000001</v>
      </c>
      <c r="U1576" s="3">
        <v>0.59025408999999995</v>
      </c>
      <c r="V1576" s="3">
        <v>0.37265258200000001</v>
      </c>
      <c r="W1576" s="3">
        <v>0.83180927500000001</v>
      </c>
      <c r="X1576" s="3">
        <v>3.203773585</v>
      </c>
      <c r="Y1576" s="3">
        <v>8.7949685530000004</v>
      </c>
      <c r="Z1576" s="3">
        <v>2.4405368670000001</v>
      </c>
      <c r="AA1576" s="3">
        <v>3.2827941999999999E-2</v>
      </c>
      <c r="AB1576" s="3">
        <v>6.9228070180000003</v>
      </c>
      <c r="AC1576" s="3">
        <v>3.851572327</v>
      </c>
      <c r="AD1576" s="3">
        <v>1.4747529000000001E-2</v>
      </c>
      <c r="AE1576" s="3">
        <v>11.20272374</v>
      </c>
      <c r="AF1576" s="4">
        <v>41843</v>
      </c>
      <c r="AG1576" s="5">
        <f>YEAR(AF1576)</f>
        <v>2014</v>
      </c>
      <c r="AH1576" s="5" t="str">
        <f>"Q"&amp;ROUNDUP(MONTH(AF1576)/3,0)</f>
        <v>Q3</v>
      </c>
      <c r="AI1576" s="5">
        <f>INDEX(RatingLookup!$B$2:$B$11,MATCH(A1576,RatingLookup!$A$2:$A$11,0))</f>
        <v>8</v>
      </c>
      <c r="AJ1576" s="5" t="str">
        <f>INDEX(RatingLookup!$C$2:$C$11,MATCH(A1576,RatingLookup!$A$2:$A$11,0))</f>
        <v>Investment Grade</v>
      </c>
    </row>
    <row r="1577" spans="1:36" x14ac:dyDescent="0.3">
      <c r="A1577" s="3" t="s">
        <v>42</v>
      </c>
      <c r="B1577" s="3" t="s">
        <v>1657</v>
      </c>
      <c r="C1577" s="3" t="s">
        <v>1658</v>
      </c>
      <c r="D1577" s="3" t="s">
        <v>47</v>
      </c>
      <c r="E1577" s="3" t="s">
        <v>1085</v>
      </c>
      <c r="F1577" s="3" t="s">
        <v>96</v>
      </c>
      <c r="G1577" s="3">
        <v>1.493902439</v>
      </c>
      <c r="H1577" s="3">
        <v>1.429080237</v>
      </c>
      <c r="I1577" s="3">
        <v>0.210166401</v>
      </c>
      <c r="J1577" s="3">
        <v>77.105923309999994</v>
      </c>
      <c r="K1577" s="3">
        <v>1.4221871000000001E-2</v>
      </c>
      <c r="L1577" s="3">
        <v>2.3480902000000001E-2</v>
      </c>
      <c r="M1577" s="3">
        <v>0.16625268500000001</v>
      </c>
      <c r="N1577" s="3">
        <v>2.5278387999999999E-2</v>
      </c>
      <c r="O1577" s="3">
        <v>3.9515387999999999E-2</v>
      </c>
      <c r="P1577" s="3">
        <v>0.12583692799999999</v>
      </c>
      <c r="Q1577" s="3">
        <v>9.8826436000000004E-2</v>
      </c>
      <c r="R1577" s="3">
        <v>2.7784942990000001</v>
      </c>
      <c r="S1577" s="3">
        <v>121.9909639</v>
      </c>
      <c r="T1577" s="3">
        <v>1.5009608130000001</v>
      </c>
      <c r="U1577" s="3">
        <v>0.60015367100000006</v>
      </c>
      <c r="V1577" s="3">
        <v>0.39432176699999999</v>
      </c>
      <c r="W1577" s="3">
        <v>0.88732039299999999</v>
      </c>
      <c r="X1577" s="3">
        <v>4.5128205130000003</v>
      </c>
      <c r="Y1577" s="3">
        <v>9.4564102559999998</v>
      </c>
      <c r="Z1577" s="3">
        <v>2.5009608129999998</v>
      </c>
      <c r="AA1577" s="3">
        <v>2.3480902000000001E-2</v>
      </c>
      <c r="AB1577" s="3">
        <v>9.6738700099999999</v>
      </c>
      <c r="AC1577" s="3">
        <v>5.0858974359999998</v>
      </c>
      <c r="AD1577" s="3">
        <v>1.9589639999999998E-2</v>
      </c>
      <c r="AE1577" s="3">
        <v>11.085883129999999</v>
      </c>
      <c r="AF1577" s="4">
        <v>41744</v>
      </c>
      <c r="AG1577" s="5">
        <f>YEAR(AF1577)</f>
        <v>2014</v>
      </c>
      <c r="AH1577" s="5" t="str">
        <f>"Q"&amp;ROUNDUP(MONTH(AF1577)/3,0)</f>
        <v>Q2</v>
      </c>
      <c r="AI1577" s="5">
        <f>INDEX(RatingLookup!$B$2:$B$11,MATCH(A1577,RatingLookup!$A$2:$A$11,0))</f>
        <v>7</v>
      </c>
      <c r="AJ1577" s="5" t="str">
        <f>INDEX(RatingLookup!$C$2:$C$11,MATCH(A1577,RatingLookup!$A$2:$A$11,0))</f>
        <v>Investment Grade</v>
      </c>
    </row>
    <row r="1578" spans="1:36" x14ac:dyDescent="0.3">
      <c r="A1578" s="3" t="s">
        <v>36</v>
      </c>
      <c r="B1578" s="3" t="s">
        <v>1657</v>
      </c>
      <c r="C1578" s="3" t="s">
        <v>1658</v>
      </c>
      <c r="D1578" s="3" t="s">
        <v>39</v>
      </c>
      <c r="E1578" s="3" t="s">
        <v>686</v>
      </c>
      <c r="F1578" s="3" t="s">
        <v>96</v>
      </c>
      <c r="G1578" s="3">
        <v>1.4756592289999999</v>
      </c>
      <c r="H1578" s="3">
        <v>1.4411764709999999</v>
      </c>
      <c r="I1578" s="3">
        <v>0.21167777500000001</v>
      </c>
      <c r="J1578" s="3">
        <v>80.119141850000005</v>
      </c>
      <c r="K1578" s="3">
        <v>2.1686609999999999E-2</v>
      </c>
      <c r="L1578" s="3">
        <v>3.4180207999999997E-2</v>
      </c>
      <c r="M1578" s="3">
        <v>0.17050269300000001</v>
      </c>
      <c r="N1578" s="3">
        <v>3.5639087999999999E-2</v>
      </c>
      <c r="O1578" s="3">
        <v>5.5763219000000003E-2</v>
      </c>
      <c r="P1578" s="3">
        <v>0.16247387199999999</v>
      </c>
      <c r="Q1578" s="3">
        <v>0.15971349100000001</v>
      </c>
      <c r="R1578" s="3">
        <v>2.5713202530000001</v>
      </c>
      <c r="S1578" s="3">
        <v>131.4065262</v>
      </c>
      <c r="T1578" s="3">
        <v>1.8641368540000001</v>
      </c>
      <c r="U1578" s="3">
        <v>0.65085467200000002</v>
      </c>
      <c r="V1578" s="3">
        <v>0.36552141700000002</v>
      </c>
      <c r="W1578" s="3">
        <v>0.89775171099999995</v>
      </c>
      <c r="X1578" s="3">
        <v>5.9791666670000003</v>
      </c>
      <c r="Y1578" s="3">
        <v>9.51171875</v>
      </c>
      <c r="Z1578" s="3">
        <v>2.8641368539999998</v>
      </c>
      <c r="AA1578" s="3">
        <v>3.4180207999999997E-2</v>
      </c>
      <c r="AB1578" s="3">
        <v>7.8114792590000004</v>
      </c>
      <c r="AC1578" s="3">
        <v>6.66015625</v>
      </c>
      <c r="AD1578" s="3">
        <v>2.6461596E-2</v>
      </c>
      <c r="AE1578" s="3">
        <v>9.6649186260000004</v>
      </c>
      <c r="AF1578" s="4">
        <v>42303</v>
      </c>
      <c r="AG1578" s="5">
        <f>YEAR(AF1578)</f>
        <v>2015</v>
      </c>
      <c r="AH1578" s="5" t="str">
        <f>"Q"&amp;ROUNDUP(MONTH(AF1578)/3,0)</f>
        <v>Q4</v>
      </c>
      <c r="AI1578" s="5">
        <f>INDEX(RatingLookup!$B$2:$B$11,MATCH(A1578,RatingLookup!$A$2:$A$11,0))</f>
        <v>8</v>
      </c>
      <c r="AJ1578" s="5" t="str">
        <f>INDEX(RatingLookup!$C$2:$C$11,MATCH(A1578,RatingLookup!$A$2:$A$11,0))</f>
        <v>Investment Grade</v>
      </c>
    </row>
    <row r="1579" spans="1:36" x14ac:dyDescent="0.3">
      <c r="A1579" s="3" t="s">
        <v>42</v>
      </c>
      <c r="B1579" s="3" t="s">
        <v>1657</v>
      </c>
      <c r="C1579" s="3" t="s">
        <v>1658</v>
      </c>
      <c r="D1579" s="3" t="s">
        <v>60</v>
      </c>
      <c r="E1579" s="3" t="s">
        <v>46</v>
      </c>
      <c r="F1579" s="3" t="s">
        <v>96</v>
      </c>
      <c r="G1579" s="3">
        <v>1.326484504</v>
      </c>
      <c r="H1579" s="3">
        <v>1.265801924</v>
      </c>
      <c r="I1579" s="3">
        <v>0.15429801700000001</v>
      </c>
      <c r="J1579" s="3">
        <v>69.35265382</v>
      </c>
      <c r="K1579" s="3">
        <v>1.1433245E-2</v>
      </c>
      <c r="L1579" s="3">
        <v>2.1807689000000002E-2</v>
      </c>
      <c r="M1579" s="3">
        <v>0.168422248</v>
      </c>
      <c r="N1579" s="3">
        <v>2.3820775999999998E-2</v>
      </c>
      <c r="O1579" s="3">
        <v>3.6465353999999998E-2</v>
      </c>
      <c r="P1579" s="3">
        <v>0.152956175</v>
      </c>
      <c r="Q1579" s="3">
        <v>0.101312716</v>
      </c>
      <c r="R1579" s="3">
        <v>3.1894140320000002</v>
      </c>
      <c r="S1579" s="3">
        <v>126.10888250000001</v>
      </c>
      <c r="T1579" s="3">
        <v>1.7783280990000001</v>
      </c>
      <c r="U1579" s="3">
        <v>0.64007130700000003</v>
      </c>
      <c r="V1579" s="3">
        <v>0.47572410900000001</v>
      </c>
      <c r="W1579" s="3">
        <v>6.2138727999999997E-2</v>
      </c>
      <c r="X1579" s="3">
        <v>5.2696078E-2</v>
      </c>
      <c r="Y1579" s="3">
        <v>7.1188725489999998</v>
      </c>
      <c r="Z1579" s="3">
        <v>2.7783280989999999</v>
      </c>
      <c r="AA1579" s="3">
        <v>2.1807689000000002E-2</v>
      </c>
      <c r="AB1579" s="3">
        <v>5.4854661150000004</v>
      </c>
      <c r="AC1579" s="3">
        <v>0.84803921599999998</v>
      </c>
      <c r="AD1579" s="3">
        <v>3.1445969999999998E-3</v>
      </c>
      <c r="AE1579" s="3">
        <v>135.55333329999999</v>
      </c>
      <c r="AF1579" s="4">
        <v>41075</v>
      </c>
      <c r="AG1579" s="5">
        <f>YEAR(AF1579)</f>
        <v>2012</v>
      </c>
      <c r="AH1579" s="5" t="str">
        <f>"Q"&amp;ROUNDUP(MONTH(AF1579)/3,0)</f>
        <v>Q2</v>
      </c>
      <c r="AI1579" s="5">
        <f>INDEX(RatingLookup!$B$2:$B$11,MATCH(A1579,RatingLookup!$A$2:$A$11,0))</f>
        <v>7</v>
      </c>
      <c r="AJ1579" s="5" t="str">
        <f>INDEX(RatingLookup!$C$2:$C$11,MATCH(A1579,RatingLookup!$A$2:$A$11,0))</f>
        <v>Investment Grade</v>
      </c>
    </row>
    <row r="1580" spans="1:36" x14ac:dyDescent="0.3">
      <c r="A1580" s="3" t="s">
        <v>42</v>
      </c>
      <c r="B1580" s="3" t="s">
        <v>1657</v>
      </c>
      <c r="C1580" s="3" t="s">
        <v>1658</v>
      </c>
      <c r="D1580" s="3" t="s">
        <v>47</v>
      </c>
      <c r="E1580" s="3" t="s">
        <v>205</v>
      </c>
      <c r="F1580" s="3" t="s">
        <v>96</v>
      </c>
      <c r="G1580" s="3">
        <v>1.3762101600000001</v>
      </c>
      <c r="H1580" s="3">
        <v>1.3127107579999999</v>
      </c>
      <c r="I1580" s="3">
        <v>0.176248232</v>
      </c>
      <c r="J1580" s="3">
        <v>73.76607989</v>
      </c>
      <c r="K1580" s="3">
        <v>9.55605E-3</v>
      </c>
      <c r="L1580" s="3">
        <v>1.7816036E-2</v>
      </c>
      <c r="M1580" s="3">
        <v>0.16645710399999999</v>
      </c>
      <c r="N1580" s="3">
        <v>1.9910048999999999E-2</v>
      </c>
      <c r="O1580" s="3">
        <v>2.8177851E-2</v>
      </c>
      <c r="P1580" s="3">
        <v>0.11045152</v>
      </c>
      <c r="Q1580" s="3">
        <v>7.9014714999999999E-2</v>
      </c>
      <c r="R1580" s="3">
        <v>2.9486923539999998</v>
      </c>
      <c r="S1580" s="3">
        <v>111.89393939999999</v>
      </c>
      <c r="T1580" s="3">
        <v>1.8041426739999999</v>
      </c>
      <c r="U1580" s="3">
        <v>0.64338476499999997</v>
      </c>
      <c r="V1580" s="3">
        <v>0.46362649299999997</v>
      </c>
      <c r="W1580" s="3">
        <v>0.78287092899999999</v>
      </c>
      <c r="X1580" s="3">
        <v>3.2654088049999999</v>
      </c>
      <c r="Y1580" s="3">
        <v>8.1522012579999998</v>
      </c>
      <c r="Z1580" s="3">
        <v>2.8041426739999999</v>
      </c>
      <c r="AA1580" s="3">
        <v>1.7816036E-2</v>
      </c>
      <c r="AB1580" s="3">
        <v>8.2751073799999997</v>
      </c>
      <c r="AC1580" s="3">
        <v>4.1710691820000001</v>
      </c>
      <c r="AD1580" s="3">
        <v>1.6036366999999999E-2</v>
      </c>
      <c r="AE1580" s="3">
        <v>127.6740741</v>
      </c>
      <c r="AF1580" s="4">
        <v>41380</v>
      </c>
      <c r="AG1580" s="5">
        <f>YEAR(AF1580)</f>
        <v>2013</v>
      </c>
      <c r="AH1580" s="5" t="str">
        <f>"Q"&amp;ROUNDUP(MONTH(AF1580)/3,0)</f>
        <v>Q2</v>
      </c>
      <c r="AI1580" s="5">
        <f>INDEX(RatingLookup!$B$2:$B$11,MATCH(A1580,RatingLookup!$A$2:$A$11,0))</f>
        <v>7</v>
      </c>
      <c r="AJ1580" s="5" t="str">
        <f>INDEX(RatingLookup!$C$2:$C$11,MATCH(A1580,RatingLookup!$A$2:$A$11,0))</f>
        <v>Investment Grade</v>
      </c>
    </row>
    <row r="1581" spans="1:36" x14ac:dyDescent="0.3">
      <c r="A1581" s="3" t="s">
        <v>42</v>
      </c>
      <c r="B1581" s="3" t="s">
        <v>1657</v>
      </c>
      <c r="C1581" s="3" t="s">
        <v>1658</v>
      </c>
      <c r="D1581" s="3" t="s">
        <v>47</v>
      </c>
      <c r="E1581" s="3" t="s">
        <v>361</v>
      </c>
      <c r="F1581" s="3" t="s">
        <v>96</v>
      </c>
      <c r="G1581" s="3">
        <v>1.4028916579999999</v>
      </c>
      <c r="H1581" s="3">
        <v>1.369738712</v>
      </c>
      <c r="I1581" s="3">
        <v>0.163578222</v>
      </c>
      <c r="J1581" s="3">
        <v>81.956512889999999</v>
      </c>
      <c r="K1581" s="3">
        <v>2.2575442000000001E-2</v>
      </c>
      <c r="L1581" s="3">
        <v>3.5682121999999997E-2</v>
      </c>
      <c r="M1581" s="3">
        <v>0.16962364099999999</v>
      </c>
      <c r="N1581" s="3">
        <v>3.8200681E-2</v>
      </c>
      <c r="O1581" s="3">
        <v>5.8580444000000002E-2</v>
      </c>
      <c r="P1581" s="3">
        <v>0.179113245</v>
      </c>
      <c r="Q1581" s="3">
        <v>0.18785723400000001</v>
      </c>
      <c r="R1581" s="3">
        <v>2.5948747060000001</v>
      </c>
      <c r="S1581" s="3">
        <v>133.42905630000001</v>
      </c>
      <c r="T1581" s="3">
        <v>2.2068250140000001</v>
      </c>
      <c r="U1581" s="3">
        <v>0.68816508700000001</v>
      </c>
      <c r="V1581" s="3">
        <v>0.36731783800000001</v>
      </c>
      <c r="W1581" s="3">
        <v>0.90516666700000004</v>
      </c>
      <c r="X1581" s="3">
        <v>7.7475035659999998</v>
      </c>
      <c r="Y1581" s="3">
        <v>8.5378031379999992</v>
      </c>
      <c r="Z1581" s="3">
        <v>3.2068250140000001</v>
      </c>
      <c r="AA1581" s="3">
        <v>3.5682121999999997E-2</v>
      </c>
      <c r="AB1581" s="3">
        <v>8.2078292069999996</v>
      </c>
      <c r="AC1581" s="3">
        <v>8.5592011410000008</v>
      </c>
      <c r="AD1581" s="3">
        <v>3.0527980999999999E-2</v>
      </c>
      <c r="AE1581" s="3">
        <v>8.5268025079999994</v>
      </c>
      <c r="AF1581" s="4">
        <v>42597</v>
      </c>
      <c r="AG1581" s="5">
        <f>YEAR(AF1581)</f>
        <v>2016</v>
      </c>
      <c r="AH1581" s="5" t="str">
        <f>"Q"&amp;ROUNDUP(MONTH(AF1581)/3,0)</f>
        <v>Q3</v>
      </c>
      <c r="AI1581" s="5">
        <f>INDEX(RatingLookup!$B$2:$B$11,MATCH(A1581,RatingLookup!$A$2:$A$11,0))</f>
        <v>7</v>
      </c>
      <c r="AJ1581" s="5" t="str">
        <f>INDEX(RatingLookup!$C$2:$C$11,MATCH(A1581,RatingLookup!$A$2:$A$11,0))</f>
        <v>Investment Grade</v>
      </c>
    </row>
    <row r="1582" spans="1:36" x14ac:dyDescent="0.3">
      <c r="A1582" s="3" t="s">
        <v>109</v>
      </c>
      <c r="B1582" s="3" t="s">
        <v>1659</v>
      </c>
      <c r="C1582" s="3" t="s">
        <v>1660</v>
      </c>
      <c r="D1582" s="3" t="s">
        <v>47</v>
      </c>
      <c r="E1582" s="3" t="s">
        <v>705</v>
      </c>
      <c r="F1582" s="3" t="s">
        <v>219</v>
      </c>
      <c r="G1582" s="3">
        <v>1.6030580000000001</v>
      </c>
      <c r="H1582" s="3">
        <v>1.138023239</v>
      </c>
      <c r="I1582" s="3">
        <v>6.8958141000000001E-2</v>
      </c>
      <c r="J1582" s="3">
        <v>55.70641912</v>
      </c>
      <c r="K1582" s="3">
        <v>-7.2227319999999999E-3</v>
      </c>
      <c r="L1582" s="3">
        <v>-1.0136799E-2</v>
      </c>
      <c r="M1582" s="3">
        <v>0.11194475800000001</v>
      </c>
      <c r="N1582" s="3">
        <v>2.6793779E-2</v>
      </c>
      <c r="O1582" s="3">
        <v>-6.8642729999999997E-3</v>
      </c>
      <c r="P1582" s="3">
        <v>-1.2481051E-2</v>
      </c>
      <c r="Q1582" s="3">
        <v>-2.4542675E-2</v>
      </c>
      <c r="R1582" s="3">
        <v>0.95037072</v>
      </c>
      <c r="S1582" s="3">
        <v>1.9917668120000001</v>
      </c>
      <c r="T1582" s="3">
        <v>2.575422428</v>
      </c>
      <c r="U1582" s="3">
        <v>0.72031276899999996</v>
      </c>
      <c r="V1582" s="3">
        <v>0.28747409600000001</v>
      </c>
      <c r="W1582" s="3">
        <v>-1.556658197</v>
      </c>
      <c r="X1582" s="3">
        <v>-750.42211550000002</v>
      </c>
      <c r="Y1582" s="3">
        <v>1710.0314519999999</v>
      </c>
      <c r="Z1582" s="3">
        <v>3.575422428</v>
      </c>
      <c r="AA1582" s="3">
        <v>-1.0136799E-2</v>
      </c>
      <c r="AB1582" s="3">
        <v>0.53052608099999998</v>
      </c>
      <c r="AC1582" s="3">
        <v>482.0725046</v>
      </c>
      <c r="AD1582" s="3">
        <v>3.3986167999999997E-2</v>
      </c>
      <c r="AE1582" s="3">
        <v>6.4028658939999996</v>
      </c>
      <c r="AF1582" s="4">
        <v>42300</v>
      </c>
      <c r="AG1582" s="5">
        <f>YEAR(AF1582)</f>
        <v>2015</v>
      </c>
      <c r="AH1582" s="5" t="str">
        <f>"Q"&amp;ROUNDUP(MONTH(AF1582)/3,0)</f>
        <v>Q4</v>
      </c>
      <c r="AI1582" s="5">
        <f>INDEX(RatingLookup!$B$2:$B$11,MATCH(A1582,RatingLookup!$A$2:$A$11,0))</f>
        <v>5</v>
      </c>
      <c r="AJ1582" s="5" t="str">
        <f>INDEX(RatingLookup!$C$2:$C$11,MATCH(A1582,RatingLookup!$A$2:$A$11,0))</f>
        <v>Speculative Grade</v>
      </c>
    </row>
    <row r="1583" spans="1:36" x14ac:dyDescent="0.3">
      <c r="A1583" s="3" t="s">
        <v>116</v>
      </c>
      <c r="B1583" s="3" t="s">
        <v>1659</v>
      </c>
      <c r="C1583" s="3" t="s">
        <v>1660</v>
      </c>
      <c r="D1583" s="3" t="s">
        <v>60</v>
      </c>
      <c r="E1583" s="3" t="s">
        <v>981</v>
      </c>
      <c r="F1583" s="3" t="s">
        <v>219</v>
      </c>
      <c r="G1583" s="3">
        <v>1.7068674880000001</v>
      </c>
      <c r="H1583" s="3">
        <v>1.21112164</v>
      </c>
      <c r="I1583" s="3">
        <v>0.211405915</v>
      </c>
      <c r="J1583" s="3">
        <v>51.20480001</v>
      </c>
      <c r="K1583" s="3">
        <v>1.2759797E-2</v>
      </c>
      <c r="L1583" s="3">
        <v>1.1387763E-2</v>
      </c>
      <c r="M1583" s="3">
        <v>0.11464110800000001</v>
      </c>
      <c r="N1583" s="3">
        <v>2.9563811999999998E-2</v>
      </c>
      <c r="O1583" s="3">
        <v>1.1525535E-2</v>
      </c>
      <c r="P1583" s="3">
        <v>1.3263580000000001E-2</v>
      </c>
      <c r="Q1583" s="3">
        <v>4.0220657E-2</v>
      </c>
      <c r="R1583" s="3">
        <v>0.90326946799999996</v>
      </c>
      <c r="S1583" s="3">
        <v>2.019880084</v>
      </c>
      <c r="T1583" s="3">
        <v>2.489699683</v>
      </c>
      <c r="U1583" s="3">
        <v>0.71344238999999998</v>
      </c>
      <c r="V1583" s="3">
        <v>-1.254897693</v>
      </c>
      <c r="W1583" s="3">
        <v>-0.88332445400000004</v>
      </c>
      <c r="X1583" s="3">
        <v>-719.20985020000001</v>
      </c>
      <c r="Y1583" s="3">
        <v>2163.1352400000001</v>
      </c>
      <c r="Z1583" s="3">
        <v>3.489699683</v>
      </c>
      <c r="AA1583" s="3">
        <v>1.1387763E-2</v>
      </c>
      <c r="AB1583" s="3">
        <v>0.17807010400000001</v>
      </c>
      <c r="AC1583" s="3">
        <v>814.20801489999997</v>
      </c>
      <c r="AD1583" s="3">
        <v>6.0486024999999999E-2</v>
      </c>
      <c r="AE1583" s="3">
        <v>5.9542306060000003</v>
      </c>
      <c r="AF1583" s="4">
        <v>41962</v>
      </c>
      <c r="AG1583" s="5">
        <f>YEAR(AF1583)</f>
        <v>2014</v>
      </c>
      <c r="AH1583" s="5" t="str">
        <f>"Q"&amp;ROUNDUP(MONTH(AF1583)/3,0)</f>
        <v>Q4</v>
      </c>
      <c r="AI1583" s="5">
        <f>INDEX(RatingLookup!$B$2:$B$11,MATCH(A1583,RatingLookup!$A$2:$A$11,0))</f>
        <v>4</v>
      </c>
      <c r="AJ1583" s="5" t="str">
        <f>INDEX(RatingLookup!$C$2:$C$11,MATCH(A1583,RatingLookup!$A$2:$A$11,0))</f>
        <v>Speculative Grade</v>
      </c>
    </row>
    <row r="1584" spans="1:36" x14ac:dyDescent="0.3">
      <c r="A1584" s="3" t="s">
        <v>109</v>
      </c>
      <c r="B1584" s="3" t="s">
        <v>1659</v>
      </c>
      <c r="C1584" s="3" t="s">
        <v>1660</v>
      </c>
      <c r="D1584" s="3" t="s">
        <v>47</v>
      </c>
      <c r="E1584" s="3" t="s">
        <v>1661</v>
      </c>
      <c r="F1584" s="3" t="s">
        <v>219</v>
      </c>
      <c r="G1584" s="3">
        <v>1.6869588600000001</v>
      </c>
      <c r="H1584" s="3">
        <v>1.3590212420000001</v>
      </c>
      <c r="I1584" s="3">
        <v>0.13143318100000001</v>
      </c>
      <c r="J1584" s="3">
        <v>79.171170360000005</v>
      </c>
      <c r="K1584" s="3">
        <v>-3.9195209999999996E-3</v>
      </c>
      <c r="L1584" s="3">
        <v>-7.8695840000000006E-3</v>
      </c>
      <c r="M1584" s="3">
        <v>9.9477300000000005E-2</v>
      </c>
      <c r="N1584" s="3">
        <v>2.2549972000000001E-2</v>
      </c>
      <c r="O1584" s="3">
        <v>-3.2611519999999998E-3</v>
      </c>
      <c r="P1584" s="3">
        <v>-8.4488129999999995E-3</v>
      </c>
      <c r="Q1584" s="3">
        <v>-9.8488859999999994E-3</v>
      </c>
      <c r="R1584" s="3">
        <v>0.83202826699999999</v>
      </c>
      <c r="S1584" s="3">
        <v>1.984140359</v>
      </c>
      <c r="T1584" s="3">
        <v>2.0200632230000002</v>
      </c>
      <c r="U1584" s="3">
        <v>0.668881104</v>
      </c>
      <c r="V1584" s="3">
        <v>0.38273886499999998</v>
      </c>
      <c r="W1584" s="3">
        <v>34.594086019999999</v>
      </c>
      <c r="X1584" s="3">
        <v>-1087.000591</v>
      </c>
      <c r="Y1584" s="3">
        <v>1749.6072300000001</v>
      </c>
      <c r="Z1584" s="3">
        <v>3.0200632230000002</v>
      </c>
      <c r="AA1584" s="3">
        <v>-7.8695840000000006E-3</v>
      </c>
      <c r="AB1584" s="3">
        <v>4.2123956480000002</v>
      </c>
      <c r="AC1584" s="3">
        <v>-31.421572770000001</v>
      </c>
      <c r="AD1584" s="3">
        <v>-2.7051240000000002E-3</v>
      </c>
      <c r="AE1584" s="3">
        <v>5.0306706099999996</v>
      </c>
      <c r="AF1584" s="4">
        <v>41128</v>
      </c>
      <c r="AG1584" s="5">
        <f>YEAR(AF1584)</f>
        <v>2012</v>
      </c>
      <c r="AH1584" s="5" t="str">
        <f>"Q"&amp;ROUNDUP(MONTH(AF1584)/3,0)</f>
        <v>Q3</v>
      </c>
      <c r="AI1584" s="5">
        <f>INDEX(RatingLookup!$B$2:$B$11,MATCH(A1584,RatingLookup!$A$2:$A$11,0))</f>
        <v>5</v>
      </c>
      <c r="AJ1584" s="5" t="str">
        <f>INDEX(RatingLookup!$C$2:$C$11,MATCH(A1584,RatingLookup!$A$2:$A$11,0))</f>
        <v>Speculative Grade</v>
      </c>
    </row>
    <row r="1585" spans="1:36" x14ac:dyDescent="0.3">
      <c r="A1585" s="3" t="s">
        <v>109</v>
      </c>
      <c r="B1585" s="3" t="s">
        <v>1659</v>
      </c>
      <c r="C1585" s="3" t="s">
        <v>1660</v>
      </c>
      <c r="D1585" s="3" t="s">
        <v>47</v>
      </c>
      <c r="E1585" s="3" t="s">
        <v>1662</v>
      </c>
      <c r="F1585" s="3" t="s">
        <v>219</v>
      </c>
      <c r="G1585" s="3">
        <v>2.4958858770000001</v>
      </c>
      <c r="H1585" s="3">
        <v>2.022179489</v>
      </c>
      <c r="I1585" s="3">
        <v>0.86793435799999996</v>
      </c>
      <c r="J1585" s="3">
        <v>69.975308170000005</v>
      </c>
      <c r="K1585" s="3">
        <v>2.6346453999999998E-2</v>
      </c>
      <c r="L1585" s="3">
        <v>4.2714157000000003E-2</v>
      </c>
      <c r="M1585" s="3">
        <v>0.148273724</v>
      </c>
      <c r="N1585" s="3">
        <v>8.6547336000000002E-2</v>
      </c>
      <c r="O1585" s="3">
        <v>2.0962382000000002E-2</v>
      </c>
      <c r="P1585" s="3">
        <v>4.0727488999999999E-2</v>
      </c>
      <c r="Q1585" s="3">
        <v>5.6608749999999999E-2</v>
      </c>
      <c r="R1585" s="3">
        <v>0.79564340600000005</v>
      </c>
      <c r="S1585" s="3">
        <v>2.0202660049999999</v>
      </c>
      <c r="T1585" s="3">
        <v>1.700492176</v>
      </c>
      <c r="U1585" s="3">
        <v>0.62969713100000002</v>
      </c>
      <c r="V1585" s="3">
        <v>0.35620988199999998</v>
      </c>
      <c r="W1585" s="3">
        <v>-0.36111224200000003</v>
      </c>
      <c r="X1585" s="3">
        <v>-0.15061780499999999</v>
      </c>
      <c r="Y1585" s="3">
        <v>2.4397537269999998</v>
      </c>
      <c r="Z1585" s="3">
        <v>2.700492176</v>
      </c>
      <c r="AA1585" s="3">
        <v>4.2714157000000003E-2</v>
      </c>
      <c r="AB1585" s="3">
        <v>2.7122932550000001</v>
      </c>
      <c r="AC1585" s="3">
        <v>0.41709415300000002</v>
      </c>
      <c r="AD1585" s="3">
        <v>3.9154644000000002E-2</v>
      </c>
      <c r="AE1585" s="3">
        <v>6.4573811110000001</v>
      </c>
      <c r="AF1585" s="4">
        <v>40766</v>
      </c>
      <c r="AG1585" s="5">
        <f>YEAR(AF1585)</f>
        <v>2011</v>
      </c>
      <c r="AH1585" s="5" t="str">
        <f>"Q"&amp;ROUNDUP(MONTH(AF1585)/3,0)</f>
        <v>Q3</v>
      </c>
      <c r="AI1585" s="5">
        <f>INDEX(RatingLookup!$B$2:$B$11,MATCH(A1585,RatingLookup!$A$2:$A$11,0))</f>
        <v>5</v>
      </c>
      <c r="AJ1585" s="5" t="str">
        <f>INDEX(RatingLookup!$C$2:$C$11,MATCH(A1585,RatingLookup!$A$2:$A$11,0))</f>
        <v>Speculative Grade</v>
      </c>
    </row>
    <row r="1586" spans="1:36" x14ac:dyDescent="0.3">
      <c r="A1586" s="3" t="s">
        <v>116</v>
      </c>
      <c r="B1586" s="3" t="s">
        <v>1659</v>
      </c>
      <c r="C1586" s="3" t="s">
        <v>1660</v>
      </c>
      <c r="D1586" s="3" t="s">
        <v>60</v>
      </c>
      <c r="E1586" s="3" t="s">
        <v>254</v>
      </c>
      <c r="F1586" s="3" t="s">
        <v>219</v>
      </c>
      <c r="G1586" s="3">
        <v>1.8620673649999999</v>
      </c>
      <c r="H1586" s="3">
        <v>1.4884037569999999</v>
      </c>
      <c r="I1586" s="3">
        <v>0.38854248899999999</v>
      </c>
      <c r="J1586" s="3">
        <v>48.163943189999998</v>
      </c>
      <c r="K1586" s="3">
        <v>-4.6978608999999998E-2</v>
      </c>
      <c r="L1586" s="3">
        <v>4.1449622999999998E-2</v>
      </c>
      <c r="M1586" s="3">
        <v>0.137124052</v>
      </c>
      <c r="N1586" s="3">
        <v>7.0275820000000003E-2</v>
      </c>
      <c r="O1586" s="3">
        <v>-4.0299304000000001E-2</v>
      </c>
      <c r="P1586" s="3">
        <v>4.6022291E-2</v>
      </c>
      <c r="Q1586" s="3">
        <v>-0.14143472200000001</v>
      </c>
      <c r="R1586" s="3">
        <v>0.857822423</v>
      </c>
      <c r="S1586" s="3">
        <v>2.1162490599999999</v>
      </c>
      <c r="T1586" s="3">
        <v>2.5096070730000002</v>
      </c>
      <c r="U1586" s="3">
        <v>0.71506781799999997</v>
      </c>
      <c r="V1586" s="3">
        <v>0.34502094500000002</v>
      </c>
      <c r="W1586" s="3">
        <v>0.109177659</v>
      </c>
      <c r="X1586" s="3">
        <v>137.3056559</v>
      </c>
      <c r="Y1586" s="3">
        <v>3228.5906380000001</v>
      </c>
      <c r="Z1586" s="3">
        <v>3.5096070730000002</v>
      </c>
      <c r="AA1586" s="3">
        <v>4.1449622999999998E-2</v>
      </c>
      <c r="AB1586" s="3">
        <v>-0.402022306</v>
      </c>
      <c r="AC1586" s="3">
        <v>1257.6350950000001</v>
      </c>
      <c r="AD1586" s="3">
        <v>0.102298549</v>
      </c>
      <c r="AE1586" s="3">
        <v>5.4350462019999997</v>
      </c>
      <c r="AF1586" s="4">
        <v>41512</v>
      </c>
      <c r="AG1586" s="5">
        <f>YEAR(AF1586)</f>
        <v>2013</v>
      </c>
      <c r="AH1586" s="5" t="str">
        <f>"Q"&amp;ROUNDUP(MONTH(AF1586)/3,0)</f>
        <v>Q3</v>
      </c>
      <c r="AI1586" s="5">
        <f>INDEX(RatingLookup!$B$2:$B$11,MATCH(A1586,RatingLookup!$A$2:$A$11,0))</f>
        <v>4</v>
      </c>
      <c r="AJ1586" s="5" t="str">
        <f>INDEX(RatingLookup!$C$2:$C$11,MATCH(A1586,RatingLookup!$A$2:$A$11,0))</f>
        <v>Speculative Grade</v>
      </c>
    </row>
    <row r="1587" spans="1:36" x14ac:dyDescent="0.3">
      <c r="A1587" s="3" t="s">
        <v>42</v>
      </c>
      <c r="B1587" s="3" t="s">
        <v>1663</v>
      </c>
      <c r="C1587" s="3" t="s">
        <v>1664</v>
      </c>
      <c r="D1587" s="3" t="s">
        <v>47</v>
      </c>
      <c r="E1587" s="3" t="s">
        <v>537</v>
      </c>
      <c r="F1587" s="3" t="s">
        <v>59</v>
      </c>
      <c r="G1587" s="3">
        <v>2.8788819879999998</v>
      </c>
      <c r="H1587" s="3">
        <v>1.9394409939999999</v>
      </c>
      <c r="I1587" s="3">
        <v>1.2158385089999999</v>
      </c>
      <c r="J1587" s="3">
        <v>54.662440029999999</v>
      </c>
      <c r="K1587" s="3">
        <v>0.114804661</v>
      </c>
      <c r="L1587" s="3">
        <v>0.12542837600000001</v>
      </c>
      <c r="M1587" s="3">
        <v>0.55654557900000001</v>
      </c>
      <c r="N1587" s="3">
        <v>0.139136395</v>
      </c>
      <c r="O1587" s="3">
        <v>8.8088350999999995E-2</v>
      </c>
      <c r="P1587" s="3">
        <v>0.115859449</v>
      </c>
      <c r="Q1587" s="3">
        <v>0.22141440800000001</v>
      </c>
      <c r="R1587" s="3">
        <v>0.76728898199999995</v>
      </c>
      <c r="S1587" s="3">
        <v>5.69921875</v>
      </c>
      <c r="T1587" s="3">
        <v>1.5135492399999999</v>
      </c>
      <c r="U1587" s="3">
        <v>0.60215619200000003</v>
      </c>
      <c r="V1587" s="3">
        <v>8.4699453999999993E-2</v>
      </c>
      <c r="W1587" s="3">
        <v>0.78125</v>
      </c>
      <c r="X1587" s="3">
        <v>1.911764706</v>
      </c>
      <c r="Y1587" s="3">
        <v>4.7764705879999996</v>
      </c>
      <c r="Z1587" s="3">
        <v>2.5135492400000001</v>
      </c>
      <c r="AA1587" s="3">
        <v>0.12542837600000001</v>
      </c>
      <c r="AB1587" s="3">
        <v>12.27611111</v>
      </c>
      <c r="AC1587" s="3">
        <v>2.447058824</v>
      </c>
      <c r="AD1587" s="3">
        <v>0.14256340000000001</v>
      </c>
      <c r="AE1587" s="3">
        <v>6.8465608470000001</v>
      </c>
      <c r="AF1587" s="4">
        <v>42640</v>
      </c>
      <c r="AG1587" s="5">
        <f>YEAR(AF1587)</f>
        <v>2016</v>
      </c>
      <c r="AH1587" s="5" t="str">
        <f>"Q"&amp;ROUNDUP(MONTH(AF1587)/3,0)</f>
        <v>Q3</v>
      </c>
      <c r="AI1587" s="5">
        <f>INDEX(RatingLookup!$B$2:$B$11,MATCH(A1587,RatingLookup!$A$2:$A$11,0))</f>
        <v>7</v>
      </c>
      <c r="AJ1587" s="5" t="str">
        <f>INDEX(RatingLookup!$C$2:$C$11,MATCH(A1587,RatingLookup!$A$2:$A$11,0))</f>
        <v>Investment Grade</v>
      </c>
    </row>
    <row r="1588" spans="1:36" x14ac:dyDescent="0.3">
      <c r="A1588" s="3" t="s">
        <v>42</v>
      </c>
      <c r="B1588" s="3" t="s">
        <v>1663</v>
      </c>
      <c r="C1588" s="3" t="s">
        <v>1664</v>
      </c>
      <c r="D1588" s="3" t="s">
        <v>47</v>
      </c>
      <c r="E1588" s="3" t="s">
        <v>333</v>
      </c>
      <c r="F1588" s="3" t="s">
        <v>59</v>
      </c>
      <c r="G1588" s="3">
        <v>2.3017492709999998</v>
      </c>
      <c r="H1588" s="3">
        <v>1.3440233239999999</v>
      </c>
      <c r="I1588" s="3">
        <v>0.70408163300000004</v>
      </c>
      <c r="J1588" s="3">
        <v>50.864845940000002</v>
      </c>
      <c r="K1588" s="3">
        <v>0.179621849</v>
      </c>
      <c r="L1588" s="3">
        <v>0.13585434199999999</v>
      </c>
      <c r="M1588" s="3">
        <v>0.555672269</v>
      </c>
      <c r="N1588" s="3">
        <v>0.15091036399999999</v>
      </c>
      <c r="O1588" s="3">
        <v>0.146237172</v>
      </c>
      <c r="P1588" s="3">
        <v>0.13749114100000001</v>
      </c>
      <c r="Q1588" s="3">
        <v>0.39400921700000002</v>
      </c>
      <c r="R1588" s="3">
        <v>0.81413911100000003</v>
      </c>
      <c r="S1588" s="3">
        <v>5.5135135139999996</v>
      </c>
      <c r="T1588" s="3">
        <v>1.694316436</v>
      </c>
      <c r="U1588" s="3">
        <v>0.62884834700000003</v>
      </c>
      <c r="V1588" s="3">
        <v>-0.32216494800000001</v>
      </c>
      <c r="W1588" s="3">
        <v>0.75531914899999997</v>
      </c>
      <c r="X1588" s="3">
        <v>1.6804733730000001</v>
      </c>
      <c r="Y1588" s="3">
        <v>3.1005917159999998</v>
      </c>
      <c r="Z1588" s="3">
        <v>2.6943164359999998</v>
      </c>
      <c r="AA1588" s="3">
        <v>0.13585434199999999</v>
      </c>
      <c r="AB1588" s="3">
        <v>11.14507547</v>
      </c>
      <c r="AC1588" s="3">
        <v>2.2248520709999999</v>
      </c>
      <c r="AD1588" s="3">
        <v>0.131652661</v>
      </c>
      <c r="AE1588" s="3">
        <v>6.0717703350000001</v>
      </c>
      <c r="AF1588" s="4">
        <v>42271</v>
      </c>
      <c r="AG1588" s="5">
        <f>YEAR(AF1588)</f>
        <v>2015</v>
      </c>
      <c r="AH1588" s="5" t="str">
        <f>"Q"&amp;ROUNDUP(MONTH(AF1588)/3,0)</f>
        <v>Q3</v>
      </c>
      <c r="AI1588" s="5">
        <f>INDEX(RatingLookup!$B$2:$B$11,MATCH(A1588,RatingLookup!$A$2:$A$11,0))</f>
        <v>7</v>
      </c>
      <c r="AJ1588" s="5" t="str">
        <f>INDEX(RatingLookup!$C$2:$C$11,MATCH(A1588,RatingLookup!$A$2:$A$11,0))</f>
        <v>Investment Grade</v>
      </c>
    </row>
    <row r="1589" spans="1:36" x14ac:dyDescent="0.3">
      <c r="A1589" s="3" t="s">
        <v>42</v>
      </c>
      <c r="B1589" s="3" t="s">
        <v>1663</v>
      </c>
      <c r="C1589" s="3" t="s">
        <v>1664</v>
      </c>
      <c r="D1589" s="3" t="s">
        <v>47</v>
      </c>
      <c r="E1589" s="3" t="s">
        <v>1665</v>
      </c>
      <c r="F1589" s="3" t="s">
        <v>59</v>
      </c>
      <c r="G1589" s="3">
        <v>2.405721717</v>
      </c>
      <c r="H1589" s="3">
        <v>1.547464239</v>
      </c>
      <c r="I1589" s="3">
        <v>1.0533159949999999</v>
      </c>
      <c r="J1589" s="3">
        <v>47.289464709999997</v>
      </c>
      <c r="K1589" s="3">
        <v>0.13365155100000001</v>
      </c>
      <c r="L1589" s="3">
        <v>0.161950222</v>
      </c>
      <c r="M1589" s="3">
        <v>0.55233549299999996</v>
      </c>
      <c r="N1589" s="3">
        <v>0.15990453499999999</v>
      </c>
      <c r="O1589" s="3">
        <v>0.12852458999999999</v>
      </c>
      <c r="P1589" s="3">
        <v>0.20955721199999999</v>
      </c>
      <c r="Q1589" s="3">
        <v>0.509752926</v>
      </c>
      <c r="R1589" s="3">
        <v>0.96163934399999995</v>
      </c>
      <c r="S1589" s="3">
        <v>6.2404255319999997</v>
      </c>
      <c r="T1589" s="3">
        <v>2.9661898569999998</v>
      </c>
      <c r="U1589" s="3">
        <v>0.74786885199999997</v>
      </c>
      <c r="V1589" s="3">
        <v>0.174736842</v>
      </c>
      <c r="W1589" s="3">
        <v>0.87566607500000004</v>
      </c>
      <c r="X1589" s="3">
        <v>2.9373978080000001</v>
      </c>
      <c r="Y1589" s="3">
        <v>4.8261505580000001</v>
      </c>
      <c r="Z1589" s="3">
        <v>3.9661898569999998</v>
      </c>
      <c r="AA1589" s="3">
        <v>0.162973065</v>
      </c>
      <c r="AB1589" s="3">
        <v>8.950812161</v>
      </c>
      <c r="AC1589" s="3">
        <v>3.3544725479999999</v>
      </c>
      <c r="AD1589" s="3">
        <v>0.19195363100000001</v>
      </c>
      <c r="AE1589" s="3">
        <v>4.4060402679999999</v>
      </c>
      <c r="AF1589" s="4">
        <v>41894</v>
      </c>
      <c r="AG1589" s="5">
        <f>YEAR(AF1589)</f>
        <v>2014</v>
      </c>
      <c r="AH1589" s="5" t="str">
        <f>"Q"&amp;ROUNDUP(MONTH(AF1589)/3,0)</f>
        <v>Q3</v>
      </c>
      <c r="AI1589" s="5">
        <f>INDEX(RatingLookup!$B$2:$B$11,MATCH(A1589,RatingLookup!$A$2:$A$11,0))</f>
        <v>7</v>
      </c>
      <c r="AJ1589" s="5" t="str">
        <f>INDEX(RatingLookup!$C$2:$C$11,MATCH(A1589,RatingLookup!$A$2:$A$11,0))</f>
        <v>Investment Grade</v>
      </c>
    </row>
    <row r="1590" spans="1:36" x14ac:dyDescent="0.3">
      <c r="A1590" s="3" t="s">
        <v>109</v>
      </c>
      <c r="B1590" s="3" t="s">
        <v>1666</v>
      </c>
      <c r="C1590" s="3" t="s">
        <v>1667</v>
      </c>
      <c r="D1590" s="3" t="s">
        <v>47</v>
      </c>
      <c r="E1590" s="3" t="s">
        <v>48</v>
      </c>
      <c r="F1590" s="3" t="s">
        <v>174</v>
      </c>
      <c r="G1590" s="3">
        <v>1.2471590960000001</v>
      </c>
      <c r="H1590" s="3">
        <v>0.37800559299999997</v>
      </c>
      <c r="I1590" s="3">
        <v>0.319966372</v>
      </c>
      <c r="J1590" s="3">
        <v>0</v>
      </c>
      <c r="K1590" s="3">
        <v>2.1139735E-2</v>
      </c>
      <c r="L1590" s="3">
        <v>2.9500255999999999E-2</v>
      </c>
      <c r="M1590" s="3">
        <v>0.317163739</v>
      </c>
      <c r="N1590" s="3">
        <v>4.3008405999999999E-2</v>
      </c>
      <c r="O1590" s="3">
        <v>1.3739851000000001E-2</v>
      </c>
      <c r="P1590" s="3">
        <v>2.8945373E-2</v>
      </c>
      <c r="Q1590" s="3">
        <v>6.9661168999999995E-2</v>
      </c>
      <c r="R1590" s="3">
        <v>0.64995381500000005</v>
      </c>
      <c r="S1590" s="3">
        <v>35.266954210000002</v>
      </c>
      <c r="T1590" s="3">
        <v>4.0700089559999997</v>
      </c>
      <c r="U1590" s="3">
        <v>0.80276168999999997</v>
      </c>
      <c r="V1590" s="3">
        <v>0.28340505199999999</v>
      </c>
      <c r="W1590" s="3">
        <v>1.0730353930000001</v>
      </c>
      <c r="X1590" s="3">
        <v>-3.6883298899999999</v>
      </c>
      <c r="Y1590" s="3">
        <v>4.0431274510000001</v>
      </c>
      <c r="Z1590" s="3">
        <v>5.0700089559999997</v>
      </c>
      <c r="AA1590" s="3">
        <v>2.9500255999999999E-2</v>
      </c>
      <c r="AB1590" s="3">
        <v>11.77335776</v>
      </c>
      <c r="AC1590" s="3">
        <v>-3.4372863329999999</v>
      </c>
      <c r="AD1590" s="3">
        <v>-0.16691645899999999</v>
      </c>
      <c r="AE1590" s="3">
        <v>19.274589089999999</v>
      </c>
      <c r="AF1590" s="4">
        <v>42667</v>
      </c>
      <c r="AG1590" s="5">
        <f>YEAR(AF1590)</f>
        <v>2016</v>
      </c>
      <c r="AH1590" s="5" t="str">
        <f>"Q"&amp;ROUNDUP(MONTH(AF1590)/3,0)</f>
        <v>Q4</v>
      </c>
      <c r="AI1590" s="5">
        <f>INDEX(RatingLookup!$B$2:$B$11,MATCH(A1590,RatingLookup!$A$2:$A$11,0))</f>
        <v>5</v>
      </c>
      <c r="AJ1590" s="5" t="str">
        <f>INDEX(RatingLookup!$C$2:$C$11,MATCH(A1590,RatingLookup!$A$2:$A$11,0))</f>
        <v>Speculative Grade</v>
      </c>
    </row>
    <row r="1591" spans="1:36" x14ac:dyDescent="0.3">
      <c r="A1591" s="3" t="s">
        <v>109</v>
      </c>
      <c r="B1591" s="3" t="s">
        <v>1666</v>
      </c>
      <c r="C1591" s="3" t="s">
        <v>1667</v>
      </c>
      <c r="D1591" s="3" t="s">
        <v>47</v>
      </c>
      <c r="E1591" s="3" t="s">
        <v>1668</v>
      </c>
      <c r="F1591" s="3" t="s">
        <v>174</v>
      </c>
      <c r="G1591" s="3">
        <v>1.4796249109999999</v>
      </c>
      <c r="H1591" s="3">
        <v>0.60398159500000004</v>
      </c>
      <c r="I1591" s="3">
        <v>0.41815381299999999</v>
      </c>
      <c r="J1591" s="3">
        <v>0</v>
      </c>
      <c r="K1591" s="3">
        <v>4.8467878999999998E-2</v>
      </c>
      <c r="L1591" s="3">
        <v>6.3467908000000003E-2</v>
      </c>
      <c r="M1591" s="3">
        <v>0.318257126</v>
      </c>
      <c r="N1591" s="3">
        <v>7.3146804999999995E-2</v>
      </c>
      <c r="O1591" s="3">
        <v>3.7808161E-2</v>
      </c>
      <c r="P1591" s="3">
        <v>7.9519571999999997E-2</v>
      </c>
      <c r="Q1591" s="3">
        <v>0.14361729600000001</v>
      </c>
      <c r="R1591" s="3">
        <v>0.78006635199999996</v>
      </c>
      <c r="S1591" s="3">
        <v>36.728313589999999</v>
      </c>
      <c r="T1591" s="3">
        <v>2.7985792169999999</v>
      </c>
      <c r="U1591" s="3">
        <v>0.73674367600000001</v>
      </c>
      <c r="V1591" s="3">
        <v>0.23634037399999999</v>
      </c>
      <c r="W1591" s="3">
        <v>-3.230176546</v>
      </c>
      <c r="X1591" s="3">
        <v>-0.88623123299999995</v>
      </c>
      <c r="Y1591" s="3">
        <v>26.773461170000001</v>
      </c>
      <c r="Z1591" s="3">
        <v>3.7985792169999999</v>
      </c>
      <c r="AA1591" s="3">
        <v>6.3467908000000003E-2</v>
      </c>
      <c r="AB1591" s="3">
        <v>1.123559508</v>
      </c>
      <c r="AC1591" s="3">
        <v>0.27435999900000002</v>
      </c>
      <c r="AD1591" s="3">
        <v>2.9943740000000002E-3</v>
      </c>
      <c r="AE1591" s="3">
        <v>18.616635500000001</v>
      </c>
      <c r="AF1591" s="4">
        <v>42060</v>
      </c>
      <c r="AG1591" s="5">
        <f>YEAR(AF1591)</f>
        <v>2015</v>
      </c>
      <c r="AH1591" s="5" t="str">
        <f>"Q"&amp;ROUNDUP(MONTH(AF1591)/3,0)</f>
        <v>Q1</v>
      </c>
      <c r="AI1591" s="5">
        <f>INDEX(RatingLookup!$B$2:$B$11,MATCH(A1591,RatingLookup!$A$2:$A$11,0))</f>
        <v>5</v>
      </c>
      <c r="AJ1591" s="5" t="str">
        <f>INDEX(RatingLookup!$C$2:$C$11,MATCH(A1591,RatingLookup!$A$2:$A$11,0))</f>
        <v>Speculative Grade</v>
      </c>
    </row>
    <row r="1592" spans="1:36" x14ac:dyDescent="0.3">
      <c r="A1592" s="3" t="s">
        <v>92</v>
      </c>
      <c r="B1592" s="3" t="s">
        <v>1666</v>
      </c>
      <c r="C1592" s="3" t="s">
        <v>1667</v>
      </c>
      <c r="D1592" s="3" t="s">
        <v>47</v>
      </c>
      <c r="E1592" s="3" t="s">
        <v>1669</v>
      </c>
      <c r="F1592" s="3" t="s">
        <v>174</v>
      </c>
      <c r="G1592" s="3">
        <v>1.4199047170000001</v>
      </c>
      <c r="H1592" s="3">
        <v>0.55723856999999999</v>
      </c>
      <c r="I1592" s="3">
        <v>0.28083007999999998</v>
      </c>
      <c r="J1592" s="3">
        <v>0</v>
      </c>
      <c r="K1592" s="3">
        <v>2.5694687000000001E-2</v>
      </c>
      <c r="L1592" s="3">
        <v>3.9106544E-2</v>
      </c>
      <c r="M1592" s="3">
        <v>0.295185209</v>
      </c>
      <c r="N1592" s="3">
        <v>5.2198825999999997E-2</v>
      </c>
      <c r="O1592" s="3">
        <v>2.0767055999999999E-2</v>
      </c>
      <c r="P1592" s="3">
        <v>5.2503099999999997E-2</v>
      </c>
      <c r="Q1592" s="3">
        <v>8.4287857999999993E-2</v>
      </c>
      <c r="R1592" s="3">
        <v>0.80822375599999996</v>
      </c>
      <c r="S1592" s="3">
        <v>32.74250215</v>
      </c>
      <c r="T1592" s="3">
        <v>3.0587292220000002</v>
      </c>
      <c r="U1592" s="3">
        <v>0.75361746399999996</v>
      </c>
      <c r="V1592" s="3">
        <v>0.34295684900000001</v>
      </c>
      <c r="W1592" s="3">
        <v>0.44656601699999998</v>
      </c>
      <c r="X1592" s="3">
        <v>0.750678717</v>
      </c>
      <c r="Y1592" s="3">
        <v>20.626224270000002</v>
      </c>
      <c r="Z1592" s="3">
        <v>4.0587292220000002</v>
      </c>
      <c r="AA1592" s="3">
        <v>3.9106544E-2</v>
      </c>
      <c r="AB1592" s="3">
        <v>1.319605567</v>
      </c>
      <c r="AC1592" s="3">
        <v>1.6810027839999999</v>
      </c>
      <c r="AD1592" s="3">
        <v>2.2363609999999999E-2</v>
      </c>
      <c r="AE1592" s="3">
        <v>28.43414027</v>
      </c>
      <c r="AF1592" s="4">
        <v>41799</v>
      </c>
      <c r="AG1592" s="5">
        <f>YEAR(AF1592)</f>
        <v>2014</v>
      </c>
      <c r="AH1592" s="5" t="str">
        <f>"Q"&amp;ROUNDUP(MONTH(AF1592)/3,0)</f>
        <v>Q2</v>
      </c>
      <c r="AI1592" s="5">
        <f>INDEX(RatingLookup!$B$2:$B$11,MATCH(A1592,RatingLookup!$A$2:$A$11,0))</f>
        <v>6</v>
      </c>
      <c r="AJ1592" s="5" t="str">
        <f>INDEX(RatingLookup!$C$2:$C$11,MATCH(A1592,RatingLookup!$A$2:$A$11,0))</f>
        <v>Speculative Grade</v>
      </c>
    </row>
    <row r="1593" spans="1:36" x14ac:dyDescent="0.3">
      <c r="A1593" s="3" t="s">
        <v>109</v>
      </c>
      <c r="B1593" s="3" t="s">
        <v>1666</v>
      </c>
      <c r="C1593" s="3" t="s">
        <v>1667</v>
      </c>
      <c r="D1593" s="3" t="s">
        <v>47</v>
      </c>
      <c r="E1593" s="3" t="s">
        <v>1670</v>
      </c>
      <c r="F1593" s="3" t="s">
        <v>174</v>
      </c>
      <c r="G1593" s="3">
        <v>1.5389287920000001</v>
      </c>
      <c r="H1593" s="3">
        <v>0.65466321599999999</v>
      </c>
      <c r="I1593" s="3">
        <v>0.51261267499999996</v>
      </c>
      <c r="J1593" s="3">
        <v>0</v>
      </c>
      <c r="K1593" s="3">
        <v>1.8089948000000002E-2</v>
      </c>
      <c r="L1593" s="3">
        <v>2.0928500999999999E-2</v>
      </c>
      <c r="M1593" s="3">
        <v>0.32274230399999998</v>
      </c>
      <c r="N1593" s="3">
        <v>4.5110333000000002E-2</v>
      </c>
      <c r="O1593" s="3">
        <v>1.2020243999999999E-2</v>
      </c>
      <c r="P1593" s="3">
        <v>2.1261763999999999E-2</v>
      </c>
      <c r="Q1593" s="3">
        <v>5.5158571000000003E-2</v>
      </c>
      <c r="R1593" s="3">
        <v>0.66447091199999997</v>
      </c>
      <c r="S1593" s="3">
        <v>39.094820429999999</v>
      </c>
      <c r="T1593" s="3">
        <v>3.588806194</v>
      </c>
      <c r="U1593" s="3">
        <v>0.78207839700000004</v>
      </c>
      <c r="V1593" s="3">
        <v>0.13563096899999999</v>
      </c>
      <c r="W1593" s="3">
        <v>1.1217550730000001</v>
      </c>
      <c r="X1593" s="3">
        <v>-1.9739580029999999</v>
      </c>
      <c r="Y1593" s="3">
        <v>5.4256273349999997</v>
      </c>
      <c r="Z1593" s="3">
        <v>4.588806194</v>
      </c>
      <c r="AA1593" s="3">
        <v>2.0928500999999999E-2</v>
      </c>
      <c r="AB1593" s="3">
        <v>10.297701569999999</v>
      </c>
      <c r="AC1593" s="3">
        <v>-1.759704994</v>
      </c>
      <c r="AD1593" s="3">
        <v>-0.110544699</v>
      </c>
      <c r="AE1593" s="3">
        <v>18.112974430000001</v>
      </c>
      <c r="AF1593" s="4">
        <v>42425</v>
      </c>
      <c r="AG1593" s="5">
        <f>YEAR(AF1593)</f>
        <v>2016</v>
      </c>
      <c r="AH1593" s="5" t="str">
        <f>"Q"&amp;ROUNDUP(MONTH(AF1593)/3,0)</f>
        <v>Q1</v>
      </c>
      <c r="AI1593" s="5">
        <f>INDEX(RatingLookup!$B$2:$B$11,MATCH(A1593,RatingLookup!$A$2:$A$11,0))</f>
        <v>5</v>
      </c>
      <c r="AJ1593" s="5" t="str">
        <f>INDEX(RatingLookup!$C$2:$C$11,MATCH(A1593,RatingLookup!$A$2:$A$11,0))</f>
        <v>Speculative Grade</v>
      </c>
    </row>
    <row r="1594" spans="1:36" x14ac:dyDescent="0.3">
      <c r="A1594" s="3" t="s">
        <v>92</v>
      </c>
      <c r="B1594" s="3" t="s">
        <v>1666</v>
      </c>
      <c r="C1594" s="3" t="s">
        <v>1667</v>
      </c>
      <c r="D1594" s="3" t="s">
        <v>47</v>
      </c>
      <c r="E1594" s="3" t="s">
        <v>1282</v>
      </c>
      <c r="F1594" s="3" t="s">
        <v>174</v>
      </c>
      <c r="G1594" s="3">
        <v>1.3370465039999999</v>
      </c>
      <c r="H1594" s="3">
        <v>0.44636696399999998</v>
      </c>
      <c r="I1594" s="3">
        <v>0.17321230200000001</v>
      </c>
      <c r="J1594" s="3">
        <v>0</v>
      </c>
      <c r="K1594" s="3">
        <v>4.7521919999999997E-3</v>
      </c>
      <c r="L1594" s="3">
        <v>8.4448930000000002E-3</v>
      </c>
      <c r="M1594" s="3">
        <v>0.27246859600000001</v>
      </c>
      <c r="N1594" s="3">
        <v>1.3850954E-2</v>
      </c>
      <c r="O1594" s="3">
        <v>4.3226999999999996E-3</v>
      </c>
      <c r="P1594" s="3">
        <v>1.3298638E-2</v>
      </c>
      <c r="Q1594" s="3">
        <v>2.3032929000000001E-2</v>
      </c>
      <c r="R1594" s="3">
        <v>0.90962249500000003</v>
      </c>
      <c r="S1594" s="3">
        <v>27.40928456</v>
      </c>
      <c r="T1594" s="3">
        <v>4.3283656050000001</v>
      </c>
      <c r="U1594" s="3">
        <v>0.81232519000000003</v>
      </c>
      <c r="V1594" s="3">
        <v>0.43727034100000001</v>
      </c>
      <c r="W1594" s="3">
        <v>-0.82108499899999998</v>
      </c>
      <c r="X1594" s="3">
        <v>-0.336665406</v>
      </c>
      <c r="Y1594" s="3">
        <v>13.47378469</v>
      </c>
      <c r="Z1594" s="3">
        <v>5.3283656050000001</v>
      </c>
      <c r="AA1594" s="3">
        <v>8.4448930000000002E-3</v>
      </c>
      <c r="AB1594" s="3">
        <v>0.70772778599999997</v>
      </c>
      <c r="AC1594" s="3">
        <v>0.41002503600000001</v>
      </c>
      <c r="AD1594" s="3">
        <v>6.3073490000000003E-3</v>
      </c>
      <c r="AE1594" s="3">
        <v>30.368066800000001</v>
      </c>
      <c r="AF1594" s="4">
        <v>41303</v>
      </c>
      <c r="AG1594" s="5">
        <f>YEAR(AF1594)</f>
        <v>2013</v>
      </c>
      <c r="AH1594" s="5" t="str">
        <f>"Q"&amp;ROUNDUP(MONTH(AF1594)/3,0)</f>
        <v>Q1</v>
      </c>
      <c r="AI1594" s="5">
        <f>INDEX(RatingLookup!$B$2:$B$11,MATCH(A1594,RatingLookup!$A$2:$A$11,0))</f>
        <v>6</v>
      </c>
      <c r="AJ1594" s="5" t="str">
        <f>INDEX(RatingLookup!$C$2:$C$11,MATCH(A1594,RatingLookup!$A$2:$A$11,0))</f>
        <v>Speculative Grade</v>
      </c>
    </row>
    <row r="1595" spans="1:36" x14ac:dyDescent="0.3">
      <c r="A1595" s="3" t="s">
        <v>92</v>
      </c>
      <c r="B1595" s="3" t="s">
        <v>1671</v>
      </c>
      <c r="C1595" s="3" t="s">
        <v>1672</v>
      </c>
      <c r="D1595" s="3" t="s">
        <v>47</v>
      </c>
      <c r="E1595" s="3" t="s">
        <v>121</v>
      </c>
      <c r="F1595" s="3" t="s">
        <v>59</v>
      </c>
      <c r="G1595" s="3">
        <v>2.2084264070000001</v>
      </c>
      <c r="H1595" s="3">
        <v>0.63273824999999995</v>
      </c>
      <c r="I1595" s="3">
        <v>4.3503529999999999E-2</v>
      </c>
      <c r="J1595" s="3">
        <v>42.774976219999999</v>
      </c>
      <c r="K1595" s="3">
        <v>8.0305408999999994E-2</v>
      </c>
      <c r="L1595" s="3">
        <v>0.125059214</v>
      </c>
      <c r="M1595" s="3">
        <v>0.25365638400000001</v>
      </c>
      <c r="N1595" s="3">
        <v>0.14346631200000001</v>
      </c>
      <c r="O1595" s="3">
        <v>5.7364080999999997E-2</v>
      </c>
      <c r="P1595" s="3">
        <v>0.10412603099999999</v>
      </c>
      <c r="Q1595" s="3">
        <v>0.145390723</v>
      </c>
      <c r="R1595" s="3">
        <v>0.71432399499999999</v>
      </c>
      <c r="S1595" s="3">
        <v>4.540139881</v>
      </c>
      <c r="T1595" s="3">
        <v>1.5345254500000001</v>
      </c>
      <c r="U1595" s="3">
        <v>0.60544882300000002</v>
      </c>
      <c r="V1595" s="3">
        <v>0.357860911</v>
      </c>
      <c r="W1595" s="3">
        <v>1</v>
      </c>
      <c r="X1595" s="3">
        <v>6.4619132959999996</v>
      </c>
      <c r="Y1595" s="3">
        <v>0.64508789200000005</v>
      </c>
      <c r="Z1595" s="3">
        <v>2.5345254499999998</v>
      </c>
      <c r="AA1595" s="3">
        <v>0.125059214</v>
      </c>
      <c r="AB1595" s="3">
        <v>6.0877601730000004</v>
      </c>
      <c r="AC1595" s="3">
        <v>6.4619132959999996</v>
      </c>
      <c r="AD1595" s="3">
        <v>8.6671301000000006E-2</v>
      </c>
      <c r="AE1595" s="3">
        <v>8.4346801609999993</v>
      </c>
      <c r="AF1595" s="4">
        <v>41613</v>
      </c>
      <c r="AG1595" s="5">
        <f>YEAR(AF1595)</f>
        <v>2013</v>
      </c>
      <c r="AH1595" s="5" t="str">
        <f>"Q"&amp;ROUNDUP(MONTH(AF1595)/3,0)</f>
        <v>Q4</v>
      </c>
      <c r="AI1595" s="5">
        <f>INDEX(RatingLookup!$B$2:$B$11,MATCH(A1595,RatingLookup!$A$2:$A$11,0))</f>
        <v>6</v>
      </c>
      <c r="AJ1595" s="5" t="str">
        <f>INDEX(RatingLookup!$C$2:$C$11,MATCH(A1595,RatingLookup!$A$2:$A$11,0))</f>
        <v>Speculative Grade</v>
      </c>
    </row>
    <row r="1596" spans="1:36" x14ac:dyDescent="0.3">
      <c r="A1596" s="3" t="s">
        <v>42</v>
      </c>
      <c r="B1596" s="3" t="s">
        <v>1673</v>
      </c>
      <c r="C1596" s="3" t="s">
        <v>1674</v>
      </c>
      <c r="D1596" s="3" t="s">
        <v>47</v>
      </c>
      <c r="E1596" s="3" t="s">
        <v>1675</v>
      </c>
      <c r="F1596" s="3" t="s">
        <v>174</v>
      </c>
      <c r="G1596" s="3">
        <v>0.81736906399999998</v>
      </c>
      <c r="H1596" s="3">
        <v>5.2167695E-2</v>
      </c>
      <c r="I1596" s="3">
        <v>5.2167695E-2</v>
      </c>
      <c r="J1596" s="3">
        <v>0</v>
      </c>
      <c r="K1596" s="3">
        <v>3.2108049E-2</v>
      </c>
      <c r="L1596" s="3">
        <v>4.8444717999999998E-2</v>
      </c>
      <c r="M1596" s="3">
        <v>0.200339398</v>
      </c>
      <c r="N1596" s="3">
        <v>1.4511820000000001E-3</v>
      </c>
      <c r="O1596" s="3">
        <v>2.4149477999999999E-2</v>
      </c>
      <c r="P1596" s="3">
        <v>4.3017809999999997E-2</v>
      </c>
      <c r="Q1596" s="3">
        <v>0.13690002000000001</v>
      </c>
      <c r="R1596" s="3">
        <v>0.75213160199999995</v>
      </c>
      <c r="S1596" s="3">
        <v>10.01350238</v>
      </c>
      <c r="T1596" s="3">
        <v>4.6688604399999996</v>
      </c>
      <c r="U1596" s="3">
        <v>0.82359770399999999</v>
      </c>
      <c r="V1596" s="3">
        <v>0.33722292100000001</v>
      </c>
      <c r="W1596" s="3">
        <v>-0.88095393399999999</v>
      </c>
      <c r="X1596" s="3">
        <v>-19.544677979999999</v>
      </c>
      <c r="Y1596" s="3">
        <v>1.2987648629999999</v>
      </c>
      <c r="Z1596" s="3">
        <v>5.6688604399999996</v>
      </c>
      <c r="AA1596" s="3">
        <v>4.8444717999999998E-2</v>
      </c>
      <c r="AB1596" s="3">
        <v>3.6292678519999999</v>
      </c>
      <c r="AC1596" s="3">
        <v>22.185811560000001</v>
      </c>
      <c r="AD1596" s="3">
        <v>0.181257788</v>
      </c>
      <c r="AE1596" s="3">
        <v>12.54050924</v>
      </c>
      <c r="AF1596" s="4">
        <v>41131</v>
      </c>
      <c r="AG1596" s="5">
        <f>YEAR(AF1596)</f>
        <v>2012</v>
      </c>
      <c r="AH1596" s="5" t="str">
        <f>"Q"&amp;ROUNDUP(MONTH(AF1596)/3,0)</f>
        <v>Q3</v>
      </c>
      <c r="AI1596" s="5">
        <f>INDEX(RatingLookup!$B$2:$B$11,MATCH(A1596,RatingLookup!$A$2:$A$11,0))</f>
        <v>7</v>
      </c>
      <c r="AJ1596" s="5" t="str">
        <f>INDEX(RatingLookup!$C$2:$C$11,MATCH(A1596,RatingLookup!$A$2:$A$11,0))</f>
        <v>Investment Grade</v>
      </c>
    </row>
    <row r="1597" spans="1:36" x14ac:dyDescent="0.3">
      <c r="A1597" s="3" t="s">
        <v>42</v>
      </c>
      <c r="B1597" s="3" t="s">
        <v>1673</v>
      </c>
      <c r="C1597" s="3" t="s">
        <v>1674</v>
      </c>
      <c r="D1597" s="3" t="s">
        <v>47</v>
      </c>
      <c r="E1597" s="3" t="s">
        <v>1676</v>
      </c>
      <c r="F1597" s="3" t="s">
        <v>174</v>
      </c>
      <c r="G1597" s="3">
        <v>0.92703329199999995</v>
      </c>
      <c r="H1597" s="3">
        <v>8.9086684999999999E-2</v>
      </c>
      <c r="I1597" s="3">
        <v>8.9086684999999999E-2</v>
      </c>
      <c r="J1597" s="3">
        <v>0</v>
      </c>
      <c r="K1597" s="3">
        <v>2.8322789000000001E-2</v>
      </c>
      <c r="L1597" s="3">
        <v>2.8322789000000001E-2</v>
      </c>
      <c r="M1597" s="3">
        <v>0.205710438</v>
      </c>
      <c r="N1597" s="3">
        <v>2.8322789000000001E-2</v>
      </c>
      <c r="O1597" s="3">
        <v>2.2495629999999999E-2</v>
      </c>
      <c r="P1597" s="3">
        <v>2.6593371000000001E-2</v>
      </c>
      <c r="Q1597" s="3">
        <v>0.13000615300000001</v>
      </c>
      <c r="R1597" s="3">
        <v>0.79425899899999997</v>
      </c>
      <c r="S1597" s="3">
        <v>9.6935723669999998</v>
      </c>
      <c r="T1597" s="3">
        <v>4.7791735859999998</v>
      </c>
      <c r="U1597" s="3">
        <v>0.82696487900000004</v>
      </c>
      <c r="V1597" s="3">
        <v>0.63033355099999999</v>
      </c>
      <c r="W1597" s="3">
        <v>-0.63019263800000003</v>
      </c>
      <c r="X1597" s="3">
        <v>-13.002633660000001</v>
      </c>
      <c r="Y1597" s="3">
        <v>2.0707326730000002</v>
      </c>
      <c r="Z1597" s="3">
        <v>5.7791735859999998</v>
      </c>
      <c r="AA1597" s="3">
        <v>2.8322789000000001E-2</v>
      </c>
      <c r="AB1597" s="3">
        <v>83.115107190000003</v>
      </c>
      <c r="AC1597" s="3">
        <v>20.632792080000002</v>
      </c>
      <c r="AD1597" s="3">
        <v>0.17220893200000001</v>
      </c>
      <c r="AE1597" s="3">
        <v>12.265300760000001</v>
      </c>
      <c r="AF1597" s="4">
        <v>41086</v>
      </c>
      <c r="AG1597" s="5">
        <f>YEAR(AF1597)</f>
        <v>2012</v>
      </c>
      <c r="AH1597" s="5" t="str">
        <f>"Q"&amp;ROUNDUP(MONTH(AF1597)/3,0)</f>
        <v>Q2</v>
      </c>
      <c r="AI1597" s="5">
        <f>INDEX(RatingLookup!$B$2:$B$11,MATCH(A1597,RatingLookup!$A$2:$A$11,0))</f>
        <v>7</v>
      </c>
      <c r="AJ1597" s="5" t="str">
        <f>INDEX(RatingLookup!$C$2:$C$11,MATCH(A1597,RatingLookup!$A$2:$A$11,0))</f>
        <v>Investment Grade</v>
      </c>
    </row>
    <row r="1598" spans="1:36" x14ac:dyDescent="0.3">
      <c r="A1598" s="3" t="s">
        <v>92</v>
      </c>
      <c r="B1598" s="3" t="s">
        <v>1677</v>
      </c>
      <c r="C1598" s="3" t="s">
        <v>1678</v>
      </c>
      <c r="D1598" s="3" t="s">
        <v>47</v>
      </c>
      <c r="E1598" s="3" t="s">
        <v>870</v>
      </c>
      <c r="F1598" s="3" t="s">
        <v>59</v>
      </c>
      <c r="G1598" s="3">
        <v>2.508596389</v>
      </c>
      <c r="H1598" s="3">
        <v>1.571355477</v>
      </c>
      <c r="I1598" s="3">
        <v>0.84733533299999997</v>
      </c>
      <c r="J1598" s="3">
        <v>27.51223804</v>
      </c>
      <c r="K1598" s="3">
        <v>5.1437517000000002E-2</v>
      </c>
      <c r="L1598" s="3">
        <v>8.0548402000000005E-2</v>
      </c>
      <c r="M1598" s="3">
        <v>0.14966443700000001</v>
      </c>
      <c r="N1598" s="3">
        <v>8.8961764999999998E-2</v>
      </c>
      <c r="O1598" s="3">
        <v>0.109763337</v>
      </c>
      <c r="P1598" s="3">
        <v>0.22097452300000001</v>
      </c>
      <c r="Q1598" s="3">
        <v>0.237122309</v>
      </c>
      <c r="R1598" s="3">
        <v>2.133915923</v>
      </c>
      <c r="S1598" s="3">
        <v>14.436897419999999</v>
      </c>
      <c r="T1598" s="3">
        <v>1.1603052220000001</v>
      </c>
      <c r="U1598" s="3">
        <v>0.53710244699999998</v>
      </c>
      <c r="V1598" s="3">
        <v>0.361408601</v>
      </c>
      <c r="W1598" s="3">
        <v>0.84182252700000004</v>
      </c>
      <c r="X1598" s="3">
        <v>1650.9873359999999</v>
      </c>
      <c r="Y1598" s="3">
        <v>2661.4633709999998</v>
      </c>
      <c r="Z1598" s="3">
        <v>2.1603052219999999</v>
      </c>
      <c r="AA1598" s="3">
        <v>8.0548402000000005E-2</v>
      </c>
      <c r="AB1598" s="3">
        <v>0.61750284200000005</v>
      </c>
      <c r="AC1598" s="3">
        <v>1961.2059340000001</v>
      </c>
      <c r="AD1598" s="3">
        <v>6.5004052000000007E-2</v>
      </c>
      <c r="AE1598" s="3">
        <v>21.653972719999999</v>
      </c>
      <c r="AF1598" s="4">
        <v>42200</v>
      </c>
      <c r="AG1598" s="5">
        <f>YEAR(AF1598)</f>
        <v>2015</v>
      </c>
      <c r="AH1598" s="5" t="str">
        <f>"Q"&amp;ROUNDUP(MONTH(AF1598)/3,0)</f>
        <v>Q3</v>
      </c>
      <c r="AI1598" s="5">
        <f>INDEX(RatingLookup!$B$2:$B$11,MATCH(A1598,RatingLookup!$A$2:$A$11,0))</f>
        <v>6</v>
      </c>
      <c r="AJ1598" s="5" t="str">
        <f>INDEX(RatingLookup!$C$2:$C$11,MATCH(A1598,RatingLookup!$A$2:$A$11,0))</f>
        <v>Speculative Grade</v>
      </c>
    </row>
    <row r="1599" spans="1:36" x14ac:dyDescent="0.3">
      <c r="A1599" s="3" t="s">
        <v>92</v>
      </c>
      <c r="B1599" s="3" t="s">
        <v>1677</v>
      </c>
      <c r="C1599" s="3" t="s">
        <v>1678</v>
      </c>
      <c r="D1599" s="3" t="s">
        <v>47</v>
      </c>
      <c r="E1599" s="3" t="s">
        <v>809</v>
      </c>
      <c r="F1599" s="3" t="s">
        <v>59</v>
      </c>
      <c r="G1599" s="3">
        <v>2.5990944950000001</v>
      </c>
      <c r="H1599" s="3">
        <v>1.505530968</v>
      </c>
      <c r="I1599" s="3">
        <v>0.781950904</v>
      </c>
      <c r="J1599" s="3">
        <v>26.485156830000001</v>
      </c>
      <c r="K1599" s="3">
        <v>3.2699785000000002E-2</v>
      </c>
      <c r="L1599" s="3">
        <v>5.2842380000000001E-2</v>
      </c>
      <c r="M1599" s="3">
        <v>0.124849529</v>
      </c>
      <c r="N1599" s="3">
        <v>6.5681862999999993E-2</v>
      </c>
      <c r="O1599" s="3">
        <v>6.5611300999999997E-2</v>
      </c>
      <c r="P1599" s="3">
        <v>0.13273496400000001</v>
      </c>
      <c r="Q1599" s="3">
        <v>0.15589818599999999</v>
      </c>
      <c r="R1599" s="3">
        <v>2.006474984</v>
      </c>
      <c r="S1599" s="3">
        <v>13.040023229999999</v>
      </c>
      <c r="T1599" s="3">
        <v>1.3760874240000001</v>
      </c>
      <c r="U1599" s="3">
        <v>0.57914006399999995</v>
      </c>
      <c r="V1599" s="3">
        <v>0.38118258799999999</v>
      </c>
      <c r="W1599" s="3">
        <v>0.78456307000000003</v>
      </c>
      <c r="X1599" s="3">
        <v>1054.909645</v>
      </c>
      <c r="Y1599" s="3">
        <v>2120.8070250000001</v>
      </c>
      <c r="Z1599" s="3">
        <v>2.3760874240000001</v>
      </c>
      <c r="AA1599" s="3">
        <v>5.2842380000000001E-2</v>
      </c>
      <c r="AB1599" s="3">
        <v>1.084093346</v>
      </c>
      <c r="AC1599" s="3">
        <v>1344.5823350000001</v>
      </c>
      <c r="AD1599" s="3">
        <v>4.9715158000000002E-2</v>
      </c>
      <c r="AE1599" s="3">
        <v>16.948655590000001</v>
      </c>
      <c r="AF1599" s="4">
        <v>42068</v>
      </c>
      <c r="AG1599" s="5">
        <f>YEAR(AF1599)</f>
        <v>2015</v>
      </c>
      <c r="AH1599" s="5" t="str">
        <f>"Q"&amp;ROUNDUP(MONTH(AF1599)/3,0)</f>
        <v>Q1</v>
      </c>
      <c r="AI1599" s="5">
        <f>INDEX(RatingLookup!$B$2:$B$11,MATCH(A1599,RatingLookup!$A$2:$A$11,0))</f>
        <v>6</v>
      </c>
      <c r="AJ1599" s="5" t="str">
        <f>INDEX(RatingLookup!$C$2:$C$11,MATCH(A1599,RatingLookup!$A$2:$A$11,0))</f>
        <v>Speculative Grade</v>
      </c>
    </row>
    <row r="1600" spans="1:36" x14ac:dyDescent="0.3">
      <c r="A1600" s="3" t="s">
        <v>109</v>
      </c>
      <c r="B1600" s="3" t="s">
        <v>1679</v>
      </c>
      <c r="C1600" s="3" t="s">
        <v>1680</v>
      </c>
      <c r="D1600" s="3" t="s">
        <v>60</v>
      </c>
      <c r="E1600" s="3" t="s">
        <v>1681</v>
      </c>
      <c r="F1600" s="3" t="s">
        <v>96</v>
      </c>
      <c r="G1600" s="3">
        <v>10.270861249999999</v>
      </c>
      <c r="H1600" s="3">
        <v>6.9274176479999996</v>
      </c>
      <c r="I1600" s="3">
        <v>1.7011356419999999</v>
      </c>
      <c r="J1600" s="3">
        <v>42.016053169999999</v>
      </c>
      <c r="K1600" s="3">
        <v>0.136707566</v>
      </c>
      <c r="L1600" s="3">
        <v>-8.8241309000000004E-2</v>
      </c>
      <c r="M1600" s="3">
        <v>0.89441717799999998</v>
      </c>
      <c r="N1600" s="3">
        <v>9.7321062999999999E-2</v>
      </c>
      <c r="O1600" s="3">
        <v>3.1484456000000001E-2</v>
      </c>
      <c r="P1600" s="3">
        <v>-2.1776431999999998E-2</v>
      </c>
      <c r="Q1600" s="3">
        <v>3.5019251000000001E-2</v>
      </c>
      <c r="R1600" s="3">
        <v>0.23030514299999999</v>
      </c>
      <c r="S1600" s="3">
        <v>30.259900989999998</v>
      </c>
      <c r="T1600" s="3">
        <v>0.112271144</v>
      </c>
      <c r="U1600" s="3">
        <v>0.10093864700000001</v>
      </c>
      <c r="V1600" s="3">
        <v>-0.18261877200000001</v>
      </c>
      <c r="W1600" s="3">
        <v>0.93477785099999999</v>
      </c>
      <c r="X1600" s="3">
        <v>0.58217092999999998</v>
      </c>
      <c r="Y1600" s="3">
        <v>4.206506429</v>
      </c>
      <c r="Z1600" s="3">
        <v>1.1122711439999999</v>
      </c>
      <c r="AA1600" s="3">
        <v>-8.8241309000000004E-2</v>
      </c>
      <c r="AB1600" s="3">
        <v>65.192468230000003</v>
      </c>
      <c r="AC1600" s="3">
        <v>0.62279067700000001</v>
      </c>
      <c r="AD1600" s="3">
        <v>0.28030674799999999</v>
      </c>
      <c r="AE1600" s="3">
        <v>1.747208122</v>
      </c>
      <c r="AF1600" s="4">
        <v>41733</v>
      </c>
      <c r="AG1600" s="5">
        <f>YEAR(AF1600)</f>
        <v>2014</v>
      </c>
      <c r="AH1600" s="5" t="str">
        <f>"Q"&amp;ROUNDUP(MONTH(AF1600)/3,0)</f>
        <v>Q2</v>
      </c>
      <c r="AI1600" s="5">
        <f>INDEX(RatingLookup!$B$2:$B$11,MATCH(A1600,RatingLookup!$A$2:$A$11,0))</f>
        <v>5</v>
      </c>
      <c r="AJ1600" s="5" t="str">
        <f>INDEX(RatingLookup!$C$2:$C$11,MATCH(A1600,RatingLookup!$A$2:$A$11,0))</f>
        <v>Speculative Grade</v>
      </c>
    </row>
    <row r="1601" spans="1:36" x14ac:dyDescent="0.3">
      <c r="A1601" s="3" t="s">
        <v>116</v>
      </c>
      <c r="B1601" s="3" t="s">
        <v>1679</v>
      </c>
      <c r="C1601" s="3" t="s">
        <v>1680</v>
      </c>
      <c r="D1601" s="3" t="s">
        <v>60</v>
      </c>
      <c r="E1601" s="3" t="s">
        <v>1682</v>
      </c>
      <c r="F1601" s="3" t="s">
        <v>96</v>
      </c>
      <c r="G1601" s="3">
        <v>10.32480329</v>
      </c>
      <c r="H1601" s="3">
        <v>6.6631459560000001</v>
      </c>
      <c r="I1601" s="3">
        <v>1.305876515</v>
      </c>
      <c r="J1601" s="3">
        <v>42.37718203</v>
      </c>
      <c r="K1601" s="3">
        <v>0.25495090999999998</v>
      </c>
      <c r="L1601" s="3">
        <v>-3.0758053E-2</v>
      </c>
      <c r="M1601" s="3">
        <v>0.926374425</v>
      </c>
      <c r="N1601" s="3">
        <v>0.23039663199999999</v>
      </c>
      <c r="O1601" s="3">
        <v>6.3258957000000005E-2</v>
      </c>
      <c r="P1601" s="3">
        <v>-8.1641330000000005E-3</v>
      </c>
      <c r="Q1601" s="3">
        <v>6.9797212999999997E-2</v>
      </c>
      <c r="R1601" s="3">
        <v>0.24812210800000001</v>
      </c>
      <c r="S1601" s="3">
        <v>38.561063220000001</v>
      </c>
      <c r="T1601" s="3">
        <v>0.103356999</v>
      </c>
      <c r="U1601" s="3">
        <v>9.3675029000000007E-2</v>
      </c>
      <c r="V1601" s="3">
        <v>-1.248940036</v>
      </c>
      <c r="W1601" s="3">
        <v>0.96338058400000004</v>
      </c>
      <c r="X1601" s="3">
        <v>0.78699885999999997</v>
      </c>
      <c r="Y1601" s="3">
        <v>3.8496797960000002</v>
      </c>
      <c r="Z1601" s="3">
        <v>1.1033569990000001</v>
      </c>
      <c r="AA1601" s="3">
        <v>-3.0758053E-2</v>
      </c>
      <c r="AB1601" s="3">
        <v>25.99754111</v>
      </c>
      <c r="AC1601" s="3">
        <v>0.81691376400000004</v>
      </c>
      <c r="AD1601" s="3">
        <v>0.346964249</v>
      </c>
      <c r="AE1601" s="3">
        <v>1.1415366840000001</v>
      </c>
      <c r="AF1601" s="4">
        <v>41250</v>
      </c>
      <c r="AG1601" s="5">
        <f>YEAR(AF1601)</f>
        <v>2012</v>
      </c>
      <c r="AH1601" s="5" t="str">
        <f>"Q"&amp;ROUNDUP(MONTH(AF1601)/3,0)</f>
        <v>Q4</v>
      </c>
      <c r="AI1601" s="5">
        <f>INDEX(RatingLookup!$B$2:$B$11,MATCH(A1601,RatingLookup!$A$2:$A$11,0))</f>
        <v>4</v>
      </c>
      <c r="AJ1601" s="5" t="str">
        <f>INDEX(RatingLookup!$C$2:$C$11,MATCH(A1601,RatingLookup!$A$2:$A$11,0))</f>
        <v>Speculative Grade</v>
      </c>
    </row>
    <row r="1602" spans="1:36" x14ac:dyDescent="0.3">
      <c r="A1602" s="3" t="s">
        <v>116</v>
      </c>
      <c r="B1602" s="3" t="s">
        <v>1679</v>
      </c>
      <c r="C1602" s="3" t="s">
        <v>1680</v>
      </c>
      <c r="D1602" s="3" t="s">
        <v>60</v>
      </c>
      <c r="E1602" s="3" t="s">
        <v>46</v>
      </c>
      <c r="F1602" s="3" t="s">
        <v>96</v>
      </c>
      <c r="G1602" s="3">
        <v>11.82081979</v>
      </c>
      <c r="H1602" s="3">
        <v>7.0639023229999998</v>
      </c>
      <c r="I1602" s="3">
        <v>1.1856021569999999</v>
      </c>
      <c r="J1602" s="3">
        <v>30.998854560000002</v>
      </c>
      <c r="K1602" s="3">
        <v>0.30813924500000001</v>
      </c>
      <c r="L1602" s="3">
        <v>0.30813924500000001</v>
      </c>
      <c r="M1602" s="3">
        <v>1</v>
      </c>
      <c r="N1602" s="3">
        <v>0.30813924500000001</v>
      </c>
      <c r="O1602" s="3">
        <v>8.4703842000000001E-2</v>
      </c>
      <c r="P1602" s="3">
        <v>8.9876867999999999E-2</v>
      </c>
      <c r="Q1602" s="3">
        <v>9.2385028999999994E-2</v>
      </c>
      <c r="R1602" s="3">
        <v>0.274888199</v>
      </c>
      <c r="S1602" s="3">
        <v>48.77651822</v>
      </c>
      <c r="T1602" s="3">
        <v>9.0682859000000005E-2</v>
      </c>
      <c r="U1602" s="3">
        <v>8.3143196000000003E-2</v>
      </c>
      <c r="V1602" s="3">
        <v>0.20477319299999999</v>
      </c>
      <c r="W1602" s="3">
        <v>0.98548851599999998</v>
      </c>
      <c r="X1602" s="3">
        <v>1151.728304</v>
      </c>
      <c r="Y1602" s="3">
        <v>3624.0883789999998</v>
      </c>
      <c r="Z1602" s="3">
        <v>1.0906828589999999</v>
      </c>
      <c r="AA1602" s="3">
        <v>0.30813924500000001</v>
      </c>
      <c r="AB1602" s="3">
        <v>-0.17193747300000001</v>
      </c>
      <c r="AC1602" s="3">
        <v>1168.6876970000001</v>
      </c>
      <c r="AD1602" s="3">
        <v>0.449575856</v>
      </c>
      <c r="AE1602" s="3">
        <v>8.0482758620000006</v>
      </c>
      <c r="AF1602" s="4">
        <v>41075</v>
      </c>
      <c r="AG1602" s="5">
        <f>YEAR(AF1602)</f>
        <v>2012</v>
      </c>
      <c r="AH1602" s="5" t="str">
        <f>"Q"&amp;ROUNDUP(MONTH(AF1602)/3,0)</f>
        <v>Q2</v>
      </c>
      <c r="AI1602" s="5">
        <f>INDEX(RatingLookup!$B$2:$B$11,MATCH(A1602,RatingLookup!$A$2:$A$11,0))</f>
        <v>4</v>
      </c>
      <c r="AJ1602" s="5" t="str">
        <f>INDEX(RatingLookup!$C$2:$C$11,MATCH(A1602,RatingLookup!$A$2:$A$11,0))</f>
        <v>Speculative Grade</v>
      </c>
    </row>
    <row r="1603" spans="1:36" x14ac:dyDescent="0.3">
      <c r="A1603" s="3" t="s">
        <v>109</v>
      </c>
      <c r="B1603" s="3" t="s">
        <v>1683</v>
      </c>
      <c r="C1603" s="3" t="s">
        <v>1684</v>
      </c>
      <c r="D1603" s="3" t="s">
        <v>60</v>
      </c>
      <c r="E1603" s="3" t="s">
        <v>1685</v>
      </c>
      <c r="F1603" s="3" t="s">
        <v>59</v>
      </c>
      <c r="G1603" s="3">
        <v>1.8493517779999999</v>
      </c>
      <c r="H1603" s="3">
        <v>0.54573766899999998</v>
      </c>
      <c r="I1603" s="3">
        <v>0.53125226299999995</v>
      </c>
      <c r="J1603" s="3">
        <v>0</v>
      </c>
      <c r="K1603" s="3">
        <v>4.1486739000000002E-2</v>
      </c>
      <c r="L1603" s="3">
        <v>4.1264954E-2</v>
      </c>
      <c r="M1603" s="3">
        <v>0.15548394700000001</v>
      </c>
      <c r="N1603" s="3">
        <v>6.5974351000000001E-2</v>
      </c>
      <c r="O1603" s="3">
        <v>6.6726819000000007E-2</v>
      </c>
      <c r="P1603" s="3">
        <v>9.3441653999999999E-2</v>
      </c>
      <c r="Q1603" s="3">
        <v>0.15086820400000001</v>
      </c>
      <c r="R1603" s="3">
        <v>1.608389114</v>
      </c>
      <c r="S1603" s="3">
        <v>21.162617340000001</v>
      </c>
      <c r="T1603" s="3">
        <v>1.2609830150000001</v>
      </c>
      <c r="U1603" s="3">
        <v>0.55771450199999995</v>
      </c>
      <c r="V1603" s="3">
        <v>0.41637685699999999</v>
      </c>
      <c r="W1603" s="3">
        <v>0.89497716900000002</v>
      </c>
      <c r="X1603" s="3">
        <v>4.468413226</v>
      </c>
      <c r="Y1603" s="3">
        <v>8.5891565449999998</v>
      </c>
      <c r="Z1603" s="3">
        <v>2.2609830149999999</v>
      </c>
      <c r="AA1603" s="3">
        <v>4.1264954E-2</v>
      </c>
      <c r="AB1603" s="3">
        <v>7.6665509890000001</v>
      </c>
      <c r="AC1603" s="3">
        <v>4.9927678389999999</v>
      </c>
      <c r="AD1603" s="3">
        <v>5.7142112000000002E-2</v>
      </c>
      <c r="AE1603" s="3">
        <v>12.17472259</v>
      </c>
      <c r="AF1603" s="4">
        <v>41676</v>
      </c>
      <c r="AG1603" s="5">
        <f>YEAR(AF1603)</f>
        <v>2014</v>
      </c>
      <c r="AH1603" s="5" t="str">
        <f>"Q"&amp;ROUNDUP(MONTH(AF1603)/3,0)</f>
        <v>Q1</v>
      </c>
      <c r="AI1603" s="5">
        <f>INDEX(RatingLookup!$B$2:$B$11,MATCH(A1603,RatingLookup!$A$2:$A$11,0))</f>
        <v>5</v>
      </c>
      <c r="AJ1603" s="5" t="str">
        <f>INDEX(RatingLookup!$C$2:$C$11,MATCH(A1603,RatingLookup!$A$2:$A$11,0))</f>
        <v>Speculative Grade</v>
      </c>
    </row>
    <row r="1604" spans="1:36" x14ac:dyDescent="0.3">
      <c r="A1604" s="3" t="s">
        <v>109</v>
      </c>
      <c r="B1604" s="3" t="s">
        <v>1683</v>
      </c>
      <c r="C1604" s="3" t="s">
        <v>1684</v>
      </c>
      <c r="D1604" s="3" t="s">
        <v>60</v>
      </c>
      <c r="E1604" s="3" t="s">
        <v>46</v>
      </c>
      <c r="F1604" s="3" t="s">
        <v>59</v>
      </c>
      <c r="G1604" s="3">
        <v>1.4508807189999999</v>
      </c>
      <c r="H1604" s="3">
        <v>0.27160420899999999</v>
      </c>
      <c r="I1604" s="3">
        <v>0.25328053</v>
      </c>
      <c r="J1604" s="3">
        <v>0</v>
      </c>
      <c r="K1604" s="3">
        <v>3.6046251000000001E-2</v>
      </c>
      <c r="L1604" s="3">
        <v>5.4913179999999999E-2</v>
      </c>
      <c r="M1604" s="3">
        <v>0.14235236700000001</v>
      </c>
      <c r="N1604" s="3">
        <v>6.6040845000000001E-2</v>
      </c>
      <c r="O1604" s="3">
        <v>5.6640907999999997E-2</v>
      </c>
      <c r="P1604" s="3">
        <v>0.132850627</v>
      </c>
      <c r="Q1604" s="3">
        <v>0.171249609</v>
      </c>
      <c r="R1604" s="3">
        <v>1.571339783</v>
      </c>
      <c r="S1604" s="3">
        <v>19.512992019999999</v>
      </c>
      <c r="T1604" s="3">
        <v>2.023426245</v>
      </c>
      <c r="U1604" s="3">
        <v>0.66924941500000001</v>
      </c>
      <c r="V1604" s="3">
        <v>0.34477791099999999</v>
      </c>
      <c r="W1604" s="3">
        <v>0.78772246599999995</v>
      </c>
      <c r="X1604" s="3">
        <v>3.360170208</v>
      </c>
      <c r="Y1604" s="3">
        <v>5.0556588429999998</v>
      </c>
      <c r="Z1604" s="3">
        <v>3.023426245</v>
      </c>
      <c r="AA1604" s="3">
        <v>5.4913179999999999E-2</v>
      </c>
      <c r="AB1604" s="3">
        <v>4.061899672</v>
      </c>
      <c r="AC1604" s="3">
        <v>4.2656777659999996</v>
      </c>
      <c r="AD1604" s="3">
        <v>5.1116063000000003E-2</v>
      </c>
      <c r="AE1604" s="3">
        <v>8.4601378589999996</v>
      </c>
      <c r="AF1604" s="4">
        <v>41075</v>
      </c>
      <c r="AG1604" s="5">
        <f>YEAR(AF1604)</f>
        <v>2012</v>
      </c>
      <c r="AH1604" s="5" t="str">
        <f>"Q"&amp;ROUNDUP(MONTH(AF1604)/3,0)</f>
        <v>Q2</v>
      </c>
      <c r="AI1604" s="5">
        <f>INDEX(RatingLookup!$B$2:$B$11,MATCH(A1604,RatingLookup!$A$2:$A$11,0))</f>
        <v>5</v>
      </c>
      <c r="AJ1604" s="5" t="str">
        <f>INDEX(RatingLookup!$C$2:$C$11,MATCH(A1604,RatingLookup!$A$2:$A$11,0))</f>
        <v>Speculative Grade</v>
      </c>
    </row>
    <row r="1605" spans="1:36" x14ac:dyDescent="0.3">
      <c r="A1605" s="3" t="s">
        <v>42</v>
      </c>
      <c r="B1605" s="3" t="s">
        <v>1686</v>
      </c>
      <c r="C1605" s="3" t="s">
        <v>1687</v>
      </c>
      <c r="D1605" s="3" t="s">
        <v>60</v>
      </c>
      <c r="E1605" s="3" t="s">
        <v>469</v>
      </c>
      <c r="F1605" s="3" t="s">
        <v>174</v>
      </c>
      <c r="G1605" s="3">
        <v>1.01535682</v>
      </c>
      <c r="H1605" s="3">
        <v>0.52213188799999999</v>
      </c>
      <c r="I1605" s="3">
        <v>0.41282746199999998</v>
      </c>
      <c r="J1605" s="3">
        <v>0</v>
      </c>
      <c r="K1605" s="3">
        <v>2.8650647000000001E-2</v>
      </c>
      <c r="L1605" s="3">
        <v>4.4824399000000001E-2</v>
      </c>
      <c r="M1605" s="3">
        <v>1</v>
      </c>
      <c r="N1605" s="3">
        <v>4.4824399000000001E-2</v>
      </c>
      <c r="O1605" s="3">
        <v>1.6324380999999999E-2</v>
      </c>
      <c r="P1605" s="3">
        <v>2.9896748000000001E-2</v>
      </c>
      <c r="Q1605" s="3">
        <v>3.1069907000000001E-2</v>
      </c>
      <c r="R1605" s="3">
        <v>0.56977356499999998</v>
      </c>
      <c r="S1605" s="3">
        <v>1.0736789879999999</v>
      </c>
      <c r="T1605" s="3">
        <v>0.90328238500000002</v>
      </c>
      <c r="U1605" s="3">
        <v>0.47459189000000002</v>
      </c>
      <c r="V1605" s="3">
        <v>0.36082474199999998</v>
      </c>
      <c r="W1605" s="3">
        <v>0.5</v>
      </c>
      <c r="X1605" s="3">
        <v>1.88355739</v>
      </c>
      <c r="Y1605" s="3">
        <v>4.0471976630000004</v>
      </c>
      <c r="Z1605" s="3">
        <v>1.903282385</v>
      </c>
      <c r="AA1605" s="3">
        <v>4.4824399000000001E-2</v>
      </c>
      <c r="AB1605" s="3">
        <v>12.53322781</v>
      </c>
      <c r="AC1605" s="3">
        <v>3.76711478</v>
      </c>
      <c r="AD1605" s="3">
        <v>0.124306839</v>
      </c>
      <c r="AE1605" s="3">
        <v>0</v>
      </c>
      <c r="AF1605" s="4">
        <v>42429</v>
      </c>
      <c r="AG1605" s="5">
        <f>YEAR(AF1605)</f>
        <v>2016</v>
      </c>
      <c r="AH1605" s="5" t="str">
        <f>"Q"&amp;ROUNDUP(MONTH(AF1605)/3,0)</f>
        <v>Q1</v>
      </c>
      <c r="AI1605" s="5">
        <f>INDEX(RatingLookup!$B$2:$B$11,MATCH(A1605,RatingLookup!$A$2:$A$11,0))</f>
        <v>7</v>
      </c>
      <c r="AJ1605" s="5" t="str">
        <f>INDEX(RatingLookup!$C$2:$C$11,MATCH(A1605,RatingLookup!$A$2:$A$11,0))</f>
        <v>Investment Grade</v>
      </c>
    </row>
    <row r="1606" spans="1:36" x14ac:dyDescent="0.3">
      <c r="A1606" s="3" t="s">
        <v>42</v>
      </c>
      <c r="B1606" s="3" t="s">
        <v>1686</v>
      </c>
      <c r="C1606" s="3" t="s">
        <v>1687</v>
      </c>
      <c r="D1606" s="3" t="s">
        <v>47</v>
      </c>
      <c r="E1606" s="3" t="s">
        <v>682</v>
      </c>
      <c r="F1606" s="3" t="s">
        <v>174</v>
      </c>
      <c r="G1606" s="3">
        <v>1.232683983</v>
      </c>
      <c r="H1606" s="3">
        <v>0.66017316000000004</v>
      </c>
      <c r="I1606" s="3">
        <v>0.52164502199999996</v>
      </c>
      <c r="J1606" s="3">
        <v>1.565816211</v>
      </c>
      <c r="K1606" s="3">
        <v>4.6060059E-2</v>
      </c>
      <c r="L1606" s="3">
        <v>6.5251749999999997E-2</v>
      </c>
      <c r="M1606" s="3">
        <v>1</v>
      </c>
      <c r="N1606" s="3">
        <v>6.5251749999999997E-2</v>
      </c>
      <c r="O1606" s="3">
        <v>2.6325978E-2</v>
      </c>
      <c r="P1606" s="3">
        <v>4.2344321999999997E-2</v>
      </c>
      <c r="Q1606" s="3">
        <v>5.2267487000000001E-2</v>
      </c>
      <c r="R1606" s="3">
        <v>0.57155761999999999</v>
      </c>
      <c r="S1606" s="3">
        <v>1.037236534</v>
      </c>
      <c r="T1606" s="3">
        <v>0.98539584899999999</v>
      </c>
      <c r="U1606" s="3">
        <v>0.49632210599999999</v>
      </c>
      <c r="V1606" s="3">
        <v>0.29411764699999998</v>
      </c>
      <c r="W1606" s="3">
        <v>0.56850715699999999</v>
      </c>
      <c r="X1606" s="3">
        <v>2.0913171689999999</v>
      </c>
      <c r="Y1606" s="3">
        <v>4.4459296640000003</v>
      </c>
      <c r="Z1606" s="3">
        <v>1.9853958490000001</v>
      </c>
      <c r="AA1606" s="3">
        <v>6.5251749999999997E-2</v>
      </c>
      <c r="AB1606" s="3">
        <v>13.174997530000001</v>
      </c>
      <c r="AC1606" s="3">
        <v>3.6786118540000001</v>
      </c>
      <c r="AD1606" s="3">
        <v>0.11040867</v>
      </c>
      <c r="AE1606" s="3">
        <v>0</v>
      </c>
      <c r="AF1606" s="4">
        <v>42620</v>
      </c>
      <c r="AG1606" s="5">
        <f>YEAR(AF1606)</f>
        <v>2016</v>
      </c>
      <c r="AH1606" s="5" t="str">
        <f>"Q"&amp;ROUNDUP(MONTH(AF1606)/3,0)</f>
        <v>Q3</v>
      </c>
      <c r="AI1606" s="5">
        <f>INDEX(RatingLookup!$B$2:$B$11,MATCH(A1606,RatingLookup!$A$2:$A$11,0))</f>
        <v>7</v>
      </c>
      <c r="AJ1606" s="5" t="str">
        <f>INDEX(RatingLookup!$C$2:$C$11,MATCH(A1606,RatingLookup!$A$2:$A$11,0))</f>
        <v>Investment Grade</v>
      </c>
    </row>
    <row r="1607" spans="1:36" x14ac:dyDescent="0.3">
      <c r="A1607" s="3" t="s">
        <v>42</v>
      </c>
      <c r="B1607" s="3" t="s">
        <v>1686</v>
      </c>
      <c r="C1607" s="3" t="s">
        <v>1687</v>
      </c>
      <c r="D1607" s="3" t="s">
        <v>47</v>
      </c>
      <c r="E1607" s="3" t="s">
        <v>1688</v>
      </c>
      <c r="F1607" s="3" t="s">
        <v>174</v>
      </c>
      <c r="G1607" s="3">
        <v>2.3410958900000001</v>
      </c>
      <c r="H1607" s="3">
        <v>1.152054795</v>
      </c>
      <c r="I1607" s="3">
        <v>0.93835616399999999</v>
      </c>
      <c r="J1607" s="3">
        <v>2.149490374</v>
      </c>
      <c r="K1607" s="3">
        <v>7.7916194999999994E-2</v>
      </c>
      <c r="L1607" s="3">
        <v>0.118912797</v>
      </c>
      <c r="M1607" s="3">
        <v>1</v>
      </c>
      <c r="N1607" s="3">
        <v>0.118912797</v>
      </c>
      <c r="O1607" s="3">
        <v>4.2244873000000002E-2</v>
      </c>
      <c r="P1607" s="3">
        <v>7.0821529999999994E-2</v>
      </c>
      <c r="Q1607" s="3">
        <v>7.4346229E-2</v>
      </c>
      <c r="R1607" s="3">
        <v>0.54218347</v>
      </c>
      <c r="S1607" s="3">
        <v>1.0547061630000001</v>
      </c>
      <c r="T1607" s="3">
        <v>0.75988761599999999</v>
      </c>
      <c r="U1607" s="3">
        <v>0.43178189900000002</v>
      </c>
      <c r="V1607" s="3">
        <v>0.34095238100000003</v>
      </c>
      <c r="W1607" s="3">
        <v>0.46511627900000002</v>
      </c>
      <c r="X1607" s="3">
        <v>1.4366266969999999</v>
      </c>
      <c r="Y1607" s="3">
        <v>5.3220489009999996</v>
      </c>
      <c r="Z1607" s="3">
        <v>1.7598876160000001</v>
      </c>
      <c r="AA1607" s="3">
        <v>0.118912797</v>
      </c>
      <c r="AB1607" s="3">
        <v>10.603481349999999</v>
      </c>
      <c r="AC1607" s="3">
        <v>3.0887473989999998</v>
      </c>
      <c r="AD1607" s="3">
        <v>0.10713476800000001</v>
      </c>
      <c r="AE1607" s="3">
        <v>0</v>
      </c>
      <c r="AF1607" s="4">
        <v>41908</v>
      </c>
      <c r="AG1607" s="5">
        <f>YEAR(AF1607)</f>
        <v>2014</v>
      </c>
      <c r="AH1607" s="5" t="str">
        <f>"Q"&amp;ROUNDUP(MONTH(AF1607)/3,0)</f>
        <v>Q3</v>
      </c>
      <c r="AI1607" s="5">
        <f>INDEX(RatingLookup!$B$2:$B$11,MATCH(A1607,RatingLookup!$A$2:$A$11,0))</f>
        <v>7</v>
      </c>
      <c r="AJ1607" s="5" t="str">
        <f>INDEX(RatingLookup!$C$2:$C$11,MATCH(A1607,RatingLookup!$A$2:$A$11,0))</f>
        <v>Investment Grade</v>
      </c>
    </row>
    <row r="1608" spans="1:36" x14ac:dyDescent="0.3">
      <c r="A1608" s="3" t="s">
        <v>42</v>
      </c>
      <c r="B1608" s="3" t="s">
        <v>1689</v>
      </c>
      <c r="C1608" s="3" t="s">
        <v>1690</v>
      </c>
      <c r="D1608" s="3" t="s">
        <v>47</v>
      </c>
      <c r="E1608" s="3" t="s">
        <v>1691</v>
      </c>
      <c r="F1608" s="3" t="s">
        <v>41</v>
      </c>
      <c r="G1608" s="3">
        <v>1.9166513679999999</v>
      </c>
      <c r="H1608" s="3">
        <v>0.82178263299999998</v>
      </c>
      <c r="I1608" s="3">
        <v>9.8724067999999998E-2</v>
      </c>
      <c r="J1608" s="3">
        <v>51.688210130000002</v>
      </c>
      <c r="K1608" s="3">
        <v>4.5582841999999998E-2</v>
      </c>
      <c r="L1608" s="3">
        <v>6.6527038999999996E-2</v>
      </c>
      <c r="M1608" s="3">
        <v>0.192210197</v>
      </c>
      <c r="N1608" s="3">
        <v>7.6630590999999998E-2</v>
      </c>
      <c r="O1608" s="3">
        <v>1.9986284E-2</v>
      </c>
      <c r="P1608" s="3">
        <v>3.7622448000000003E-2</v>
      </c>
      <c r="Q1608" s="3">
        <v>4.3521173000000003E-2</v>
      </c>
      <c r="R1608" s="3">
        <v>0.43846068999999999</v>
      </c>
      <c r="S1608" s="3">
        <v>1.2145243349999999</v>
      </c>
      <c r="T1608" s="3">
        <v>1.166214662</v>
      </c>
      <c r="U1608" s="3">
        <v>0.53556226500000004</v>
      </c>
      <c r="V1608" s="3">
        <v>0.31482232100000002</v>
      </c>
      <c r="W1608" s="3">
        <v>0.53747092100000005</v>
      </c>
      <c r="X1608" s="3">
        <v>2.4705133309999998</v>
      </c>
      <c r="Y1608" s="3">
        <v>0.821467642</v>
      </c>
      <c r="Z1608" s="3">
        <v>2.1775519659999998</v>
      </c>
      <c r="AA1608" s="3">
        <v>7.8437364999999995E-2</v>
      </c>
      <c r="AB1608" s="3">
        <v>12.029152570000001</v>
      </c>
      <c r="AC1608" s="3">
        <v>4.5965525510000003</v>
      </c>
      <c r="AD1608" s="3">
        <v>0.108190709</v>
      </c>
      <c r="AE1608" s="3">
        <v>7.2977911320000004</v>
      </c>
      <c r="AF1608" s="4">
        <v>42191</v>
      </c>
      <c r="AG1608" s="5">
        <f>YEAR(AF1608)</f>
        <v>2015</v>
      </c>
      <c r="AH1608" s="5" t="str">
        <f>"Q"&amp;ROUNDUP(MONTH(AF1608)/3,0)</f>
        <v>Q3</v>
      </c>
      <c r="AI1608" s="5">
        <f>INDEX(RatingLookup!$B$2:$B$11,MATCH(A1608,RatingLookup!$A$2:$A$11,0))</f>
        <v>7</v>
      </c>
      <c r="AJ1608" s="5" t="str">
        <f>INDEX(RatingLookup!$C$2:$C$11,MATCH(A1608,RatingLookup!$A$2:$A$11,0))</f>
        <v>Investment Grade</v>
      </c>
    </row>
    <row r="1609" spans="1:36" x14ac:dyDescent="0.3">
      <c r="A1609" s="3" t="s">
        <v>116</v>
      </c>
      <c r="B1609" s="3" t="s">
        <v>1692</v>
      </c>
      <c r="C1609" s="3" t="s">
        <v>1693</v>
      </c>
      <c r="D1609" s="3" t="s">
        <v>60</v>
      </c>
      <c r="E1609" s="3" t="s">
        <v>1237</v>
      </c>
      <c r="F1609" s="3" t="s">
        <v>219</v>
      </c>
      <c r="G1609" s="3">
        <v>3.0367437439999998</v>
      </c>
      <c r="H1609" s="3">
        <v>1.1662971179999999</v>
      </c>
      <c r="I1609" s="3">
        <v>0.20019005400000001</v>
      </c>
      <c r="J1609" s="3">
        <v>35.149343270000003</v>
      </c>
      <c r="K1609" s="3">
        <v>-1.57868E-4</v>
      </c>
      <c r="L1609" s="3">
        <v>5.9989899999999998E-4</v>
      </c>
      <c r="M1609" s="3">
        <v>0.179243496</v>
      </c>
      <c r="N1609" s="3">
        <v>3.4288961999999999E-2</v>
      </c>
      <c r="O1609" s="3">
        <v>-3.2129499999999998E-4</v>
      </c>
      <c r="P1609" s="3">
        <v>1.5316399999999999E-3</v>
      </c>
      <c r="Q1609" s="3">
        <v>3.531073E-3</v>
      </c>
      <c r="R1609" s="3">
        <v>2.0352139829999998</v>
      </c>
      <c r="S1609" s="3">
        <v>7.9120659509999998</v>
      </c>
      <c r="T1609" s="3">
        <v>-11.99011299</v>
      </c>
      <c r="U1609" s="3">
        <v>1.0909908749999999</v>
      </c>
      <c r="V1609" s="3">
        <v>1.947368421</v>
      </c>
      <c r="W1609" s="3">
        <v>0.91393284399999997</v>
      </c>
      <c r="X1609" s="3">
        <v>7.3866661440000003</v>
      </c>
      <c r="Y1609" s="3">
        <v>1.9714413019999999</v>
      </c>
      <c r="Z1609" s="3">
        <v>-10.99011299</v>
      </c>
      <c r="AA1609" s="3">
        <v>5.9989899999999998E-4</v>
      </c>
      <c r="AB1609" s="3">
        <v>7.0890035610000002</v>
      </c>
      <c r="AC1609" s="3">
        <v>8.0822854639999999</v>
      </c>
      <c r="AD1609" s="3">
        <v>8.1807274999999999E-2</v>
      </c>
      <c r="AE1609" s="3">
        <v>12.600581679999999</v>
      </c>
      <c r="AF1609" s="4">
        <v>42501</v>
      </c>
      <c r="AG1609" s="5">
        <f>YEAR(AF1609)</f>
        <v>2016</v>
      </c>
      <c r="AH1609" s="5" t="str">
        <f>"Q"&amp;ROUNDUP(MONTH(AF1609)/3,0)</f>
        <v>Q2</v>
      </c>
      <c r="AI1609" s="5">
        <f>INDEX(RatingLookup!$B$2:$B$11,MATCH(A1609,RatingLookup!$A$2:$A$11,0))</f>
        <v>4</v>
      </c>
      <c r="AJ1609" s="5" t="str">
        <f>INDEX(RatingLookup!$C$2:$C$11,MATCH(A1609,RatingLookup!$A$2:$A$11,0))</f>
        <v>Speculative Grade</v>
      </c>
    </row>
    <row r="1610" spans="1:36" x14ac:dyDescent="0.3">
      <c r="A1610" s="3" t="s">
        <v>36</v>
      </c>
      <c r="B1610" s="3" t="s">
        <v>1694</v>
      </c>
      <c r="C1610" s="3" t="s">
        <v>1695</v>
      </c>
      <c r="D1610" s="3" t="s">
        <v>44</v>
      </c>
      <c r="E1610" s="3" t="s">
        <v>1304</v>
      </c>
      <c r="F1610" s="3" t="s">
        <v>96</v>
      </c>
      <c r="G1610" s="3">
        <v>2.5758600880000002</v>
      </c>
      <c r="H1610" s="3">
        <v>1.4538201310000001</v>
      </c>
      <c r="I1610" s="3">
        <v>0.97708559399999995</v>
      </c>
      <c r="J1610" s="3">
        <v>31.564537980000001</v>
      </c>
      <c r="K1610" s="3">
        <v>0.20630476</v>
      </c>
      <c r="L1610" s="3">
        <v>0.25674284200000003</v>
      </c>
      <c r="M1610" s="3">
        <v>0.62648360599999997</v>
      </c>
      <c r="N1610" s="3">
        <v>0.25294914600000001</v>
      </c>
      <c r="O1610" s="3">
        <v>0.110803862</v>
      </c>
      <c r="P1610" s="3">
        <v>0.16261241700000001</v>
      </c>
      <c r="Q1610" s="3">
        <v>0.18695260699999999</v>
      </c>
      <c r="R1610" s="3">
        <v>0.53708824499999996</v>
      </c>
      <c r="S1610" s="3">
        <v>1.737554147</v>
      </c>
      <c r="T1610" s="3">
        <v>0.68723909299999997</v>
      </c>
      <c r="U1610" s="3">
        <v>0.40731577200000002</v>
      </c>
      <c r="V1610" s="3">
        <v>0.19645370100000001</v>
      </c>
      <c r="W1610" s="3">
        <v>0.60845559199999999</v>
      </c>
      <c r="X1610" s="3">
        <v>2.4401096579999999</v>
      </c>
      <c r="Y1610" s="3">
        <v>3.7937579079999999</v>
      </c>
      <c r="Z1610" s="3">
        <v>1.6872390930000001</v>
      </c>
      <c r="AA1610" s="3">
        <v>0.25674284200000003</v>
      </c>
      <c r="AB1610" s="3">
        <v>6.5039933080000001</v>
      </c>
      <c r="AC1610" s="3">
        <v>4.0103331930000001</v>
      </c>
      <c r="AD1610" s="3">
        <v>0.34354620200000002</v>
      </c>
      <c r="AE1610" s="3">
        <v>10.02229762</v>
      </c>
      <c r="AF1610" s="4">
        <v>42331</v>
      </c>
      <c r="AG1610" s="5">
        <f>YEAR(AF1610)</f>
        <v>2015</v>
      </c>
      <c r="AH1610" s="5" t="str">
        <f>"Q"&amp;ROUNDUP(MONTH(AF1610)/3,0)</f>
        <v>Q4</v>
      </c>
      <c r="AI1610" s="5">
        <f>INDEX(RatingLookup!$B$2:$B$11,MATCH(A1610,RatingLookup!$A$2:$A$11,0))</f>
        <v>8</v>
      </c>
      <c r="AJ1610" s="5" t="str">
        <f>INDEX(RatingLookup!$C$2:$C$11,MATCH(A1610,RatingLookup!$A$2:$A$11,0))</f>
        <v>Investment Grade</v>
      </c>
    </row>
    <row r="1611" spans="1:36" x14ac:dyDescent="0.3">
      <c r="A1611" s="3" t="s">
        <v>49</v>
      </c>
      <c r="B1611" s="3" t="s">
        <v>1694</v>
      </c>
      <c r="C1611" s="3" t="s">
        <v>1695</v>
      </c>
      <c r="D1611" s="3" t="s">
        <v>39</v>
      </c>
      <c r="E1611" s="3" t="s">
        <v>1207</v>
      </c>
      <c r="F1611" s="3" t="s">
        <v>96</v>
      </c>
      <c r="G1611" s="3">
        <v>2.3646816039999998</v>
      </c>
      <c r="H1611" s="3">
        <v>1.1223466980000001</v>
      </c>
      <c r="I1611" s="3">
        <v>0.41818985800000003</v>
      </c>
      <c r="J1611" s="3">
        <v>24.805152920000001</v>
      </c>
      <c r="K1611" s="3">
        <v>0.18251498799999999</v>
      </c>
      <c r="L1611" s="3">
        <v>0.239261592</v>
      </c>
      <c r="M1611" s="3">
        <v>0.59803065899999996</v>
      </c>
      <c r="N1611" s="3">
        <v>0.23319040799999999</v>
      </c>
      <c r="O1611" s="3">
        <v>0.1041599</v>
      </c>
      <c r="P1611" s="3">
        <v>0.160058383</v>
      </c>
      <c r="Q1611" s="3">
        <v>0.16513320500000001</v>
      </c>
      <c r="R1611" s="3">
        <v>0.57069230599999998</v>
      </c>
      <c r="S1611" s="3">
        <v>1.67710322</v>
      </c>
      <c r="T1611" s="3">
        <v>0.585381763</v>
      </c>
      <c r="U1611" s="3">
        <v>0.36923709900000001</v>
      </c>
      <c r="V1611" s="3">
        <v>0.237173896</v>
      </c>
      <c r="W1611" s="3">
        <v>0.482720447</v>
      </c>
      <c r="X1611" s="3">
        <v>2.0179074450000001</v>
      </c>
      <c r="Y1611" s="3">
        <v>2.3432595570000001</v>
      </c>
      <c r="Z1611" s="3">
        <v>1.585381763</v>
      </c>
      <c r="AA1611" s="3">
        <v>0.239261592</v>
      </c>
      <c r="AB1611" s="3">
        <v>6.427712444</v>
      </c>
      <c r="AC1611" s="3">
        <v>4.1802816900000002</v>
      </c>
      <c r="AD1611" s="3">
        <v>0.39417166300000001</v>
      </c>
      <c r="AE1611" s="3">
        <v>7.1360727519999996</v>
      </c>
      <c r="AF1611" s="4">
        <v>41481</v>
      </c>
      <c r="AG1611" s="5">
        <f>YEAR(AF1611)</f>
        <v>2013</v>
      </c>
      <c r="AH1611" s="5" t="str">
        <f>"Q"&amp;ROUNDUP(MONTH(AF1611)/3,0)</f>
        <v>Q3</v>
      </c>
      <c r="AI1611" s="5">
        <f>INDEX(RatingLookup!$B$2:$B$11,MATCH(A1611,RatingLookup!$A$2:$A$11,0))</f>
        <v>9</v>
      </c>
      <c r="AJ1611" s="5" t="str">
        <f>INDEX(RatingLookup!$C$2:$C$11,MATCH(A1611,RatingLookup!$A$2:$A$11,0))</f>
        <v>Investment Grade</v>
      </c>
    </row>
    <row r="1612" spans="1:36" x14ac:dyDescent="0.3">
      <c r="A1612" s="3" t="s">
        <v>36</v>
      </c>
      <c r="B1612" s="3" t="s">
        <v>1694</v>
      </c>
      <c r="C1612" s="3" t="s">
        <v>1695</v>
      </c>
      <c r="D1612" s="3" t="s">
        <v>39</v>
      </c>
      <c r="E1612" s="3" t="s">
        <v>1508</v>
      </c>
      <c r="F1612" s="3" t="s">
        <v>96</v>
      </c>
      <c r="G1612" s="3">
        <v>1.731069355</v>
      </c>
      <c r="H1612" s="3">
        <v>0.58792683700000004</v>
      </c>
      <c r="I1612" s="3">
        <v>0.159872651</v>
      </c>
      <c r="J1612" s="3">
        <v>28.921693220000002</v>
      </c>
      <c r="K1612" s="3">
        <v>0.20948630700000001</v>
      </c>
      <c r="L1612" s="3">
        <v>0.28281725400000002</v>
      </c>
      <c r="M1612" s="3">
        <v>0.63735457299999998</v>
      </c>
      <c r="N1612" s="3">
        <v>0.274691248</v>
      </c>
      <c r="O1612" s="3">
        <v>0.127278264</v>
      </c>
      <c r="P1612" s="3">
        <v>0.20808038200000001</v>
      </c>
      <c r="Q1612" s="3">
        <v>0.20950505699999999</v>
      </c>
      <c r="R1612" s="3">
        <v>0.60757318699999996</v>
      </c>
      <c r="S1612" s="3">
        <v>1.680907395</v>
      </c>
      <c r="T1612" s="3">
        <v>0.64603955999999996</v>
      </c>
      <c r="U1612" s="3">
        <v>0.39248118700000001</v>
      </c>
      <c r="V1612" s="3">
        <v>0.25928738699999998</v>
      </c>
      <c r="W1612" s="3">
        <v>0.50058771700000004</v>
      </c>
      <c r="X1612" s="3">
        <v>2.0854927569999999</v>
      </c>
      <c r="Y1612" s="3">
        <v>1.018363599</v>
      </c>
      <c r="Z1612" s="3">
        <v>1.64603956</v>
      </c>
      <c r="AA1612" s="3">
        <v>0.28281725400000002</v>
      </c>
      <c r="AB1612" s="3">
        <v>7.8111319889999997</v>
      </c>
      <c r="AC1612" s="3">
        <v>4.1660885529999998</v>
      </c>
      <c r="AD1612" s="3">
        <v>0.36545552199999998</v>
      </c>
      <c r="AE1612" s="3">
        <v>7.3729985439999997</v>
      </c>
      <c r="AF1612" s="4">
        <v>42110</v>
      </c>
      <c r="AG1612" s="5">
        <f>YEAR(AF1612)</f>
        <v>2015</v>
      </c>
      <c r="AH1612" s="5" t="str">
        <f>"Q"&amp;ROUNDUP(MONTH(AF1612)/3,0)</f>
        <v>Q2</v>
      </c>
      <c r="AI1612" s="5">
        <f>INDEX(RatingLookup!$B$2:$B$11,MATCH(A1612,RatingLookup!$A$2:$A$11,0))</f>
        <v>8</v>
      </c>
      <c r="AJ1612" s="5" t="str">
        <f>INDEX(RatingLookup!$C$2:$C$11,MATCH(A1612,RatingLookup!$A$2:$A$11,0))</f>
        <v>Investment Grade</v>
      </c>
    </row>
    <row r="1613" spans="1:36" x14ac:dyDescent="0.3">
      <c r="A1613" s="3" t="s">
        <v>42</v>
      </c>
      <c r="B1613" s="3" t="s">
        <v>1696</v>
      </c>
      <c r="C1613" s="3" t="s">
        <v>1697</v>
      </c>
      <c r="D1613" s="3" t="s">
        <v>60</v>
      </c>
      <c r="E1613" s="3" t="s">
        <v>376</v>
      </c>
      <c r="F1613" s="3" t="s">
        <v>79</v>
      </c>
      <c r="G1613" s="3">
        <v>1.2495170209999999</v>
      </c>
      <c r="H1613" s="3">
        <v>1.3320376270000001</v>
      </c>
      <c r="I1613" s="3">
        <v>0.70365703599999996</v>
      </c>
      <c r="J1613" s="3">
        <v>101.34641019999999</v>
      </c>
      <c r="K1613" s="3">
        <v>7.4123771000000005E-2</v>
      </c>
      <c r="L1613" s="3">
        <v>0.143663228</v>
      </c>
      <c r="M1613" s="3">
        <v>0.49385979800000002</v>
      </c>
      <c r="N1613" s="3">
        <v>0.36302822800000001</v>
      </c>
      <c r="O1613" s="3">
        <v>3.3617063000000003E-2</v>
      </c>
      <c r="P1613" s="3">
        <v>0.14360759100000001</v>
      </c>
      <c r="Q1613" s="3">
        <v>9.1375877999999994E-2</v>
      </c>
      <c r="R1613" s="3">
        <v>0.453526078</v>
      </c>
      <c r="S1613" s="3">
        <v>0.99342610499999995</v>
      </c>
      <c r="T1613" s="3">
        <v>1.447139138</v>
      </c>
      <c r="U1613" s="3">
        <v>0.53240055200000003</v>
      </c>
      <c r="V1613" s="3">
        <v>0.48404492700000001</v>
      </c>
      <c r="W1613" s="3">
        <v>0.71523695300000001</v>
      </c>
      <c r="X1613" s="3">
        <v>1.5519391600000001</v>
      </c>
      <c r="Y1613" s="3">
        <v>2.5442562130000002</v>
      </c>
      <c r="Z1613" s="3">
        <v>2.7181398130000001</v>
      </c>
      <c r="AA1613" s="3">
        <v>0.24482759900000001</v>
      </c>
      <c r="AB1613" s="3">
        <v>5.8701025859999998</v>
      </c>
      <c r="AC1613" s="3">
        <v>2.1698251929999999</v>
      </c>
      <c r="AD1613" s="3">
        <v>0.33132598400000002</v>
      </c>
      <c r="AE1613" s="3">
        <v>1.2274301860000001</v>
      </c>
      <c r="AF1613" s="4">
        <v>42656</v>
      </c>
      <c r="AG1613" s="5">
        <f>YEAR(AF1613)</f>
        <v>2016</v>
      </c>
      <c r="AH1613" s="5" t="str">
        <f>"Q"&amp;ROUNDUP(MONTH(AF1613)/3,0)</f>
        <v>Q4</v>
      </c>
      <c r="AI1613" s="5">
        <f>INDEX(RatingLookup!$B$2:$B$11,MATCH(A1613,RatingLookup!$A$2:$A$11,0))</f>
        <v>7</v>
      </c>
      <c r="AJ1613" s="5" t="str">
        <f>INDEX(RatingLookup!$C$2:$C$11,MATCH(A1613,RatingLookup!$A$2:$A$11,0))</f>
        <v>Investment Grade</v>
      </c>
    </row>
    <row r="1614" spans="1:36" x14ac:dyDescent="0.3">
      <c r="A1614" s="3" t="s">
        <v>42</v>
      </c>
      <c r="B1614" s="3" t="s">
        <v>1696</v>
      </c>
      <c r="C1614" s="3" t="s">
        <v>1697</v>
      </c>
      <c r="D1614" s="3" t="s">
        <v>60</v>
      </c>
      <c r="E1614" s="3" t="s">
        <v>1698</v>
      </c>
      <c r="F1614" s="3" t="s">
        <v>79</v>
      </c>
      <c r="G1614" s="3">
        <v>1.756468964</v>
      </c>
      <c r="H1614" s="3">
        <v>0.63172575399999997</v>
      </c>
      <c r="I1614" s="3">
        <v>0.263055082</v>
      </c>
      <c r="J1614" s="3">
        <v>94.622990060000006</v>
      </c>
      <c r="K1614" s="3">
        <v>0.124793853</v>
      </c>
      <c r="L1614" s="3">
        <v>0.223571409</v>
      </c>
      <c r="M1614" s="3">
        <v>0.47614205399999998</v>
      </c>
      <c r="N1614" s="3">
        <v>0.33634249399999999</v>
      </c>
      <c r="O1614" s="3">
        <v>4.6450407999999999E-2</v>
      </c>
      <c r="P1614" s="3">
        <v>0.15568075200000001</v>
      </c>
      <c r="Q1614" s="3">
        <v>0.119084258</v>
      </c>
      <c r="R1614" s="3">
        <v>0.37221711200000002</v>
      </c>
      <c r="S1614" s="3">
        <v>1.1492681549999999</v>
      </c>
      <c r="T1614" s="3">
        <v>1.204640862</v>
      </c>
      <c r="U1614" s="3">
        <v>0.46988628100000002</v>
      </c>
      <c r="V1614" s="3">
        <v>0.44181658299999998</v>
      </c>
      <c r="W1614" s="3">
        <v>0.43301170700000002</v>
      </c>
      <c r="X1614" s="3">
        <v>1.275963892</v>
      </c>
      <c r="Y1614" s="3">
        <v>1.914348044</v>
      </c>
      <c r="Z1614" s="3">
        <v>2.5636859620000001</v>
      </c>
      <c r="AA1614" s="3">
        <v>0.296279071</v>
      </c>
      <c r="AB1614" s="3">
        <v>3.530350308</v>
      </c>
      <c r="AC1614" s="3">
        <v>2.946719157</v>
      </c>
      <c r="AD1614" s="3">
        <v>0.36281819799999998</v>
      </c>
      <c r="AE1614" s="3">
        <v>1.631625348</v>
      </c>
      <c r="AF1614" s="4">
        <v>42361</v>
      </c>
      <c r="AG1614" s="5">
        <f>YEAR(AF1614)</f>
        <v>2015</v>
      </c>
      <c r="AH1614" s="5" t="str">
        <f>"Q"&amp;ROUNDUP(MONTH(AF1614)/3,0)</f>
        <v>Q4</v>
      </c>
      <c r="AI1614" s="5">
        <f>INDEX(RatingLookup!$B$2:$B$11,MATCH(A1614,RatingLookup!$A$2:$A$11,0))</f>
        <v>7</v>
      </c>
      <c r="AJ1614" s="5" t="str">
        <f>INDEX(RatingLookup!$C$2:$C$11,MATCH(A1614,RatingLookup!$A$2:$A$11,0))</f>
        <v>Investment Grade</v>
      </c>
    </row>
    <row r="1615" spans="1:36" x14ac:dyDescent="0.3">
      <c r="A1615" s="3" t="s">
        <v>92</v>
      </c>
      <c r="B1615" s="3" t="s">
        <v>1699</v>
      </c>
      <c r="C1615" s="3" t="s">
        <v>1700</v>
      </c>
      <c r="D1615" s="3" t="s">
        <v>47</v>
      </c>
      <c r="E1615" s="3" t="s">
        <v>926</v>
      </c>
      <c r="F1615" s="3" t="s">
        <v>41</v>
      </c>
      <c r="G1615" s="3">
        <v>1.0740452680000001</v>
      </c>
      <c r="H1615" s="3">
        <v>2.5391530000000002E-3</v>
      </c>
      <c r="I1615" s="3">
        <v>2.5391530000000002E-3</v>
      </c>
      <c r="J1615" s="3">
        <v>0</v>
      </c>
      <c r="K1615" s="3">
        <v>1.0570398E-2</v>
      </c>
      <c r="L1615" s="3">
        <v>1.7584566999999999E-2</v>
      </c>
      <c r="M1615" s="3">
        <v>0.148514222</v>
      </c>
      <c r="N1615" s="3">
        <v>2.5400727000000001E-2</v>
      </c>
      <c r="O1615" s="3">
        <v>3.0541275E-2</v>
      </c>
      <c r="P1615" s="3">
        <v>0.10528217400000001</v>
      </c>
      <c r="Q1615" s="3">
        <v>0.14581427199999999</v>
      </c>
      <c r="R1615" s="3">
        <v>2.8893210620000001</v>
      </c>
      <c r="S1615" s="3">
        <v>11.50616838</v>
      </c>
      <c r="T1615" s="3">
        <v>4.7743348760000002</v>
      </c>
      <c r="U1615" s="3">
        <v>1</v>
      </c>
      <c r="V1615" s="3">
        <v>-0.390584133</v>
      </c>
      <c r="W1615" s="3">
        <v>8.8502956999999993E-2</v>
      </c>
      <c r="X1615" s="3">
        <v>273.08172480000002</v>
      </c>
      <c r="Y1615" s="3">
        <v>80.32267358</v>
      </c>
      <c r="Z1615" s="3">
        <v>4.7743348760000002</v>
      </c>
      <c r="AA1615" s="3">
        <v>1.7584566999999999E-2</v>
      </c>
      <c r="AB1615" s="3">
        <v>2.533758051</v>
      </c>
      <c r="AC1615" s="3">
        <v>3085.5661190000001</v>
      </c>
      <c r="AD1615" s="3">
        <v>1.7467463999999999E-2</v>
      </c>
      <c r="AE1615" s="3">
        <v>-59.145795100000001</v>
      </c>
      <c r="AF1615" s="4">
        <v>42185</v>
      </c>
      <c r="AG1615" s="5">
        <f>YEAR(AF1615)</f>
        <v>2015</v>
      </c>
      <c r="AH1615" s="5" t="str">
        <f>"Q"&amp;ROUNDUP(MONTH(AF1615)/3,0)</f>
        <v>Q2</v>
      </c>
      <c r="AI1615" s="5">
        <f>INDEX(RatingLookup!$B$2:$B$11,MATCH(A1615,RatingLookup!$A$2:$A$11,0))</f>
        <v>6</v>
      </c>
      <c r="AJ1615" s="5" t="str">
        <f>INDEX(RatingLookup!$C$2:$C$11,MATCH(A1615,RatingLookup!$A$2:$A$11,0))</f>
        <v>Speculative Grade</v>
      </c>
    </row>
    <row r="1616" spans="1:36" x14ac:dyDescent="0.3">
      <c r="A1616" s="3" t="s">
        <v>109</v>
      </c>
      <c r="B1616" s="3" t="s">
        <v>1699</v>
      </c>
      <c r="C1616" s="3" t="s">
        <v>1700</v>
      </c>
      <c r="D1616" s="3" t="s">
        <v>47</v>
      </c>
      <c r="E1616" s="3" t="s">
        <v>1443</v>
      </c>
      <c r="F1616" s="3" t="s">
        <v>41</v>
      </c>
      <c r="G1616" s="3">
        <v>1.0486163310000001</v>
      </c>
      <c r="H1616" s="3">
        <v>1.604643E-3</v>
      </c>
      <c r="I1616" s="3">
        <v>1.604643E-3</v>
      </c>
      <c r="J1616" s="3">
        <v>0</v>
      </c>
      <c r="K1616" s="3">
        <v>9.5761530000000004E-3</v>
      </c>
      <c r="L1616" s="3">
        <v>1.5948984999999999E-2</v>
      </c>
      <c r="M1616" s="3">
        <v>0.146866673</v>
      </c>
      <c r="N1616" s="3">
        <v>2.3932828999999999E-2</v>
      </c>
      <c r="O1616" s="3">
        <v>2.5607143999999998E-2</v>
      </c>
      <c r="P1616" s="3">
        <v>9.1169463000000006E-2</v>
      </c>
      <c r="Q1616" s="3">
        <v>0.12851299799999999</v>
      </c>
      <c r="R1616" s="3">
        <v>2.6740534540000001</v>
      </c>
      <c r="S1616" s="3">
        <v>9.6318009070000006</v>
      </c>
      <c r="T1616" s="3">
        <v>5.0186385419999997</v>
      </c>
      <c r="U1616" s="3">
        <v>1</v>
      </c>
      <c r="V1616" s="3">
        <v>-0.391052238</v>
      </c>
      <c r="W1616" s="3">
        <v>4.6846114000000001E-2</v>
      </c>
      <c r="X1616" s="3">
        <v>222.10048860000001</v>
      </c>
      <c r="Y1616" s="3">
        <v>68.102636020000006</v>
      </c>
      <c r="Z1616" s="3">
        <v>5.0186385419999997</v>
      </c>
      <c r="AA1616" s="3">
        <v>1.5948984999999999E-2</v>
      </c>
      <c r="AB1616" s="3">
        <v>2.8716694409999999</v>
      </c>
      <c r="AC1616" s="3">
        <v>4741.065364</v>
      </c>
      <c r="AD1616" s="3">
        <v>2.2233138999999999E-2</v>
      </c>
      <c r="AE1616" s="3">
        <v>-70.515585189999996</v>
      </c>
      <c r="AF1616" s="4">
        <v>42636</v>
      </c>
      <c r="AG1616" s="5">
        <f>YEAR(AF1616)</f>
        <v>2016</v>
      </c>
      <c r="AH1616" s="5" t="str">
        <f>"Q"&amp;ROUNDUP(MONTH(AF1616)/3,0)</f>
        <v>Q3</v>
      </c>
      <c r="AI1616" s="5">
        <f>INDEX(RatingLookup!$B$2:$B$11,MATCH(A1616,RatingLookup!$A$2:$A$11,0))</f>
        <v>5</v>
      </c>
      <c r="AJ1616" s="5" t="str">
        <f>INDEX(RatingLookup!$C$2:$C$11,MATCH(A1616,RatingLookup!$A$2:$A$11,0))</f>
        <v>Speculative Grade</v>
      </c>
    </row>
    <row r="1617" spans="1:36" x14ac:dyDescent="0.3">
      <c r="A1617" s="3" t="s">
        <v>92</v>
      </c>
      <c r="B1617" s="3" t="s">
        <v>1699</v>
      </c>
      <c r="C1617" s="3" t="s">
        <v>1700</v>
      </c>
      <c r="D1617" s="3" t="s">
        <v>47</v>
      </c>
      <c r="E1617" s="3" t="s">
        <v>1701</v>
      </c>
      <c r="F1617" s="3" t="s">
        <v>41</v>
      </c>
      <c r="G1617" s="3">
        <v>1.0880022730000001</v>
      </c>
      <c r="H1617" s="3">
        <v>1.893325E-3</v>
      </c>
      <c r="I1617" s="3">
        <v>1.893325E-3</v>
      </c>
      <c r="J1617" s="3">
        <v>0</v>
      </c>
      <c r="K1617" s="3">
        <v>8.9680300000000001E-3</v>
      </c>
      <c r="L1617" s="3">
        <v>1.5082241E-2</v>
      </c>
      <c r="M1617" s="3">
        <v>0.14698338</v>
      </c>
      <c r="N1617" s="3">
        <v>2.257754E-2</v>
      </c>
      <c r="O1617" s="3">
        <v>2.4228458000000001E-2</v>
      </c>
      <c r="P1617" s="3">
        <v>8.8092926000000002E-2</v>
      </c>
      <c r="Q1617" s="3">
        <v>0.118388638</v>
      </c>
      <c r="R1617" s="3">
        <v>2.7016478589999999</v>
      </c>
      <c r="S1617" s="3">
        <v>10.851592399999999</v>
      </c>
      <c r="T1617" s="3">
        <v>4.8863463039999999</v>
      </c>
      <c r="U1617" s="3">
        <v>1</v>
      </c>
      <c r="V1617" s="3">
        <v>-0.39312877200000002</v>
      </c>
      <c r="W1617" s="3">
        <v>-1.4931142159999999</v>
      </c>
      <c r="X1617" s="3">
        <v>-2055.0614989999999</v>
      </c>
      <c r="Y1617" s="3">
        <v>71.797817350000003</v>
      </c>
      <c r="Z1617" s="3">
        <v>4.8863463039999999</v>
      </c>
      <c r="AA1617" s="3">
        <v>1.5082241E-2</v>
      </c>
      <c r="AB1617" s="3">
        <v>3.2302956859999998</v>
      </c>
      <c r="AC1617" s="3">
        <v>1376.359207</v>
      </c>
      <c r="AD1617" s="3">
        <v>7.2203700000000003E-3</v>
      </c>
      <c r="AE1617" s="3">
        <v>-62.571926159999997</v>
      </c>
      <c r="AF1617" s="4">
        <v>42545</v>
      </c>
      <c r="AG1617" s="5">
        <f>YEAR(AF1617)</f>
        <v>2016</v>
      </c>
      <c r="AH1617" s="5" t="str">
        <f>"Q"&amp;ROUNDUP(MONTH(AF1617)/3,0)</f>
        <v>Q2</v>
      </c>
      <c r="AI1617" s="5">
        <f>INDEX(RatingLookup!$B$2:$B$11,MATCH(A1617,RatingLookup!$A$2:$A$11,0))</f>
        <v>6</v>
      </c>
      <c r="AJ1617" s="5" t="str">
        <f>INDEX(RatingLookup!$C$2:$C$11,MATCH(A1617,RatingLookup!$A$2:$A$11,0))</f>
        <v>Speculative Grade</v>
      </c>
    </row>
    <row r="1618" spans="1:36" x14ac:dyDescent="0.3">
      <c r="A1618" s="3" t="s">
        <v>92</v>
      </c>
      <c r="B1618" s="3" t="s">
        <v>1699</v>
      </c>
      <c r="C1618" s="3" t="s">
        <v>1700</v>
      </c>
      <c r="D1618" s="3" t="s">
        <v>47</v>
      </c>
      <c r="E1618" s="3" t="s">
        <v>335</v>
      </c>
      <c r="F1618" s="3" t="s">
        <v>41</v>
      </c>
      <c r="G1618" s="3">
        <v>1.0570007640000001</v>
      </c>
      <c r="H1618" s="3">
        <v>2.2117170000000002E-3</v>
      </c>
      <c r="I1618" s="3">
        <v>2.2117170000000002E-3</v>
      </c>
      <c r="J1618" s="3">
        <v>0</v>
      </c>
      <c r="K1618" s="3">
        <v>1.0651048E-2</v>
      </c>
      <c r="L1618" s="3">
        <v>1.6882857000000001E-2</v>
      </c>
      <c r="M1618" s="3">
        <v>0.147649002</v>
      </c>
      <c r="N1618" s="3">
        <v>2.8737424000000001E-2</v>
      </c>
      <c r="O1618" s="3">
        <v>3.2088555999999997E-2</v>
      </c>
      <c r="P1618" s="3">
        <v>0.11275484700000001</v>
      </c>
      <c r="Q1618" s="3">
        <v>0.16921820500000001</v>
      </c>
      <c r="R1618" s="3">
        <v>3.0127135520000001</v>
      </c>
      <c r="S1618" s="3">
        <v>14.05668062</v>
      </c>
      <c r="T1618" s="3">
        <v>5.2734752020000002</v>
      </c>
      <c r="U1618" s="3">
        <v>1</v>
      </c>
      <c r="V1618" s="3">
        <v>-0.35382665499999999</v>
      </c>
      <c r="W1618" s="3">
        <v>2.4155362280000001</v>
      </c>
      <c r="X1618" s="3">
        <v>-3039.290383</v>
      </c>
      <c r="Y1618" s="3">
        <v>62.950513540000003</v>
      </c>
      <c r="Z1618" s="3">
        <v>5.2734752020000002</v>
      </c>
      <c r="AA1618" s="3">
        <v>1.6882857000000001E-2</v>
      </c>
      <c r="AB1618" s="3">
        <v>2.345920241</v>
      </c>
      <c r="AC1618" s="3">
        <v>-1258.2259570000001</v>
      </c>
      <c r="AD1618" s="3">
        <v>-8.0543009999999998E-3</v>
      </c>
      <c r="AE1618" s="3">
        <v>-58.937477790000003</v>
      </c>
      <c r="AF1618" s="4">
        <v>41400</v>
      </c>
      <c r="AG1618" s="5">
        <f>YEAR(AF1618)</f>
        <v>2013</v>
      </c>
      <c r="AH1618" s="5" t="str">
        <f>"Q"&amp;ROUNDUP(MONTH(AF1618)/3,0)</f>
        <v>Q2</v>
      </c>
      <c r="AI1618" s="5">
        <f>INDEX(RatingLookup!$B$2:$B$11,MATCH(A1618,RatingLookup!$A$2:$A$11,0))</f>
        <v>6</v>
      </c>
      <c r="AJ1618" s="5" t="str">
        <f>INDEX(RatingLookup!$C$2:$C$11,MATCH(A1618,RatingLookup!$A$2:$A$11,0))</f>
        <v>Speculative Grade</v>
      </c>
    </row>
    <row r="1619" spans="1:36" x14ac:dyDescent="0.3">
      <c r="A1619" s="3" t="s">
        <v>109</v>
      </c>
      <c r="B1619" s="3" t="s">
        <v>1699</v>
      </c>
      <c r="C1619" s="3" t="s">
        <v>1700</v>
      </c>
      <c r="D1619" s="3" t="s">
        <v>47</v>
      </c>
      <c r="E1619" s="3" t="s">
        <v>1702</v>
      </c>
      <c r="F1619" s="3" t="s">
        <v>41</v>
      </c>
      <c r="G1619" s="3">
        <v>1.0207958159999999</v>
      </c>
      <c r="H1619" s="3">
        <v>1.653879E-3</v>
      </c>
      <c r="I1619" s="3">
        <v>1.653879E-3</v>
      </c>
      <c r="J1619" s="3">
        <v>0</v>
      </c>
      <c r="K1619" s="3">
        <v>9.6876310000000004E-3</v>
      </c>
      <c r="L1619" s="3">
        <v>1.6011258E-2</v>
      </c>
      <c r="M1619" s="3">
        <v>0.15361160099999999</v>
      </c>
      <c r="N1619" s="3">
        <v>2.7295199999999999E-2</v>
      </c>
      <c r="O1619" s="3">
        <v>3.2592347000000001E-2</v>
      </c>
      <c r="P1619" s="3">
        <v>0.106537532</v>
      </c>
      <c r="Q1619" s="3">
        <v>0.145873108</v>
      </c>
      <c r="R1619" s="3">
        <v>3.3643257110000002</v>
      </c>
      <c r="S1619" s="3">
        <v>14.25859861</v>
      </c>
      <c r="T1619" s="3">
        <v>4.4756859020000004</v>
      </c>
      <c r="U1619" s="3">
        <v>1</v>
      </c>
      <c r="V1619" s="3">
        <v>-0.38389577000000003</v>
      </c>
      <c r="W1619" s="3">
        <v>-3.3105513000000003E-2</v>
      </c>
      <c r="X1619" s="3">
        <v>-9.7035143000000004E-2</v>
      </c>
      <c r="Y1619" s="3">
        <v>3.6497882000000002E-2</v>
      </c>
      <c r="Z1619" s="3">
        <v>4.4756859020000004</v>
      </c>
      <c r="AA1619" s="3">
        <v>1.6011258E-2</v>
      </c>
      <c r="AB1619" s="3">
        <v>5.1486541270000004</v>
      </c>
      <c r="AC1619" s="3">
        <v>2.9310871139999999</v>
      </c>
      <c r="AD1619" s="3">
        <v>1.9517805999999999E-2</v>
      </c>
      <c r="AE1619" s="3">
        <v>-76.662850109999994</v>
      </c>
      <c r="AF1619" s="4">
        <v>41085</v>
      </c>
      <c r="AG1619" s="5">
        <f>YEAR(AF1619)</f>
        <v>2012</v>
      </c>
      <c r="AH1619" s="5" t="str">
        <f>"Q"&amp;ROUNDUP(MONTH(AF1619)/3,0)</f>
        <v>Q2</v>
      </c>
      <c r="AI1619" s="5">
        <f>INDEX(RatingLookup!$B$2:$B$11,MATCH(A1619,RatingLookup!$A$2:$A$11,0))</f>
        <v>5</v>
      </c>
      <c r="AJ1619" s="5" t="str">
        <f>INDEX(RatingLookup!$C$2:$C$11,MATCH(A1619,RatingLookup!$A$2:$A$11,0))</f>
        <v>Speculative Grade</v>
      </c>
    </row>
    <row r="1620" spans="1:36" x14ac:dyDescent="0.3">
      <c r="A1620" s="3" t="s">
        <v>92</v>
      </c>
      <c r="B1620" s="3" t="s">
        <v>1703</v>
      </c>
      <c r="C1620" s="3" t="s">
        <v>1704</v>
      </c>
      <c r="D1620" s="3" t="s">
        <v>47</v>
      </c>
      <c r="E1620" s="3" t="s">
        <v>1705</v>
      </c>
      <c r="F1620" s="3" t="s">
        <v>79</v>
      </c>
      <c r="G1620" s="3">
        <v>0.48192771099999998</v>
      </c>
      <c r="H1620" s="3">
        <v>0.48192771099999998</v>
      </c>
      <c r="I1620" s="3">
        <v>0.209638554</v>
      </c>
      <c r="J1620" s="3">
        <v>70.17506143</v>
      </c>
      <c r="K1620" s="3">
        <v>2.027027E-2</v>
      </c>
      <c r="L1620" s="3">
        <v>-1.6584767E-2</v>
      </c>
      <c r="M1620" s="3">
        <v>0.66093366099999995</v>
      </c>
      <c r="N1620" s="3">
        <v>0.253071253</v>
      </c>
      <c r="O1620" s="3">
        <v>1.6917E-3</v>
      </c>
      <c r="P1620" s="3">
        <v>2.2012923E-2</v>
      </c>
      <c r="Q1620" s="3">
        <v>3.765834E-3</v>
      </c>
      <c r="R1620" s="3">
        <v>8.3457219999999999E-2</v>
      </c>
      <c r="S1620" s="3">
        <v>8.8680683999999996E-2</v>
      </c>
      <c r="T1620" s="3">
        <v>1.2260641329999999</v>
      </c>
      <c r="U1620" s="3">
        <v>0.55077664400000004</v>
      </c>
      <c r="V1620" s="3">
        <v>2.2222222220000001</v>
      </c>
      <c r="W1620" s="3">
        <v>0.75850340100000002</v>
      </c>
      <c r="X1620" s="3">
        <v>3.11111738</v>
      </c>
      <c r="Y1620" s="3">
        <v>2.0019970580000002</v>
      </c>
      <c r="Z1620" s="3">
        <v>2.2260641329999999</v>
      </c>
      <c r="AA1620" s="3">
        <v>0.246928747</v>
      </c>
      <c r="AB1620" s="3">
        <v>10.727635210000001</v>
      </c>
      <c r="AC1620" s="3">
        <v>4.1016525100000001</v>
      </c>
      <c r="AD1620" s="3">
        <v>0.36117936099999998</v>
      </c>
      <c r="AE1620" s="3">
        <v>1.5862068970000001</v>
      </c>
      <c r="AF1620" s="4">
        <v>42509</v>
      </c>
      <c r="AG1620" s="5">
        <f>YEAR(AF1620)</f>
        <v>2016</v>
      </c>
      <c r="AH1620" s="5" t="str">
        <f>"Q"&amp;ROUNDUP(MONTH(AF1620)/3,0)</f>
        <v>Q2</v>
      </c>
      <c r="AI1620" s="5">
        <f>INDEX(RatingLookup!$B$2:$B$11,MATCH(A1620,RatingLookup!$A$2:$A$11,0))</f>
        <v>6</v>
      </c>
      <c r="AJ1620" s="5" t="str">
        <f>INDEX(RatingLookup!$C$2:$C$11,MATCH(A1620,RatingLookup!$A$2:$A$11,0))</f>
        <v>Speculative Grade</v>
      </c>
    </row>
    <row r="1621" spans="1:36" x14ac:dyDescent="0.3">
      <c r="A1621" s="3" t="s">
        <v>92</v>
      </c>
      <c r="B1621" s="3" t="s">
        <v>1703</v>
      </c>
      <c r="C1621" s="3" t="s">
        <v>1704</v>
      </c>
      <c r="D1621" s="3" t="s">
        <v>47</v>
      </c>
      <c r="E1621" s="3" t="s">
        <v>1401</v>
      </c>
      <c r="F1621" s="3" t="s">
        <v>79</v>
      </c>
      <c r="G1621" s="3">
        <v>0.52336987899999998</v>
      </c>
      <c r="H1621" s="3">
        <v>0.52336987899999998</v>
      </c>
      <c r="I1621" s="3">
        <v>0.198499711</v>
      </c>
      <c r="J1621" s="3">
        <v>75.619902120000006</v>
      </c>
      <c r="K1621" s="3">
        <v>1.631321E-3</v>
      </c>
      <c r="L1621" s="3">
        <v>-1.9983687E-2</v>
      </c>
      <c r="M1621" s="3">
        <v>0.57667210400000002</v>
      </c>
      <c r="N1621" s="3">
        <v>0.23287112600000001</v>
      </c>
      <c r="O1621" s="3">
        <v>1.4421200000000001E-4</v>
      </c>
      <c r="P1621" s="3">
        <v>2.1419781999999998E-2</v>
      </c>
      <c r="Q1621" s="3">
        <v>3.15657E-4</v>
      </c>
      <c r="R1621" s="3">
        <v>8.8401774000000002E-2</v>
      </c>
      <c r="S1621" s="3">
        <v>9.7081997000000003E-2</v>
      </c>
      <c r="T1621" s="3">
        <v>1.1888415400000001</v>
      </c>
      <c r="U1621" s="3">
        <v>0.54313732599999998</v>
      </c>
      <c r="V1621" s="3">
        <v>1.081632653</v>
      </c>
      <c r="W1621" s="3">
        <v>0.41613924099999999</v>
      </c>
      <c r="X1621" s="3">
        <v>1.8345826700000001</v>
      </c>
      <c r="Y1621" s="3">
        <v>2.7832642029999999</v>
      </c>
      <c r="Z1621" s="3">
        <v>2.1888415399999999</v>
      </c>
      <c r="AA1621" s="3">
        <v>0.22716150099999999</v>
      </c>
      <c r="AB1621" s="3">
        <v>10.66137687</v>
      </c>
      <c r="AC1621" s="3">
        <v>4.4085788880000001</v>
      </c>
      <c r="AD1621" s="3">
        <v>0.25774877699999998</v>
      </c>
      <c r="AE1621" s="3">
        <v>1.9116022100000001</v>
      </c>
      <c r="AF1621" s="4">
        <v>42635</v>
      </c>
      <c r="AG1621" s="5">
        <f>YEAR(AF1621)</f>
        <v>2016</v>
      </c>
      <c r="AH1621" s="5" t="str">
        <f>"Q"&amp;ROUNDUP(MONTH(AF1621)/3,0)</f>
        <v>Q3</v>
      </c>
      <c r="AI1621" s="5">
        <f>INDEX(RatingLookup!$B$2:$B$11,MATCH(A1621,RatingLookup!$A$2:$A$11,0))</f>
        <v>6</v>
      </c>
      <c r="AJ1621" s="5" t="str">
        <f>INDEX(RatingLookup!$C$2:$C$11,MATCH(A1621,RatingLookup!$A$2:$A$11,0))</f>
        <v>Speculative Grade</v>
      </c>
    </row>
    <row r="1622" spans="1:36" x14ac:dyDescent="0.3">
      <c r="A1622" s="3" t="s">
        <v>109</v>
      </c>
      <c r="B1622" s="3" t="s">
        <v>1706</v>
      </c>
      <c r="C1622" s="3" t="s">
        <v>1707</v>
      </c>
      <c r="D1622" s="3" t="s">
        <v>47</v>
      </c>
      <c r="E1622" s="3" t="s">
        <v>206</v>
      </c>
      <c r="F1622" s="3" t="s">
        <v>79</v>
      </c>
      <c r="G1622" s="3">
        <v>0.66142945200000003</v>
      </c>
      <c r="H1622" s="3">
        <v>0.56808379499999995</v>
      </c>
      <c r="I1622" s="3">
        <v>3.6968579999999999E-3</v>
      </c>
      <c r="J1622" s="3">
        <v>47.606436000000002</v>
      </c>
      <c r="K1622" s="3">
        <v>-2.1643171999999999E-2</v>
      </c>
      <c r="L1622" s="3">
        <v>-3.9940195999999997E-2</v>
      </c>
      <c r="M1622" s="3">
        <v>0.383810337</v>
      </c>
      <c r="N1622" s="3">
        <v>9.3905738000000002E-2</v>
      </c>
      <c r="O1622" s="3">
        <v>-9.0210389999999998E-3</v>
      </c>
      <c r="P1622" s="3">
        <v>-1.842183E-2</v>
      </c>
      <c r="Q1622" s="3">
        <v>-3.6648582999999998E-2</v>
      </c>
      <c r="R1622" s="3">
        <v>0.41680761999999999</v>
      </c>
      <c r="S1622" s="3">
        <v>0.85992408499999995</v>
      </c>
      <c r="T1622" s="3">
        <v>3.0625678120000002</v>
      </c>
      <c r="U1622" s="3">
        <v>0.75385026300000002</v>
      </c>
      <c r="V1622" s="3">
        <v>0.45811051699999999</v>
      </c>
      <c r="W1622" s="3">
        <v>0.278481013</v>
      </c>
      <c r="X1622" s="3">
        <v>0.95014888399999997</v>
      </c>
      <c r="Y1622" s="3">
        <v>1.7275433999999999E-2</v>
      </c>
      <c r="Z1622" s="3">
        <v>4.0625678120000002</v>
      </c>
      <c r="AA1622" s="3">
        <v>-3.9940195999999997E-2</v>
      </c>
      <c r="AB1622" s="3">
        <v>8.6944717639999993</v>
      </c>
      <c r="AC1622" s="3">
        <v>3.411898265</v>
      </c>
      <c r="AD1622" s="3">
        <v>0.16873131099999999</v>
      </c>
      <c r="AE1622" s="3">
        <v>10.00578035</v>
      </c>
      <c r="AF1622" s="4">
        <v>42663</v>
      </c>
      <c r="AG1622" s="5">
        <f>YEAR(AF1622)</f>
        <v>2016</v>
      </c>
      <c r="AH1622" s="5" t="str">
        <f>"Q"&amp;ROUNDUP(MONTH(AF1622)/3,0)</f>
        <v>Q4</v>
      </c>
      <c r="AI1622" s="5">
        <f>INDEX(RatingLookup!$B$2:$B$11,MATCH(A1622,RatingLookup!$A$2:$A$11,0))</f>
        <v>5</v>
      </c>
      <c r="AJ1622" s="5" t="str">
        <f>INDEX(RatingLookup!$C$2:$C$11,MATCH(A1622,RatingLookup!$A$2:$A$11,0))</f>
        <v>Speculative Grade</v>
      </c>
    </row>
    <row r="1623" spans="1:36" x14ac:dyDescent="0.3">
      <c r="A1623" s="3" t="s">
        <v>42</v>
      </c>
      <c r="B1623" s="3" t="s">
        <v>1708</v>
      </c>
      <c r="C1623" s="3" t="s">
        <v>1709</v>
      </c>
      <c r="D1623" s="3" t="s">
        <v>47</v>
      </c>
      <c r="E1623" s="3" t="s">
        <v>1195</v>
      </c>
      <c r="F1623" s="3" t="s">
        <v>113</v>
      </c>
      <c r="G1623" s="3">
        <v>3.1906077349999999</v>
      </c>
      <c r="H1623" s="3">
        <v>1.814917127</v>
      </c>
      <c r="I1623" s="3">
        <v>0.81215469600000001</v>
      </c>
      <c r="J1623" s="3">
        <v>74.754440959999997</v>
      </c>
      <c r="K1623" s="3">
        <v>0.12183908</v>
      </c>
      <c r="L1623" s="3">
        <v>0.17136886100000001</v>
      </c>
      <c r="M1623" s="3">
        <v>0.64117032399999996</v>
      </c>
      <c r="N1623" s="3">
        <v>0.17136886100000001</v>
      </c>
      <c r="O1623" s="3">
        <v>8.8239745999999994E-2</v>
      </c>
      <c r="P1623" s="3">
        <v>0.148523818</v>
      </c>
      <c r="Q1623" s="3">
        <v>0.44469870299999997</v>
      </c>
      <c r="R1623" s="3">
        <v>0.72423187499999997</v>
      </c>
      <c r="S1623" s="3">
        <v>3.6305007589999998</v>
      </c>
      <c r="T1623" s="3">
        <v>4.0396643780000003</v>
      </c>
      <c r="U1623" s="3">
        <v>0.80157408799999996</v>
      </c>
      <c r="V1623" s="3">
        <v>0.28414634100000002</v>
      </c>
      <c r="W1623" s="3">
        <v>0.71246006399999995</v>
      </c>
      <c r="X1623" s="3">
        <v>0.89012184299999997</v>
      </c>
      <c r="Y1623" s="3">
        <v>1.977826785</v>
      </c>
      <c r="Z1623" s="3">
        <v>5.0396643780000003</v>
      </c>
      <c r="AA1623" s="3">
        <v>0.17136886100000001</v>
      </c>
      <c r="AB1623" s="3">
        <v>23.6114064</v>
      </c>
      <c r="AC1623" s="3">
        <v>1.2493638419999999</v>
      </c>
      <c r="AD1623" s="3">
        <v>0.13082549600000001</v>
      </c>
      <c r="AE1623" s="3">
        <v>5.9206896550000003</v>
      </c>
      <c r="AF1623" s="4">
        <v>42034</v>
      </c>
      <c r="AG1623" s="5">
        <f>YEAR(AF1623)</f>
        <v>2015</v>
      </c>
      <c r="AH1623" s="5" t="str">
        <f>"Q"&amp;ROUNDUP(MONTH(AF1623)/3,0)</f>
        <v>Q1</v>
      </c>
      <c r="AI1623" s="5">
        <f>INDEX(RatingLookup!$B$2:$B$11,MATCH(A1623,RatingLookup!$A$2:$A$11,0))</f>
        <v>7</v>
      </c>
      <c r="AJ1623" s="5" t="str">
        <f>INDEX(RatingLookup!$C$2:$C$11,MATCH(A1623,RatingLookup!$A$2:$A$11,0))</f>
        <v>Investment Grade</v>
      </c>
    </row>
    <row r="1624" spans="1:36" x14ac:dyDescent="0.3">
      <c r="A1624" s="3" t="s">
        <v>42</v>
      </c>
      <c r="B1624" s="3" t="s">
        <v>1708</v>
      </c>
      <c r="C1624" s="3" t="s">
        <v>1709</v>
      </c>
      <c r="D1624" s="3" t="s">
        <v>47</v>
      </c>
      <c r="E1624" s="3" t="s">
        <v>1710</v>
      </c>
      <c r="F1624" s="3" t="s">
        <v>113</v>
      </c>
      <c r="G1624" s="3">
        <v>3.0349149510000002</v>
      </c>
      <c r="H1624" s="3">
        <v>1.468218442</v>
      </c>
      <c r="I1624" s="3">
        <v>0.650850492</v>
      </c>
      <c r="J1624" s="3">
        <v>68.176145660000003</v>
      </c>
      <c r="K1624" s="3">
        <v>0.16796235700000001</v>
      </c>
      <c r="L1624" s="3">
        <v>0.25122749599999999</v>
      </c>
      <c r="M1624" s="3">
        <v>0.387888707</v>
      </c>
      <c r="N1624" s="3">
        <v>0.25122749599999999</v>
      </c>
      <c r="O1624" s="3">
        <v>0.107334292</v>
      </c>
      <c r="P1624" s="3">
        <v>0.18799755100000001</v>
      </c>
      <c r="Q1624" s="3">
        <v>0.55211835899999995</v>
      </c>
      <c r="R1624" s="3">
        <v>0.63903778300000003</v>
      </c>
      <c r="S1624" s="3">
        <v>3.5394641560000002</v>
      </c>
      <c r="T1624" s="3">
        <v>4.1439139210000002</v>
      </c>
      <c r="U1624" s="3">
        <v>0.80559550300000005</v>
      </c>
      <c r="V1624" s="3">
        <v>0.333061889</v>
      </c>
      <c r="W1624" s="3">
        <v>0.69705469799999997</v>
      </c>
      <c r="X1624" s="3">
        <v>1.002592215</v>
      </c>
      <c r="Y1624" s="3">
        <v>1.4665684919999999</v>
      </c>
      <c r="Z1624" s="3">
        <v>5.1439139210000002</v>
      </c>
      <c r="AA1624" s="3">
        <v>0.25122749599999999</v>
      </c>
      <c r="AB1624" s="3">
        <v>20.874286819999998</v>
      </c>
      <c r="AC1624" s="3">
        <v>1.4383264579999999</v>
      </c>
      <c r="AD1624" s="3">
        <v>0.14586742999999999</v>
      </c>
      <c r="AE1624" s="3">
        <v>6.2867924530000003</v>
      </c>
      <c r="AF1624" s="4">
        <v>42727</v>
      </c>
      <c r="AG1624" s="5">
        <f>YEAR(AF1624)</f>
        <v>2016</v>
      </c>
      <c r="AH1624" s="5" t="str">
        <f>"Q"&amp;ROUNDUP(MONTH(AF1624)/3,0)</f>
        <v>Q4</v>
      </c>
      <c r="AI1624" s="5">
        <f>INDEX(RatingLookup!$B$2:$B$11,MATCH(A1624,RatingLookup!$A$2:$A$11,0))</f>
        <v>7</v>
      </c>
      <c r="AJ1624" s="5" t="str">
        <f>INDEX(RatingLookup!$C$2:$C$11,MATCH(A1624,RatingLookup!$A$2:$A$11,0))</f>
        <v>Investment Grade</v>
      </c>
    </row>
    <row r="1625" spans="1:36" x14ac:dyDescent="0.3">
      <c r="A1625" s="3" t="s">
        <v>42</v>
      </c>
      <c r="B1625" s="3" t="s">
        <v>1708</v>
      </c>
      <c r="C1625" s="3" t="s">
        <v>1709</v>
      </c>
      <c r="D1625" s="3" t="s">
        <v>47</v>
      </c>
      <c r="E1625" s="3" t="s">
        <v>1711</v>
      </c>
      <c r="F1625" s="3" t="s">
        <v>113</v>
      </c>
      <c r="G1625" s="3">
        <v>2.1504772600000002</v>
      </c>
      <c r="H1625" s="3">
        <v>1.2139247609999999</v>
      </c>
      <c r="I1625" s="3">
        <v>0.64795058999999999</v>
      </c>
      <c r="J1625" s="3">
        <v>71.774396640000006</v>
      </c>
      <c r="K1625" s="3">
        <v>7.1143757000000002E-2</v>
      </c>
      <c r="L1625" s="3">
        <v>0.11437565600000001</v>
      </c>
      <c r="M1625" s="3">
        <v>0.372927597</v>
      </c>
      <c r="N1625" s="3">
        <v>0.11437565600000001</v>
      </c>
      <c r="O1625" s="3">
        <v>4.2840894999999997E-2</v>
      </c>
      <c r="P1625" s="3">
        <v>8.8878017000000004E-2</v>
      </c>
      <c r="Q1625" s="3">
        <v>0.31741573000000001</v>
      </c>
      <c r="R1625" s="3">
        <v>0.60217363800000001</v>
      </c>
      <c r="S1625" s="3">
        <v>3.6457536340000001</v>
      </c>
      <c r="T1625" s="3">
        <v>6.4091760300000002</v>
      </c>
      <c r="U1625" s="3">
        <v>0.86503222499999999</v>
      </c>
      <c r="V1625" s="3">
        <v>0.37798165099999997</v>
      </c>
      <c r="W1625" s="3">
        <v>0.66265060200000003</v>
      </c>
      <c r="X1625" s="3">
        <v>0.88051598200000003</v>
      </c>
      <c r="Y1625" s="3">
        <v>2.4514365420000002</v>
      </c>
      <c r="Z1625" s="3">
        <v>7.4091760300000002</v>
      </c>
      <c r="AA1625" s="3">
        <v>0.11437565600000001</v>
      </c>
      <c r="AB1625" s="3">
        <v>33.368798859999998</v>
      </c>
      <c r="AC1625" s="3">
        <v>1.3287786640000001</v>
      </c>
      <c r="AD1625" s="3">
        <v>0.139349423</v>
      </c>
      <c r="AE1625" s="3">
        <v>5.9317406139999997</v>
      </c>
      <c r="AF1625" s="4">
        <v>42391</v>
      </c>
      <c r="AG1625" s="5">
        <f>YEAR(AF1625)</f>
        <v>2016</v>
      </c>
      <c r="AH1625" s="5" t="str">
        <f>"Q"&amp;ROUNDUP(MONTH(AF1625)/3,0)</f>
        <v>Q1</v>
      </c>
      <c r="AI1625" s="5">
        <f>INDEX(RatingLookup!$B$2:$B$11,MATCH(A1625,RatingLookup!$A$2:$A$11,0))</f>
        <v>7</v>
      </c>
      <c r="AJ1625" s="5" t="str">
        <f>INDEX(RatingLookup!$C$2:$C$11,MATCH(A1625,RatingLookup!$A$2:$A$11,0))</f>
        <v>Investment Grade</v>
      </c>
    </row>
    <row r="1626" spans="1:36" x14ac:dyDescent="0.3">
      <c r="A1626" s="3" t="s">
        <v>42</v>
      </c>
      <c r="B1626" s="3" t="s">
        <v>1708</v>
      </c>
      <c r="C1626" s="3" t="s">
        <v>1709</v>
      </c>
      <c r="D1626" s="3" t="s">
        <v>47</v>
      </c>
      <c r="E1626" s="3" t="s">
        <v>476</v>
      </c>
      <c r="F1626" s="3" t="s">
        <v>113</v>
      </c>
      <c r="G1626" s="3">
        <v>2.372438163</v>
      </c>
      <c r="H1626" s="3">
        <v>1.3038869259999999</v>
      </c>
      <c r="I1626" s="3">
        <v>0.43109540600000001</v>
      </c>
      <c r="J1626" s="3">
        <v>91.069940799999998</v>
      </c>
      <c r="K1626" s="3">
        <v>0.110502083</v>
      </c>
      <c r="L1626" s="3">
        <v>0.15128261300000001</v>
      </c>
      <c r="M1626" s="3">
        <v>0.63407147600000002</v>
      </c>
      <c r="N1626" s="3">
        <v>0.15128261300000001</v>
      </c>
      <c r="O1626" s="3">
        <v>7.6852698999999997E-2</v>
      </c>
      <c r="P1626" s="3">
        <v>0.13416294000000001</v>
      </c>
      <c r="Q1626" s="3">
        <v>0.53617021300000001</v>
      </c>
      <c r="R1626" s="3">
        <v>0.69548642900000002</v>
      </c>
      <c r="S1626" s="3">
        <v>3.5220077220000001</v>
      </c>
      <c r="T1626" s="3">
        <v>5.976595745</v>
      </c>
      <c r="U1626" s="3">
        <v>0.85666361700000004</v>
      </c>
      <c r="V1626" s="3">
        <v>0.27101449300000002</v>
      </c>
      <c r="W1626" s="3">
        <v>0.72980910399999999</v>
      </c>
      <c r="X1626" s="3">
        <v>0.99399602399999998</v>
      </c>
      <c r="Y1626" s="3">
        <v>1.413994344</v>
      </c>
      <c r="Z1626" s="3">
        <v>6.976595745</v>
      </c>
      <c r="AA1626" s="3">
        <v>0.15128261300000001</v>
      </c>
      <c r="AB1626" s="3">
        <v>20.44723175</v>
      </c>
      <c r="AC1626" s="3">
        <v>1.3619945520000001</v>
      </c>
      <c r="AD1626" s="3">
        <v>0.149309362</v>
      </c>
      <c r="AE1626" s="3">
        <v>3.2984189719999999</v>
      </c>
      <c r="AF1626" s="4">
        <v>41670</v>
      </c>
      <c r="AG1626" s="5">
        <f>YEAR(AF1626)</f>
        <v>2014</v>
      </c>
      <c r="AH1626" s="5" t="str">
        <f>"Q"&amp;ROUNDUP(MONTH(AF1626)/3,0)</f>
        <v>Q1</v>
      </c>
      <c r="AI1626" s="5">
        <f>INDEX(RatingLookup!$B$2:$B$11,MATCH(A1626,RatingLookup!$A$2:$A$11,0))</f>
        <v>7</v>
      </c>
      <c r="AJ1626" s="5" t="str">
        <f>INDEX(RatingLookup!$C$2:$C$11,MATCH(A1626,RatingLookup!$A$2:$A$11,0))</f>
        <v>Investment Grade</v>
      </c>
    </row>
    <row r="1627" spans="1:36" x14ac:dyDescent="0.3">
      <c r="A1627" s="3" t="s">
        <v>42</v>
      </c>
      <c r="B1627" s="3" t="s">
        <v>1712</v>
      </c>
      <c r="C1627" s="3" t="s">
        <v>1713</v>
      </c>
      <c r="D1627" s="3" t="s">
        <v>47</v>
      </c>
      <c r="E1627" s="3" t="s">
        <v>639</v>
      </c>
      <c r="F1627" s="3" t="s">
        <v>53</v>
      </c>
      <c r="G1627" s="3">
        <v>0.90090090099999998</v>
      </c>
      <c r="H1627" s="3">
        <v>10.99099099</v>
      </c>
      <c r="I1627" s="3">
        <v>1.8018018E-2</v>
      </c>
      <c r="J1627" s="3">
        <v>894.83870969999998</v>
      </c>
      <c r="K1627" s="3">
        <v>13.161290320000001</v>
      </c>
      <c r="L1627" s="3">
        <v>13.22580645</v>
      </c>
      <c r="M1627" s="3">
        <v>1</v>
      </c>
      <c r="N1627" s="3">
        <v>13.22580645</v>
      </c>
      <c r="O1627" s="3">
        <v>9.9294231999999996E-2</v>
      </c>
      <c r="P1627" s="3">
        <v>0.102551276</v>
      </c>
      <c r="Q1627" s="3">
        <v>0.260536398</v>
      </c>
      <c r="R1627" s="3">
        <v>7.5444149999999996E-3</v>
      </c>
      <c r="S1627" s="3">
        <v>1.1588785000000001E-2</v>
      </c>
      <c r="T1627" s="3">
        <v>1.6238825029999999</v>
      </c>
      <c r="U1627" s="3">
        <v>0.61888537399999999</v>
      </c>
      <c r="V1627" s="3">
        <v>4.8780489999999998E-3</v>
      </c>
      <c r="W1627" s="3">
        <v>1</v>
      </c>
      <c r="X1627" s="3">
        <v>5.1659020519999999</v>
      </c>
      <c r="Y1627" s="3">
        <v>12.01177225</v>
      </c>
      <c r="Z1627" s="3">
        <v>2.6238825029999999</v>
      </c>
      <c r="AA1627" s="3">
        <v>13.22580645</v>
      </c>
      <c r="AB1627" s="3">
        <v>15.280549540000001</v>
      </c>
      <c r="AC1627" s="3">
        <v>5.1659020519999999</v>
      </c>
      <c r="AD1627" s="3">
        <v>15.870967739999999</v>
      </c>
      <c r="AE1627" s="3">
        <v>0</v>
      </c>
      <c r="AF1627" s="4">
        <v>42654</v>
      </c>
      <c r="AG1627" s="5">
        <f>YEAR(AF1627)</f>
        <v>2016</v>
      </c>
      <c r="AH1627" s="5" t="str">
        <f>"Q"&amp;ROUNDUP(MONTH(AF1627)/3,0)</f>
        <v>Q4</v>
      </c>
      <c r="AI1627" s="5">
        <f>INDEX(RatingLookup!$B$2:$B$11,MATCH(A1627,RatingLookup!$A$2:$A$11,0))</f>
        <v>7</v>
      </c>
      <c r="AJ1627" s="5" t="str">
        <f>INDEX(RatingLookup!$C$2:$C$11,MATCH(A1627,RatingLookup!$A$2:$A$11,0))</f>
        <v>Investment Grade</v>
      </c>
    </row>
    <row r="1628" spans="1:36" x14ac:dyDescent="0.3">
      <c r="A1628" s="3" t="s">
        <v>42</v>
      </c>
      <c r="B1628" s="3" t="s">
        <v>1712</v>
      </c>
      <c r="C1628" s="3" t="s">
        <v>1713</v>
      </c>
      <c r="D1628" s="3" t="s">
        <v>47</v>
      </c>
      <c r="E1628" s="3" t="s">
        <v>488</v>
      </c>
      <c r="F1628" s="3" t="s">
        <v>53</v>
      </c>
      <c r="G1628" s="3">
        <v>1.074183976</v>
      </c>
      <c r="H1628" s="3">
        <v>0.92878338299999996</v>
      </c>
      <c r="I1628" s="3">
        <v>0.246290801</v>
      </c>
      <c r="J1628" s="3">
        <v>34.25360105</v>
      </c>
      <c r="K1628" s="3">
        <v>0.54299432599999997</v>
      </c>
      <c r="L1628" s="3">
        <v>0.54648625100000003</v>
      </c>
      <c r="M1628" s="3">
        <v>1</v>
      </c>
      <c r="N1628" s="3">
        <v>0.54648625100000003</v>
      </c>
      <c r="O1628" s="3">
        <v>0.23058387399999999</v>
      </c>
      <c r="P1628" s="3">
        <v>0.24752866700000001</v>
      </c>
      <c r="Q1628" s="3">
        <v>1.72299169</v>
      </c>
      <c r="R1628" s="3">
        <v>0.42465245600000001</v>
      </c>
      <c r="S1628" s="3">
        <v>0.47227375799999999</v>
      </c>
      <c r="T1628" s="3">
        <v>6.4722991690000002</v>
      </c>
      <c r="U1628" s="3">
        <v>0.86617238200000002</v>
      </c>
      <c r="V1628" s="3">
        <v>6.3897759999999998E-3</v>
      </c>
      <c r="W1628" s="3">
        <v>-0.101825843</v>
      </c>
      <c r="X1628" s="3">
        <v>-0.37890298500000003</v>
      </c>
      <c r="Y1628" s="3">
        <v>0.25608615499999998</v>
      </c>
      <c r="Z1628" s="3">
        <v>7.4722991690000002</v>
      </c>
      <c r="AA1628" s="3">
        <v>0.54648625100000003</v>
      </c>
      <c r="AB1628" s="3">
        <v>19.670406140000001</v>
      </c>
      <c r="AC1628" s="3">
        <v>3.7210886240000001</v>
      </c>
      <c r="AD1628" s="3">
        <v>0.62156263599999995</v>
      </c>
      <c r="AE1628" s="3">
        <v>0</v>
      </c>
      <c r="AF1628" s="4">
        <v>42053</v>
      </c>
      <c r="AG1628" s="5">
        <f>YEAR(AF1628)</f>
        <v>2015</v>
      </c>
      <c r="AH1628" s="5" t="str">
        <f>"Q"&amp;ROUNDUP(MONTH(AF1628)/3,0)</f>
        <v>Q1</v>
      </c>
      <c r="AI1628" s="5">
        <f>INDEX(RatingLookup!$B$2:$B$11,MATCH(A1628,RatingLookup!$A$2:$A$11,0))</f>
        <v>7</v>
      </c>
      <c r="AJ1628" s="5" t="str">
        <f>INDEX(RatingLookup!$C$2:$C$11,MATCH(A1628,RatingLookup!$A$2:$A$11,0))</f>
        <v>Investment Grade</v>
      </c>
    </row>
    <row r="1629" spans="1:36" x14ac:dyDescent="0.3">
      <c r="A1629" s="3" t="s">
        <v>42</v>
      </c>
      <c r="B1629" s="3" t="s">
        <v>1712</v>
      </c>
      <c r="C1629" s="3" t="s">
        <v>1713</v>
      </c>
      <c r="D1629" s="3" t="s">
        <v>47</v>
      </c>
      <c r="E1629" s="3" t="s">
        <v>436</v>
      </c>
      <c r="F1629" s="3" t="s">
        <v>53</v>
      </c>
      <c r="G1629" s="3">
        <v>2.0530503979999999</v>
      </c>
      <c r="H1629" s="3">
        <v>1.9283819630000001</v>
      </c>
      <c r="I1629" s="3">
        <v>1.2732095489999999</v>
      </c>
      <c r="J1629" s="3">
        <v>1562.2</v>
      </c>
      <c r="K1629" s="3">
        <v>38.840000000000003</v>
      </c>
      <c r="L1629" s="3">
        <v>38.9</v>
      </c>
      <c r="M1629" s="3">
        <v>1</v>
      </c>
      <c r="N1629" s="3">
        <v>38.9</v>
      </c>
      <c r="O1629" s="3">
        <v>0.12746964199999999</v>
      </c>
      <c r="P1629" s="3">
        <v>0.13090590899999999</v>
      </c>
      <c r="Q1629" s="3">
        <v>0.49782107199999998</v>
      </c>
      <c r="R1629" s="3">
        <v>3.2819170000000001E-3</v>
      </c>
      <c r="S1629" s="3">
        <v>1.0154346E-2</v>
      </c>
      <c r="T1629" s="3">
        <v>2.90540887</v>
      </c>
      <c r="U1629" s="3">
        <v>0.74394486400000004</v>
      </c>
      <c r="V1629" s="3">
        <v>1.542416E-3</v>
      </c>
      <c r="W1629" s="3">
        <v>1</v>
      </c>
      <c r="X1629" s="3">
        <v>3.370791906</v>
      </c>
      <c r="Y1629" s="3">
        <v>0.75248748799999998</v>
      </c>
      <c r="Z1629" s="3">
        <v>3.90540887</v>
      </c>
      <c r="AA1629" s="3">
        <v>38.9</v>
      </c>
      <c r="AB1629" s="3">
        <v>22.68560398</v>
      </c>
      <c r="AC1629" s="3">
        <v>3.370791906</v>
      </c>
      <c r="AD1629" s="3">
        <v>45.96</v>
      </c>
      <c r="AE1629" s="3">
        <v>0</v>
      </c>
      <c r="AF1629" s="4">
        <v>42296</v>
      </c>
      <c r="AG1629" s="5">
        <f>YEAR(AF1629)</f>
        <v>2015</v>
      </c>
      <c r="AH1629" s="5" t="str">
        <f>"Q"&amp;ROUNDUP(MONTH(AF1629)/3,0)</f>
        <v>Q4</v>
      </c>
      <c r="AI1629" s="5">
        <f>INDEX(RatingLookup!$B$2:$B$11,MATCH(A1629,RatingLookup!$A$2:$A$11,0))</f>
        <v>7</v>
      </c>
      <c r="AJ1629" s="5" t="str">
        <f>INDEX(RatingLookup!$C$2:$C$11,MATCH(A1629,RatingLookup!$A$2:$A$11,0))</f>
        <v>Investment Grade</v>
      </c>
    </row>
    <row r="1630" spans="1:36" x14ac:dyDescent="0.3">
      <c r="A1630" s="3" t="s">
        <v>42</v>
      </c>
      <c r="B1630" s="3" t="s">
        <v>1714</v>
      </c>
      <c r="C1630" s="3" t="s">
        <v>1715</v>
      </c>
      <c r="D1630" s="3" t="s">
        <v>60</v>
      </c>
      <c r="E1630" s="3" t="s">
        <v>809</v>
      </c>
      <c r="F1630" s="3" t="s">
        <v>96</v>
      </c>
      <c r="G1630" s="3">
        <v>3.0238046629999999</v>
      </c>
      <c r="H1630" s="3">
        <v>1.516930141</v>
      </c>
      <c r="I1630" s="3">
        <v>0.91825289600000004</v>
      </c>
      <c r="J1630" s="3">
        <v>63.426360160000002</v>
      </c>
      <c r="K1630" s="3">
        <v>0.13723607400000001</v>
      </c>
      <c r="L1630" s="3">
        <v>1.6946118E-2</v>
      </c>
      <c r="M1630" s="3">
        <v>0.43571659699999998</v>
      </c>
      <c r="N1630" s="3">
        <v>0.14708564199999999</v>
      </c>
      <c r="O1630" s="3">
        <v>7.9102314000000007E-2</v>
      </c>
      <c r="P1630" s="3">
        <v>1.2177864E-2</v>
      </c>
      <c r="Q1630" s="3">
        <v>0.12571020099999999</v>
      </c>
      <c r="R1630" s="3">
        <v>0.57639592399999995</v>
      </c>
      <c r="S1630" s="3">
        <v>8.4771718650000008</v>
      </c>
      <c r="T1630" s="3">
        <v>0.58921016699999995</v>
      </c>
      <c r="U1630" s="3">
        <v>0.37075660599999999</v>
      </c>
      <c r="V1630" s="3">
        <v>1.1664788159999999</v>
      </c>
      <c r="W1630" s="3">
        <v>0.797080813</v>
      </c>
      <c r="X1630" s="3">
        <v>3.4693609969999999</v>
      </c>
      <c r="Y1630" s="3">
        <v>9.7071706500000001</v>
      </c>
      <c r="Z1630" s="3">
        <v>1.5892101670000001</v>
      </c>
      <c r="AA1630" s="3">
        <v>1.6946118E-2</v>
      </c>
      <c r="AB1630" s="3">
        <v>11.18357863</v>
      </c>
      <c r="AC1630" s="3">
        <v>4.3525837530000002</v>
      </c>
      <c r="AD1630" s="3">
        <v>0.15563293</v>
      </c>
      <c r="AE1630" s="3">
        <v>11.6315594</v>
      </c>
      <c r="AF1630" s="4">
        <v>42068</v>
      </c>
      <c r="AG1630" s="5">
        <f>YEAR(AF1630)</f>
        <v>2015</v>
      </c>
      <c r="AH1630" s="5" t="str">
        <f>"Q"&amp;ROUNDUP(MONTH(AF1630)/3,0)</f>
        <v>Q1</v>
      </c>
      <c r="AI1630" s="5">
        <f>INDEX(RatingLookup!$B$2:$B$11,MATCH(A1630,RatingLookup!$A$2:$A$11,0))</f>
        <v>7</v>
      </c>
      <c r="AJ1630" s="5" t="str">
        <f>INDEX(RatingLookup!$C$2:$C$11,MATCH(A1630,RatingLookup!$A$2:$A$11,0))</f>
        <v>Investment Grade</v>
      </c>
    </row>
    <row r="1631" spans="1:36" x14ac:dyDescent="0.3">
      <c r="A1631" s="3" t="s">
        <v>42</v>
      </c>
      <c r="B1631" s="3" t="s">
        <v>1714</v>
      </c>
      <c r="C1631" s="3" t="s">
        <v>1715</v>
      </c>
      <c r="D1631" s="3" t="s">
        <v>60</v>
      </c>
      <c r="E1631" s="3" t="s">
        <v>1136</v>
      </c>
      <c r="F1631" s="3" t="s">
        <v>96</v>
      </c>
      <c r="G1631" s="3">
        <v>2.38311999</v>
      </c>
      <c r="H1631" s="3">
        <v>1.05120126</v>
      </c>
      <c r="I1631" s="3">
        <v>0.57063207999999999</v>
      </c>
      <c r="J1631" s="3">
        <v>75.895369959999996</v>
      </c>
      <c r="K1631" s="3">
        <v>0.124650715</v>
      </c>
      <c r="L1631" s="3">
        <v>1.3828425E-2</v>
      </c>
      <c r="M1631" s="3">
        <v>0.43434122200000003</v>
      </c>
      <c r="N1631" s="3">
        <v>0.149836899</v>
      </c>
      <c r="O1631" s="3">
        <v>7.0005514000000005E-2</v>
      </c>
      <c r="P1631" s="3">
        <v>1.0801262000000001E-2</v>
      </c>
      <c r="Q1631" s="3">
        <v>0.128465315</v>
      </c>
      <c r="R1631" s="3">
        <v>0.561613421</v>
      </c>
      <c r="S1631" s="3">
        <v>8.4634046650000005</v>
      </c>
      <c r="T1631" s="3">
        <v>0.83507422099999995</v>
      </c>
      <c r="U1631" s="3">
        <v>0.45506291300000001</v>
      </c>
      <c r="V1631" s="3">
        <v>1.1724920249999999</v>
      </c>
      <c r="W1631" s="3">
        <v>0.74759485299999995</v>
      </c>
      <c r="X1631" s="3">
        <v>3.6787676419999999</v>
      </c>
      <c r="Y1631" s="3">
        <v>10.47746963</v>
      </c>
      <c r="Z1631" s="3">
        <v>1.8350742209999999</v>
      </c>
      <c r="AA1631" s="3">
        <v>1.3828425E-2</v>
      </c>
      <c r="AB1631" s="3">
        <v>12.02586273</v>
      </c>
      <c r="AC1631" s="3">
        <v>4.9208038639999998</v>
      </c>
      <c r="AD1631" s="3">
        <v>0.149354706</v>
      </c>
      <c r="AE1631" s="3">
        <v>9.9098809810000006</v>
      </c>
      <c r="AF1631" s="4">
        <v>42513</v>
      </c>
      <c r="AG1631" s="5">
        <f>YEAR(AF1631)</f>
        <v>2016</v>
      </c>
      <c r="AH1631" s="5" t="str">
        <f>"Q"&amp;ROUNDUP(MONTH(AF1631)/3,0)</f>
        <v>Q2</v>
      </c>
      <c r="AI1631" s="5">
        <f>INDEX(RatingLookup!$B$2:$B$11,MATCH(A1631,RatingLookup!$A$2:$A$11,0))</f>
        <v>7</v>
      </c>
      <c r="AJ1631" s="5" t="str">
        <f>INDEX(RatingLookup!$C$2:$C$11,MATCH(A1631,RatingLookup!$A$2:$A$11,0))</f>
        <v>Investment Grade</v>
      </c>
    </row>
    <row r="1632" spans="1:36" x14ac:dyDescent="0.3">
      <c r="A1632" s="3" t="s">
        <v>92</v>
      </c>
      <c r="B1632" s="3" t="s">
        <v>1714</v>
      </c>
      <c r="C1632" s="3" t="s">
        <v>1715</v>
      </c>
      <c r="D1632" s="3" t="s">
        <v>47</v>
      </c>
      <c r="E1632" s="3" t="s">
        <v>1716</v>
      </c>
      <c r="F1632" s="3" t="s">
        <v>96</v>
      </c>
      <c r="G1632" s="3">
        <v>4.7886293159999997</v>
      </c>
      <c r="H1632" s="3">
        <v>3.9644461529999999</v>
      </c>
      <c r="I1632" s="3">
        <v>2.180567774</v>
      </c>
      <c r="J1632" s="3">
        <v>66.577442640000001</v>
      </c>
      <c r="K1632" s="3">
        <v>0.22353818</v>
      </c>
      <c r="L1632" s="3">
        <v>0.24736008000000001</v>
      </c>
      <c r="M1632" s="3">
        <v>0.46243791499999998</v>
      </c>
      <c r="N1632" s="3">
        <v>0.24841299</v>
      </c>
      <c r="O1632" s="3">
        <v>0.17837755</v>
      </c>
      <c r="P1632" s="3">
        <v>0.237429694</v>
      </c>
      <c r="Q1632" s="3">
        <v>0.293033773</v>
      </c>
      <c r="R1632" s="3">
        <v>0.79797352700000002</v>
      </c>
      <c r="S1632" s="3">
        <v>11.971148940000001</v>
      </c>
      <c r="T1632" s="3">
        <v>0.64277272500000004</v>
      </c>
      <c r="U1632" s="3">
        <v>0.391273068</v>
      </c>
      <c r="V1632" s="3">
        <v>9.6304547000000004E-2</v>
      </c>
      <c r="W1632" s="3">
        <v>0.85528836799999997</v>
      </c>
      <c r="X1632" s="3">
        <v>6.1000493809999998</v>
      </c>
      <c r="Y1632" s="3">
        <v>17.180152029999999</v>
      </c>
      <c r="Z1632" s="3">
        <v>1.6427727249999999</v>
      </c>
      <c r="AA1632" s="3">
        <v>0.24736008000000001</v>
      </c>
      <c r="AB1632" s="3">
        <v>5.2860011809999996</v>
      </c>
      <c r="AC1632" s="3">
        <v>7.1321552019999999</v>
      </c>
      <c r="AD1632" s="3">
        <v>0.27211597900000001</v>
      </c>
      <c r="AE1632" s="3">
        <v>10.64235268</v>
      </c>
      <c r="AF1632" s="4">
        <v>40892</v>
      </c>
      <c r="AG1632" s="5">
        <f>YEAR(AF1632)</f>
        <v>2011</v>
      </c>
      <c r="AH1632" s="5" t="str">
        <f>"Q"&amp;ROUNDUP(MONTH(AF1632)/3,0)</f>
        <v>Q4</v>
      </c>
      <c r="AI1632" s="5">
        <f>INDEX(RatingLookup!$B$2:$B$11,MATCH(A1632,RatingLookup!$A$2:$A$11,0))</f>
        <v>6</v>
      </c>
      <c r="AJ1632" s="5" t="str">
        <f>INDEX(RatingLookup!$C$2:$C$11,MATCH(A1632,RatingLookup!$A$2:$A$11,0))</f>
        <v>Speculative Grade</v>
      </c>
    </row>
    <row r="1633" spans="1:36" x14ac:dyDescent="0.3">
      <c r="A1633" s="3" t="s">
        <v>42</v>
      </c>
      <c r="B1633" s="3" t="s">
        <v>1714</v>
      </c>
      <c r="C1633" s="3" t="s">
        <v>1715</v>
      </c>
      <c r="D1633" s="3" t="s">
        <v>47</v>
      </c>
      <c r="E1633" s="3" t="s">
        <v>1008</v>
      </c>
      <c r="F1633" s="3" t="s">
        <v>96</v>
      </c>
      <c r="G1633" s="3">
        <v>3.8081260370000001</v>
      </c>
      <c r="H1633" s="3">
        <v>3.3432813920000002</v>
      </c>
      <c r="I1633" s="3">
        <v>2.0825348520000002</v>
      </c>
      <c r="J1633" s="3">
        <v>78.268994190000001</v>
      </c>
      <c r="K1633" s="3">
        <v>0.155294872</v>
      </c>
      <c r="L1633" s="3">
        <v>0.163121722</v>
      </c>
      <c r="M1633" s="3">
        <v>0.44494896499999997</v>
      </c>
      <c r="N1633" s="3">
        <v>0.18251368100000001</v>
      </c>
      <c r="O1633" s="3">
        <v>7.4485344999999994E-2</v>
      </c>
      <c r="P1633" s="3">
        <v>9.7456730000000005E-2</v>
      </c>
      <c r="Q1633" s="3">
        <v>0.15506766699999999</v>
      </c>
      <c r="R1633" s="3">
        <v>0.47963815100000001</v>
      </c>
      <c r="S1633" s="3">
        <v>9.2023442479999993</v>
      </c>
      <c r="T1633" s="3">
        <v>1.081854713</v>
      </c>
      <c r="U1633" s="3">
        <v>0.51965908400000005</v>
      </c>
      <c r="V1633" s="3">
        <v>4.7981652E-2</v>
      </c>
      <c r="W1633" s="3">
        <v>0.87015256900000004</v>
      </c>
      <c r="X1633" s="3">
        <v>7.3933702070000002</v>
      </c>
      <c r="Y1633" s="3">
        <v>42.964868899999999</v>
      </c>
      <c r="Z1633" s="3">
        <v>2.0818547129999998</v>
      </c>
      <c r="AA1633" s="3">
        <v>0.163121722</v>
      </c>
      <c r="AB1633" s="3">
        <v>9.6466607609999997</v>
      </c>
      <c r="AC1633" s="3">
        <v>8.4966366509999993</v>
      </c>
      <c r="AD1633" s="3">
        <v>0.22940902899999999</v>
      </c>
      <c r="AE1633" s="3">
        <v>9.3824824309999997</v>
      </c>
      <c r="AF1633" s="4">
        <v>42670</v>
      </c>
      <c r="AG1633" s="5">
        <f>YEAR(AF1633)</f>
        <v>2016</v>
      </c>
      <c r="AH1633" s="5" t="str">
        <f>"Q"&amp;ROUNDUP(MONTH(AF1633)/3,0)</f>
        <v>Q4</v>
      </c>
      <c r="AI1633" s="5">
        <f>INDEX(RatingLookup!$B$2:$B$11,MATCH(A1633,RatingLookup!$A$2:$A$11,0))</f>
        <v>7</v>
      </c>
      <c r="AJ1633" s="5" t="str">
        <f>INDEX(RatingLookup!$C$2:$C$11,MATCH(A1633,RatingLookup!$A$2:$A$11,0))</f>
        <v>Investment Grade</v>
      </c>
    </row>
    <row r="1634" spans="1:36" x14ac:dyDescent="0.3">
      <c r="A1634" s="3" t="s">
        <v>42</v>
      </c>
      <c r="B1634" s="3" t="s">
        <v>1717</v>
      </c>
      <c r="C1634" s="3" t="s">
        <v>1718</v>
      </c>
      <c r="D1634" s="3" t="s">
        <v>60</v>
      </c>
      <c r="E1634" s="3" t="s">
        <v>141</v>
      </c>
      <c r="F1634" s="3" t="s">
        <v>96</v>
      </c>
      <c r="G1634" s="3">
        <v>2.153424658</v>
      </c>
      <c r="H1634" s="3">
        <v>1.3671232879999999</v>
      </c>
      <c r="I1634" s="3">
        <v>0.88062622300000004</v>
      </c>
      <c r="J1634" s="3">
        <v>43.191451780000001</v>
      </c>
      <c r="K1634" s="3">
        <v>-0.257623926</v>
      </c>
      <c r="L1634" s="3">
        <v>-0.25161897999999999</v>
      </c>
      <c r="M1634" s="3">
        <v>0.32768162000000001</v>
      </c>
      <c r="N1634" s="3">
        <v>-0.24502531499999999</v>
      </c>
      <c r="O1634" s="3">
        <v>-0.20969906099999999</v>
      </c>
      <c r="P1634" s="3">
        <v>-0.27122731300000003</v>
      </c>
      <c r="Q1634" s="3">
        <v>-0.35148594399999999</v>
      </c>
      <c r="R1634" s="3">
        <v>0.81397354799999999</v>
      </c>
      <c r="S1634" s="3">
        <v>2.439816145</v>
      </c>
      <c r="T1634" s="3">
        <v>0.65381526099999998</v>
      </c>
      <c r="U1634" s="3">
        <v>0.39007092199999999</v>
      </c>
      <c r="V1634" s="3">
        <v>2.3865232E-2</v>
      </c>
      <c r="W1634" s="3">
        <v>1</v>
      </c>
      <c r="X1634" s="3">
        <v>0.69074492099999996</v>
      </c>
      <c r="Y1634" s="3">
        <v>2.8081264109999999</v>
      </c>
      <c r="Z1634" s="3">
        <v>1.6761445779999999</v>
      </c>
      <c r="AA1634" s="3">
        <v>-0.25161897999999999</v>
      </c>
      <c r="AB1634" s="3">
        <v>-6.5518685830000001</v>
      </c>
      <c r="AC1634" s="3">
        <v>0.69074492099999996</v>
      </c>
      <c r="AD1634" s="3">
        <v>7.2059342999999998E-2</v>
      </c>
      <c r="AE1634" s="3">
        <v>7.1643663740000001</v>
      </c>
      <c r="AF1634" s="4">
        <v>41348</v>
      </c>
      <c r="AG1634" s="5">
        <f>YEAR(AF1634)</f>
        <v>2013</v>
      </c>
      <c r="AH1634" s="5" t="str">
        <f>"Q"&amp;ROUNDUP(MONTH(AF1634)/3,0)</f>
        <v>Q1</v>
      </c>
      <c r="AI1634" s="5">
        <f>INDEX(RatingLookup!$B$2:$B$11,MATCH(A1634,RatingLookup!$A$2:$A$11,0))</f>
        <v>7</v>
      </c>
      <c r="AJ1634" s="5" t="str">
        <f>INDEX(RatingLookup!$C$2:$C$11,MATCH(A1634,RatingLookup!$A$2:$A$11,0))</f>
        <v>Investment Grade</v>
      </c>
    </row>
    <row r="1635" spans="1:36" x14ac:dyDescent="0.3">
      <c r="A1635" s="3" t="s">
        <v>42</v>
      </c>
      <c r="B1635" s="3" t="s">
        <v>1717</v>
      </c>
      <c r="C1635" s="3" t="s">
        <v>1718</v>
      </c>
      <c r="D1635" s="3" t="s">
        <v>44</v>
      </c>
      <c r="E1635" s="3" t="s">
        <v>1719</v>
      </c>
      <c r="F1635" s="3" t="s">
        <v>96</v>
      </c>
      <c r="G1635" s="3">
        <v>2.4119417959999998</v>
      </c>
      <c r="H1635" s="3">
        <v>1.4761665829999999</v>
      </c>
      <c r="I1635" s="3">
        <v>0.92122428499999998</v>
      </c>
      <c r="J1635" s="3">
        <v>47.375030930000001</v>
      </c>
      <c r="K1635" s="3">
        <v>-7.7827270000000004E-2</v>
      </c>
      <c r="L1635" s="3">
        <v>-7.3249196000000003E-2</v>
      </c>
      <c r="M1635" s="3">
        <v>0.323434793</v>
      </c>
      <c r="N1635" s="3">
        <v>-5.7535264000000003E-2</v>
      </c>
      <c r="O1635" s="3">
        <v>-6.8570805999999998E-2</v>
      </c>
      <c r="P1635" s="3">
        <v>-8.2451253000000002E-2</v>
      </c>
      <c r="Q1635" s="3">
        <v>-0.11146553300000001</v>
      </c>
      <c r="R1635" s="3">
        <v>0.88106399199999996</v>
      </c>
      <c r="S1635" s="3">
        <v>2.5608365019999999</v>
      </c>
      <c r="T1635" s="3">
        <v>0.61244019100000002</v>
      </c>
      <c r="U1635" s="3">
        <v>0.37675787599999999</v>
      </c>
      <c r="V1635" s="3">
        <v>6.25E-2</v>
      </c>
      <c r="W1635" s="3">
        <v>1</v>
      </c>
      <c r="X1635" s="3">
        <v>0.411698538</v>
      </c>
      <c r="Y1635" s="3">
        <v>2.1293588300000001</v>
      </c>
      <c r="Z1635" s="3">
        <v>1.625553783</v>
      </c>
      <c r="AA1635" s="3">
        <v>-7.3249196000000003E-2</v>
      </c>
      <c r="AB1635" s="3">
        <v>13.44676404</v>
      </c>
      <c r="AC1635" s="3">
        <v>0.411698538</v>
      </c>
      <c r="AD1635" s="3">
        <v>4.5285819999999997E-2</v>
      </c>
      <c r="AE1635" s="3">
        <v>7.8789625360000004</v>
      </c>
      <c r="AF1635" s="4">
        <v>41463</v>
      </c>
      <c r="AG1635" s="5">
        <f>YEAR(AF1635)</f>
        <v>2013</v>
      </c>
      <c r="AH1635" s="5" t="str">
        <f>"Q"&amp;ROUNDUP(MONTH(AF1635)/3,0)</f>
        <v>Q3</v>
      </c>
      <c r="AI1635" s="5">
        <f>INDEX(RatingLookup!$B$2:$B$11,MATCH(A1635,RatingLookup!$A$2:$A$11,0))</f>
        <v>7</v>
      </c>
      <c r="AJ1635" s="5" t="str">
        <f>INDEX(RatingLookup!$C$2:$C$11,MATCH(A1635,RatingLookup!$A$2:$A$11,0))</f>
        <v>Investment Grade</v>
      </c>
    </row>
    <row r="1636" spans="1:36" x14ac:dyDescent="0.3">
      <c r="A1636" s="3" t="s">
        <v>92</v>
      </c>
      <c r="B1636" s="3" t="s">
        <v>1717</v>
      </c>
      <c r="C1636" s="3" t="s">
        <v>1718</v>
      </c>
      <c r="D1636" s="3" t="s">
        <v>60</v>
      </c>
      <c r="E1636" s="3" t="s">
        <v>1720</v>
      </c>
      <c r="F1636" s="3" t="s">
        <v>96</v>
      </c>
      <c r="G1636" s="3">
        <v>3</v>
      </c>
      <c r="H1636" s="3">
        <v>1.875641026</v>
      </c>
      <c r="I1636" s="3">
        <v>1.13525641</v>
      </c>
      <c r="J1636" s="3">
        <v>43.395679280000003</v>
      </c>
      <c r="K1636" s="3">
        <v>1.5948963E-2</v>
      </c>
      <c r="L1636" s="3">
        <v>1.2904161000000001E-2</v>
      </c>
      <c r="M1636" s="3">
        <v>0.33811802200000002</v>
      </c>
      <c r="N1636" s="3">
        <v>1.5803972999999999E-2</v>
      </c>
      <c r="O1636" s="3">
        <v>1.3422819000000001E-2</v>
      </c>
      <c r="P1636" s="3">
        <v>1.3413715E-2</v>
      </c>
      <c r="Q1636" s="3">
        <v>2.3747840999999999E-2</v>
      </c>
      <c r="R1636" s="3">
        <v>0.84161073799999997</v>
      </c>
      <c r="S1636" s="3">
        <v>2.9715639810000001</v>
      </c>
      <c r="T1636" s="3">
        <v>0.75604490499999999</v>
      </c>
      <c r="U1636" s="3">
        <v>0.42733374000000002</v>
      </c>
      <c r="V1636" s="3">
        <v>0.235955056</v>
      </c>
      <c r="W1636" s="3">
        <v>1</v>
      </c>
      <c r="X1636" s="3">
        <v>0.94429906600000002</v>
      </c>
      <c r="Y1636" s="3">
        <v>2.361869161</v>
      </c>
      <c r="Z1636" s="3">
        <v>1.7692141619999999</v>
      </c>
      <c r="AA1636" s="3">
        <v>1.2904161000000001E-2</v>
      </c>
      <c r="AB1636" s="3">
        <v>5.2362919080000001</v>
      </c>
      <c r="AC1636" s="3">
        <v>0.94429906600000002</v>
      </c>
      <c r="AD1636" s="3">
        <v>0.122082065</v>
      </c>
      <c r="AE1636" s="3">
        <v>8.6952380950000006</v>
      </c>
      <c r="AF1636" s="4">
        <v>42424</v>
      </c>
      <c r="AG1636" s="5">
        <f>YEAR(AF1636)</f>
        <v>2016</v>
      </c>
      <c r="AH1636" s="5" t="str">
        <f>"Q"&amp;ROUNDUP(MONTH(AF1636)/3,0)</f>
        <v>Q1</v>
      </c>
      <c r="AI1636" s="5">
        <f>INDEX(RatingLookup!$B$2:$B$11,MATCH(A1636,RatingLookup!$A$2:$A$11,0))</f>
        <v>6</v>
      </c>
      <c r="AJ1636" s="5" t="str">
        <f>INDEX(RatingLookup!$C$2:$C$11,MATCH(A1636,RatingLookup!$A$2:$A$11,0))</f>
        <v>Speculative Grade</v>
      </c>
    </row>
    <row r="1637" spans="1:36" x14ac:dyDescent="0.3">
      <c r="A1637" s="3" t="s">
        <v>42</v>
      </c>
      <c r="B1637" s="3" t="s">
        <v>1717</v>
      </c>
      <c r="C1637" s="3" t="s">
        <v>1718</v>
      </c>
      <c r="D1637" s="3" t="s">
        <v>47</v>
      </c>
      <c r="E1637" s="3" t="s">
        <v>577</v>
      </c>
      <c r="F1637" s="3" t="s">
        <v>96</v>
      </c>
      <c r="G1637" s="3">
        <v>2.8601359</v>
      </c>
      <c r="H1637" s="3">
        <v>0.70498301200000002</v>
      </c>
      <c r="I1637" s="3">
        <v>0</v>
      </c>
      <c r="J1637" s="3">
        <v>44.910183680000003</v>
      </c>
      <c r="K1637" s="3">
        <v>1.7423015E-2</v>
      </c>
      <c r="L1637" s="3">
        <v>1.4316585999999999E-2</v>
      </c>
      <c r="M1637" s="3">
        <v>0.33738519700000003</v>
      </c>
      <c r="N1637" s="3">
        <v>2.2690438E-2</v>
      </c>
      <c r="O1637" s="3">
        <v>1.4320604000000001E-2</v>
      </c>
      <c r="P1637" s="3">
        <v>1.4636840999999999E-2</v>
      </c>
      <c r="Q1637" s="3">
        <v>2.5830997000000001E-2</v>
      </c>
      <c r="R1637" s="3">
        <v>0.82193605700000005</v>
      </c>
      <c r="S1637" s="3">
        <v>2.7971288250000002</v>
      </c>
      <c r="T1637" s="3">
        <v>0.79154986000000005</v>
      </c>
      <c r="U1637" s="3">
        <v>0.438832149</v>
      </c>
      <c r="V1637" s="3">
        <v>0.21698113199999999</v>
      </c>
      <c r="W1637" s="3">
        <v>1</v>
      </c>
      <c r="X1637" s="3">
        <v>0.80699774300000005</v>
      </c>
      <c r="Y1637" s="3">
        <v>0.376975169</v>
      </c>
      <c r="Z1637" s="3">
        <v>1.8037645170000001</v>
      </c>
      <c r="AA1637" s="3">
        <v>1.4316585999999999E-2</v>
      </c>
      <c r="AB1637" s="3">
        <v>7.9242083760000002</v>
      </c>
      <c r="AC1637" s="3">
        <v>0.80699774300000005</v>
      </c>
      <c r="AD1637" s="3">
        <v>9.6569422000000002E-2</v>
      </c>
      <c r="AE1637" s="3">
        <v>8.2177554439999998</v>
      </c>
      <c r="AF1637" s="4">
        <v>41823</v>
      </c>
      <c r="AG1637" s="5">
        <f>YEAR(AF1637)</f>
        <v>2014</v>
      </c>
      <c r="AH1637" s="5" t="str">
        <f>"Q"&amp;ROUNDUP(MONTH(AF1637)/3,0)</f>
        <v>Q3</v>
      </c>
      <c r="AI1637" s="5">
        <f>INDEX(RatingLookup!$B$2:$B$11,MATCH(A1637,RatingLookup!$A$2:$A$11,0))</f>
        <v>7</v>
      </c>
      <c r="AJ1637" s="5" t="str">
        <f>INDEX(RatingLookup!$C$2:$C$11,MATCH(A1637,RatingLookup!$A$2:$A$11,0))</f>
        <v>Investment Grade</v>
      </c>
    </row>
    <row r="1638" spans="1:36" x14ac:dyDescent="0.3">
      <c r="A1638" s="3" t="s">
        <v>42</v>
      </c>
      <c r="B1638" s="3" t="s">
        <v>1717</v>
      </c>
      <c r="C1638" s="3" t="s">
        <v>1718</v>
      </c>
      <c r="D1638" s="3" t="s">
        <v>47</v>
      </c>
      <c r="E1638" s="3" t="s">
        <v>214</v>
      </c>
      <c r="F1638" s="3" t="s">
        <v>96</v>
      </c>
      <c r="G1638" s="3">
        <v>2.822418136</v>
      </c>
      <c r="H1638" s="3">
        <v>1.828085642</v>
      </c>
      <c r="I1638" s="3">
        <v>1.02581864</v>
      </c>
      <c r="J1638" s="3">
        <v>49.151728089999999</v>
      </c>
      <c r="K1638" s="3">
        <v>2.4379749999999999E-2</v>
      </c>
      <c r="L1638" s="3">
        <v>2.8825469999999999E-2</v>
      </c>
      <c r="M1638" s="3">
        <v>0.35207227899999999</v>
      </c>
      <c r="N1638" s="3">
        <v>3.0689804000000001E-2</v>
      </c>
      <c r="O1638" s="3">
        <v>2.1228771E-2</v>
      </c>
      <c r="P1638" s="3">
        <v>3.1308411000000001E-2</v>
      </c>
      <c r="Q1638" s="3">
        <v>3.7486218000000002E-2</v>
      </c>
      <c r="R1638" s="3">
        <v>0.87075424599999995</v>
      </c>
      <c r="S1638" s="3">
        <v>3.0489724530000002</v>
      </c>
      <c r="T1638" s="3">
        <v>0.75237045199999997</v>
      </c>
      <c r="U1638" s="3">
        <v>0.42607392599999999</v>
      </c>
      <c r="V1638" s="3">
        <v>-0.154228856</v>
      </c>
      <c r="W1638" s="3">
        <v>1</v>
      </c>
      <c r="X1638" s="3">
        <v>0.95573212299999999</v>
      </c>
      <c r="Y1638" s="3">
        <v>2.229284904</v>
      </c>
      <c r="Z1638" s="3">
        <v>1.7658213890000001</v>
      </c>
      <c r="AA1638" s="3">
        <v>2.8825469999999999E-2</v>
      </c>
      <c r="AB1638" s="3">
        <v>11.01395789</v>
      </c>
      <c r="AC1638" s="3">
        <v>0.95573212299999999</v>
      </c>
      <c r="AD1638" s="3">
        <v>0.12075147</v>
      </c>
      <c r="AE1638" s="3">
        <v>7.2870967740000001</v>
      </c>
      <c r="AF1638" s="4">
        <v>42706</v>
      </c>
      <c r="AG1638" s="5">
        <f>YEAR(AF1638)</f>
        <v>2016</v>
      </c>
      <c r="AH1638" s="5" t="str">
        <f>"Q"&amp;ROUNDUP(MONTH(AF1638)/3,0)</f>
        <v>Q4</v>
      </c>
      <c r="AI1638" s="5">
        <f>INDEX(RatingLookup!$B$2:$B$11,MATCH(A1638,RatingLookup!$A$2:$A$11,0))</f>
        <v>7</v>
      </c>
      <c r="AJ1638" s="5" t="str">
        <f>INDEX(RatingLookup!$C$2:$C$11,MATCH(A1638,RatingLookup!$A$2:$A$11,0))</f>
        <v>Investment Grade</v>
      </c>
    </row>
    <row r="1639" spans="1:36" x14ac:dyDescent="0.3">
      <c r="A1639" s="3" t="s">
        <v>42</v>
      </c>
      <c r="B1639" s="3" t="s">
        <v>1717</v>
      </c>
      <c r="C1639" s="3" t="s">
        <v>1718</v>
      </c>
      <c r="D1639" s="3" t="s">
        <v>44</v>
      </c>
      <c r="E1639" s="3" t="s">
        <v>46</v>
      </c>
      <c r="F1639" s="3" t="s">
        <v>96</v>
      </c>
      <c r="G1639" s="3">
        <v>2.1720513819999998</v>
      </c>
      <c r="H1639" s="3">
        <v>1.312183729</v>
      </c>
      <c r="I1639" s="3">
        <v>0.74425846600000001</v>
      </c>
      <c r="J1639" s="3">
        <v>39.218284539999999</v>
      </c>
      <c r="K1639" s="3">
        <v>1.5921931E-2</v>
      </c>
      <c r="L1639" s="3">
        <v>3.4514638E-2</v>
      </c>
      <c r="M1639" s="3">
        <v>0.36712891600000003</v>
      </c>
      <c r="N1639" s="3">
        <v>4.7252179999999998E-3</v>
      </c>
      <c r="O1639" s="3">
        <v>1.2816273E-2</v>
      </c>
      <c r="P1639" s="3">
        <v>3.5275591000000002E-2</v>
      </c>
      <c r="Q1639" s="3">
        <v>2.0386689E-2</v>
      </c>
      <c r="R1639" s="3">
        <v>0.80494460099999998</v>
      </c>
      <c r="S1639" s="3">
        <v>2.4834183670000001</v>
      </c>
      <c r="T1639" s="3">
        <v>0.53899776399999999</v>
      </c>
      <c r="U1639" s="3">
        <v>0.33884570899999999</v>
      </c>
      <c r="V1639" s="3">
        <v>-0.53869047599999997</v>
      </c>
      <c r="W1639" s="3">
        <v>1</v>
      </c>
      <c r="X1639" s="3">
        <v>0.99660249199999995</v>
      </c>
      <c r="Y1639" s="3">
        <v>2.6330690830000001</v>
      </c>
      <c r="Z1639" s="3">
        <v>1.590687886</v>
      </c>
      <c r="AA1639" s="3">
        <v>3.4514638E-2</v>
      </c>
      <c r="AB1639" s="3">
        <v>4.2483320750000004</v>
      </c>
      <c r="AC1639" s="3">
        <v>0.99660249199999995</v>
      </c>
      <c r="AD1639" s="3">
        <v>9.039548E-2</v>
      </c>
      <c r="AE1639" s="3">
        <v>9.3917682930000002</v>
      </c>
      <c r="AF1639" s="4">
        <v>41075</v>
      </c>
      <c r="AG1639" s="5">
        <f>YEAR(AF1639)</f>
        <v>2012</v>
      </c>
      <c r="AH1639" s="5" t="str">
        <f>"Q"&amp;ROUNDUP(MONTH(AF1639)/3,0)</f>
        <v>Q2</v>
      </c>
      <c r="AI1639" s="5">
        <f>INDEX(RatingLookup!$B$2:$B$11,MATCH(A1639,RatingLookup!$A$2:$A$11,0))</f>
        <v>7</v>
      </c>
      <c r="AJ1639" s="5" t="str">
        <f>INDEX(RatingLookup!$C$2:$C$11,MATCH(A1639,RatingLookup!$A$2:$A$11,0))</f>
        <v>Investment Grade</v>
      </c>
    </row>
    <row r="1640" spans="1:36" x14ac:dyDescent="0.3">
      <c r="A1640" s="3" t="s">
        <v>109</v>
      </c>
      <c r="B1640" s="3" t="s">
        <v>1721</v>
      </c>
      <c r="C1640" s="3" t="s">
        <v>1722</v>
      </c>
      <c r="D1640" s="3" t="s">
        <v>60</v>
      </c>
      <c r="E1640" s="3" t="s">
        <v>46</v>
      </c>
      <c r="F1640" s="3" t="s">
        <v>59</v>
      </c>
      <c r="G1640" s="3">
        <v>2.7524064450000001</v>
      </c>
      <c r="H1640" s="3">
        <v>1.9154463859999999</v>
      </c>
      <c r="I1640" s="3">
        <v>0.84122185500000002</v>
      </c>
      <c r="J1640" s="3">
        <v>54.147023750000002</v>
      </c>
      <c r="K1640" s="3">
        <v>-6.8598360999999997E-2</v>
      </c>
      <c r="L1640" s="3">
        <v>9.6648319999999999E-3</v>
      </c>
      <c r="M1640" s="3">
        <v>0.23301117199999999</v>
      </c>
      <c r="N1640" s="3">
        <v>3.5438351999999999E-2</v>
      </c>
      <c r="O1640" s="3">
        <v>-7.5072253000000005E-2</v>
      </c>
      <c r="P1640" s="3">
        <v>1.3203617000000001E-2</v>
      </c>
      <c r="Q1640" s="3">
        <v>-0.22171376400000001</v>
      </c>
      <c r="R1640" s="3">
        <v>1.0943738620000001</v>
      </c>
      <c r="S1640" s="3">
        <v>8.8285882749999995</v>
      </c>
      <c r="T1640" s="3">
        <v>1.953338349</v>
      </c>
      <c r="U1640" s="3">
        <v>0.66140012400000003</v>
      </c>
      <c r="V1640" s="3">
        <v>8.1759131289999996</v>
      </c>
      <c r="W1640" s="3">
        <v>1</v>
      </c>
      <c r="X1640" s="3">
        <v>0.17220559699999999</v>
      </c>
      <c r="Y1640" s="3">
        <v>5.4985562029999997</v>
      </c>
      <c r="Z1640" s="3">
        <v>2.953338349</v>
      </c>
      <c r="AA1640" s="3">
        <v>9.6648319999999999E-3</v>
      </c>
      <c r="AB1640" s="3">
        <v>10.208291129999999</v>
      </c>
      <c r="AC1640" s="3">
        <v>0.17220559699999999</v>
      </c>
      <c r="AD1640" s="3">
        <v>6.2587659999999998E-3</v>
      </c>
      <c r="AE1640" s="3">
        <v>10.812718569999999</v>
      </c>
      <c r="AF1640" s="4">
        <v>41075</v>
      </c>
      <c r="AG1640" s="5">
        <f>YEAR(AF1640)</f>
        <v>2012</v>
      </c>
      <c r="AH1640" s="5" t="str">
        <f>"Q"&amp;ROUNDUP(MONTH(AF1640)/3,0)</f>
        <v>Q2</v>
      </c>
      <c r="AI1640" s="5">
        <f>INDEX(RatingLookup!$B$2:$B$11,MATCH(A1640,RatingLookup!$A$2:$A$11,0))</f>
        <v>5</v>
      </c>
      <c r="AJ1640" s="5" t="str">
        <f>INDEX(RatingLookup!$C$2:$C$11,MATCH(A1640,RatingLookup!$A$2:$A$11,0))</f>
        <v>Speculative Grade</v>
      </c>
    </row>
    <row r="1641" spans="1:36" x14ac:dyDescent="0.3">
      <c r="A1641" s="3" t="s">
        <v>36</v>
      </c>
      <c r="B1641" s="3" t="s">
        <v>1723</v>
      </c>
      <c r="C1641" s="3" t="s">
        <v>1724</v>
      </c>
      <c r="D1641" s="3" t="s">
        <v>47</v>
      </c>
      <c r="E1641" s="3" t="s">
        <v>727</v>
      </c>
      <c r="F1641" s="3" t="s">
        <v>113</v>
      </c>
      <c r="G1641" s="3">
        <v>1.2353605190000001</v>
      </c>
      <c r="H1641" s="3">
        <v>0.16043459900000001</v>
      </c>
      <c r="I1641" s="3">
        <v>0.16043459900000001</v>
      </c>
      <c r="J1641" s="3">
        <v>0</v>
      </c>
      <c r="K1641" s="3">
        <v>9.9393780000000004E-3</v>
      </c>
      <c r="L1641" s="3">
        <v>1.4076912E-2</v>
      </c>
      <c r="M1641" s="3">
        <v>4.2221437000000001E-2</v>
      </c>
      <c r="N1641" s="3">
        <v>1.6661708000000001E-2</v>
      </c>
      <c r="O1641" s="3">
        <v>4.4064302999999999E-2</v>
      </c>
      <c r="P1641" s="3">
        <v>0.15010906199999999</v>
      </c>
      <c r="Q1641" s="3">
        <v>0.171204356</v>
      </c>
      <c r="R1641" s="3">
        <v>4.4333058530000002</v>
      </c>
      <c r="S1641" s="3">
        <v>69.343649260000007</v>
      </c>
      <c r="T1641" s="3">
        <v>2.885329917</v>
      </c>
      <c r="U1641" s="3">
        <v>0.74262159900000002</v>
      </c>
      <c r="V1641" s="3">
        <v>0.41479524400000001</v>
      </c>
      <c r="W1641" s="3">
        <v>0.77636054399999999</v>
      </c>
      <c r="X1641" s="3">
        <v>2.6463768120000002</v>
      </c>
      <c r="Y1641" s="3">
        <v>6.5913043480000004</v>
      </c>
      <c r="Z1641" s="3">
        <v>3.885329917</v>
      </c>
      <c r="AA1641" s="3">
        <v>1.4076912E-2</v>
      </c>
      <c r="AB1641" s="3">
        <v>7.3509447330000004</v>
      </c>
      <c r="AC1641" s="3">
        <v>3.408695652</v>
      </c>
      <c r="AD1641" s="3">
        <v>1.0934246E-2</v>
      </c>
      <c r="AE1641" s="3">
        <v>8.7848371140000001</v>
      </c>
      <c r="AF1641" s="4">
        <v>41353</v>
      </c>
      <c r="AG1641" s="5">
        <f>YEAR(AF1641)</f>
        <v>2013</v>
      </c>
      <c r="AH1641" s="5" t="str">
        <f>"Q"&amp;ROUNDUP(MONTH(AF1641)/3,0)</f>
        <v>Q1</v>
      </c>
      <c r="AI1641" s="5">
        <f>INDEX(RatingLookup!$B$2:$B$11,MATCH(A1641,RatingLookup!$A$2:$A$11,0))</f>
        <v>8</v>
      </c>
      <c r="AJ1641" s="5" t="str">
        <f>INDEX(RatingLookup!$C$2:$C$11,MATCH(A1641,RatingLookup!$A$2:$A$11,0))</f>
        <v>Investment Grade</v>
      </c>
    </row>
    <row r="1642" spans="1:36" x14ac:dyDescent="0.3">
      <c r="A1642" s="3" t="s">
        <v>36</v>
      </c>
      <c r="B1642" s="3" t="s">
        <v>1723</v>
      </c>
      <c r="C1642" s="3" t="s">
        <v>1724</v>
      </c>
      <c r="D1642" s="3" t="s">
        <v>47</v>
      </c>
      <c r="E1642" s="3" t="s">
        <v>1419</v>
      </c>
      <c r="F1642" s="3" t="s">
        <v>113</v>
      </c>
      <c r="G1642" s="3">
        <v>1.2614974189999999</v>
      </c>
      <c r="H1642" s="3">
        <v>0.267702836</v>
      </c>
      <c r="I1642" s="3">
        <v>0.267702836</v>
      </c>
      <c r="J1642" s="3">
        <v>0</v>
      </c>
      <c r="K1642" s="3">
        <v>1.1850075E-2</v>
      </c>
      <c r="L1642" s="3">
        <v>1.9184441999999999E-2</v>
      </c>
      <c r="M1642" s="3">
        <v>5.5709979999999999E-2</v>
      </c>
      <c r="N1642" s="3">
        <v>2.1076551999999998E-2</v>
      </c>
      <c r="O1642" s="3">
        <v>4.0309203000000002E-2</v>
      </c>
      <c r="P1642" s="3">
        <v>0.15249244100000001</v>
      </c>
      <c r="Q1642" s="3">
        <v>0.19421355500000001</v>
      </c>
      <c r="R1642" s="3">
        <v>3.4015990980000002</v>
      </c>
      <c r="S1642" s="3">
        <v>68.081673309999999</v>
      </c>
      <c r="T1642" s="3">
        <v>3.818094629</v>
      </c>
      <c r="U1642" s="3">
        <v>0.79244907399999998</v>
      </c>
      <c r="V1642" s="3">
        <v>0.38383324899999999</v>
      </c>
      <c r="W1642" s="3">
        <v>0.88188976399999996</v>
      </c>
      <c r="X1642" s="3">
        <v>6.7469879519999996</v>
      </c>
      <c r="Y1642" s="3">
        <v>13.90361446</v>
      </c>
      <c r="Z1642" s="3">
        <v>4.818094629</v>
      </c>
      <c r="AA1642" s="3">
        <v>1.9184441999999999E-2</v>
      </c>
      <c r="AB1642" s="3">
        <v>10.928361410000001</v>
      </c>
      <c r="AC1642" s="3">
        <v>7.6506024100000003</v>
      </c>
      <c r="AD1642" s="3">
        <v>2.4772994999999999E-2</v>
      </c>
      <c r="AE1642" s="3">
        <v>6.7385161470000003</v>
      </c>
      <c r="AF1642" s="4">
        <v>42250</v>
      </c>
      <c r="AG1642" s="5">
        <f>YEAR(AF1642)</f>
        <v>2015</v>
      </c>
      <c r="AH1642" s="5" t="str">
        <f>"Q"&amp;ROUNDUP(MONTH(AF1642)/3,0)</f>
        <v>Q3</v>
      </c>
      <c r="AI1642" s="5">
        <f>INDEX(RatingLookup!$B$2:$B$11,MATCH(A1642,RatingLookup!$A$2:$A$11,0))</f>
        <v>8</v>
      </c>
      <c r="AJ1642" s="5" t="str">
        <f>INDEX(RatingLookup!$C$2:$C$11,MATCH(A1642,RatingLookup!$A$2:$A$11,0))</f>
        <v>Investment Grade</v>
      </c>
    </row>
    <row r="1643" spans="1:36" x14ac:dyDescent="0.3">
      <c r="A1643" s="3" t="s">
        <v>36</v>
      </c>
      <c r="B1643" s="3" t="s">
        <v>1723</v>
      </c>
      <c r="C1643" s="3" t="s">
        <v>1724</v>
      </c>
      <c r="D1643" s="3" t="s">
        <v>47</v>
      </c>
      <c r="E1643" s="3" t="s">
        <v>1725</v>
      </c>
      <c r="F1643" s="3" t="s">
        <v>113</v>
      </c>
      <c r="G1643" s="3">
        <v>1.1868342709999999</v>
      </c>
      <c r="H1643" s="3">
        <v>0.18954680800000001</v>
      </c>
      <c r="I1643" s="3">
        <v>0.18954680800000001</v>
      </c>
      <c r="J1643" s="3">
        <v>0</v>
      </c>
      <c r="K1643" s="3">
        <v>1.2801369999999999E-2</v>
      </c>
      <c r="L1643" s="3">
        <v>1.827983E-2</v>
      </c>
      <c r="M1643" s="3">
        <v>5.6661982E-2</v>
      </c>
      <c r="N1643" s="3">
        <v>2.0695181999999999E-2</v>
      </c>
      <c r="O1643" s="3">
        <v>4.4789306000000001E-2</v>
      </c>
      <c r="P1643" s="3">
        <v>0.15250045800000001</v>
      </c>
      <c r="Q1643" s="3">
        <v>0.182159038</v>
      </c>
      <c r="R1643" s="3">
        <v>3.4987899969999998</v>
      </c>
      <c r="S1643" s="3">
        <v>62.429060999999997</v>
      </c>
      <c r="T1643" s="3">
        <v>3.0670207779999998</v>
      </c>
      <c r="U1643" s="3">
        <v>0.75411977100000005</v>
      </c>
      <c r="V1643" s="3">
        <v>0.38138138100000002</v>
      </c>
      <c r="W1643" s="3">
        <v>0.90134706799999997</v>
      </c>
      <c r="X1643" s="3">
        <v>6.671554252</v>
      </c>
      <c r="Y1643" s="3">
        <v>8.4017595309999997</v>
      </c>
      <c r="Z1643" s="3">
        <v>4.0670207779999998</v>
      </c>
      <c r="AA1643" s="3">
        <v>1.827983E-2</v>
      </c>
      <c r="AB1643" s="3">
        <v>11.05578072</v>
      </c>
      <c r="AC1643" s="3">
        <v>7.4017595309999997</v>
      </c>
      <c r="AD1643" s="3">
        <v>2.7710684999999999E-2</v>
      </c>
      <c r="AE1643" s="3">
        <v>7.0724339450000002</v>
      </c>
      <c r="AF1643" s="4">
        <v>42171</v>
      </c>
      <c r="AG1643" s="5">
        <f>YEAR(AF1643)</f>
        <v>2015</v>
      </c>
      <c r="AH1643" s="5" t="str">
        <f>"Q"&amp;ROUNDUP(MONTH(AF1643)/3,0)</f>
        <v>Q2</v>
      </c>
      <c r="AI1643" s="5">
        <f>INDEX(RatingLookup!$B$2:$B$11,MATCH(A1643,RatingLookup!$A$2:$A$11,0))</f>
        <v>8</v>
      </c>
      <c r="AJ1643" s="5" t="str">
        <f>INDEX(RatingLookup!$C$2:$C$11,MATCH(A1643,RatingLookup!$A$2:$A$11,0))</f>
        <v>Investment Grade</v>
      </c>
    </row>
    <row r="1644" spans="1:36" x14ac:dyDescent="0.3">
      <c r="A1644" s="3" t="s">
        <v>92</v>
      </c>
      <c r="B1644" s="3" t="s">
        <v>1726</v>
      </c>
      <c r="C1644" s="3" t="s">
        <v>1727</v>
      </c>
      <c r="D1644" s="3" t="s">
        <v>47</v>
      </c>
      <c r="E1644" s="3" t="s">
        <v>713</v>
      </c>
      <c r="F1644" s="3" t="s">
        <v>174</v>
      </c>
      <c r="G1644" s="3">
        <v>2.442878592</v>
      </c>
      <c r="H1644" s="3">
        <v>2.3389079669999999</v>
      </c>
      <c r="I1644" s="3">
        <v>1.1778010670000001</v>
      </c>
      <c r="J1644" s="3">
        <v>57.356794870000002</v>
      </c>
      <c r="K1644" s="3">
        <v>1.2115278E-2</v>
      </c>
      <c r="L1644" s="3">
        <v>1.4100161999999999E-2</v>
      </c>
      <c r="M1644" s="3">
        <v>8.7389018999999998E-2</v>
      </c>
      <c r="N1644" s="3">
        <v>3.3526721000000002E-2</v>
      </c>
      <c r="O1644" s="3">
        <v>1.0195298E-2</v>
      </c>
      <c r="P1644" s="3">
        <v>1.3642948E-2</v>
      </c>
      <c r="Q1644" s="3">
        <v>2.0315429999999999E-2</v>
      </c>
      <c r="R1644" s="3">
        <v>0.84152407500000004</v>
      </c>
      <c r="S1644" s="3">
        <v>2.5308556769999999</v>
      </c>
      <c r="T1644" s="3">
        <v>0.99262748000000001</v>
      </c>
      <c r="U1644" s="3">
        <v>0.49815005099999998</v>
      </c>
      <c r="V1644" s="3">
        <v>0.16582340500000001</v>
      </c>
      <c r="W1644" s="3">
        <v>0.81374748900000005</v>
      </c>
      <c r="X1644" s="3">
        <v>1.4739803339999999</v>
      </c>
      <c r="Y1644" s="3">
        <v>3.16114089</v>
      </c>
      <c r="Z1644" s="3">
        <v>1.9926274799999999</v>
      </c>
      <c r="AA1644" s="3">
        <v>1.4100161999999999E-2</v>
      </c>
      <c r="AB1644" s="3">
        <v>13.120173640000001</v>
      </c>
      <c r="AC1644" s="3">
        <v>1.8113485499999999</v>
      </c>
      <c r="AD1644" s="3">
        <v>0.11743039700000001</v>
      </c>
      <c r="AE1644" s="3">
        <v>37.760474199999997</v>
      </c>
      <c r="AF1644" s="4">
        <v>41943</v>
      </c>
      <c r="AG1644" s="5">
        <f>YEAR(AF1644)</f>
        <v>2014</v>
      </c>
      <c r="AH1644" s="5" t="str">
        <f>"Q"&amp;ROUNDUP(MONTH(AF1644)/3,0)</f>
        <v>Q4</v>
      </c>
      <c r="AI1644" s="5">
        <f>INDEX(RatingLookup!$B$2:$B$11,MATCH(A1644,RatingLookup!$A$2:$A$11,0))</f>
        <v>6</v>
      </c>
      <c r="AJ1644" s="5" t="str">
        <f>INDEX(RatingLookup!$C$2:$C$11,MATCH(A1644,RatingLookup!$A$2:$A$11,0))</f>
        <v>Speculative Grade</v>
      </c>
    </row>
    <row r="1645" spans="1:36" x14ac:dyDescent="0.3">
      <c r="A1645" s="3" t="s">
        <v>36</v>
      </c>
      <c r="B1645" s="3" t="s">
        <v>1728</v>
      </c>
      <c r="C1645" s="3" t="s">
        <v>1729</v>
      </c>
      <c r="D1645" s="3" t="s">
        <v>60</v>
      </c>
      <c r="E1645" s="3" t="s">
        <v>46</v>
      </c>
      <c r="F1645" s="3" t="s">
        <v>232</v>
      </c>
      <c r="G1645" s="3">
        <v>2.3376901509999999</v>
      </c>
      <c r="H1645" s="3">
        <v>2.3376901509999999</v>
      </c>
      <c r="I1645" s="3">
        <v>2.4518913E-2</v>
      </c>
      <c r="J1645" s="3">
        <v>68.956029430000001</v>
      </c>
      <c r="K1645" s="3">
        <v>6.5481909000000005E-2</v>
      </c>
      <c r="L1645" s="3">
        <v>9.5885375999999994E-2</v>
      </c>
      <c r="M1645" s="3">
        <v>1</v>
      </c>
      <c r="N1645" s="3">
        <v>6.5481909000000005E-2</v>
      </c>
      <c r="O1645" s="3">
        <v>4.6487036000000002E-2</v>
      </c>
      <c r="P1645" s="3">
        <v>9.5968918E-2</v>
      </c>
      <c r="Q1645" s="3">
        <v>0.174884186</v>
      </c>
      <c r="R1645" s="3">
        <v>0.70992181200000004</v>
      </c>
      <c r="S1645" s="3">
        <v>17.01755734</v>
      </c>
      <c r="T1645" s="3">
        <v>2.7619990699999999</v>
      </c>
      <c r="U1645" s="3">
        <v>0.73418387900000004</v>
      </c>
      <c r="V1645" s="3">
        <v>0.31708137199999997</v>
      </c>
      <c r="W1645" s="3">
        <v>0.94732625699999995</v>
      </c>
      <c r="X1645" s="3">
        <v>2.2441878850000001</v>
      </c>
      <c r="Y1645" s="3">
        <v>18.843903210000001</v>
      </c>
      <c r="Z1645" s="3">
        <v>3.7619990699999999</v>
      </c>
      <c r="AA1645" s="3">
        <v>9.5885375999999994E-2</v>
      </c>
      <c r="AB1645" s="3">
        <v>13.640271739999999</v>
      </c>
      <c r="AC1645" s="3">
        <v>2.3689704250000001</v>
      </c>
      <c r="AD1645" s="3">
        <v>9.6588234999999995E-2</v>
      </c>
      <c r="AE1645" s="3">
        <v>0</v>
      </c>
      <c r="AF1645" s="4">
        <v>41075</v>
      </c>
      <c r="AG1645" s="5">
        <f>YEAR(AF1645)</f>
        <v>2012</v>
      </c>
      <c r="AH1645" s="5" t="str">
        <f>"Q"&amp;ROUNDUP(MONTH(AF1645)/3,0)</f>
        <v>Q2</v>
      </c>
      <c r="AI1645" s="5">
        <f>INDEX(RatingLookup!$B$2:$B$11,MATCH(A1645,RatingLookup!$A$2:$A$11,0))</f>
        <v>8</v>
      </c>
      <c r="AJ1645" s="5" t="str">
        <f>INDEX(RatingLookup!$C$2:$C$11,MATCH(A1645,RatingLookup!$A$2:$A$11,0))</f>
        <v>Investment Grade</v>
      </c>
    </row>
    <row r="1646" spans="1:36" x14ac:dyDescent="0.3">
      <c r="A1646" s="3" t="s">
        <v>36</v>
      </c>
      <c r="B1646" s="3" t="s">
        <v>1728</v>
      </c>
      <c r="C1646" s="3" t="s">
        <v>1729</v>
      </c>
      <c r="D1646" s="3" t="s">
        <v>60</v>
      </c>
      <c r="E1646" s="3" t="s">
        <v>766</v>
      </c>
      <c r="F1646" s="3" t="s">
        <v>232</v>
      </c>
      <c r="G1646" s="3">
        <v>0.79015257900000002</v>
      </c>
      <c r="H1646" s="3">
        <v>0.79015257900000002</v>
      </c>
      <c r="I1646" s="3">
        <v>1.4780676E-2</v>
      </c>
      <c r="J1646" s="3">
        <v>66.585574019999996</v>
      </c>
      <c r="K1646" s="3">
        <v>6.6060211999999993E-2</v>
      </c>
      <c r="L1646" s="3">
        <v>9.8363192000000002E-2</v>
      </c>
      <c r="M1646" s="3">
        <v>1</v>
      </c>
      <c r="N1646" s="3">
        <v>9.8363192000000002E-2</v>
      </c>
      <c r="O1646" s="3">
        <v>4.9675037999999998E-2</v>
      </c>
      <c r="P1646" s="3">
        <v>0.103361386</v>
      </c>
      <c r="Q1646" s="3">
        <v>0.184885836</v>
      </c>
      <c r="R1646" s="3">
        <v>0.75196606099999996</v>
      </c>
      <c r="S1646" s="3">
        <v>20.186758279999999</v>
      </c>
      <c r="T1646" s="3">
        <v>2.7219063010000002</v>
      </c>
      <c r="U1646" s="3">
        <v>0.73132048000000005</v>
      </c>
      <c r="V1646" s="3">
        <v>0.328405159</v>
      </c>
      <c r="W1646" s="3">
        <v>0.93735512300000001</v>
      </c>
      <c r="X1646" s="3">
        <v>2.738740264</v>
      </c>
      <c r="Y1646" s="3">
        <v>3.8222146970000002</v>
      </c>
      <c r="Z1646" s="3">
        <v>3.7219063010000002</v>
      </c>
      <c r="AA1646" s="3">
        <v>9.8363192000000002E-2</v>
      </c>
      <c r="AB1646" s="3">
        <v>9.0237086640000008</v>
      </c>
      <c r="AC1646" s="3">
        <v>2.9217744670000001</v>
      </c>
      <c r="AD1646" s="3">
        <v>8.8987901999999994E-2</v>
      </c>
      <c r="AE1646" s="3">
        <v>0</v>
      </c>
      <c r="AF1646" s="4">
        <v>42025</v>
      </c>
      <c r="AG1646" s="5">
        <f>YEAR(AF1646)</f>
        <v>2015</v>
      </c>
      <c r="AH1646" s="5" t="str">
        <f>"Q"&amp;ROUNDUP(MONTH(AF1646)/3,0)</f>
        <v>Q1</v>
      </c>
      <c r="AI1646" s="5">
        <f>INDEX(RatingLookup!$B$2:$B$11,MATCH(A1646,RatingLookup!$A$2:$A$11,0))</f>
        <v>8</v>
      </c>
      <c r="AJ1646" s="5" t="str">
        <f>INDEX(RatingLookup!$C$2:$C$11,MATCH(A1646,RatingLookup!$A$2:$A$11,0))</f>
        <v>Investment Grade</v>
      </c>
    </row>
    <row r="1647" spans="1:36" x14ac:dyDescent="0.3">
      <c r="A1647" s="3" t="s">
        <v>36</v>
      </c>
      <c r="B1647" s="3" t="s">
        <v>1728</v>
      </c>
      <c r="C1647" s="3" t="s">
        <v>1729</v>
      </c>
      <c r="D1647" s="3" t="s">
        <v>60</v>
      </c>
      <c r="E1647" s="3" t="s">
        <v>1730</v>
      </c>
      <c r="F1647" s="3" t="s">
        <v>232</v>
      </c>
      <c r="G1647" s="3">
        <v>0.83237319099999996</v>
      </c>
      <c r="H1647" s="3">
        <v>0.83237319099999996</v>
      </c>
      <c r="I1647" s="3">
        <v>2.1226841E-2</v>
      </c>
      <c r="J1647" s="3">
        <v>70.211591459999994</v>
      </c>
      <c r="K1647" s="3">
        <v>4.3982014999999999E-2</v>
      </c>
      <c r="L1647" s="3">
        <v>6.2739427E-2</v>
      </c>
      <c r="M1647" s="3">
        <v>1</v>
      </c>
      <c r="N1647" s="3">
        <v>6.2739427E-2</v>
      </c>
      <c r="O1647" s="3">
        <v>3.0842868999999998E-2</v>
      </c>
      <c r="P1647" s="3">
        <v>6.2679798999999994E-2</v>
      </c>
      <c r="Q1647" s="3">
        <v>0.129569818</v>
      </c>
      <c r="R1647" s="3">
        <v>0.701260938</v>
      </c>
      <c r="S1647" s="3">
        <v>19.91453572</v>
      </c>
      <c r="T1647" s="3">
        <v>3.200965176</v>
      </c>
      <c r="U1647" s="3">
        <v>0.761959465</v>
      </c>
      <c r="V1647" s="3">
        <v>0.28115863200000002</v>
      </c>
      <c r="W1647" s="3">
        <v>0.92042636700000002</v>
      </c>
      <c r="X1647" s="3">
        <v>4.2752277809999999</v>
      </c>
      <c r="Y1647" s="3">
        <v>6.5057589819999997</v>
      </c>
      <c r="Z1647" s="3">
        <v>4.2009651760000004</v>
      </c>
      <c r="AA1647" s="3">
        <v>6.2739427E-2</v>
      </c>
      <c r="AB1647" s="3">
        <v>13.55708286</v>
      </c>
      <c r="AC1647" s="3">
        <v>4.6448341070000003</v>
      </c>
      <c r="AD1647" s="3">
        <v>0.11526188699999999</v>
      </c>
      <c r="AE1647" s="3">
        <v>0</v>
      </c>
      <c r="AF1647" s="4">
        <v>42604</v>
      </c>
      <c r="AG1647" s="5">
        <f>YEAR(AF1647)</f>
        <v>2016</v>
      </c>
      <c r="AH1647" s="5" t="str">
        <f>"Q"&amp;ROUNDUP(MONTH(AF1647)/3,0)</f>
        <v>Q3</v>
      </c>
      <c r="AI1647" s="5">
        <f>INDEX(RatingLookup!$B$2:$B$11,MATCH(A1647,RatingLookup!$A$2:$A$11,0))</f>
        <v>8</v>
      </c>
      <c r="AJ1647" s="5" t="str">
        <f>INDEX(RatingLookup!$C$2:$C$11,MATCH(A1647,RatingLookup!$A$2:$A$11,0))</f>
        <v>Investment Grade</v>
      </c>
    </row>
    <row r="1648" spans="1:36" x14ac:dyDescent="0.3">
      <c r="A1648" s="3" t="s">
        <v>36</v>
      </c>
      <c r="B1648" s="3" t="s">
        <v>1728</v>
      </c>
      <c r="C1648" s="3" t="s">
        <v>1729</v>
      </c>
      <c r="D1648" s="3" t="s">
        <v>60</v>
      </c>
      <c r="E1648" s="3" t="s">
        <v>1731</v>
      </c>
      <c r="F1648" s="3" t="s">
        <v>232</v>
      </c>
      <c r="G1648" s="3">
        <v>2.4321000069999998</v>
      </c>
      <c r="H1648" s="3">
        <v>2.4321000069999998</v>
      </c>
      <c r="I1648" s="3">
        <v>1.0791004999999999E-2</v>
      </c>
      <c r="J1648" s="3">
        <v>66.502237089999994</v>
      </c>
      <c r="K1648" s="3">
        <v>6.4135513000000005E-2</v>
      </c>
      <c r="L1648" s="3">
        <v>9.4656841000000005E-2</v>
      </c>
      <c r="M1648" s="3">
        <v>1</v>
      </c>
      <c r="N1648" s="3">
        <v>6.4135513000000005E-2</v>
      </c>
      <c r="O1648" s="3">
        <v>4.7746248999999998E-2</v>
      </c>
      <c r="P1648" s="3">
        <v>9.8574678999999998E-2</v>
      </c>
      <c r="Q1648" s="3">
        <v>0.18828661399999999</v>
      </c>
      <c r="R1648" s="3">
        <v>0.74445882900000004</v>
      </c>
      <c r="S1648" s="3">
        <v>18.910292429999998</v>
      </c>
      <c r="T1648" s="3">
        <v>2.9434849340000002</v>
      </c>
      <c r="U1648" s="3">
        <v>0.74641718800000001</v>
      </c>
      <c r="V1648" s="3">
        <v>0.32244186000000002</v>
      </c>
      <c r="W1648" s="3">
        <v>0.92610137400000003</v>
      </c>
      <c r="X1648" s="3">
        <v>2.9369053580000002</v>
      </c>
      <c r="Y1648" s="3">
        <v>22.726589879999999</v>
      </c>
      <c r="Z1648" s="3">
        <v>3.9434849340000002</v>
      </c>
      <c r="AA1648" s="3">
        <v>9.4656841000000005E-2</v>
      </c>
      <c r="AB1648" s="3">
        <v>12.55277177</v>
      </c>
      <c r="AC1648" s="3">
        <v>3.171256885</v>
      </c>
      <c r="AD1648" s="3">
        <v>0.104557287</v>
      </c>
      <c r="AE1648" s="3">
        <v>0</v>
      </c>
      <c r="AF1648" s="4">
        <v>41751</v>
      </c>
      <c r="AG1648" s="5">
        <f>YEAR(AF1648)</f>
        <v>2014</v>
      </c>
      <c r="AH1648" s="5" t="str">
        <f>"Q"&amp;ROUNDUP(MONTH(AF1648)/3,0)</f>
        <v>Q2</v>
      </c>
      <c r="AI1648" s="5">
        <f>INDEX(RatingLookup!$B$2:$B$11,MATCH(A1648,RatingLookup!$A$2:$A$11,0))</f>
        <v>8</v>
      </c>
      <c r="AJ1648" s="5" t="str">
        <f>INDEX(RatingLookup!$C$2:$C$11,MATCH(A1648,RatingLookup!$A$2:$A$11,0))</f>
        <v>Investment Grade</v>
      </c>
    </row>
    <row r="1649" spans="1:36" x14ac:dyDescent="0.3">
      <c r="A1649" s="3" t="s">
        <v>49</v>
      </c>
      <c r="B1649" s="3" t="s">
        <v>1732</v>
      </c>
      <c r="C1649" s="3" t="s">
        <v>1733</v>
      </c>
      <c r="D1649" s="3" t="s">
        <v>47</v>
      </c>
      <c r="E1649" s="3" t="s">
        <v>1734</v>
      </c>
      <c r="F1649" s="3" t="s">
        <v>246</v>
      </c>
      <c r="G1649" s="3">
        <v>1.8582836709999999</v>
      </c>
      <c r="H1649" s="3">
        <v>1.672824791</v>
      </c>
      <c r="I1649" s="3">
        <v>0.87330154900000001</v>
      </c>
      <c r="J1649" s="3">
        <v>41.208916070000001</v>
      </c>
      <c r="K1649" s="3">
        <v>1.490938E-2</v>
      </c>
      <c r="L1649" s="3">
        <v>1.7994716000000001E-2</v>
      </c>
      <c r="M1649" s="3">
        <v>1</v>
      </c>
      <c r="N1649" s="3">
        <v>2.4812015999999999E-2</v>
      </c>
      <c r="O1649" s="3">
        <v>2.0765252000000001E-2</v>
      </c>
      <c r="P1649" s="3">
        <v>3.1962720999999999E-2</v>
      </c>
      <c r="Q1649" s="3">
        <v>0.173436493</v>
      </c>
      <c r="R1649" s="3">
        <v>1.392764326</v>
      </c>
      <c r="S1649" s="3">
        <v>3.0248686710000001</v>
      </c>
      <c r="T1649" s="3">
        <v>7.3522458630000003</v>
      </c>
      <c r="U1649" s="3">
        <v>0.88027172399999998</v>
      </c>
      <c r="V1649" s="3">
        <v>0.17145790599999999</v>
      </c>
      <c r="W1649" s="3">
        <v>0.70163525500000001</v>
      </c>
      <c r="X1649" s="3">
        <v>5.2739583330000004</v>
      </c>
      <c r="Y1649" s="3">
        <v>8.2541666669999998</v>
      </c>
      <c r="Z1649" s="3">
        <v>8.3522458630000003</v>
      </c>
      <c r="AA1649" s="3">
        <v>1.7994716000000001E-2</v>
      </c>
      <c r="AB1649" s="3">
        <v>26.093033429999998</v>
      </c>
      <c r="AC1649" s="3">
        <v>7.516666667</v>
      </c>
      <c r="AD1649" s="3">
        <v>0.13331609</v>
      </c>
      <c r="AE1649" s="3">
        <v>1.7954345920000001</v>
      </c>
      <c r="AF1649" s="4">
        <v>41149</v>
      </c>
      <c r="AG1649" s="5">
        <f>YEAR(AF1649)</f>
        <v>2012</v>
      </c>
      <c r="AH1649" s="5" t="str">
        <f>"Q"&amp;ROUNDUP(MONTH(AF1649)/3,0)</f>
        <v>Q3</v>
      </c>
      <c r="AI1649" s="5">
        <f>INDEX(RatingLookup!$B$2:$B$11,MATCH(A1649,RatingLookup!$A$2:$A$11,0))</f>
        <v>9</v>
      </c>
      <c r="AJ1649" s="5" t="str">
        <f>INDEX(RatingLookup!$C$2:$C$11,MATCH(A1649,RatingLookup!$A$2:$A$11,0))</f>
        <v>Investment Grade</v>
      </c>
    </row>
    <row r="1650" spans="1:36" x14ac:dyDescent="0.3">
      <c r="A1650" s="3" t="s">
        <v>49</v>
      </c>
      <c r="B1650" s="3" t="s">
        <v>1732</v>
      </c>
      <c r="C1650" s="3" t="s">
        <v>1733</v>
      </c>
      <c r="D1650" s="3" t="s">
        <v>47</v>
      </c>
      <c r="E1650" s="3" t="s">
        <v>1735</v>
      </c>
      <c r="F1650" s="3" t="s">
        <v>246</v>
      </c>
      <c r="G1650" s="3">
        <v>1.8857844640000001</v>
      </c>
      <c r="H1650" s="3">
        <v>1.615136629</v>
      </c>
      <c r="I1650" s="3">
        <v>0.46576604199999999</v>
      </c>
      <c r="J1650" s="3">
        <v>42.929855949999997</v>
      </c>
      <c r="K1650" s="3">
        <v>7.1631673000000007E-2</v>
      </c>
      <c r="L1650" s="3">
        <v>0.108765653</v>
      </c>
      <c r="M1650" s="3">
        <v>1</v>
      </c>
      <c r="N1650" s="3">
        <v>0.11449016099999999</v>
      </c>
      <c r="O1650" s="3">
        <v>0.109622201</v>
      </c>
      <c r="P1650" s="3">
        <v>0.20491715999999999</v>
      </c>
      <c r="Q1650" s="3">
        <v>0.54072494699999996</v>
      </c>
      <c r="R1650" s="3">
        <v>1.5303593559999999</v>
      </c>
      <c r="S1650" s="3">
        <v>3.0137336129999999</v>
      </c>
      <c r="T1650" s="3">
        <v>3.9326226009999998</v>
      </c>
      <c r="U1650" s="3">
        <v>0.79726808999999998</v>
      </c>
      <c r="V1650" s="3">
        <v>0.34141274199999999</v>
      </c>
      <c r="W1650" s="3">
        <v>0.71652764000000002</v>
      </c>
      <c r="X1650" s="3">
        <v>5.1661569829999996</v>
      </c>
      <c r="Y1650" s="3">
        <v>4.3577981650000002</v>
      </c>
      <c r="Z1650" s="3">
        <v>4.9326226010000003</v>
      </c>
      <c r="AA1650" s="3">
        <v>0.108765653</v>
      </c>
      <c r="AB1650" s="3">
        <v>10.53130883</v>
      </c>
      <c r="AC1650" s="3">
        <v>7.2099898060000003</v>
      </c>
      <c r="AD1650" s="3">
        <v>0.13318896499999999</v>
      </c>
      <c r="AE1650" s="3">
        <v>1.7591304350000001</v>
      </c>
      <c r="AF1650" s="4">
        <v>40956</v>
      </c>
      <c r="AG1650" s="5">
        <f>YEAR(AF1650)</f>
        <v>2012</v>
      </c>
      <c r="AH1650" s="5" t="str">
        <f>"Q"&amp;ROUNDUP(MONTH(AF1650)/3,0)</f>
        <v>Q1</v>
      </c>
      <c r="AI1650" s="5">
        <f>INDEX(RatingLookup!$B$2:$B$11,MATCH(A1650,RatingLookup!$A$2:$A$11,0))</f>
        <v>9</v>
      </c>
      <c r="AJ1650" s="5" t="str">
        <f>INDEX(RatingLookup!$C$2:$C$11,MATCH(A1650,RatingLookup!$A$2:$A$11,0))</f>
        <v>Investment Grade</v>
      </c>
    </row>
    <row r="1651" spans="1:36" x14ac:dyDescent="0.3">
      <c r="A1651" s="3" t="s">
        <v>42</v>
      </c>
      <c r="B1651" s="3" t="s">
        <v>1736</v>
      </c>
      <c r="C1651" s="3" t="s">
        <v>1737</v>
      </c>
      <c r="D1651" s="3" t="s">
        <v>47</v>
      </c>
      <c r="E1651" s="3" t="s">
        <v>586</v>
      </c>
      <c r="F1651" s="3" t="s">
        <v>174</v>
      </c>
      <c r="G1651" s="3">
        <v>1.129548088</v>
      </c>
      <c r="H1651" s="3">
        <v>0.31066048699999999</v>
      </c>
      <c r="I1651" s="3">
        <v>0.31066048699999999</v>
      </c>
      <c r="J1651" s="3">
        <v>0</v>
      </c>
      <c r="K1651" s="3">
        <v>3.9183583000000001E-2</v>
      </c>
      <c r="L1651" s="3">
        <v>6.2923833999999998E-2</v>
      </c>
      <c r="M1651" s="3">
        <v>0.29438575099999997</v>
      </c>
      <c r="N1651" s="3">
        <v>6.3443774999999994E-2</v>
      </c>
      <c r="O1651" s="3">
        <v>8.6571834E-2</v>
      </c>
      <c r="P1651" s="3">
        <v>0.24046672899999999</v>
      </c>
      <c r="Q1651" s="3">
        <v>0.15732433200000001</v>
      </c>
      <c r="R1651" s="3">
        <v>2.2093904289999999</v>
      </c>
      <c r="S1651" s="3">
        <v>18.98257035</v>
      </c>
      <c r="T1651" s="3">
        <v>0.81726925500000003</v>
      </c>
      <c r="U1651" s="3">
        <v>0.44972381099999997</v>
      </c>
      <c r="V1651" s="3">
        <v>0.37728551300000002</v>
      </c>
      <c r="W1651" s="3">
        <v>0.83532188299999999</v>
      </c>
      <c r="X1651" s="3">
        <v>5.4452991449999999</v>
      </c>
      <c r="Y1651" s="3">
        <v>4.5829059829999998</v>
      </c>
      <c r="Z1651" s="3">
        <v>1.817269255</v>
      </c>
      <c r="AA1651" s="3">
        <v>6.2923833999999998E-2</v>
      </c>
      <c r="AB1651" s="3">
        <v>5.1462471369999996</v>
      </c>
      <c r="AC1651" s="3">
        <v>6.5188034190000002</v>
      </c>
      <c r="AD1651" s="3">
        <v>8.4374136000000002E-2</v>
      </c>
      <c r="AE1651" s="3">
        <v>8.1367521370000002</v>
      </c>
      <c r="AF1651" s="4">
        <v>41904</v>
      </c>
      <c r="AG1651" s="5">
        <f>YEAR(AF1651)</f>
        <v>2014</v>
      </c>
      <c r="AH1651" s="5" t="str">
        <f>"Q"&amp;ROUNDUP(MONTH(AF1651)/3,0)</f>
        <v>Q3</v>
      </c>
      <c r="AI1651" s="5">
        <f>INDEX(RatingLookup!$B$2:$B$11,MATCH(A1651,RatingLookup!$A$2:$A$11,0))</f>
        <v>7</v>
      </c>
      <c r="AJ1651" s="5" t="str">
        <f>INDEX(RatingLookup!$C$2:$C$11,MATCH(A1651,RatingLookup!$A$2:$A$11,0))</f>
        <v>Investment Grade</v>
      </c>
    </row>
    <row r="1652" spans="1:36" x14ac:dyDescent="0.3">
      <c r="A1652" s="3" t="s">
        <v>92</v>
      </c>
      <c r="B1652" s="3" t="s">
        <v>1736</v>
      </c>
      <c r="C1652" s="3" t="s">
        <v>1737</v>
      </c>
      <c r="D1652" s="3" t="s">
        <v>47</v>
      </c>
      <c r="E1652" s="3" t="s">
        <v>1738</v>
      </c>
      <c r="F1652" s="3" t="s">
        <v>174</v>
      </c>
      <c r="G1652" s="3">
        <v>1.257852046</v>
      </c>
      <c r="H1652" s="3">
        <v>0.37208025900000002</v>
      </c>
      <c r="I1652" s="3">
        <v>0.37208025900000002</v>
      </c>
      <c r="J1652" s="3">
        <v>0</v>
      </c>
      <c r="K1652" s="3">
        <v>4.2287005000000003E-2</v>
      </c>
      <c r="L1652" s="3">
        <v>6.5436747000000003E-2</v>
      </c>
      <c r="M1652" s="3">
        <v>0.29861230599999999</v>
      </c>
      <c r="N1652" s="3">
        <v>6.6512478E-2</v>
      </c>
      <c r="O1652" s="3">
        <v>9.2574712000000003E-2</v>
      </c>
      <c r="P1652" s="3">
        <v>0.23336914</v>
      </c>
      <c r="Q1652" s="3">
        <v>0.19011462000000001</v>
      </c>
      <c r="R1652" s="3">
        <v>2.1892000089999999</v>
      </c>
      <c r="S1652" s="3">
        <v>20.466754730000002</v>
      </c>
      <c r="T1652" s="3">
        <v>1.053634473</v>
      </c>
      <c r="U1652" s="3">
        <v>0.51305842700000004</v>
      </c>
      <c r="V1652" s="3">
        <v>0.35377280900000002</v>
      </c>
      <c r="W1652" s="3">
        <v>0.667845994</v>
      </c>
      <c r="X1652" s="3">
        <v>2.8398230089999998</v>
      </c>
      <c r="Y1652" s="3">
        <v>5.3991150440000002</v>
      </c>
      <c r="Z1652" s="3">
        <v>2.0536344729999998</v>
      </c>
      <c r="AA1652" s="3">
        <v>6.5436747000000003E-2</v>
      </c>
      <c r="AB1652" s="3">
        <v>5.424159747</v>
      </c>
      <c r="AC1652" s="3">
        <v>4.2522123890000003</v>
      </c>
      <c r="AD1652" s="3">
        <v>5.1688897999999997E-2</v>
      </c>
      <c r="AE1652" s="3">
        <v>7.9942373709999996</v>
      </c>
      <c r="AF1652" s="4">
        <v>42431</v>
      </c>
      <c r="AG1652" s="5">
        <f>YEAR(AF1652)</f>
        <v>2016</v>
      </c>
      <c r="AH1652" s="5" t="str">
        <f>"Q"&amp;ROUNDUP(MONTH(AF1652)/3,0)</f>
        <v>Q1</v>
      </c>
      <c r="AI1652" s="5">
        <f>INDEX(RatingLookup!$B$2:$B$11,MATCH(A1652,RatingLookup!$A$2:$A$11,0))</f>
        <v>6</v>
      </c>
      <c r="AJ1652" s="5" t="str">
        <f>INDEX(RatingLookup!$C$2:$C$11,MATCH(A1652,RatingLookup!$A$2:$A$11,0))</f>
        <v>Speculative Grade</v>
      </c>
    </row>
    <row r="1653" spans="1:36" x14ac:dyDescent="0.3">
      <c r="A1653" s="3" t="s">
        <v>109</v>
      </c>
      <c r="B1653" s="3" t="s">
        <v>1739</v>
      </c>
      <c r="C1653" s="3" t="s">
        <v>1740</v>
      </c>
      <c r="D1653" s="3" t="s">
        <v>47</v>
      </c>
      <c r="E1653" s="3" t="s">
        <v>1741</v>
      </c>
      <c r="F1653" s="3" t="s">
        <v>174</v>
      </c>
      <c r="G1653" s="3">
        <v>1.611217482</v>
      </c>
      <c r="H1653" s="3">
        <v>0.84727778200000003</v>
      </c>
      <c r="I1653" s="3">
        <v>1.9145432E-2</v>
      </c>
      <c r="J1653" s="3">
        <v>32.629441380000003</v>
      </c>
      <c r="K1653" s="3">
        <v>2.2669162999999999E-2</v>
      </c>
      <c r="L1653" s="3">
        <v>3.4031780000000002E-3</v>
      </c>
      <c r="M1653" s="3">
        <v>0.25077379900000002</v>
      </c>
      <c r="N1653" s="3">
        <v>3.7117239000000003E-2</v>
      </c>
      <c r="O1653" s="3">
        <v>4.9603644000000002E-2</v>
      </c>
      <c r="P1653" s="3">
        <v>1.0054334E-2</v>
      </c>
      <c r="Q1653" s="3">
        <v>0.46618758500000002</v>
      </c>
      <c r="R1653" s="3">
        <v>2.1881550729999999</v>
      </c>
      <c r="S1653" s="3">
        <v>9.7047314359999994</v>
      </c>
      <c r="T1653" s="3">
        <v>8.3982526970000002</v>
      </c>
      <c r="U1653" s="3">
        <v>0.89359724299999999</v>
      </c>
      <c r="V1653" s="3">
        <v>-5.6611749500000004</v>
      </c>
      <c r="W1653" s="3">
        <v>0.73037471499999995</v>
      </c>
      <c r="X1653" s="3">
        <v>1.0434386120000001</v>
      </c>
      <c r="Y1653" s="3">
        <v>0.63410802300000002</v>
      </c>
      <c r="Z1653" s="3">
        <v>9.3982526970000002</v>
      </c>
      <c r="AA1653" s="3">
        <v>3.4031780000000002E-3</v>
      </c>
      <c r="AB1653" s="3">
        <v>8.4562480099999995</v>
      </c>
      <c r="AC1653" s="3">
        <v>1.4286346320000001</v>
      </c>
      <c r="AD1653" s="3">
        <v>2.4849999000000001E-2</v>
      </c>
      <c r="AE1653" s="3">
        <v>11.642297060000001</v>
      </c>
      <c r="AF1653" s="4">
        <v>42573</v>
      </c>
      <c r="AG1653" s="5">
        <f>YEAR(AF1653)</f>
        <v>2016</v>
      </c>
      <c r="AH1653" s="5" t="str">
        <f>"Q"&amp;ROUNDUP(MONTH(AF1653)/3,0)</f>
        <v>Q3</v>
      </c>
      <c r="AI1653" s="5">
        <f>INDEX(RatingLookup!$B$2:$B$11,MATCH(A1653,RatingLookup!$A$2:$A$11,0))</f>
        <v>5</v>
      </c>
      <c r="AJ1653" s="5" t="str">
        <f>INDEX(RatingLookup!$C$2:$C$11,MATCH(A1653,RatingLookup!$A$2:$A$11,0))</f>
        <v>Speculative Grade</v>
      </c>
    </row>
    <row r="1654" spans="1:36" x14ac:dyDescent="0.3">
      <c r="A1654" s="3" t="s">
        <v>109</v>
      </c>
      <c r="B1654" s="3" t="s">
        <v>1739</v>
      </c>
      <c r="C1654" s="3" t="s">
        <v>1740</v>
      </c>
      <c r="D1654" s="3" t="s">
        <v>47</v>
      </c>
      <c r="E1654" s="3" t="s">
        <v>1742</v>
      </c>
      <c r="F1654" s="3" t="s">
        <v>174</v>
      </c>
      <c r="G1654" s="3">
        <v>1.624411415</v>
      </c>
      <c r="H1654" s="3">
        <v>0.88595121600000004</v>
      </c>
      <c r="I1654" s="3">
        <v>8.8492433999999995E-2</v>
      </c>
      <c r="J1654" s="3">
        <v>54.123332660000003</v>
      </c>
      <c r="K1654" s="3">
        <v>-6.4052409999999999E-3</v>
      </c>
      <c r="L1654" s="3">
        <v>-5.2131829999999997E-3</v>
      </c>
      <c r="M1654" s="3">
        <v>0.252904185</v>
      </c>
      <c r="N1654" s="3">
        <v>2.5422614E-2</v>
      </c>
      <c r="O1654" s="3">
        <v>-7.9218250000000004E-3</v>
      </c>
      <c r="P1654" s="3">
        <v>-8.6556740000000004E-3</v>
      </c>
      <c r="Q1654" s="3">
        <v>-0.15302791600000001</v>
      </c>
      <c r="R1654" s="3">
        <v>1.236772381</v>
      </c>
      <c r="S1654" s="3">
        <v>4.8539891519999996</v>
      </c>
      <c r="T1654" s="3">
        <v>18.317255939999999</v>
      </c>
      <c r="U1654" s="3">
        <v>0.94823281299999995</v>
      </c>
      <c r="V1654" s="3">
        <v>-0.23608868799999999</v>
      </c>
      <c r="W1654" s="3">
        <v>0.75252776300000002</v>
      </c>
      <c r="X1654" s="3">
        <v>1.291045644</v>
      </c>
      <c r="Y1654" s="3">
        <v>1.1904351200000001</v>
      </c>
      <c r="Z1654" s="3">
        <v>19.317255939999999</v>
      </c>
      <c r="AA1654" s="3">
        <v>-5.2131829999999997E-3</v>
      </c>
      <c r="AB1654" s="3">
        <v>16.178802449999999</v>
      </c>
      <c r="AC1654" s="3">
        <v>1.7156119780000001</v>
      </c>
      <c r="AD1654" s="3">
        <v>4.9666916999999998E-2</v>
      </c>
      <c r="AE1654" s="3">
        <v>7.2888705810000003</v>
      </c>
      <c r="AF1654" s="4">
        <v>42198</v>
      </c>
      <c r="AG1654" s="5">
        <f>YEAR(AF1654)</f>
        <v>2015</v>
      </c>
      <c r="AH1654" s="5" t="str">
        <f>"Q"&amp;ROUNDUP(MONTH(AF1654)/3,0)</f>
        <v>Q3</v>
      </c>
      <c r="AI1654" s="5">
        <f>INDEX(RatingLookup!$B$2:$B$11,MATCH(A1654,RatingLookup!$A$2:$A$11,0))</f>
        <v>5</v>
      </c>
      <c r="AJ1654" s="5" t="str">
        <f>INDEX(RatingLookup!$C$2:$C$11,MATCH(A1654,RatingLookup!$A$2:$A$11,0))</f>
        <v>Speculative Grade</v>
      </c>
    </row>
    <row r="1655" spans="1:36" x14ac:dyDescent="0.3">
      <c r="A1655" s="3" t="s">
        <v>116</v>
      </c>
      <c r="B1655" s="3" t="s">
        <v>1743</v>
      </c>
      <c r="C1655" s="3" t="s">
        <v>1744</v>
      </c>
      <c r="D1655" s="3" t="s">
        <v>60</v>
      </c>
      <c r="E1655" s="3" t="s">
        <v>823</v>
      </c>
      <c r="F1655" s="3" t="s">
        <v>246</v>
      </c>
      <c r="G1655" s="3">
        <v>4.4359362510000002</v>
      </c>
      <c r="H1655" s="3">
        <v>4.1331185049999997</v>
      </c>
      <c r="I1655" s="3">
        <v>2.6479266589999999</v>
      </c>
      <c r="J1655" s="3">
        <v>55.049547939999997</v>
      </c>
      <c r="K1655" s="3">
        <v>-6.5212527000000006E-2</v>
      </c>
      <c r="L1655" s="3">
        <v>-2.9199724E-2</v>
      </c>
      <c r="M1655" s="3">
        <v>0.29024419400000001</v>
      </c>
      <c r="N1655" s="3">
        <v>2.0028708999999999E-2</v>
      </c>
      <c r="O1655" s="3">
        <v>-2.1592764E-2</v>
      </c>
      <c r="P1655" s="3">
        <v>-1.0316693E-2</v>
      </c>
      <c r="Q1655" s="3">
        <v>-5.4124108999999997E-2</v>
      </c>
      <c r="R1655" s="3">
        <v>0.33111373999999999</v>
      </c>
      <c r="S1655" s="3">
        <v>0.66602636400000004</v>
      </c>
      <c r="T1655" s="3">
        <v>1.506585512</v>
      </c>
      <c r="U1655" s="3">
        <v>0.60105091399999999</v>
      </c>
      <c r="V1655" s="3">
        <v>0.36892005999999999</v>
      </c>
      <c r="W1655" s="3">
        <v>-0.72899735300000001</v>
      </c>
      <c r="X1655" s="3">
        <v>-7.1518984400000001</v>
      </c>
      <c r="Y1655" s="3">
        <v>38.301258320000002</v>
      </c>
      <c r="Z1655" s="3">
        <v>2.506585512</v>
      </c>
      <c r="AA1655" s="3">
        <v>-2.9199724E-2</v>
      </c>
      <c r="AB1655" s="3">
        <v>8.6486134230000005</v>
      </c>
      <c r="AC1655" s="3">
        <v>9.8105958930000003</v>
      </c>
      <c r="AD1655" s="3">
        <v>0.16227473000000001</v>
      </c>
      <c r="AE1655" s="3">
        <v>10.404227819999999</v>
      </c>
      <c r="AF1655" s="4">
        <v>42443</v>
      </c>
      <c r="AG1655" s="5">
        <f>YEAR(AF1655)</f>
        <v>2016</v>
      </c>
      <c r="AH1655" s="5" t="str">
        <f>"Q"&amp;ROUNDUP(MONTH(AF1655)/3,0)</f>
        <v>Q1</v>
      </c>
      <c r="AI1655" s="5">
        <f>INDEX(RatingLookup!$B$2:$B$11,MATCH(A1655,RatingLookup!$A$2:$A$11,0))</f>
        <v>4</v>
      </c>
      <c r="AJ1655" s="5" t="str">
        <f>INDEX(RatingLookup!$C$2:$C$11,MATCH(A1655,RatingLookup!$A$2:$A$11,0))</f>
        <v>Speculative Grade</v>
      </c>
    </row>
    <row r="1656" spans="1:36" x14ac:dyDescent="0.3">
      <c r="A1656" s="3" t="s">
        <v>92</v>
      </c>
      <c r="B1656" s="3" t="s">
        <v>1743</v>
      </c>
      <c r="C1656" s="3" t="s">
        <v>1744</v>
      </c>
      <c r="D1656" s="3" t="s">
        <v>39</v>
      </c>
      <c r="E1656" s="3" t="s">
        <v>1745</v>
      </c>
      <c r="F1656" s="3" t="s">
        <v>246</v>
      </c>
      <c r="G1656" s="3">
        <v>3.389224075</v>
      </c>
      <c r="H1656" s="3">
        <v>3.0166575610000002</v>
      </c>
      <c r="I1656" s="3">
        <v>2.073095956</v>
      </c>
      <c r="J1656" s="3">
        <v>63.142057229999999</v>
      </c>
      <c r="K1656" s="3">
        <v>2.9640687999999998E-2</v>
      </c>
      <c r="L1656" s="3">
        <v>3.8603447999999999E-2</v>
      </c>
      <c r="M1656" s="3">
        <v>0.27131291299999999</v>
      </c>
      <c r="N1656" s="3">
        <v>8.0208646999999994E-2</v>
      </c>
      <c r="O1656" s="3">
        <v>1.1863683E-2</v>
      </c>
      <c r="P1656" s="3">
        <v>1.6824643E-2</v>
      </c>
      <c r="Q1656" s="3">
        <v>2.6391082E-2</v>
      </c>
      <c r="R1656" s="3">
        <v>0.40024991700000001</v>
      </c>
      <c r="S1656" s="3">
        <v>0.84484348099999995</v>
      </c>
      <c r="T1656" s="3">
        <v>1.224526931</v>
      </c>
      <c r="U1656" s="3">
        <v>0.55046622000000001</v>
      </c>
      <c r="V1656" s="3">
        <v>0.55550478700000006</v>
      </c>
      <c r="W1656" s="3">
        <v>-5.8775523000000003E-2</v>
      </c>
      <c r="X1656" s="3">
        <v>-0.54664849400000004</v>
      </c>
      <c r="Y1656" s="3">
        <v>27.733400809999999</v>
      </c>
      <c r="Z1656" s="3">
        <v>2.2245269310000002</v>
      </c>
      <c r="AA1656" s="3">
        <v>3.8603447999999999E-2</v>
      </c>
      <c r="AB1656" s="3">
        <v>8.5912140830000006</v>
      </c>
      <c r="AC1656" s="3">
        <v>9.3006146489999999</v>
      </c>
      <c r="AD1656" s="3">
        <v>0.14834454699999999</v>
      </c>
      <c r="AE1656" s="3">
        <v>10.632930500000001</v>
      </c>
      <c r="AF1656" s="4">
        <v>41738</v>
      </c>
      <c r="AG1656" s="5">
        <f>YEAR(AF1656)</f>
        <v>2014</v>
      </c>
      <c r="AH1656" s="5" t="str">
        <f>"Q"&amp;ROUNDUP(MONTH(AF1656)/3,0)</f>
        <v>Q2</v>
      </c>
      <c r="AI1656" s="5">
        <f>INDEX(RatingLookup!$B$2:$B$11,MATCH(A1656,RatingLookup!$A$2:$A$11,0))</f>
        <v>6</v>
      </c>
      <c r="AJ1656" s="5" t="str">
        <f>INDEX(RatingLookup!$C$2:$C$11,MATCH(A1656,RatingLookup!$A$2:$A$11,0))</f>
        <v>Speculative Grade</v>
      </c>
    </row>
    <row r="1657" spans="1:36" x14ac:dyDescent="0.3">
      <c r="A1657" s="3" t="s">
        <v>92</v>
      </c>
      <c r="B1657" s="3" t="s">
        <v>1743</v>
      </c>
      <c r="C1657" s="3" t="s">
        <v>1744</v>
      </c>
      <c r="D1657" s="3" t="s">
        <v>39</v>
      </c>
      <c r="E1657" s="3" t="s">
        <v>710</v>
      </c>
      <c r="F1657" s="3" t="s">
        <v>246</v>
      </c>
      <c r="G1657" s="3">
        <v>3.0645111470000002</v>
      </c>
      <c r="H1657" s="3">
        <v>2.6380624589999999</v>
      </c>
      <c r="I1657" s="3">
        <v>1.596536902</v>
      </c>
      <c r="J1657" s="3">
        <v>62.311432369999999</v>
      </c>
      <c r="K1657" s="3">
        <v>7.5892417000000004E-2</v>
      </c>
      <c r="L1657" s="3">
        <v>0.123719677</v>
      </c>
      <c r="M1657" s="3">
        <v>0.310765397</v>
      </c>
      <c r="N1657" s="3">
        <v>0.12524158799999999</v>
      </c>
      <c r="O1657" s="3">
        <v>3.0857005E-2</v>
      </c>
      <c r="P1657" s="3">
        <v>5.4904342000000002E-2</v>
      </c>
      <c r="Q1657" s="3">
        <v>7.1548716999999998E-2</v>
      </c>
      <c r="R1657" s="3">
        <v>0.40658877700000001</v>
      </c>
      <c r="S1657" s="3">
        <v>0.87803134800000004</v>
      </c>
      <c r="T1657" s="3">
        <v>1.3187187650000001</v>
      </c>
      <c r="U1657" s="3">
        <v>0.56872734400000002</v>
      </c>
      <c r="V1657" s="3">
        <v>0.33814439299999999</v>
      </c>
      <c r="W1657" s="3">
        <v>-0.88438306600000005</v>
      </c>
      <c r="X1657" s="3">
        <v>-8.7532348520000003</v>
      </c>
      <c r="Y1657" s="3">
        <v>25.454068719999999</v>
      </c>
      <c r="Z1657" s="3">
        <v>2.3187187649999998</v>
      </c>
      <c r="AA1657" s="3">
        <v>0.123719677</v>
      </c>
      <c r="AB1657" s="3">
        <v>6.0166313840000001</v>
      </c>
      <c r="AC1657" s="3">
        <v>9.8975604409999995</v>
      </c>
      <c r="AD1657" s="3">
        <v>0.14505295600000001</v>
      </c>
      <c r="AE1657" s="3">
        <v>8.7641865840000008</v>
      </c>
      <c r="AF1657" s="4">
        <v>41946</v>
      </c>
      <c r="AG1657" s="5">
        <f>YEAR(AF1657)</f>
        <v>2014</v>
      </c>
      <c r="AH1657" s="5" t="str">
        <f>"Q"&amp;ROUNDUP(MONTH(AF1657)/3,0)</f>
        <v>Q4</v>
      </c>
      <c r="AI1657" s="5">
        <f>INDEX(RatingLookup!$B$2:$B$11,MATCH(A1657,RatingLookup!$A$2:$A$11,0))</f>
        <v>6</v>
      </c>
      <c r="AJ1657" s="5" t="str">
        <f>INDEX(RatingLookup!$C$2:$C$11,MATCH(A1657,RatingLookup!$A$2:$A$11,0))</f>
        <v>Speculative Grade</v>
      </c>
    </row>
    <row r="1658" spans="1:36" x14ac:dyDescent="0.3">
      <c r="A1658" s="3" t="s">
        <v>92</v>
      </c>
      <c r="B1658" s="3" t="s">
        <v>1743</v>
      </c>
      <c r="C1658" s="3" t="s">
        <v>1744</v>
      </c>
      <c r="D1658" s="3" t="s">
        <v>60</v>
      </c>
      <c r="E1658" s="3" t="s">
        <v>46</v>
      </c>
      <c r="F1658" s="3" t="s">
        <v>246</v>
      </c>
      <c r="G1658" s="3">
        <v>2.5914809999999999</v>
      </c>
      <c r="H1658" s="3">
        <v>1.3311690899999999</v>
      </c>
      <c r="I1658" s="3">
        <v>1.1645597050000001</v>
      </c>
      <c r="J1658" s="3">
        <v>0</v>
      </c>
      <c r="K1658" s="3">
        <v>1.9167653E-2</v>
      </c>
      <c r="L1658" s="3">
        <v>2.4927846E-2</v>
      </c>
      <c r="M1658" s="3">
        <v>0.20250548299999999</v>
      </c>
      <c r="N1658" s="3">
        <v>5.7580457000000002E-2</v>
      </c>
      <c r="O1658" s="3">
        <v>1.0451782E-2</v>
      </c>
      <c r="P1658" s="3">
        <v>1.5140327E-2</v>
      </c>
      <c r="Q1658" s="3">
        <v>2.2941349999999999E-2</v>
      </c>
      <c r="R1658" s="3">
        <v>0.54528231500000002</v>
      </c>
      <c r="S1658" s="3">
        <v>0.97981310799999999</v>
      </c>
      <c r="T1658" s="3">
        <v>1.194970181</v>
      </c>
      <c r="U1658" s="3">
        <v>0.54441294500000004</v>
      </c>
      <c r="V1658" s="3">
        <v>0.39676742700000001</v>
      </c>
      <c r="W1658" s="3">
        <v>-0.60858137199999995</v>
      </c>
      <c r="X1658" s="3">
        <v>-5.9530401839999998</v>
      </c>
      <c r="Y1658" s="3">
        <v>25.30836369</v>
      </c>
      <c r="Z1658" s="3">
        <v>2.194970181</v>
      </c>
      <c r="AA1658" s="3">
        <v>2.4927846E-2</v>
      </c>
      <c r="AB1658" s="3">
        <v>3.1266415759999999</v>
      </c>
      <c r="AC1658" s="3">
        <v>9.7818310799999999</v>
      </c>
      <c r="AD1658" s="3">
        <v>9.6448457000000001E-2</v>
      </c>
      <c r="AE1658" s="3">
        <v>8.4343251299999995</v>
      </c>
      <c r="AF1658" s="4">
        <v>41075</v>
      </c>
      <c r="AG1658" s="5">
        <f>YEAR(AF1658)</f>
        <v>2012</v>
      </c>
      <c r="AH1658" s="5" t="str">
        <f>"Q"&amp;ROUNDUP(MONTH(AF1658)/3,0)</f>
        <v>Q2</v>
      </c>
      <c r="AI1658" s="5">
        <f>INDEX(RatingLookup!$B$2:$B$11,MATCH(A1658,RatingLookup!$A$2:$A$11,0))</f>
        <v>6</v>
      </c>
      <c r="AJ1658" s="5" t="str">
        <f>INDEX(RatingLookup!$C$2:$C$11,MATCH(A1658,RatingLookup!$A$2:$A$11,0))</f>
        <v>Speculative Grade</v>
      </c>
    </row>
    <row r="1659" spans="1:36" x14ac:dyDescent="0.3">
      <c r="A1659" s="3" t="s">
        <v>92</v>
      </c>
      <c r="B1659" s="3" t="s">
        <v>1746</v>
      </c>
      <c r="C1659" s="3" t="s">
        <v>1747</v>
      </c>
      <c r="D1659" s="3" t="s">
        <v>47</v>
      </c>
      <c r="E1659" s="3" t="s">
        <v>1571</v>
      </c>
      <c r="F1659" s="3" t="s">
        <v>174</v>
      </c>
      <c r="G1659" s="3">
        <v>1.3983860050000001</v>
      </c>
      <c r="H1659" s="3">
        <v>1139.5417030000001</v>
      </c>
      <c r="I1659" s="3">
        <v>0.23381189399999999</v>
      </c>
      <c r="J1659" s="3">
        <v>115961.63740000001</v>
      </c>
      <c r="K1659" s="3">
        <v>2.7505082E-2</v>
      </c>
      <c r="L1659" s="3">
        <v>3.7668562000000003E-2</v>
      </c>
      <c r="M1659" s="3">
        <v>4.8245359000000002E-2</v>
      </c>
      <c r="N1659" s="3">
        <v>4.2227015E-2</v>
      </c>
      <c r="O1659" s="3">
        <v>3.7537130000000002E-2</v>
      </c>
      <c r="P1659" s="3">
        <v>8.5829238000000002E-2</v>
      </c>
      <c r="Q1659" s="3">
        <v>0.105123354</v>
      </c>
      <c r="R1659" s="3">
        <v>1.364734361</v>
      </c>
      <c r="S1659" s="3">
        <v>29.636189219999999</v>
      </c>
      <c r="T1659" s="3">
        <v>1.800516529</v>
      </c>
      <c r="U1659" s="3">
        <v>0.64292301500000004</v>
      </c>
      <c r="V1659" s="3">
        <v>0.26056901799999999</v>
      </c>
      <c r="W1659" s="3">
        <v>0.825713692</v>
      </c>
      <c r="X1659" s="3">
        <v>3.0626889930000001</v>
      </c>
      <c r="Y1659" s="3">
        <v>1475.6874499999999</v>
      </c>
      <c r="Z1659" s="3">
        <v>2.8005165289999998</v>
      </c>
      <c r="AA1659" s="3">
        <v>3.7668562000000003E-2</v>
      </c>
      <c r="AB1659" s="3">
        <v>7.8740471940000001</v>
      </c>
      <c r="AC1659" s="3">
        <v>3.709141588</v>
      </c>
      <c r="AD1659" s="3">
        <v>4.3153568000000003E-2</v>
      </c>
      <c r="AE1659" s="3">
        <v>7.5954438450000001</v>
      </c>
      <c r="AF1659" s="4">
        <v>41932</v>
      </c>
      <c r="AG1659" s="5">
        <f>YEAR(AF1659)</f>
        <v>2014</v>
      </c>
      <c r="AH1659" s="5" t="str">
        <f>"Q"&amp;ROUNDUP(MONTH(AF1659)/3,0)</f>
        <v>Q4</v>
      </c>
      <c r="AI1659" s="5">
        <f>INDEX(RatingLookup!$B$2:$B$11,MATCH(A1659,RatingLookup!$A$2:$A$11,0))</f>
        <v>6</v>
      </c>
      <c r="AJ1659" s="5" t="str">
        <f>INDEX(RatingLookup!$C$2:$C$11,MATCH(A1659,RatingLookup!$A$2:$A$11,0))</f>
        <v>Speculative Grade</v>
      </c>
    </row>
    <row r="1660" spans="1:36" x14ac:dyDescent="0.3">
      <c r="A1660" s="3" t="s">
        <v>92</v>
      </c>
      <c r="B1660" s="3" t="s">
        <v>1746</v>
      </c>
      <c r="C1660" s="3" t="s">
        <v>1747</v>
      </c>
      <c r="D1660" s="3" t="s">
        <v>47</v>
      </c>
      <c r="E1660" s="3" t="s">
        <v>1509</v>
      </c>
      <c r="F1660" s="3" t="s">
        <v>174</v>
      </c>
      <c r="G1660" s="3">
        <v>1.291566964</v>
      </c>
      <c r="H1660" s="3">
        <v>1.179906874</v>
      </c>
      <c r="I1660" s="3">
        <v>0.11228498000000001</v>
      </c>
      <c r="J1660" s="3">
        <v>98229.073789999995</v>
      </c>
      <c r="K1660" s="3">
        <v>-8.6073390000000003E-3</v>
      </c>
      <c r="L1660" s="3">
        <v>-8.4197339999999999E-3</v>
      </c>
      <c r="M1660" s="3">
        <v>2.9749392E-2</v>
      </c>
      <c r="N1660" s="3">
        <v>7.1716990000000001E-3</v>
      </c>
      <c r="O1660" s="3">
        <v>-1.1E-5</v>
      </c>
      <c r="P1660" s="3">
        <v>-1.6500000000000001E-5</v>
      </c>
      <c r="Q1660" s="3">
        <v>-4.5399999999999999E-5</v>
      </c>
      <c r="R1660" s="3">
        <v>1.2836799999999999E-3</v>
      </c>
      <c r="S1660" s="3">
        <v>2.5724745E-2</v>
      </c>
      <c r="T1660" s="3">
        <v>3.046984401</v>
      </c>
      <c r="U1660" s="3">
        <v>0.74091153200000004</v>
      </c>
      <c r="V1660" s="3">
        <v>0.52972205699999997</v>
      </c>
      <c r="W1660" s="3">
        <v>0.90917974499999998</v>
      </c>
      <c r="X1660" s="3">
        <v>4.6456134489999998</v>
      </c>
      <c r="Y1660" s="3">
        <v>5779.4926640000003</v>
      </c>
      <c r="Z1660" s="3">
        <v>4.1124807350000001</v>
      </c>
      <c r="AA1660" s="3">
        <v>-8.4197339999999999E-3</v>
      </c>
      <c r="AB1660" s="3">
        <v>-731.90111630000001</v>
      </c>
      <c r="AC1660" s="3">
        <v>5.1096754789999999</v>
      </c>
      <c r="AD1660" s="3">
        <v>4.2492389999999998E-2</v>
      </c>
      <c r="AE1660" s="3">
        <v>9.4146479999999994E-3</v>
      </c>
      <c r="AF1660" s="4">
        <v>42293</v>
      </c>
      <c r="AG1660" s="5">
        <f>YEAR(AF1660)</f>
        <v>2015</v>
      </c>
      <c r="AH1660" s="5" t="str">
        <f>"Q"&amp;ROUNDUP(MONTH(AF1660)/3,0)</f>
        <v>Q4</v>
      </c>
      <c r="AI1660" s="5">
        <f>INDEX(RatingLookup!$B$2:$B$11,MATCH(A1660,RatingLookup!$A$2:$A$11,0))</f>
        <v>6</v>
      </c>
      <c r="AJ1660" s="5" t="str">
        <f>INDEX(RatingLookup!$C$2:$C$11,MATCH(A1660,RatingLookup!$A$2:$A$11,0))</f>
        <v>Speculative Grade</v>
      </c>
    </row>
    <row r="1661" spans="1:36" x14ac:dyDescent="0.3">
      <c r="A1661" s="3" t="s">
        <v>92</v>
      </c>
      <c r="B1661" s="3" t="s">
        <v>1746</v>
      </c>
      <c r="C1661" s="3" t="s">
        <v>1747</v>
      </c>
      <c r="D1661" s="3" t="s">
        <v>47</v>
      </c>
      <c r="E1661" s="3" t="s">
        <v>206</v>
      </c>
      <c r="F1661" s="3" t="s">
        <v>174</v>
      </c>
      <c r="G1661" s="3">
        <v>1.1312058460000001</v>
      </c>
      <c r="H1661" s="3">
        <v>916.65613740000003</v>
      </c>
      <c r="I1661" s="3">
        <v>0.13047631200000001</v>
      </c>
      <c r="J1661" s="3">
        <v>94997.388120000003</v>
      </c>
      <c r="K1661" s="3">
        <v>5.520072E-3</v>
      </c>
      <c r="L1661" s="3">
        <v>7.2113180000000004E-3</v>
      </c>
      <c r="M1661" s="3">
        <v>3.6920939E-2</v>
      </c>
      <c r="N1661" s="3">
        <v>2.1569167E-2</v>
      </c>
      <c r="O1661" s="3">
        <v>7.0015870000000001E-3</v>
      </c>
      <c r="P1661" s="3">
        <v>1.4907999E-2</v>
      </c>
      <c r="Q1661" s="3">
        <v>2.8545071000000002E-2</v>
      </c>
      <c r="R1661" s="3">
        <v>1.2683870070000001</v>
      </c>
      <c r="S1661" s="3">
        <v>26.993861939999999</v>
      </c>
      <c r="T1661" s="3">
        <v>3.0769429989999999</v>
      </c>
      <c r="U1661" s="3">
        <v>0.75471818000000002</v>
      </c>
      <c r="V1661" s="3">
        <v>-0.30199514199999999</v>
      </c>
      <c r="W1661" s="3">
        <v>0.76492682599999995</v>
      </c>
      <c r="X1661" s="3">
        <v>4.0237833719999996</v>
      </c>
      <c r="Y1661" s="3">
        <v>2139.774281</v>
      </c>
      <c r="Z1661" s="3">
        <v>4.0769429989999999</v>
      </c>
      <c r="AA1661" s="3">
        <v>7.2113180000000004E-3</v>
      </c>
      <c r="AB1661" s="3">
        <v>9.9731557199999994</v>
      </c>
      <c r="AC1661" s="3">
        <v>5.2603507089999999</v>
      </c>
      <c r="AD1661" s="3">
        <v>4.6761426000000002E-2</v>
      </c>
      <c r="AE1661" s="3">
        <v>8.7748544549999998</v>
      </c>
      <c r="AF1661" s="4">
        <v>42663</v>
      </c>
      <c r="AG1661" s="5">
        <f>YEAR(AF1661)</f>
        <v>2016</v>
      </c>
      <c r="AH1661" s="5" t="str">
        <f>"Q"&amp;ROUNDUP(MONTH(AF1661)/3,0)</f>
        <v>Q4</v>
      </c>
      <c r="AI1661" s="5">
        <f>INDEX(RatingLookup!$B$2:$B$11,MATCH(A1661,RatingLookup!$A$2:$A$11,0))</f>
        <v>6</v>
      </c>
      <c r="AJ1661" s="5" t="str">
        <f>INDEX(RatingLookup!$C$2:$C$11,MATCH(A1661,RatingLookup!$A$2:$A$11,0))</f>
        <v>Speculative Grade</v>
      </c>
    </row>
    <row r="1662" spans="1:36" x14ac:dyDescent="0.3">
      <c r="A1662" s="3" t="s">
        <v>42</v>
      </c>
      <c r="B1662" s="3" t="s">
        <v>1748</v>
      </c>
      <c r="C1662" s="3" t="s">
        <v>1749</v>
      </c>
      <c r="D1662" s="3" t="s">
        <v>60</v>
      </c>
      <c r="E1662" s="3" t="s">
        <v>1675</v>
      </c>
      <c r="F1662" s="3" t="s">
        <v>174</v>
      </c>
      <c r="G1662" s="3">
        <v>1.2907574100000001</v>
      </c>
      <c r="H1662" s="3">
        <v>1.2102476639999999</v>
      </c>
      <c r="I1662" s="3">
        <v>0.45497413599999997</v>
      </c>
      <c r="J1662" s="3">
        <v>36.267308300000003</v>
      </c>
      <c r="K1662" s="3">
        <v>3.2883128999999997E-2</v>
      </c>
      <c r="L1662" s="3">
        <v>3.0020014000000001E-2</v>
      </c>
      <c r="M1662" s="3">
        <v>1</v>
      </c>
      <c r="N1662" s="3">
        <v>3.5973987999999998E-2</v>
      </c>
      <c r="O1662" s="3">
        <v>2.5878788E-2</v>
      </c>
      <c r="P1662" s="3">
        <v>3.0313289E-2</v>
      </c>
      <c r="Q1662" s="3">
        <v>5.1087226999999999E-2</v>
      </c>
      <c r="R1662" s="3">
        <v>0.78699288899999997</v>
      </c>
      <c r="S1662" s="3">
        <v>3.7157931149999999</v>
      </c>
      <c r="T1662" s="3">
        <v>0.974096568</v>
      </c>
      <c r="U1662" s="3">
        <v>0.49343916799999998</v>
      </c>
      <c r="V1662" s="3">
        <v>0.59364895100000004</v>
      </c>
      <c r="W1662" s="3">
        <v>0.54319236199999998</v>
      </c>
      <c r="X1662" s="3">
        <v>35.219972830000003</v>
      </c>
      <c r="Y1662" s="3">
        <v>130.96209239999999</v>
      </c>
      <c r="Z1662" s="3">
        <v>1.974096568</v>
      </c>
      <c r="AA1662" s="3">
        <v>3.0020014000000001E-2</v>
      </c>
      <c r="AB1662" s="3">
        <v>4.3420203820000003</v>
      </c>
      <c r="AC1662" s="3">
        <v>64.838858700000003</v>
      </c>
      <c r="AD1662" s="3">
        <v>0.11877929700000001</v>
      </c>
      <c r="AE1662" s="3">
        <v>0</v>
      </c>
      <c r="AF1662" s="4">
        <v>41131</v>
      </c>
      <c r="AG1662" s="5">
        <f>YEAR(AF1662)</f>
        <v>2012</v>
      </c>
      <c r="AH1662" s="5" t="str">
        <f>"Q"&amp;ROUNDUP(MONTH(AF1662)/3,0)</f>
        <v>Q3</v>
      </c>
      <c r="AI1662" s="5">
        <f>INDEX(RatingLookup!$B$2:$B$11,MATCH(A1662,RatingLookup!$A$2:$A$11,0))</f>
        <v>7</v>
      </c>
      <c r="AJ1662" s="5" t="str">
        <f>INDEX(RatingLookup!$C$2:$C$11,MATCH(A1662,RatingLookup!$A$2:$A$11,0))</f>
        <v>Investment Grade</v>
      </c>
    </row>
    <row r="1663" spans="1:36" x14ac:dyDescent="0.3">
      <c r="A1663" s="3" t="s">
        <v>42</v>
      </c>
      <c r="B1663" s="3" t="s">
        <v>1748</v>
      </c>
      <c r="C1663" s="3" t="s">
        <v>1749</v>
      </c>
      <c r="D1663" s="3" t="s">
        <v>60</v>
      </c>
      <c r="E1663" s="3" t="s">
        <v>1750</v>
      </c>
      <c r="F1663" s="3" t="s">
        <v>174</v>
      </c>
      <c r="G1663" s="3">
        <v>1.822471467</v>
      </c>
      <c r="H1663" s="3">
        <v>1.736895801</v>
      </c>
      <c r="I1663" s="3">
        <v>0.60990633900000002</v>
      </c>
      <c r="J1663" s="3">
        <v>44.857925940000001</v>
      </c>
      <c r="K1663" s="3">
        <v>6.7911190999999996E-2</v>
      </c>
      <c r="L1663" s="3">
        <v>8.6364033000000007E-2</v>
      </c>
      <c r="M1663" s="3">
        <v>1</v>
      </c>
      <c r="N1663" s="3">
        <v>9.9076396999999997E-2</v>
      </c>
      <c r="O1663" s="3">
        <v>4.0761164000000003E-2</v>
      </c>
      <c r="P1663" s="3">
        <v>6.1765407000000001E-2</v>
      </c>
      <c r="Q1663" s="3">
        <v>7.1775815000000007E-2</v>
      </c>
      <c r="R1663" s="3">
        <v>0.60021276700000004</v>
      </c>
      <c r="S1663" s="3">
        <v>3.7603299899999998</v>
      </c>
      <c r="T1663" s="3">
        <v>0.76088727899999997</v>
      </c>
      <c r="U1663" s="3">
        <v>0.43210447800000001</v>
      </c>
      <c r="V1663" s="3">
        <v>0.36517432100000002</v>
      </c>
      <c r="W1663" s="3">
        <v>0.316506234</v>
      </c>
      <c r="X1663" s="3">
        <v>14.33697154</v>
      </c>
      <c r="Y1663" s="3">
        <v>164.9346505</v>
      </c>
      <c r="Z1663" s="3">
        <v>1.7608872790000001</v>
      </c>
      <c r="AA1663" s="3">
        <v>8.6364033000000007E-2</v>
      </c>
      <c r="AB1663" s="3">
        <v>4.4114760039999998</v>
      </c>
      <c r="AC1663" s="3">
        <v>45.29759602</v>
      </c>
      <c r="AD1663" s="3">
        <v>9.4001372E-2</v>
      </c>
      <c r="AE1663" s="3">
        <v>0</v>
      </c>
      <c r="AF1663" s="4">
        <v>41816</v>
      </c>
      <c r="AG1663" s="5">
        <f>YEAR(AF1663)</f>
        <v>2014</v>
      </c>
      <c r="AH1663" s="5" t="str">
        <f>"Q"&amp;ROUNDUP(MONTH(AF1663)/3,0)</f>
        <v>Q2</v>
      </c>
      <c r="AI1663" s="5">
        <f>INDEX(RatingLookup!$B$2:$B$11,MATCH(A1663,RatingLookup!$A$2:$A$11,0))</f>
        <v>7</v>
      </c>
      <c r="AJ1663" s="5" t="str">
        <f>INDEX(RatingLookup!$C$2:$C$11,MATCH(A1663,RatingLookup!$A$2:$A$11,0))</f>
        <v>Investment Grade</v>
      </c>
    </row>
    <row r="1664" spans="1:36" x14ac:dyDescent="0.3">
      <c r="A1664" s="3" t="s">
        <v>36</v>
      </c>
      <c r="B1664" s="3" t="s">
        <v>1748</v>
      </c>
      <c r="C1664" s="3" t="s">
        <v>1749</v>
      </c>
      <c r="D1664" s="3" t="s">
        <v>60</v>
      </c>
      <c r="E1664" s="3" t="s">
        <v>46</v>
      </c>
      <c r="F1664" s="3" t="s">
        <v>174</v>
      </c>
      <c r="G1664" s="3">
        <v>1.2511852670000001</v>
      </c>
      <c r="H1664" s="3">
        <v>1.0006709819999999</v>
      </c>
      <c r="I1664" s="3">
        <v>0.382800164</v>
      </c>
      <c r="J1664" s="3">
        <v>34.009562180000003</v>
      </c>
      <c r="K1664" s="3">
        <v>2.7794696000000001E-2</v>
      </c>
      <c r="L1664" s="3">
        <v>5.1633837000000002E-2</v>
      </c>
      <c r="M1664" s="3">
        <v>1</v>
      </c>
      <c r="N1664" s="3">
        <v>7.0218203000000007E-2</v>
      </c>
      <c r="O1664" s="3">
        <v>2.3350672999999999E-2</v>
      </c>
      <c r="P1664" s="3">
        <v>5.4117067999999997E-2</v>
      </c>
      <c r="Q1664" s="3">
        <v>4.5024859E-2</v>
      </c>
      <c r="R1664" s="3">
        <v>0.84011256999999995</v>
      </c>
      <c r="S1664" s="3">
        <v>3.6574709950000002</v>
      </c>
      <c r="T1664" s="3">
        <v>0.92820389400000003</v>
      </c>
      <c r="U1664" s="3">
        <v>0.481382647</v>
      </c>
      <c r="V1664" s="3">
        <v>0.442498208</v>
      </c>
      <c r="W1664" s="3">
        <v>0.44981959900000001</v>
      </c>
      <c r="X1664" s="3">
        <v>22.605417840000001</v>
      </c>
      <c r="Y1664" s="3">
        <v>77.114617940000002</v>
      </c>
      <c r="Z1664" s="3">
        <v>1.9282038939999999</v>
      </c>
      <c r="AA1664" s="3">
        <v>5.1633837000000002E-2</v>
      </c>
      <c r="AB1664" s="3">
        <v>3.4790410569999999</v>
      </c>
      <c r="AC1664" s="3">
        <v>50.254408380000001</v>
      </c>
      <c r="AD1664" s="3">
        <v>9.3311169999999999E-2</v>
      </c>
      <c r="AE1664" s="3">
        <v>0</v>
      </c>
      <c r="AF1664" s="4">
        <v>41075</v>
      </c>
      <c r="AG1664" s="5">
        <f>YEAR(AF1664)</f>
        <v>2012</v>
      </c>
      <c r="AH1664" s="5" t="str">
        <f>"Q"&amp;ROUNDUP(MONTH(AF1664)/3,0)</f>
        <v>Q2</v>
      </c>
      <c r="AI1664" s="5">
        <f>INDEX(RatingLookup!$B$2:$B$11,MATCH(A1664,RatingLookup!$A$2:$A$11,0))</f>
        <v>8</v>
      </c>
      <c r="AJ1664" s="5" t="str">
        <f>INDEX(RatingLookup!$C$2:$C$11,MATCH(A1664,RatingLookup!$A$2:$A$11,0))</f>
        <v>Investment Grade</v>
      </c>
    </row>
    <row r="1665" spans="1:36" x14ac:dyDescent="0.3">
      <c r="A1665" s="3" t="s">
        <v>92</v>
      </c>
      <c r="B1665" s="3" t="s">
        <v>1748</v>
      </c>
      <c r="C1665" s="3" t="s">
        <v>1749</v>
      </c>
      <c r="D1665" s="3" t="s">
        <v>60</v>
      </c>
      <c r="E1665" s="3" t="s">
        <v>1751</v>
      </c>
      <c r="F1665" s="3" t="s">
        <v>174</v>
      </c>
      <c r="G1665" s="3">
        <v>1.6089797029999999</v>
      </c>
      <c r="H1665" s="3">
        <v>1.974423102</v>
      </c>
      <c r="I1665" s="3">
        <v>0.73539863299999997</v>
      </c>
      <c r="J1665" s="3">
        <v>58.991658379999997</v>
      </c>
      <c r="K1665" s="3">
        <v>0.36599214899999999</v>
      </c>
      <c r="L1665" s="3">
        <v>0.37540273899999999</v>
      </c>
      <c r="M1665" s="3">
        <v>1</v>
      </c>
      <c r="N1665" s="3">
        <v>0.115392601</v>
      </c>
      <c r="O1665" s="3">
        <v>0.22492545999999999</v>
      </c>
      <c r="P1665" s="3">
        <v>0.28227233400000001</v>
      </c>
      <c r="Q1665" s="3">
        <v>0.41201267800000002</v>
      </c>
      <c r="R1665" s="3">
        <v>0.61456362200000003</v>
      </c>
      <c r="S1665" s="3">
        <v>4.1066994719999999</v>
      </c>
      <c r="T1665" s="3">
        <v>0.83177429899999999</v>
      </c>
      <c r="U1665" s="3">
        <v>0.45408121499999998</v>
      </c>
      <c r="V1665" s="3">
        <v>0.30600304</v>
      </c>
      <c r="W1665" s="3">
        <v>0.36275210099999999</v>
      </c>
      <c r="X1665" s="3">
        <v>20.87758887</v>
      </c>
      <c r="Y1665" s="3">
        <v>232.35718700000001</v>
      </c>
      <c r="Z1665" s="3">
        <v>1.8317742990000001</v>
      </c>
      <c r="AA1665" s="3">
        <v>0.37540273899999999</v>
      </c>
      <c r="AB1665" s="3">
        <v>5.2658880970000004</v>
      </c>
      <c r="AC1665" s="3">
        <v>57.553323030000001</v>
      </c>
      <c r="AD1665" s="3">
        <v>0.105333102</v>
      </c>
      <c r="AE1665" s="3">
        <v>0</v>
      </c>
      <c r="AF1665" s="4">
        <v>42179</v>
      </c>
      <c r="AG1665" s="5">
        <f>YEAR(AF1665)</f>
        <v>2015</v>
      </c>
      <c r="AH1665" s="5" t="str">
        <f>"Q"&amp;ROUNDUP(MONTH(AF1665)/3,0)</f>
        <v>Q2</v>
      </c>
      <c r="AI1665" s="5">
        <f>INDEX(RatingLookup!$B$2:$B$11,MATCH(A1665,RatingLookup!$A$2:$A$11,0))</f>
        <v>6</v>
      </c>
      <c r="AJ1665" s="5" t="str">
        <f>INDEX(RatingLookup!$C$2:$C$11,MATCH(A1665,RatingLookup!$A$2:$A$11,0))</f>
        <v>Speculative Grade</v>
      </c>
    </row>
    <row r="1666" spans="1:36" x14ac:dyDescent="0.3">
      <c r="A1666" s="3" t="s">
        <v>42</v>
      </c>
      <c r="B1666" s="3" t="s">
        <v>1752</v>
      </c>
      <c r="C1666" s="3" t="s">
        <v>1753</v>
      </c>
      <c r="D1666" s="3" t="s">
        <v>44</v>
      </c>
      <c r="E1666" s="3" t="s">
        <v>46</v>
      </c>
      <c r="F1666" s="3" t="s">
        <v>96</v>
      </c>
      <c r="G1666" s="3">
        <v>1.3258589080000001</v>
      </c>
      <c r="H1666" s="3">
        <v>0.64111117799999995</v>
      </c>
      <c r="I1666" s="3">
        <v>0.25603875599999998</v>
      </c>
      <c r="J1666" s="3">
        <v>33.466476810000003</v>
      </c>
      <c r="K1666" s="3">
        <v>2.0788721999999999E-2</v>
      </c>
      <c r="L1666" s="3">
        <v>2.20495E-2</v>
      </c>
      <c r="M1666" s="3">
        <v>5.5262556999999997E-2</v>
      </c>
      <c r="N1666" s="3">
        <v>2.1464387000000001E-2</v>
      </c>
      <c r="O1666" s="3">
        <v>5.1251716000000003E-2</v>
      </c>
      <c r="P1666" s="3">
        <v>0.13162966500000001</v>
      </c>
      <c r="Q1666" s="3">
        <v>0.25982483099999998</v>
      </c>
      <c r="R1666" s="3">
        <v>2.4653614940000002</v>
      </c>
      <c r="S1666" s="3">
        <v>13.39518034</v>
      </c>
      <c r="T1666" s="3">
        <v>4.0695830730000004</v>
      </c>
      <c r="U1666" s="3">
        <v>0.80274511999999998</v>
      </c>
      <c r="V1666" s="3">
        <v>3.0643065000000001E-2</v>
      </c>
      <c r="W1666" s="3">
        <v>1</v>
      </c>
      <c r="X1666" s="3">
        <v>1.1029556869999999</v>
      </c>
      <c r="Y1666" s="3">
        <v>2.2493725200000001</v>
      </c>
      <c r="Z1666" s="3">
        <v>5.0695830730000004</v>
      </c>
      <c r="AA1666" s="3">
        <v>2.20495E-2</v>
      </c>
      <c r="AB1666" s="3">
        <v>5.417068102</v>
      </c>
      <c r="AC1666" s="3">
        <v>1.1029556869999999</v>
      </c>
      <c r="AD1666" s="3">
        <v>2.9893523000000002E-2</v>
      </c>
      <c r="AE1666" s="3">
        <v>5.3316691909999996</v>
      </c>
      <c r="AF1666" s="4">
        <v>41075</v>
      </c>
      <c r="AG1666" s="5">
        <f>YEAR(AF1666)</f>
        <v>2012</v>
      </c>
      <c r="AH1666" s="5" t="str">
        <f>"Q"&amp;ROUNDUP(MONTH(AF1666)/3,0)</f>
        <v>Q2</v>
      </c>
      <c r="AI1666" s="5">
        <f>INDEX(RatingLookup!$B$2:$B$11,MATCH(A1666,RatingLookup!$A$2:$A$11,0))</f>
        <v>7</v>
      </c>
      <c r="AJ1666" s="5" t="str">
        <f>INDEX(RatingLookup!$C$2:$C$11,MATCH(A1666,RatingLookup!$A$2:$A$11,0))</f>
        <v>Investment Grade</v>
      </c>
    </row>
    <row r="1667" spans="1:36" x14ac:dyDescent="0.3">
      <c r="A1667" s="3" t="s">
        <v>42</v>
      </c>
      <c r="B1667" s="3" t="s">
        <v>1752</v>
      </c>
      <c r="C1667" s="3" t="s">
        <v>1753</v>
      </c>
      <c r="D1667" s="3" t="s">
        <v>60</v>
      </c>
      <c r="E1667" s="3" t="s">
        <v>373</v>
      </c>
      <c r="F1667" s="3" t="s">
        <v>96</v>
      </c>
      <c r="G1667" s="3">
        <v>1.2937554019999999</v>
      </c>
      <c r="H1667" s="3">
        <v>0.58700297499999998</v>
      </c>
      <c r="I1667" s="3">
        <v>0.24102342399999999</v>
      </c>
      <c r="J1667" s="3">
        <v>32.629482789999997</v>
      </c>
      <c r="K1667" s="3">
        <v>2.2977013000000001E-2</v>
      </c>
      <c r="L1667" s="3">
        <v>2.5648507000000001E-2</v>
      </c>
      <c r="M1667" s="3">
        <v>5.9099930000000002E-2</v>
      </c>
      <c r="N1667" s="3">
        <v>2.5648507000000001E-2</v>
      </c>
      <c r="O1667" s="3">
        <v>5.1501830999999998E-2</v>
      </c>
      <c r="P1667" s="3">
        <v>0.136606278</v>
      </c>
      <c r="Q1667" s="3">
        <v>0.25448891800000001</v>
      </c>
      <c r="R1667" s="3">
        <v>2.241450264</v>
      </c>
      <c r="S1667" s="3">
        <v>12.49800613</v>
      </c>
      <c r="T1667" s="3">
        <v>3.9413566680000001</v>
      </c>
      <c r="U1667" s="3">
        <v>0.79762642800000005</v>
      </c>
      <c r="V1667" s="3">
        <v>0.104157876</v>
      </c>
      <c r="W1667" s="3">
        <v>0.56247087699999998</v>
      </c>
      <c r="X1667" s="3">
        <v>0.77006143299999996</v>
      </c>
      <c r="Y1667" s="3">
        <v>2.8076919760000001</v>
      </c>
      <c r="Z1667" s="3">
        <v>4.9413566680000001</v>
      </c>
      <c r="AA1667" s="3">
        <v>2.5648507000000001E-2</v>
      </c>
      <c r="AB1667" s="3">
        <v>5.8973169439999999</v>
      </c>
      <c r="AC1667" s="3">
        <v>1.3690689869999999</v>
      </c>
      <c r="AD1667" s="3">
        <v>3.0367009E-2</v>
      </c>
      <c r="AE1667" s="3">
        <v>5.3938894069999996</v>
      </c>
      <c r="AF1667" s="4">
        <v>42530</v>
      </c>
      <c r="AG1667" s="5">
        <f>YEAR(AF1667)</f>
        <v>2016</v>
      </c>
      <c r="AH1667" s="5" t="str">
        <f>"Q"&amp;ROUNDUP(MONTH(AF1667)/3,0)</f>
        <v>Q2</v>
      </c>
      <c r="AI1667" s="5">
        <f>INDEX(RatingLookup!$B$2:$B$11,MATCH(A1667,RatingLookup!$A$2:$A$11,0))</f>
        <v>7</v>
      </c>
      <c r="AJ1667" s="5" t="str">
        <f>INDEX(RatingLookup!$C$2:$C$11,MATCH(A1667,RatingLookup!$A$2:$A$11,0))</f>
        <v>Investment Grade</v>
      </c>
    </row>
    <row r="1668" spans="1:36" x14ac:dyDescent="0.3">
      <c r="A1668" s="3" t="s">
        <v>92</v>
      </c>
      <c r="B1668" s="3" t="s">
        <v>1752</v>
      </c>
      <c r="C1668" s="3" t="s">
        <v>1753</v>
      </c>
      <c r="D1668" s="3" t="s">
        <v>60</v>
      </c>
      <c r="E1668" s="3" t="s">
        <v>314</v>
      </c>
      <c r="F1668" s="3" t="s">
        <v>96</v>
      </c>
      <c r="G1668" s="3">
        <v>1.227727606</v>
      </c>
      <c r="H1668" s="3">
        <v>0.56051827600000004</v>
      </c>
      <c r="I1668" s="3">
        <v>0.20814851100000001</v>
      </c>
      <c r="J1668" s="3">
        <v>37.718003299999999</v>
      </c>
      <c r="K1668" s="3">
        <v>1.4002815E-2</v>
      </c>
      <c r="L1668" s="3">
        <v>1.5338007000000001E-2</v>
      </c>
      <c r="M1668" s="3">
        <v>5.516269E-2</v>
      </c>
      <c r="N1668" s="3">
        <v>1.5338007000000001E-2</v>
      </c>
      <c r="O1668" s="3">
        <v>2.9247169E-2</v>
      </c>
      <c r="P1668" s="3">
        <v>8.2679272999999998E-2</v>
      </c>
      <c r="Q1668" s="3">
        <v>0.16901782200000001</v>
      </c>
      <c r="R1668" s="3">
        <v>2.0886634960000001</v>
      </c>
      <c r="S1668" s="3">
        <v>11.40783368</v>
      </c>
      <c r="T1668" s="3">
        <v>4.7789463950000002</v>
      </c>
      <c r="U1668" s="3">
        <v>0.82695807700000001</v>
      </c>
      <c r="V1668" s="3">
        <v>8.7051196999999997E-2</v>
      </c>
      <c r="W1668" s="3">
        <v>0.49883843300000003</v>
      </c>
      <c r="X1668" s="3">
        <v>0.99397212400000001</v>
      </c>
      <c r="Y1668" s="3">
        <v>2.6105419030000001</v>
      </c>
      <c r="Z1668" s="3">
        <v>5.7789463950000002</v>
      </c>
      <c r="AA1668" s="3">
        <v>1.5338007000000001E-2</v>
      </c>
      <c r="AB1668" s="3">
        <v>6.9332437340000004</v>
      </c>
      <c r="AC1668" s="3">
        <v>1.992573264</v>
      </c>
      <c r="AD1668" s="3">
        <v>4.6592297999999997E-2</v>
      </c>
      <c r="AE1668" s="3">
        <v>5.1834211320000003</v>
      </c>
      <c r="AF1668" s="4">
        <v>42158</v>
      </c>
      <c r="AG1668" s="5">
        <f>YEAR(AF1668)</f>
        <v>2015</v>
      </c>
      <c r="AH1668" s="5" t="str">
        <f>"Q"&amp;ROUNDUP(MONTH(AF1668)/3,0)</f>
        <v>Q2</v>
      </c>
      <c r="AI1668" s="5">
        <f>INDEX(RatingLookup!$B$2:$B$11,MATCH(A1668,RatingLookup!$A$2:$A$11,0))</f>
        <v>6</v>
      </c>
      <c r="AJ1668" s="5" t="str">
        <f>INDEX(RatingLookup!$C$2:$C$11,MATCH(A1668,RatingLookup!$A$2:$A$11,0))</f>
        <v>Speculative Grade</v>
      </c>
    </row>
    <row r="1669" spans="1:36" x14ac:dyDescent="0.3">
      <c r="A1669" s="3" t="s">
        <v>92</v>
      </c>
      <c r="B1669" s="3" t="s">
        <v>1752</v>
      </c>
      <c r="C1669" s="3" t="s">
        <v>1753</v>
      </c>
      <c r="D1669" s="3" t="s">
        <v>47</v>
      </c>
      <c r="E1669" s="3" t="s">
        <v>74</v>
      </c>
      <c r="F1669" s="3" t="s">
        <v>96</v>
      </c>
      <c r="G1669" s="3">
        <v>1.357235832</v>
      </c>
      <c r="H1669" s="3">
        <v>0.65608343300000005</v>
      </c>
      <c r="I1669" s="3">
        <v>0.241457432</v>
      </c>
      <c r="J1669" s="3">
        <v>32.319285180000001</v>
      </c>
      <c r="K1669" s="3">
        <v>1.6631643000000002E-2</v>
      </c>
      <c r="L1669" s="3">
        <v>1.9217627000000001E-2</v>
      </c>
      <c r="M1669" s="3">
        <v>5.1631916E-2</v>
      </c>
      <c r="N1669" s="3">
        <v>1.6631643000000002E-2</v>
      </c>
      <c r="O1669" s="3">
        <v>4.4297053000000003E-2</v>
      </c>
      <c r="P1669" s="3">
        <v>0.119006814</v>
      </c>
      <c r="Q1669" s="3">
        <v>0.213997151</v>
      </c>
      <c r="R1669" s="3">
        <v>2.6634201590000002</v>
      </c>
      <c r="S1669" s="3">
        <v>14.100561000000001</v>
      </c>
      <c r="T1669" s="3">
        <v>3.8309568519999999</v>
      </c>
      <c r="U1669" s="3">
        <v>0.79300166999999999</v>
      </c>
      <c r="V1669" s="3">
        <v>9.5821063999999997E-2</v>
      </c>
      <c r="W1669" s="3">
        <v>0.45641129600000002</v>
      </c>
      <c r="X1669" s="3">
        <v>0.51250057599999999</v>
      </c>
      <c r="Y1669" s="3">
        <v>2.1269408460000001</v>
      </c>
      <c r="Z1669" s="3">
        <v>4.8309568519999999</v>
      </c>
      <c r="AA1669" s="3">
        <v>1.9217627000000001E-2</v>
      </c>
      <c r="AB1669" s="3">
        <v>5.4086582209999996</v>
      </c>
      <c r="AC1669" s="3">
        <v>1.122891963</v>
      </c>
      <c r="AD1669" s="3">
        <v>2.7367545E-2</v>
      </c>
      <c r="AE1669" s="3">
        <v>6.4728356480000002</v>
      </c>
      <c r="AF1669" s="4">
        <v>41317</v>
      </c>
      <c r="AG1669" s="5">
        <f>YEAR(AF1669)</f>
        <v>2013</v>
      </c>
      <c r="AH1669" s="5" t="str">
        <f>"Q"&amp;ROUNDUP(MONTH(AF1669)/3,0)</f>
        <v>Q1</v>
      </c>
      <c r="AI1669" s="5">
        <f>INDEX(RatingLookup!$B$2:$B$11,MATCH(A1669,RatingLookup!$A$2:$A$11,0))</f>
        <v>6</v>
      </c>
      <c r="AJ1669" s="5" t="str">
        <f>INDEX(RatingLookup!$C$2:$C$11,MATCH(A1669,RatingLookup!$A$2:$A$11,0))</f>
        <v>Speculative Grade</v>
      </c>
    </row>
    <row r="1670" spans="1:36" x14ac:dyDescent="0.3">
      <c r="A1670" s="3" t="s">
        <v>42</v>
      </c>
      <c r="B1670" s="3" t="s">
        <v>1752</v>
      </c>
      <c r="C1670" s="3" t="s">
        <v>1753</v>
      </c>
      <c r="D1670" s="3" t="s">
        <v>47</v>
      </c>
      <c r="E1670" s="3" t="s">
        <v>581</v>
      </c>
      <c r="F1670" s="3" t="s">
        <v>96</v>
      </c>
      <c r="G1670" s="3">
        <v>1.265195775</v>
      </c>
      <c r="H1670" s="3">
        <v>0.55572323099999998</v>
      </c>
      <c r="I1670" s="3">
        <v>0.24460131700000001</v>
      </c>
      <c r="J1670" s="3">
        <v>30.563897780000001</v>
      </c>
      <c r="K1670" s="3">
        <v>1.8185964999999998E-2</v>
      </c>
      <c r="L1670" s="3">
        <v>1.8619810000000001E-2</v>
      </c>
      <c r="M1670" s="3">
        <v>6.5853171000000002E-2</v>
      </c>
      <c r="N1670" s="3">
        <v>1.8619810000000001E-2</v>
      </c>
      <c r="O1670" s="3">
        <v>3.5856414000000003E-2</v>
      </c>
      <c r="P1670" s="3">
        <v>7.8219942000000001E-2</v>
      </c>
      <c r="Q1670" s="3">
        <v>0.17273555400000001</v>
      </c>
      <c r="R1670" s="3">
        <v>1.9716530050000001</v>
      </c>
      <c r="S1670" s="3">
        <v>10.81614461</v>
      </c>
      <c r="T1670" s="3">
        <v>3.817424205</v>
      </c>
      <c r="U1670" s="3">
        <v>0.79242018999999997</v>
      </c>
      <c r="V1670" s="3">
        <v>2.3300159000000001E-2</v>
      </c>
      <c r="W1670" s="3">
        <v>0.55067425199999998</v>
      </c>
      <c r="X1670" s="3">
        <v>1.1221947860000001</v>
      </c>
      <c r="Y1670" s="3">
        <v>2.8826701240000001</v>
      </c>
      <c r="Z1670" s="3">
        <v>4.817424205</v>
      </c>
      <c r="AA1670" s="3">
        <v>1.8619810000000001E-2</v>
      </c>
      <c r="AB1670" s="3">
        <v>8.1879331509999993</v>
      </c>
      <c r="AC1670" s="3">
        <v>2.0378559250000001</v>
      </c>
      <c r="AD1670" s="3">
        <v>4.6539593999999997E-2</v>
      </c>
      <c r="AE1670" s="3">
        <v>5.369410577</v>
      </c>
      <c r="AF1670" s="4">
        <v>42705</v>
      </c>
      <c r="AG1670" s="5">
        <f>YEAR(AF1670)</f>
        <v>2016</v>
      </c>
      <c r="AH1670" s="5" t="str">
        <f>"Q"&amp;ROUNDUP(MONTH(AF1670)/3,0)</f>
        <v>Q4</v>
      </c>
      <c r="AI1670" s="5">
        <f>INDEX(RatingLookup!$B$2:$B$11,MATCH(A1670,RatingLookup!$A$2:$A$11,0))</f>
        <v>7</v>
      </c>
      <c r="AJ1670" s="5" t="str">
        <f>INDEX(RatingLookup!$C$2:$C$11,MATCH(A1670,RatingLookup!$A$2:$A$11,0))</f>
        <v>Investment Grade</v>
      </c>
    </row>
    <row r="1671" spans="1:36" x14ac:dyDescent="0.3">
      <c r="A1671" s="3" t="s">
        <v>92</v>
      </c>
      <c r="B1671" s="3" t="s">
        <v>1752</v>
      </c>
      <c r="C1671" s="3" t="s">
        <v>1753</v>
      </c>
      <c r="D1671" s="3" t="s">
        <v>47</v>
      </c>
      <c r="E1671" s="3" t="s">
        <v>83</v>
      </c>
      <c r="F1671" s="3" t="s">
        <v>96</v>
      </c>
      <c r="G1671" s="3">
        <v>1.258978079</v>
      </c>
      <c r="H1671" s="3">
        <v>0.59925673700000004</v>
      </c>
      <c r="I1671" s="3">
        <v>0.25711036399999998</v>
      </c>
      <c r="J1671" s="3">
        <v>32.706648749999999</v>
      </c>
      <c r="K1671" s="3">
        <v>1.1754653E-2</v>
      </c>
      <c r="L1671" s="3">
        <v>1.3950884E-2</v>
      </c>
      <c r="M1671" s="3">
        <v>4.9481288999999998E-2</v>
      </c>
      <c r="N1671" s="3">
        <v>1.3950884E-2</v>
      </c>
      <c r="O1671" s="3">
        <v>2.6157726999999999E-2</v>
      </c>
      <c r="P1671" s="3">
        <v>7.4413242000000004E-2</v>
      </c>
      <c r="Q1671" s="3">
        <v>0.123311456</v>
      </c>
      <c r="R1671" s="3">
        <v>2.2253082759999998</v>
      </c>
      <c r="S1671" s="3">
        <v>10.83859333</v>
      </c>
      <c r="T1671" s="3">
        <v>3.7141503450000002</v>
      </c>
      <c r="U1671" s="3">
        <v>0.78787269699999996</v>
      </c>
      <c r="V1671" s="3">
        <v>8.0023722000000005E-2</v>
      </c>
      <c r="W1671" s="3">
        <v>0.56161032099999997</v>
      </c>
      <c r="X1671" s="3">
        <v>0.94503178600000004</v>
      </c>
      <c r="Y1671" s="3">
        <v>2.394251396</v>
      </c>
      <c r="Z1671" s="3">
        <v>4.7141503450000002</v>
      </c>
      <c r="AA1671" s="3">
        <v>1.3950884E-2</v>
      </c>
      <c r="AB1671" s="3">
        <v>5.8313811199999996</v>
      </c>
      <c r="AC1671" s="3">
        <v>1.6827179830000001</v>
      </c>
      <c r="AD1671" s="3">
        <v>4.7325195E-2</v>
      </c>
      <c r="AE1671" s="3">
        <v>5.9880201240000002</v>
      </c>
      <c r="AF1671" s="4">
        <v>41544</v>
      </c>
      <c r="AG1671" s="5">
        <f>YEAR(AF1671)</f>
        <v>2013</v>
      </c>
      <c r="AH1671" s="5" t="str">
        <f>"Q"&amp;ROUNDUP(MONTH(AF1671)/3,0)</f>
        <v>Q3</v>
      </c>
      <c r="AI1671" s="5">
        <f>INDEX(RatingLookup!$B$2:$B$11,MATCH(A1671,RatingLookup!$A$2:$A$11,0))</f>
        <v>6</v>
      </c>
      <c r="AJ1671" s="5" t="str">
        <f>INDEX(RatingLookup!$C$2:$C$11,MATCH(A1671,RatingLookup!$A$2:$A$11,0))</f>
        <v>Speculative Grade</v>
      </c>
    </row>
    <row r="1672" spans="1:36" x14ac:dyDescent="0.3">
      <c r="A1672" s="3" t="s">
        <v>92</v>
      </c>
      <c r="B1672" s="3" t="s">
        <v>1754</v>
      </c>
      <c r="C1672" s="3" t="s">
        <v>1755</v>
      </c>
      <c r="D1672" s="3" t="s">
        <v>39</v>
      </c>
      <c r="E1672" s="3" t="s">
        <v>131</v>
      </c>
      <c r="F1672" s="3" t="s">
        <v>174</v>
      </c>
      <c r="G1672" s="3">
        <v>2.2452870969999998</v>
      </c>
      <c r="H1672" s="3">
        <v>0.69492273400000004</v>
      </c>
      <c r="I1672" s="3">
        <v>0.11594671400000001</v>
      </c>
      <c r="J1672" s="3">
        <v>45.63152659</v>
      </c>
      <c r="K1672" s="3">
        <v>7.1414896000000005E-2</v>
      </c>
      <c r="L1672" s="3">
        <v>8.5526778999999997E-2</v>
      </c>
      <c r="M1672" s="3">
        <v>0.34826317099999998</v>
      </c>
      <c r="N1672" s="3">
        <v>0.111324123</v>
      </c>
      <c r="O1672" s="3">
        <v>8.0804430999999996E-2</v>
      </c>
      <c r="P1672" s="3">
        <v>0.12805902699999999</v>
      </c>
      <c r="Q1672" s="3">
        <v>0.26855828300000001</v>
      </c>
      <c r="R1672" s="3">
        <v>1.1314786530000001</v>
      </c>
      <c r="S1672" s="3">
        <v>7.9805788409999998</v>
      </c>
      <c r="T1672" s="3">
        <v>2.3235588800000002</v>
      </c>
      <c r="U1672" s="3">
        <v>0.69911771199999995</v>
      </c>
      <c r="V1672" s="3">
        <v>0.16499958300000001</v>
      </c>
      <c r="W1672" s="3">
        <v>0.926216131</v>
      </c>
      <c r="X1672" s="3">
        <v>5.4842728249999997</v>
      </c>
      <c r="Y1672" s="3">
        <v>1.1602659749999999</v>
      </c>
      <c r="Z1672" s="3">
        <v>3.3235588800000002</v>
      </c>
      <c r="AA1672" s="3">
        <v>8.5526778999999997E-2</v>
      </c>
      <c r="AB1672" s="3">
        <v>4.8777823549999999</v>
      </c>
      <c r="AC1672" s="3">
        <v>5.9211588339999999</v>
      </c>
      <c r="AD1672" s="3">
        <v>0.127767134</v>
      </c>
      <c r="AE1672" s="3">
        <v>6.4685890150000001</v>
      </c>
      <c r="AF1672" s="4">
        <v>41619</v>
      </c>
      <c r="AG1672" s="5">
        <f>YEAR(AF1672)</f>
        <v>2013</v>
      </c>
      <c r="AH1672" s="5" t="str">
        <f>"Q"&amp;ROUNDUP(MONTH(AF1672)/3,0)</f>
        <v>Q4</v>
      </c>
      <c r="AI1672" s="5">
        <f>INDEX(RatingLookup!$B$2:$B$11,MATCH(A1672,RatingLookup!$A$2:$A$11,0))</f>
        <v>6</v>
      </c>
      <c r="AJ1672" s="5" t="str">
        <f>INDEX(RatingLookup!$C$2:$C$11,MATCH(A1672,RatingLookup!$A$2:$A$11,0))</f>
        <v>Speculative Grade</v>
      </c>
    </row>
    <row r="1673" spans="1:36" x14ac:dyDescent="0.3">
      <c r="A1673" s="3" t="s">
        <v>92</v>
      </c>
      <c r="B1673" s="3" t="s">
        <v>1754</v>
      </c>
      <c r="C1673" s="3" t="s">
        <v>1755</v>
      </c>
      <c r="D1673" s="3" t="s">
        <v>47</v>
      </c>
      <c r="E1673" s="3" t="s">
        <v>1756</v>
      </c>
      <c r="F1673" s="3" t="s">
        <v>174</v>
      </c>
      <c r="G1673" s="3">
        <v>1.8601024349999999</v>
      </c>
      <c r="H1673" s="3">
        <v>0.61341435</v>
      </c>
      <c r="I1673" s="3">
        <v>0.16134446199999999</v>
      </c>
      <c r="J1673" s="3">
        <v>46.067459370000002</v>
      </c>
      <c r="K1673" s="3">
        <v>7.5969632999999995E-2</v>
      </c>
      <c r="L1673" s="3">
        <v>8.7322099E-2</v>
      </c>
      <c r="M1673" s="3">
        <v>0.35765217700000002</v>
      </c>
      <c r="N1673" s="3">
        <v>0.105911906</v>
      </c>
      <c r="O1673" s="3">
        <v>7.7467629999999996E-2</v>
      </c>
      <c r="P1673" s="3">
        <v>0.12448345800000001</v>
      </c>
      <c r="Q1673" s="3">
        <v>0.29169827500000001</v>
      </c>
      <c r="R1673" s="3">
        <v>1.0197183679999999</v>
      </c>
      <c r="S1673" s="3">
        <v>7.8957767069999996</v>
      </c>
      <c r="T1673" s="3">
        <v>2.765421425</v>
      </c>
      <c r="U1673" s="3">
        <v>0.73442547700000005</v>
      </c>
      <c r="V1673" s="3">
        <v>0.13000679600000001</v>
      </c>
      <c r="W1673" s="3">
        <v>0.87342596800000005</v>
      </c>
      <c r="X1673" s="3">
        <v>4.4124185929999999</v>
      </c>
      <c r="Y1673" s="3">
        <v>2.3848371859999999</v>
      </c>
      <c r="Z1673" s="3">
        <v>3.765421425</v>
      </c>
      <c r="AA1673" s="3">
        <v>8.7322099E-2</v>
      </c>
      <c r="AB1673" s="3">
        <v>6.4633362620000003</v>
      </c>
      <c r="AC1673" s="3">
        <v>5.0518518520000004</v>
      </c>
      <c r="AD1673" s="3">
        <v>9.5420513999999998E-2</v>
      </c>
      <c r="AE1673" s="3">
        <v>5.5058417310000003</v>
      </c>
      <c r="AF1673" s="4">
        <v>42507</v>
      </c>
      <c r="AG1673" s="5">
        <f>YEAR(AF1673)</f>
        <v>2016</v>
      </c>
      <c r="AH1673" s="5" t="str">
        <f>"Q"&amp;ROUNDUP(MONTH(AF1673)/3,0)</f>
        <v>Q2</v>
      </c>
      <c r="AI1673" s="5">
        <f>INDEX(RatingLookup!$B$2:$B$11,MATCH(A1673,RatingLookup!$A$2:$A$11,0))</f>
        <v>6</v>
      </c>
      <c r="AJ1673" s="5" t="str">
        <f>INDEX(RatingLookup!$C$2:$C$11,MATCH(A1673,RatingLookup!$A$2:$A$11,0))</f>
        <v>Speculative Grade</v>
      </c>
    </row>
    <row r="1674" spans="1:36" x14ac:dyDescent="0.3">
      <c r="A1674" s="3" t="s">
        <v>92</v>
      </c>
      <c r="B1674" s="3" t="s">
        <v>1754</v>
      </c>
      <c r="C1674" s="3" t="s">
        <v>1755</v>
      </c>
      <c r="D1674" s="3" t="s">
        <v>47</v>
      </c>
      <c r="E1674" s="3" t="s">
        <v>1024</v>
      </c>
      <c r="F1674" s="3" t="s">
        <v>174</v>
      </c>
      <c r="G1674" s="3">
        <v>2.0577545260000001</v>
      </c>
      <c r="H1674" s="3">
        <v>0.79506239199999995</v>
      </c>
      <c r="I1674" s="3">
        <v>0.28712875599999998</v>
      </c>
      <c r="J1674" s="3">
        <v>49.297471770000001</v>
      </c>
      <c r="K1674" s="3">
        <v>8.9476475E-2</v>
      </c>
      <c r="L1674" s="3">
        <v>9.4754503000000004E-2</v>
      </c>
      <c r="M1674" s="3">
        <v>0.37756683200000002</v>
      </c>
      <c r="N1674" s="3">
        <v>0.12867010500000001</v>
      </c>
      <c r="O1674" s="3">
        <v>7.8083783000000004E-2</v>
      </c>
      <c r="P1674" s="3">
        <v>0.10767563500000001</v>
      </c>
      <c r="Q1674" s="3">
        <v>0.44070253300000001</v>
      </c>
      <c r="R1674" s="3">
        <v>0.87267387500000004</v>
      </c>
      <c r="S1674" s="3">
        <v>8.7054330620000009</v>
      </c>
      <c r="T1674" s="3">
        <v>4.6439700830000001</v>
      </c>
      <c r="U1674" s="3">
        <v>0.82281975500000004</v>
      </c>
      <c r="V1674" s="3">
        <v>6.0000104999999998E-2</v>
      </c>
      <c r="W1674" s="3">
        <v>0.86228857999999997</v>
      </c>
      <c r="X1674" s="3">
        <v>1.367817236</v>
      </c>
      <c r="Y1674" s="3">
        <v>1.2055178090000001</v>
      </c>
      <c r="Z1674" s="3">
        <v>5.6439700830000001</v>
      </c>
      <c r="AA1674" s="3">
        <v>9.4754503000000004E-2</v>
      </c>
      <c r="AB1674" s="3">
        <v>13.527850239999999</v>
      </c>
      <c r="AC1674" s="3">
        <v>1.586263889</v>
      </c>
      <c r="AD1674" s="3">
        <v>0.100462344</v>
      </c>
      <c r="AE1674" s="3">
        <v>4.9263648379999996</v>
      </c>
      <c r="AF1674" s="4">
        <v>42613</v>
      </c>
      <c r="AG1674" s="5">
        <f>YEAR(AF1674)</f>
        <v>2016</v>
      </c>
      <c r="AH1674" s="5" t="str">
        <f>"Q"&amp;ROUNDUP(MONTH(AF1674)/3,0)</f>
        <v>Q3</v>
      </c>
      <c r="AI1674" s="5">
        <f>INDEX(RatingLookup!$B$2:$B$11,MATCH(A1674,RatingLookup!$A$2:$A$11,0))</f>
        <v>6</v>
      </c>
      <c r="AJ1674" s="5" t="str">
        <f>INDEX(RatingLookup!$C$2:$C$11,MATCH(A1674,RatingLookup!$A$2:$A$11,0))</f>
        <v>Speculative Grade</v>
      </c>
    </row>
    <row r="1675" spans="1:36" x14ac:dyDescent="0.3">
      <c r="A1675" s="3" t="s">
        <v>42</v>
      </c>
      <c r="B1675" s="3" t="s">
        <v>1757</v>
      </c>
      <c r="C1675" s="3" t="s">
        <v>1758</v>
      </c>
      <c r="D1675" s="3" t="s">
        <v>39</v>
      </c>
      <c r="E1675" s="3" t="s">
        <v>1759</v>
      </c>
      <c r="F1675" s="3" t="s">
        <v>79</v>
      </c>
      <c r="G1675" s="3">
        <v>1.392594514</v>
      </c>
      <c r="H1675" s="3">
        <v>0.85415132400000005</v>
      </c>
      <c r="I1675" s="3">
        <v>0.33996638699999998</v>
      </c>
      <c r="J1675" s="3">
        <v>43.520084789999999</v>
      </c>
      <c r="K1675" s="3">
        <v>3.5734591000000003E-2</v>
      </c>
      <c r="L1675" s="3">
        <v>6.5748095000000006E-2</v>
      </c>
      <c r="M1675" s="3">
        <v>0.74507736499999999</v>
      </c>
      <c r="N1675" s="3">
        <v>3.747669E-2</v>
      </c>
      <c r="O1675" s="3">
        <v>2.1725774999999999E-2</v>
      </c>
      <c r="P1675" s="3">
        <v>4.7367284000000003E-2</v>
      </c>
      <c r="Q1675" s="3">
        <v>4.1294454000000001E-2</v>
      </c>
      <c r="R1675" s="3">
        <v>0.60797603600000005</v>
      </c>
      <c r="S1675" s="3">
        <v>1.3718916720000001</v>
      </c>
      <c r="T1675" s="3">
        <v>0.90071260799999997</v>
      </c>
      <c r="U1675" s="3">
        <v>0.47388153500000002</v>
      </c>
      <c r="V1675" s="3">
        <v>0.439089328</v>
      </c>
      <c r="W1675" s="3">
        <v>-1.4677531909999999</v>
      </c>
      <c r="X1675" s="3">
        <v>-5.0848537540000001</v>
      </c>
      <c r="Y1675" s="3">
        <v>4.6704577929999997</v>
      </c>
      <c r="Z1675" s="3">
        <v>1.9007126080000001</v>
      </c>
      <c r="AA1675" s="3">
        <v>6.5748095000000006E-2</v>
      </c>
      <c r="AB1675" s="3">
        <v>4.4560038669999997</v>
      </c>
      <c r="AC1675" s="3">
        <v>3.4643792869999999</v>
      </c>
      <c r="AD1675" s="3">
        <v>7.4230459999999998E-2</v>
      </c>
      <c r="AE1675" s="3">
        <v>2.4631209890000001</v>
      </c>
      <c r="AF1675" s="4">
        <v>41470</v>
      </c>
      <c r="AG1675" s="5">
        <f>YEAR(AF1675)</f>
        <v>2013</v>
      </c>
      <c r="AH1675" s="5" t="str">
        <f>"Q"&amp;ROUNDUP(MONTH(AF1675)/3,0)</f>
        <v>Q3</v>
      </c>
      <c r="AI1675" s="5">
        <f>INDEX(RatingLookup!$B$2:$B$11,MATCH(A1675,RatingLookup!$A$2:$A$11,0))</f>
        <v>7</v>
      </c>
      <c r="AJ1675" s="5" t="str">
        <f>INDEX(RatingLookup!$C$2:$C$11,MATCH(A1675,RatingLookup!$A$2:$A$11,0))</f>
        <v>Investment Grade</v>
      </c>
    </row>
    <row r="1676" spans="1:36" x14ac:dyDescent="0.3">
      <c r="A1676" s="3" t="s">
        <v>92</v>
      </c>
      <c r="B1676" s="3" t="s">
        <v>1757</v>
      </c>
      <c r="C1676" s="3" t="s">
        <v>1758</v>
      </c>
      <c r="D1676" s="3" t="s">
        <v>44</v>
      </c>
      <c r="E1676" s="3" t="s">
        <v>1760</v>
      </c>
      <c r="F1676" s="3" t="s">
        <v>79</v>
      </c>
      <c r="G1676" s="3">
        <v>1.492804244</v>
      </c>
      <c r="H1676" s="3">
        <v>1.0751306460000001</v>
      </c>
      <c r="I1676" s="3">
        <v>0.24683683200000001</v>
      </c>
      <c r="J1676" s="3">
        <v>43.698580980000003</v>
      </c>
      <c r="K1676" s="3">
        <v>-1.0997889E-2</v>
      </c>
      <c r="L1676" s="3">
        <v>-1.5080352999999999E-2</v>
      </c>
      <c r="M1676" s="3">
        <v>0.69361764299999995</v>
      </c>
      <c r="N1676" s="3">
        <v>-3.6835171E-2</v>
      </c>
      <c r="O1676" s="3">
        <v>-6.5993880000000003E-3</v>
      </c>
      <c r="P1676" s="3">
        <v>-1.0426306E-2</v>
      </c>
      <c r="Q1676" s="3">
        <v>-1.2965511000000001E-2</v>
      </c>
      <c r="R1676" s="3">
        <v>0.60005953199999995</v>
      </c>
      <c r="S1676" s="3">
        <v>1.4268465450000001</v>
      </c>
      <c r="T1676" s="3">
        <v>0.964653447</v>
      </c>
      <c r="U1676" s="3">
        <v>0.49100438000000002</v>
      </c>
      <c r="V1676" s="3">
        <v>0.200701826</v>
      </c>
      <c r="W1676" s="3">
        <v>-2.5109433569999999</v>
      </c>
      <c r="X1676" s="3">
        <v>-5.1386484269999997</v>
      </c>
      <c r="Y1676" s="3">
        <v>5.4056380839999996</v>
      </c>
      <c r="Z1676" s="3">
        <v>1.9646534470000001</v>
      </c>
      <c r="AA1676" s="3">
        <v>-1.5080352999999999E-2</v>
      </c>
      <c r="AB1676" s="3">
        <v>8.3450611949999995</v>
      </c>
      <c r="AC1676" s="3">
        <v>2.0465011340000001</v>
      </c>
      <c r="AD1676" s="3">
        <v>4.4272592E-2</v>
      </c>
      <c r="AE1676" s="3">
        <v>3.8868777400000001</v>
      </c>
      <c r="AF1676" s="4">
        <v>42027</v>
      </c>
      <c r="AG1676" s="5">
        <f>YEAR(AF1676)</f>
        <v>2015</v>
      </c>
      <c r="AH1676" s="5" t="str">
        <f>"Q"&amp;ROUNDUP(MONTH(AF1676)/3,0)</f>
        <v>Q1</v>
      </c>
      <c r="AI1676" s="5">
        <f>INDEX(RatingLookup!$B$2:$B$11,MATCH(A1676,RatingLookup!$A$2:$A$11,0))</f>
        <v>6</v>
      </c>
      <c r="AJ1676" s="5" t="str">
        <f>INDEX(RatingLookup!$C$2:$C$11,MATCH(A1676,RatingLookup!$A$2:$A$11,0))</f>
        <v>Speculative Grade</v>
      </c>
    </row>
    <row r="1677" spans="1:36" x14ac:dyDescent="0.3">
      <c r="A1677" s="3" t="s">
        <v>92</v>
      </c>
      <c r="B1677" s="3" t="s">
        <v>1757</v>
      </c>
      <c r="C1677" s="3" t="s">
        <v>1758</v>
      </c>
      <c r="D1677" s="3" t="s">
        <v>39</v>
      </c>
      <c r="E1677" s="3" t="s">
        <v>1761</v>
      </c>
      <c r="F1677" s="3" t="s">
        <v>79</v>
      </c>
      <c r="G1677" s="3">
        <v>2.2350007619999999</v>
      </c>
      <c r="H1677" s="3">
        <v>1.963249628</v>
      </c>
      <c r="I1677" s="3">
        <v>0.95646430599999999</v>
      </c>
      <c r="J1677" s="3">
        <v>55.542130270000001</v>
      </c>
      <c r="K1677" s="3">
        <v>6.0384256999999997E-2</v>
      </c>
      <c r="L1677" s="3">
        <v>0.100986701</v>
      </c>
      <c r="M1677" s="3">
        <v>0.736590262</v>
      </c>
      <c r="N1677" s="3">
        <v>7.8297099999999994E-2</v>
      </c>
      <c r="O1677" s="3">
        <v>3.4185234000000002E-2</v>
      </c>
      <c r="P1677" s="3">
        <v>6.3945888000000006E-2</v>
      </c>
      <c r="Q1677" s="3">
        <v>6.7784333000000002E-2</v>
      </c>
      <c r="R1677" s="3">
        <v>0.56612825099999997</v>
      </c>
      <c r="S1677" s="3">
        <v>1.508853942</v>
      </c>
      <c r="T1677" s="3">
        <v>0.98285415600000003</v>
      </c>
      <c r="U1677" s="3">
        <v>0.49567647399999998</v>
      </c>
      <c r="V1677" s="3">
        <v>0.38732103000000001</v>
      </c>
      <c r="W1677" s="3">
        <v>1</v>
      </c>
      <c r="X1677" s="3">
        <v>21.002504510000001</v>
      </c>
      <c r="Y1677" s="3">
        <v>10.210177099999999</v>
      </c>
      <c r="Z1677" s="3">
        <v>1.9828541559999999</v>
      </c>
      <c r="AA1677" s="3">
        <v>0.100986701</v>
      </c>
      <c r="AB1677" s="3">
        <v>13.087213350000001</v>
      </c>
      <c r="AC1677" s="3">
        <v>21.002504510000001</v>
      </c>
      <c r="AD1677" s="3">
        <v>0.44270304700000002</v>
      </c>
      <c r="AE1677" s="3">
        <v>3.8310887280000001</v>
      </c>
      <c r="AF1677" s="4">
        <v>42327</v>
      </c>
      <c r="AG1677" s="5">
        <f>YEAR(AF1677)</f>
        <v>2015</v>
      </c>
      <c r="AH1677" s="5" t="str">
        <f>"Q"&amp;ROUNDUP(MONTH(AF1677)/3,0)</f>
        <v>Q4</v>
      </c>
      <c r="AI1677" s="5">
        <f>INDEX(RatingLookup!$B$2:$B$11,MATCH(A1677,RatingLookup!$A$2:$A$11,0))</f>
        <v>6</v>
      </c>
      <c r="AJ1677" s="5" t="str">
        <f>INDEX(RatingLookup!$C$2:$C$11,MATCH(A1677,RatingLookup!$A$2:$A$11,0))</f>
        <v>Speculative Grade</v>
      </c>
    </row>
    <row r="1678" spans="1:36" x14ac:dyDescent="0.3">
      <c r="A1678" s="3" t="s">
        <v>42</v>
      </c>
      <c r="B1678" s="3" t="s">
        <v>1757</v>
      </c>
      <c r="C1678" s="3" t="s">
        <v>1758</v>
      </c>
      <c r="D1678" s="3" t="s">
        <v>60</v>
      </c>
      <c r="E1678" s="3" t="s">
        <v>46</v>
      </c>
      <c r="F1678" s="3" t="s">
        <v>79</v>
      </c>
      <c r="G1678" s="3">
        <v>1.7899471119999999</v>
      </c>
      <c r="H1678" s="3">
        <v>1.2358545160000001</v>
      </c>
      <c r="I1678" s="3">
        <v>0.58724455900000005</v>
      </c>
      <c r="J1678" s="3">
        <v>28.693370269999999</v>
      </c>
      <c r="K1678" s="3">
        <v>4.0300956999999998E-2</v>
      </c>
      <c r="L1678" s="3">
        <v>7.2023273999999998E-2</v>
      </c>
      <c r="M1678" s="3">
        <v>0.81988540600000004</v>
      </c>
      <c r="N1678" s="3">
        <v>6.4646013000000002E-2</v>
      </c>
      <c r="O1678" s="3">
        <v>2.7661451E-2</v>
      </c>
      <c r="P1678" s="3">
        <v>5.5804310000000003E-2</v>
      </c>
      <c r="Q1678" s="3">
        <v>4.8354387999999998E-2</v>
      </c>
      <c r="R1678" s="3">
        <v>0.68637207200000006</v>
      </c>
      <c r="S1678" s="3">
        <v>1.556586348</v>
      </c>
      <c r="T1678" s="3">
        <v>0.74807850099999995</v>
      </c>
      <c r="U1678" s="3">
        <v>0.42794331099999999</v>
      </c>
      <c r="V1678" s="3">
        <v>0.36467384000000003</v>
      </c>
      <c r="W1678" s="3">
        <v>0.21871880899999999</v>
      </c>
      <c r="X1678" s="3">
        <v>2.5456130639999999</v>
      </c>
      <c r="Y1678" s="3">
        <v>6.4940325410000002</v>
      </c>
      <c r="Z1678" s="3">
        <v>1.748078501</v>
      </c>
      <c r="AA1678" s="3">
        <v>7.2023273999999998E-2</v>
      </c>
      <c r="AB1678" s="3">
        <v>5.0340274320000002</v>
      </c>
      <c r="AC1678" s="3">
        <v>11.638747840000001</v>
      </c>
      <c r="AD1678" s="3">
        <v>0.22744262100000001</v>
      </c>
      <c r="AE1678" s="3">
        <v>2.5752273859999999</v>
      </c>
      <c r="AF1678" s="4">
        <v>41075</v>
      </c>
      <c r="AG1678" s="5">
        <f>YEAR(AF1678)</f>
        <v>2012</v>
      </c>
      <c r="AH1678" s="5" t="str">
        <f>"Q"&amp;ROUNDUP(MONTH(AF1678)/3,0)</f>
        <v>Q2</v>
      </c>
      <c r="AI1678" s="5">
        <f>INDEX(RatingLookup!$B$2:$B$11,MATCH(A1678,RatingLookup!$A$2:$A$11,0))</f>
        <v>7</v>
      </c>
      <c r="AJ1678" s="5" t="str">
        <f>INDEX(RatingLookup!$C$2:$C$11,MATCH(A1678,RatingLookup!$A$2:$A$11,0))</f>
        <v>Investment Grade</v>
      </c>
    </row>
    <row r="1679" spans="1:36" x14ac:dyDescent="0.3">
      <c r="A1679" s="3" t="s">
        <v>92</v>
      </c>
      <c r="B1679" s="3" t="s">
        <v>1757</v>
      </c>
      <c r="C1679" s="3" t="s">
        <v>1758</v>
      </c>
      <c r="D1679" s="3" t="s">
        <v>47</v>
      </c>
      <c r="E1679" s="3" t="s">
        <v>742</v>
      </c>
      <c r="F1679" s="3" t="s">
        <v>79</v>
      </c>
      <c r="G1679" s="3">
        <v>2.1699164350000002</v>
      </c>
      <c r="H1679" s="3">
        <v>1.9456824509999999</v>
      </c>
      <c r="I1679" s="3">
        <v>0.81615598899999997</v>
      </c>
      <c r="J1679" s="3">
        <v>60.972327999999997</v>
      </c>
      <c r="K1679" s="3">
        <v>1.2185834E-2</v>
      </c>
      <c r="L1679" s="3">
        <v>2.0817466E-2</v>
      </c>
      <c r="M1679" s="3">
        <v>0.72556486399999998</v>
      </c>
      <c r="N1679" s="3">
        <v>-7.6161499999999999E-4</v>
      </c>
      <c r="O1679" s="3">
        <v>6.7510549999999997E-3</v>
      </c>
      <c r="P1679" s="3">
        <v>1.2828536E-2</v>
      </c>
      <c r="Q1679" s="3">
        <v>1.3208586E-2</v>
      </c>
      <c r="R1679" s="3">
        <v>0.55400843899999996</v>
      </c>
      <c r="S1679" s="3">
        <v>1.5947368420000001</v>
      </c>
      <c r="T1679" s="3">
        <v>0.95652173900000004</v>
      </c>
      <c r="U1679" s="3">
        <v>0.48888888899999999</v>
      </c>
      <c r="V1679" s="3">
        <v>0.40243902399999998</v>
      </c>
      <c r="W1679" s="3">
        <v>1</v>
      </c>
      <c r="X1679" s="3">
        <v>18.747458819999999</v>
      </c>
      <c r="Y1679" s="3">
        <v>8.6941176470000006</v>
      </c>
      <c r="Z1679" s="3">
        <v>1.956521739</v>
      </c>
      <c r="AA1679" s="3">
        <v>2.0817466E-2</v>
      </c>
      <c r="AB1679" s="3">
        <v>-1619.833333</v>
      </c>
      <c r="AC1679" s="3">
        <v>18.747458819999999</v>
      </c>
      <c r="AD1679" s="3">
        <v>0.40455293199999998</v>
      </c>
      <c r="AE1679" s="3">
        <v>3.4983818769999999</v>
      </c>
      <c r="AF1679" s="4">
        <v>42649</v>
      </c>
      <c r="AG1679" s="5">
        <f>YEAR(AF1679)</f>
        <v>2016</v>
      </c>
      <c r="AH1679" s="5" t="str">
        <f>"Q"&amp;ROUNDUP(MONTH(AF1679)/3,0)</f>
        <v>Q4</v>
      </c>
      <c r="AI1679" s="5">
        <f>INDEX(RatingLookup!$B$2:$B$11,MATCH(A1679,RatingLookup!$A$2:$A$11,0))</f>
        <v>6</v>
      </c>
      <c r="AJ1679" s="5" t="str">
        <f>INDEX(RatingLookup!$C$2:$C$11,MATCH(A1679,RatingLookup!$A$2:$A$11,0))</f>
        <v>Speculative Grade</v>
      </c>
    </row>
    <row r="1680" spans="1:36" x14ac:dyDescent="0.3">
      <c r="A1680" s="3" t="s">
        <v>92</v>
      </c>
      <c r="B1680" s="3" t="s">
        <v>1762</v>
      </c>
      <c r="C1680" s="3" t="s">
        <v>1763</v>
      </c>
      <c r="D1680" s="3" t="s">
        <v>47</v>
      </c>
      <c r="E1680" s="3" t="s">
        <v>209</v>
      </c>
      <c r="F1680" s="3" t="s">
        <v>96</v>
      </c>
      <c r="G1680" s="3">
        <v>1.2626215279999999</v>
      </c>
      <c r="H1680" s="3">
        <v>0.86410300900000003</v>
      </c>
      <c r="I1680" s="3">
        <v>0.27505497699999998</v>
      </c>
      <c r="J1680" s="3">
        <v>85.908740379999998</v>
      </c>
      <c r="K1680" s="3">
        <v>7.3841984999999999E-2</v>
      </c>
      <c r="L1680" s="3">
        <v>0.107707231</v>
      </c>
      <c r="M1680" s="3">
        <v>0.63174391399999996</v>
      </c>
      <c r="N1680" s="3">
        <v>0.14226386499999999</v>
      </c>
      <c r="O1680" s="3">
        <v>3.7974827000000003E-2</v>
      </c>
      <c r="P1680" s="3">
        <v>6.9716691999999997E-2</v>
      </c>
      <c r="Q1680" s="3">
        <v>0.117470489</v>
      </c>
      <c r="R1680" s="3">
        <v>0.51427147799999995</v>
      </c>
      <c r="S1680" s="3">
        <v>15.082358279999999</v>
      </c>
      <c r="T1680" s="3">
        <v>2.093377893</v>
      </c>
      <c r="U1680" s="3">
        <v>0.67672879500000005</v>
      </c>
      <c r="V1680" s="3">
        <v>0.31441943300000003</v>
      </c>
      <c r="W1680" s="3">
        <v>0.84753427999999997</v>
      </c>
      <c r="X1680" s="3">
        <v>2.9854688889999998</v>
      </c>
      <c r="Y1680" s="3">
        <v>2.4191118459999998</v>
      </c>
      <c r="Z1680" s="3">
        <v>3.093377893</v>
      </c>
      <c r="AA1680" s="3">
        <v>0.107707231</v>
      </c>
      <c r="AB1680" s="3">
        <v>7.3843923729999998</v>
      </c>
      <c r="AC1680" s="3">
        <v>3.5225346740000001</v>
      </c>
      <c r="AD1680" s="3">
        <v>0.16003413</v>
      </c>
      <c r="AE1680" s="3">
        <v>7.2956846400000002</v>
      </c>
      <c r="AF1680" s="4">
        <v>41604</v>
      </c>
      <c r="AG1680" s="5">
        <f>YEAR(AF1680)</f>
        <v>2013</v>
      </c>
      <c r="AH1680" s="5" t="str">
        <f>"Q"&amp;ROUNDUP(MONTH(AF1680)/3,0)</f>
        <v>Q4</v>
      </c>
      <c r="AI1680" s="5">
        <f>INDEX(RatingLookup!$B$2:$B$11,MATCH(A1680,RatingLookup!$A$2:$A$11,0))</f>
        <v>6</v>
      </c>
      <c r="AJ1680" s="5" t="str">
        <f>INDEX(RatingLookup!$C$2:$C$11,MATCH(A1680,RatingLookup!$A$2:$A$11,0))</f>
        <v>Speculative Grade</v>
      </c>
    </row>
    <row r="1681" spans="1:36" x14ac:dyDescent="0.3">
      <c r="A1681" s="3" t="s">
        <v>42</v>
      </c>
      <c r="B1681" s="3" t="s">
        <v>1764</v>
      </c>
      <c r="C1681" s="3" t="s">
        <v>1765</v>
      </c>
      <c r="D1681" s="3" t="s">
        <v>44</v>
      </c>
      <c r="E1681" s="3" t="s">
        <v>1766</v>
      </c>
      <c r="F1681" s="3" t="s">
        <v>219</v>
      </c>
      <c r="G1681" s="3">
        <v>2.3839906179999999</v>
      </c>
      <c r="H1681" s="3">
        <v>1.397104734</v>
      </c>
      <c r="I1681" s="3">
        <v>0.41586118300000002</v>
      </c>
      <c r="J1681" s="3">
        <v>72.039316029999995</v>
      </c>
      <c r="K1681" s="3">
        <v>5.7165003999999998E-2</v>
      </c>
      <c r="L1681" s="3">
        <v>8.6908351999999994E-2</v>
      </c>
      <c r="M1681" s="3">
        <v>0.40828518800000002</v>
      </c>
      <c r="N1681" s="3">
        <v>8.6908351999999994E-2</v>
      </c>
      <c r="O1681" s="3">
        <v>6.0655839000000003E-2</v>
      </c>
      <c r="P1681" s="3">
        <v>0.11723652499999999</v>
      </c>
      <c r="Q1681" s="3">
        <v>0.182431382</v>
      </c>
      <c r="R1681" s="3">
        <v>1.0610659490000001</v>
      </c>
      <c r="S1681" s="3">
        <v>9.0189288310000002</v>
      </c>
      <c r="T1681" s="3">
        <v>2.0076474919999998</v>
      </c>
      <c r="U1681" s="3">
        <v>0.66751422699999996</v>
      </c>
      <c r="V1681" s="3">
        <v>0.28793532500000002</v>
      </c>
      <c r="W1681" s="3">
        <v>0.75713190799999996</v>
      </c>
      <c r="X1681" s="3">
        <v>1.742425661</v>
      </c>
      <c r="Y1681" s="3">
        <v>2.465995473</v>
      </c>
      <c r="Z1681" s="3">
        <v>3.0076474919999998</v>
      </c>
      <c r="AA1681" s="3">
        <v>8.6908351999999994E-2</v>
      </c>
      <c r="AB1681" s="3">
        <v>10.65881235</v>
      </c>
      <c r="AC1681" s="3">
        <v>2.301350191</v>
      </c>
      <c r="AD1681" s="3">
        <v>7.8061828999999999E-2</v>
      </c>
      <c r="AE1681" s="3">
        <v>5.709684341</v>
      </c>
      <c r="AF1681" s="4">
        <v>41201</v>
      </c>
      <c r="AG1681" s="5">
        <f>YEAR(AF1681)</f>
        <v>2012</v>
      </c>
      <c r="AH1681" s="5" t="str">
        <f>"Q"&amp;ROUNDUP(MONTH(AF1681)/3,0)</f>
        <v>Q4</v>
      </c>
      <c r="AI1681" s="5">
        <f>INDEX(RatingLookup!$B$2:$B$11,MATCH(A1681,RatingLookup!$A$2:$A$11,0))</f>
        <v>7</v>
      </c>
      <c r="AJ1681" s="5" t="str">
        <f>INDEX(RatingLookup!$C$2:$C$11,MATCH(A1681,RatingLookup!$A$2:$A$11,0))</f>
        <v>Investment Grade</v>
      </c>
    </row>
    <row r="1682" spans="1:36" x14ac:dyDescent="0.3">
      <c r="A1682" s="3" t="s">
        <v>42</v>
      </c>
      <c r="B1682" s="3" t="s">
        <v>1764</v>
      </c>
      <c r="C1682" s="3" t="s">
        <v>1765</v>
      </c>
      <c r="D1682" s="3" t="s">
        <v>39</v>
      </c>
      <c r="E1682" s="3" t="s">
        <v>1508</v>
      </c>
      <c r="F1682" s="3" t="s">
        <v>219</v>
      </c>
      <c r="G1682" s="3">
        <v>2.200753186</v>
      </c>
      <c r="H1682" s="3">
        <v>1.2878369750000001</v>
      </c>
      <c r="I1682" s="3">
        <v>0.35521606300000003</v>
      </c>
      <c r="J1682" s="3">
        <v>72.889524679999994</v>
      </c>
      <c r="K1682" s="3">
        <v>6.6644533000000006E-2</v>
      </c>
      <c r="L1682" s="3">
        <v>7.1710393999999997E-2</v>
      </c>
      <c r="M1682" s="3">
        <v>0.42861441900000002</v>
      </c>
      <c r="N1682" s="3">
        <v>6.6644533000000006E-2</v>
      </c>
      <c r="O1682" s="3">
        <v>6.6613907E-2</v>
      </c>
      <c r="P1682" s="3">
        <v>9.1195743999999995E-2</v>
      </c>
      <c r="Q1682" s="3">
        <v>0.21091316199999999</v>
      </c>
      <c r="R1682" s="3">
        <v>0.99954046799999996</v>
      </c>
      <c r="S1682" s="3">
        <v>8.2137986690000009</v>
      </c>
      <c r="T1682" s="3">
        <v>2.1662031289999999</v>
      </c>
      <c r="U1682" s="3">
        <v>0.68416429400000001</v>
      </c>
      <c r="V1682" s="3">
        <v>0.37760252399999999</v>
      </c>
      <c r="W1682" s="3">
        <v>0.66279943500000005</v>
      </c>
      <c r="X1682" s="3">
        <v>1.4242880760000001</v>
      </c>
      <c r="Y1682" s="3">
        <v>2.5716404769999999</v>
      </c>
      <c r="Z1682" s="3">
        <v>3.1662031289999999</v>
      </c>
      <c r="AA1682" s="3">
        <v>7.1710393999999997E-2</v>
      </c>
      <c r="AB1682" s="3">
        <v>18.32767707</v>
      </c>
      <c r="AC1682" s="3">
        <v>2.1488975419999998</v>
      </c>
      <c r="AD1682" s="3">
        <v>6.3557259000000005E-2</v>
      </c>
      <c r="AE1682" s="3">
        <v>4.7568577840000001</v>
      </c>
      <c r="AF1682" s="4">
        <v>42110</v>
      </c>
      <c r="AG1682" s="5">
        <f>YEAR(AF1682)</f>
        <v>2015</v>
      </c>
      <c r="AH1682" s="5" t="str">
        <f>"Q"&amp;ROUNDUP(MONTH(AF1682)/3,0)</f>
        <v>Q2</v>
      </c>
      <c r="AI1682" s="5">
        <f>INDEX(RatingLookup!$B$2:$B$11,MATCH(A1682,RatingLookup!$A$2:$A$11,0))</f>
        <v>7</v>
      </c>
      <c r="AJ1682" s="5" t="str">
        <f>INDEX(RatingLookup!$C$2:$C$11,MATCH(A1682,RatingLookup!$A$2:$A$11,0))</f>
        <v>Investment Grade</v>
      </c>
    </row>
    <row r="1683" spans="1:36" x14ac:dyDescent="0.3">
      <c r="A1683" s="3" t="s">
        <v>42</v>
      </c>
      <c r="B1683" s="3" t="s">
        <v>1764</v>
      </c>
      <c r="C1683" s="3" t="s">
        <v>1765</v>
      </c>
      <c r="D1683" s="3" t="s">
        <v>39</v>
      </c>
      <c r="E1683" s="3" t="s">
        <v>676</v>
      </c>
      <c r="F1683" s="3" t="s">
        <v>219</v>
      </c>
      <c r="G1683" s="3">
        <v>2.0325549820000002</v>
      </c>
      <c r="H1683" s="3">
        <v>1.2187871079999999</v>
      </c>
      <c r="I1683" s="3">
        <v>0.37019708400000001</v>
      </c>
      <c r="J1683" s="3">
        <v>70.475121090000002</v>
      </c>
      <c r="K1683" s="3">
        <v>2.4175372000000001E-2</v>
      </c>
      <c r="L1683" s="3">
        <v>4.3369933999999999E-2</v>
      </c>
      <c r="M1683" s="3">
        <v>0.41747071000000002</v>
      </c>
      <c r="N1683" s="3">
        <v>4.3369933999999999E-2</v>
      </c>
      <c r="O1683" s="3">
        <v>2.3958784E-2</v>
      </c>
      <c r="P1683" s="3">
        <v>5.5495284999999998E-2</v>
      </c>
      <c r="Q1683" s="3">
        <v>8.2110457999999997E-2</v>
      </c>
      <c r="R1683" s="3">
        <v>0.99104099899999998</v>
      </c>
      <c r="S1683" s="3">
        <v>8.2838373310000009</v>
      </c>
      <c r="T1683" s="3">
        <v>2.4271545840000002</v>
      </c>
      <c r="U1683" s="3">
        <v>0.70821275299999997</v>
      </c>
      <c r="V1683" s="3">
        <v>0.37899045199999998</v>
      </c>
      <c r="W1683" s="3">
        <v>0.75202603300000004</v>
      </c>
      <c r="X1683" s="3">
        <v>2.1486941279999998</v>
      </c>
      <c r="Y1683" s="3">
        <v>2.6641179940000002</v>
      </c>
      <c r="Z1683" s="3">
        <v>3.4271545840000002</v>
      </c>
      <c r="AA1683" s="3">
        <v>4.3369933999999999E-2</v>
      </c>
      <c r="AB1683" s="3">
        <v>19.755587850000001</v>
      </c>
      <c r="AC1683" s="3">
        <v>2.857207109</v>
      </c>
      <c r="AD1683" s="3">
        <v>9.0337133E-2</v>
      </c>
      <c r="AE1683" s="3">
        <v>4.9686543910000003</v>
      </c>
      <c r="AF1683" s="4">
        <v>41656</v>
      </c>
      <c r="AG1683" s="5">
        <f>YEAR(AF1683)</f>
        <v>2014</v>
      </c>
      <c r="AH1683" s="5" t="str">
        <f>"Q"&amp;ROUNDUP(MONTH(AF1683)/3,0)</f>
        <v>Q1</v>
      </c>
      <c r="AI1683" s="5">
        <f>INDEX(RatingLookup!$B$2:$B$11,MATCH(A1683,RatingLookup!$A$2:$A$11,0))</f>
        <v>7</v>
      </c>
      <c r="AJ1683" s="5" t="str">
        <f>INDEX(RatingLookup!$C$2:$C$11,MATCH(A1683,RatingLookup!$A$2:$A$11,0))</f>
        <v>Investment Grade</v>
      </c>
    </row>
    <row r="1684" spans="1:36" x14ac:dyDescent="0.3">
      <c r="A1684" s="3" t="s">
        <v>42</v>
      </c>
      <c r="B1684" s="3" t="s">
        <v>1764</v>
      </c>
      <c r="C1684" s="3" t="s">
        <v>1765</v>
      </c>
      <c r="D1684" s="3" t="s">
        <v>39</v>
      </c>
      <c r="E1684" s="3" t="s">
        <v>1767</v>
      </c>
      <c r="F1684" s="3" t="s">
        <v>219</v>
      </c>
      <c r="G1684" s="3">
        <v>2.3248032630000002</v>
      </c>
      <c r="H1684" s="3">
        <v>1.2520780840000001</v>
      </c>
      <c r="I1684" s="3">
        <v>0.19342785300000001</v>
      </c>
      <c r="J1684" s="3">
        <v>75.963264080000002</v>
      </c>
      <c r="K1684" s="3">
        <v>5.2123493999999999E-2</v>
      </c>
      <c r="L1684" s="3">
        <v>-8.5122599999999996E-4</v>
      </c>
      <c r="M1684" s="3">
        <v>0.42253735399999998</v>
      </c>
      <c r="N1684" s="3">
        <v>5.2123493999999999E-2</v>
      </c>
      <c r="O1684" s="3">
        <v>5.1016565E-2</v>
      </c>
      <c r="P1684" s="3">
        <v>-1.031653E-3</v>
      </c>
      <c r="Q1684" s="3">
        <v>0.18544640200000001</v>
      </c>
      <c r="R1684" s="3">
        <v>0.97876333500000001</v>
      </c>
      <c r="S1684" s="3">
        <v>7.7920481099999996</v>
      </c>
      <c r="T1684" s="3">
        <v>2.6350232930000002</v>
      </c>
      <c r="U1684" s="3">
        <v>0.72489859899999998</v>
      </c>
      <c r="V1684" s="3">
        <v>-57.510866790000001</v>
      </c>
      <c r="W1684" s="3">
        <v>0.74167493799999995</v>
      </c>
      <c r="X1684" s="3">
        <v>1.8862413710000001</v>
      </c>
      <c r="Y1684" s="3">
        <v>1.3446237679999999</v>
      </c>
      <c r="Z1684" s="3">
        <v>3.6350232930000002</v>
      </c>
      <c r="AA1684" s="3">
        <v>-8.5122599999999996E-4</v>
      </c>
      <c r="AB1684" s="3">
        <v>23.162413659999999</v>
      </c>
      <c r="AC1684" s="3">
        <v>2.5432184279999999</v>
      </c>
      <c r="AD1684" s="3">
        <v>7.1921733000000002E-2</v>
      </c>
      <c r="AE1684" s="3">
        <v>5.1803246999999999</v>
      </c>
      <c r="AF1684" s="4">
        <v>42236</v>
      </c>
      <c r="AG1684" s="5">
        <f>YEAR(AF1684)</f>
        <v>2015</v>
      </c>
      <c r="AH1684" s="5" t="str">
        <f>"Q"&amp;ROUNDUP(MONTH(AF1684)/3,0)</f>
        <v>Q3</v>
      </c>
      <c r="AI1684" s="5">
        <f>INDEX(RatingLookup!$B$2:$B$11,MATCH(A1684,RatingLookup!$A$2:$A$11,0))</f>
        <v>7</v>
      </c>
      <c r="AJ1684" s="5" t="str">
        <f>INDEX(RatingLookup!$C$2:$C$11,MATCH(A1684,RatingLookup!$A$2:$A$11,0))</f>
        <v>Investment Grade</v>
      </c>
    </row>
    <row r="1685" spans="1:36" x14ac:dyDescent="0.3">
      <c r="A1685" s="3" t="s">
        <v>42</v>
      </c>
      <c r="B1685" s="3" t="s">
        <v>1764</v>
      </c>
      <c r="C1685" s="3" t="s">
        <v>1765</v>
      </c>
      <c r="D1685" s="3" t="s">
        <v>44</v>
      </c>
      <c r="E1685" s="3" t="s">
        <v>46</v>
      </c>
      <c r="F1685" s="3" t="s">
        <v>219</v>
      </c>
      <c r="G1685" s="3">
        <v>2.540456882</v>
      </c>
      <c r="H1685" s="3">
        <v>1.561119505</v>
      </c>
      <c r="I1685" s="3">
        <v>0.59161907800000002</v>
      </c>
      <c r="J1685" s="3">
        <v>76.938861110000005</v>
      </c>
      <c r="K1685" s="3">
        <v>5.5903870000000001E-2</v>
      </c>
      <c r="L1685" s="3">
        <v>8.7246266000000003E-2</v>
      </c>
      <c r="M1685" s="3">
        <v>0.41423207099999998</v>
      </c>
      <c r="N1685" s="3">
        <v>8.7246266000000003E-2</v>
      </c>
      <c r="O1685" s="3">
        <v>5.3785616000000001E-2</v>
      </c>
      <c r="P1685" s="3">
        <v>0.10614410000000001</v>
      </c>
      <c r="Q1685" s="3">
        <v>0.14967019300000001</v>
      </c>
      <c r="R1685" s="3">
        <v>0.96210899000000005</v>
      </c>
      <c r="S1685" s="3">
        <v>8.6707868940000008</v>
      </c>
      <c r="T1685" s="3">
        <v>1.7827178420000001</v>
      </c>
      <c r="U1685" s="3">
        <v>0.64063909600000002</v>
      </c>
      <c r="V1685" s="3">
        <v>0.31141862599999998</v>
      </c>
      <c r="W1685" s="3">
        <v>0.83278049799999998</v>
      </c>
      <c r="X1685" s="3">
        <v>1.556792226</v>
      </c>
      <c r="Y1685" s="3">
        <v>3.4144486390000002</v>
      </c>
      <c r="Z1685" s="3">
        <v>2.7827178419999998</v>
      </c>
      <c r="AA1685" s="3">
        <v>8.7246266000000003E-2</v>
      </c>
      <c r="AB1685" s="3">
        <v>9.8058733680000003</v>
      </c>
      <c r="AC1685" s="3">
        <v>1.869390831</v>
      </c>
      <c r="AD1685" s="3">
        <v>7.0424954999999997E-2</v>
      </c>
      <c r="AE1685" s="3">
        <v>5.5212631339999998</v>
      </c>
      <c r="AF1685" s="4">
        <v>41075</v>
      </c>
      <c r="AG1685" s="5">
        <f>YEAR(AF1685)</f>
        <v>2012</v>
      </c>
      <c r="AH1685" s="5" t="str">
        <f>"Q"&amp;ROUNDUP(MONTH(AF1685)/3,0)</f>
        <v>Q2</v>
      </c>
      <c r="AI1685" s="5">
        <f>INDEX(RatingLookup!$B$2:$B$11,MATCH(A1685,RatingLookup!$A$2:$A$11,0))</f>
        <v>7</v>
      </c>
      <c r="AJ1685" s="5" t="str">
        <f>INDEX(RatingLookup!$C$2:$C$11,MATCH(A1685,RatingLookup!$A$2:$A$11,0))</f>
        <v>Investment Grade</v>
      </c>
    </row>
    <row r="1686" spans="1:36" x14ac:dyDescent="0.3">
      <c r="A1686" s="3" t="s">
        <v>109</v>
      </c>
      <c r="B1686" s="3" t="s">
        <v>1768</v>
      </c>
      <c r="C1686" s="3" t="s">
        <v>1769</v>
      </c>
      <c r="D1686" s="3" t="s">
        <v>47</v>
      </c>
      <c r="E1686" s="3" t="s">
        <v>1770</v>
      </c>
      <c r="F1686" s="3" t="s">
        <v>113</v>
      </c>
      <c r="G1686" s="3">
        <v>2.466946702</v>
      </c>
      <c r="H1686" s="3">
        <v>2.24465987</v>
      </c>
      <c r="I1686" s="3">
        <v>0.92999377800000005</v>
      </c>
      <c r="J1686" s="3">
        <v>74.765155070000006</v>
      </c>
      <c r="K1686" s="3">
        <v>7.8366915999999995E-2</v>
      </c>
      <c r="L1686" s="3">
        <v>9.5257676999999999E-2</v>
      </c>
      <c r="M1686" s="3">
        <v>0.81230336000000003</v>
      </c>
      <c r="N1686" s="3">
        <v>0.26590098400000001</v>
      </c>
      <c r="O1686" s="3">
        <v>1.3177848000000001E-2</v>
      </c>
      <c r="P1686" s="3">
        <v>1.7775508999999998E-2</v>
      </c>
      <c r="Q1686" s="3">
        <v>3.5160640999999999E-2</v>
      </c>
      <c r="R1686" s="3">
        <v>0.16815575299999999</v>
      </c>
      <c r="S1686" s="3">
        <v>14.56139252</v>
      </c>
      <c r="T1686" s="3">
        <v>1.668162666</v>
      </c>
      <c r="U1686" s="3">
        <v>0.62521025699999999</v>
      </c>
      <c r="V1686" s="3">
        <v>0.177316534</v>
      </c>
      <c r="W1686" s="3">
        <v>1</v>
      </c>
      <c r="X1686" s="3">
        <v>3.0498236470000002</v>
      </c>
      <c r="Y1686" s="3">
        <v>14.81780051</v>
      </c>
      <c r="Z1686" s="3">
        <v>2.6681626660000002</v>
      </c>
      <c r="AA1686" s="3">
        <v>9.5257676999999999E-2</v>
      </c>
      <c r="AB1686" s="3">
        <v>3.609525772</v>
      </c>
      <c r="AC1686" s="3">
        <v>3.0498236470000002</v>
      </c>
      <c r="AD1686" s="3">
        <v>0.22946810200000001</v>
      </c>
      <c r="AE1686" s="3">
        <v>16.002649819999998</v>
      </c>
      <c r="AF1686" s="4">
        <v>42289</v>
      </c>
      <c r="AG1686" s="5">
        <f>YEAR(AF1686)</f>
        <v>2015</v>
      </c>
      <c r="AH1686" s="5" t="str">
        <f>"Q"&amp;ROUNDUP(MONTH(AF1686)/3,0)</f>
        <v>Q4</v>
      </c>
      <c r="AI1686" s="5">
        <f>INDEX(RatingLookup!$B$2:$B$11,MATCH(A1686,RatingLookup!$A$2:$A$11,0))</f>
        <v>5</v>
      </c>
      <c r="AJ1686" s="5" t="str">
        <f>INDEX(RatingLookup!$C$2:$C$11,MATCH(A1686,RatingLookup!$A$2:$A$11,0))</f>
        <v>Speculative Grade</v>
      </c>
    </row>
    <row r="1687" spans="1:36" x14ac:dyDescent="0.3">
      <c r="A1687" s="3" t="s">
        <v>92</v>
      </c>
      <c r="B1687" s="3" t="s">
        <v>1768</v>
      </c>
      <c r="C1687" s="3" t="s">
        <v>1769</v>
      </c>
      <c r="D1687" s="3" t="s">
        <v>47</v>
      </c>
      <c r="E1687" s="3" t="s">
        <v>1771</v>
      </c>
      <c r="F1687" s="3" t="s">
        <v>113</v>
      </c>
      <c r="G1687" s="3">
        <v>2.2966149640000002</v>
      </c>
      <c r="H1687" s="3">
        <v>2.146086162</v>
      </c>
      <c r="I1687" s="3">
        <v>0.87671832699999996</v>
      </c>
      <c r="J1687" s="3">
        <v>63.366745539999997</v>
      </c>
      <c r="K1687" s="3">
        <v>-4.6664949999999997E-3</v>
      </c>
      <c r="L1687" s="3">
        <v>1.7017766E-2</v>
      </c>
      <c r="M1687" s="3">
        <v>0.81898960899999995</v>
      </c>
      <c r="N1687" s="3">
        <v>0.148226525</v>
      </c>
      <c r="O1687" s="3">
        <v>-1.001846E-3</v>
      </c>
      <c r="P1687" s="3">
        <v>4.1813880000000003E-3</v>
      </c>
      <c r="Q1687" s="3">
        <v>-2.6573510000000001E-3</v>
      </c>
      <c r="R1687" s="3">
        <v>0.214689081</v>
      </c>
      <c r="S1687" s="3">
        <v>21.75351594</v>
      </c>
      <c r="T1687" s="3">
        <v>1.6524563109999999</v>
      </c>
      <c r="U1687" s="3">
        <v>0.62299096300000001</v>
      </c>
      <c r="V1687" s="3">
        <v>1.274213142</v>
      </c>
      <c r="W1687" s="3">
        <v>0.97782488999999995</v>
      </c>
      <c r="X1687" s="3">
        <v>7.0098992600000001</v>
      </c>
      <c r="Y1687" s="3">
        <v>16.860362200000001</v>
      </c>
      <c r="Z1687" s="3">
        <v>2.6524563109999999</v>
      </c>
      <c r="AA1687" s="3">
        <v>1.7017766E-2</v>
      </c>
      <c r="AB1687" s="3">
        <v>3.854954609</v>
      </c>
      <c r="AC1687" s="3">
        <v>7.1688697369999996</v>
      </c>
      <c r="AD1687" s="3">
        <v>0.46274415499999999</v>
      </c>
      <c r="AE1687" s="3">
        <v>26.143865359999999</v>
      </c>
      <c r="AF1687" s="4">
        <v>42653</v>
      </c>
      <c r="AG1687" s="5">
        <f>YEAR(AF1687)</f>
        <v>2016</v>
      </c>
      <c r="AH1687" s="5" t="str">
        <f>"Q"&amp;ROUNDUP(MONTH(AF1687)/3,0)</f>
        <v>Q4</v>
      </c>
      <c r="AI1687" s="5">
        <f>INDEX(RatingLookup!$B$2:$B$11,MATCH(A1687,RatingLookup!$A$2:$A$11,0))</f>
        <v>6</v>
      </c>
      <c r="AJ1687" s="5" t="str">
        <f>INDEX(RatingLookup!$C$2:$C$11,MATCH(A1687,RatingLookup!$A$2:$A$11,0))</f>
        <v>Speculative Grade</v>
      </c>
    </row>
    <row r="1688" spans="1:36" x14ac:dyDescent="0.3">
      <c r="A1688" s="3" t="s">
        <v>109</v>
      </c>
      <c r="B1688" s="3" t="s">
        <v>1772</v>
      </c>
      <c r="C1688" s="3" t="s">
        <v>1773</v>
      </c>
      <c r="D1688" s="3" t="s">
        <v>60</v>
      </c>
      <c r="E1688" s="3" t="s">
        <v>1774</v>
      </c>
      <c r="F1688" s="3" t="s">
        <v>219</v>
      </c>
      <c r="G1688" s="3">
        <v>1.605683521</v>
      </c>
      <c r="H1688" s="3">
        <v>0.30095359999999999</v>
      </c>
      <c r="I1688" s="3">
        <v>0.136158215</v>
      </c>
      <c r="J1688" s="3">
        <v>13.94839827</v>
      </c>
      <c r="K1688" s="3">
        <v>-6.4551105999999997E-2</v>
      </c>
      <c r="L1688" s="3">
        <v>-6.5145053999999994E-2</v>
      </c>
      <c r="M1688" s="3">
        <v>0.100969215</v>
      </c>
      <c r="N1688" s="3">
        <v>-5.3949303999999997E-2</v>
      </c>
      <c r="O1688" s="3">
        <v>-8.0511830000000006E-2</v>
      </c>
      <c r="P1688" s="3">
        <v>-0.12988545900000001</v>
      </c>
      <c r="Q1688" s="3">
        <v>-0.23202059</v>
      </c>
      <c r="R1688" s="3">
        <v>1.247257168</v>
      </c>
      <c r="S1688" s="3">
        <v>8.4755996249999992</v>
      </c>
      <c r="T1688" s="3">
        <v>1.8818198669999999</v>
      </c>
      <c r="U1688" s="3">
        <v>0.65299704800000002</v>
      </c>
      <c r="V1688" s="3">
        <v>9.1173150000000008E-3</v>
      </c>
      <c r="W1688" s="3">
        <v>1.6093452989999999</v>
      </c>
      <c r="X1688" s="3">
        <v>-2300.716242</v>
      </c>
      <c r="Y1688" s="3">
        <v>4515.2517379999999</v>
      </c>
      <c r="Z1688" s="3">
        <v>2.8818198669999999</v>
      </c>
      <c r="AA1688" s="3">
        <v>-6.5145053999999994E-2</v>
      </c>
      <c r="AB1688" s="3">
        <v>-3.5534098850000002</v>
      </c>
      <c r="AC1688" s="3">
        <v>-1429.5976410000001</v>
      </c>
      <c r="AD1688" s="3">
        <v>-1.6505770999999999E-2</v>
      </c>
      <c r="AE1688" s="3">
        <v>5.3072251189999999</v>
      </c>
      <c r="AF1688" s="4">
        <v>41166</v>
      </c>
      <c r="AG1688" s="5">
        <f>YEAR(AF1688)</f>
        <v>2012</v>
      </c>
      <c r="AH1688" s="5" t="str">
        <f>"Q"&amp;ROUNDUP(MONTH(AF1688)/3,0)</f>
        <v>Q3</v>
      </c>
      <c r="AI1688" s="5">
        <f>INDEX(RatingLookup!$B$2:$B$11,MATCH(A1688,RatingLookup!$A$2:$A$11,0))</f>
        <v>5</v>
      </c>
      <c r="AJ1688" s="5" t="str">
        <f>INDEX(RatingLookup!$C$2:$C$11,MATCH(A1688,RatingLookup!$A$2:$A$11,0))</f>
        <v>Speculative Grade</v>
      </c>
    </row>
    <row r="1689" spans="1:36" x14ac:dyDescent="0.3">
      <c r="A1689" s="3" t="s">
        <v>92</v>
      </c>
      <c r="B1689" s="3" t="s">
        <v>1772</v>
      </c>
      <c r="C1689" s="3" t="s">
        <v>1773</v>
      </c>
      <c r="D1689" s="3" t="s">
        <v>47</v>
      </c>
      <c r="E1689" s="3" t="s">
        <v>1775</v>
      </c>
      <c r="F1689" s="3" t="s">
        <v>219</v>
      </c>
      <c r="G1689" s="3">
        <v>1.819961489</v>
      </c>
      <c r="H1689" s="3">
        <v>0.28607968900000003</v>
      </c>
      <c r="I1689" s="3">
        <v>9.9797876999999993E-2</v>
      </c>
      <c r="J1689" s="3">
        <v>20.562581510000001</v>
      </c>
      <c r="K1689" s="3">
        <v>2.4026842E-2</v>
      </c>
      <c r="L1689" s="3">
        <v>4.1724200000000003E-2</v>
      </c>
      <c r="M1689" s="3">
        <v>0.112512741</v>
      </c>
      <c r="N1689" s="3">
        <v>5.3800841000000002E-2</v>
      </c>
      <c r="O1689" s="3">
        <v>2.8605085999999998E-2</v>
      </c>
      <c r="P1689" s="3">
        <v>7.7622468E-2</v>
      </c>
      <c r="Q1689" s="3">
        <v>7.9044748999999997E-2</v>
      </c>
      <c r="R1689" s="3">
        <v>1.1905470389999999</v>
      </c>
      <c r="S1689" s="3">
        <v>8.5145791709999994</v>
      </c>
      <c r="T1689" s="3">
        <v>1.7633110089999999</v>
      </c>
      <c r="U1689" s="3">
        <v>0.63811529099999997</v>
      </c>
      <c r="V1689" s="3">
        <v>0.42415091900000002</v>
      </c>
      <c r="W1689" s="3">
        <v>2.3234941249999999</v>
      </c>
      <c r="X1689" s="3">
        <v>-2.7118117050000001</v>
      </c>
      <c r="Y1689" s="3">
        <v>2.7919566740000001</v>
      </c>
      <c r="Z1689" s="3">
        <v>2.7633110090000002</v>
      </c>
      <c r="AA1689" s="3">
        <v>4.1724200000000003E-2</v>
      </c>
      <c r="AB1689" s="3">
        <v>5.993566596</v>
      </c>
      <c r="AC1689" s="3">
        <v>-1.16712656</v>
      </c>
      <c r="AD1689" s="3">
        <v>-1.2616674E-2</v>
      </c>
      <c r="AE1689" s="3">
        <v>4.9949848030000004</v>
      </c>
      <c r="AF1689" s="4">
        <v>41963</v>
      </c>
      <c r="AG1689" s="5">
        <f>YEAR(AF1689)</f>
        <v>2014</v>
      </c>
      <c r="AH1689" s="5" t="str">
        <f>"Q"&amp;ROUNDUP(MONTH(AF1689)/3,0)</f>
        <v>Q4</v>
      </c>
      <c r="AI1689" s="5">
        <f>INDEX(RatingLookup!$B$2:$B$11,MATCH(A1689,RatingLookup!$A$2:$A$11,0))</f>
        <v>6</v>
      </c>
      <c r="AJ1689" s="5" t="str">
        <f>INDEX(RatingLookup!$C$2:$C$11,MATCH(A1689,RatingLookup!$A$2:$A$11,0))</f>
        <v>Speculative Grade</v>
      </c>
    </row>
    <row r="1690" spans="1:36" x14ac:dyDescent="0.3">
      <c r="A1690" s="3" t="s">
        <v>92</v>
      </c>
      <c r="B1690" s="3" t="s">
        <v>1772</v>
      </c>
      <c r="C1690" s="3" t="s">
        <v>1773</v>
      </c>
      <c r="D1690" s="3" t="s">
        <v>47</v>
      </c>
      <c r="E1690" s="3" t="s">
        <v>479</v>
      </c>
      <c r="F1690" s="3" t="s">
        <v>219</v>
      </c>
      <c r="G1690" s="3">
        <v>1.7881730979999999</v>
      </c>
      <c r="H1690" s="3">
        <v>0.205905105</v>
      </c>
      <c r="I1690" s="3">
        <v>5.1198744999999997E-2</v>
      </c>
      <c r="J1690" s="3">
        <v>16.912418160000001</v>
      </c>
      <c r="K1690" s="3">
        <v>9.2048080000000001E-3</v>
      </c>
      <c r="L1690" s="3">
        <v>1.5006487000000001E-2</v>
      </c>
      <c r="M1690" s="3">
        <v>7.24022E-2</v>
      </c>
      <c r="N1690" s="3">
        <v>2.1423351E-2</v>
      </c>
      <c r="O1690" s="3">
        <v>1.1204120999999999E-2</v>
      </c>
      <c r="P1690" s="3">
        <v>2.8745300000000001E-2</v>
      </c>
      <c r="Q1690" s="3">
        <v>3.1890676999999999E-2</v>
      </c>
      <c r="R1690" s="3">
        <v>1.2172031699999999</v>
      </c>
      <c r="S1690" s="3">
        <v>9.3987335850000004</v>
      </c>
      <c r="T1690" s="3">
        <v>1.8463344239999999</v>
      </c>
      <c r="U1690" s="3">
        <v>0.64867093899999995</v>
      </c>
      <c r="V1690" s="3">
        <v>0.38661141100000002</v>
      </c>
      <c r="W1690" s="3">
        <v>-1.552018192</v>
      </c>
      <c r="X1690" s="3">
        <v>-0.44588718100000002</v>
      </c>
      <c r="Y1690" s="3">
        <v>1.5404340459999999</v>
      </c>
      <c r="Z1690" s="3">
        <v>2.8463344240000001</v>
      </c>
      <c r="AA1690" s="3">
        <v>1.5006487000000001E-2</v>
      </c>
      <c r="AB1690" s="3">
        <v>9.3537367739999997</v>
      </c>
      <c r="AC1690" s="3">
        <v>0.28729507399999998</v>
      </c>
      <c r="AD1690" s="3">
        <v>2.8598880000000001E-3</v>
      </c>
      <c r="AE1690" s="3">
        <v>4.8686872240000003</v>
      </c>
      <c r="AF1690" s="4">
        <v>42531</v>
      </c>
      <c r="AG1690" s="5">
        <f>YEAR(AF1690)</f>
        <v>2016</v>
      </c>
      <c r="AH1690" s="5" t="str">
        <f>"Q"&amp;ROUNDUP(MONTH(AF1690)/3,0)</f>
        <v>Q2</v>
      </c>
      <c r="AI1690" s="5">
        <f>INDEX(RatingLookup!$B$2:$B$11,MATCH(A1690,RatingLookup!$A$2:$A$11,0))</f>
        <v>6</v>
      </c>
      <c r="AJ1690" s="5" t="str">
        <f>INDEX(RatingLookup!$C$2:$C$11,MATCH(A1690,RatingLookup!$A$2:$A$11,0))</f>
        <v>Speculative Grade</v>
      </c>
    </row>
    <row r="1691" spans="1:36" x14ac:dyDescent="0.3">
      <c r="A1691" s="3" t="s">
        <v>109</v>
      </c>
      <c r="B1691" s="3" t="s">
        <v>1772</v>
      </c>
      <c r="C1691" s="3" t="s">
        <v>1773</v>
      </c>
      <c r="D1691" s="3" t="s">
        <v>47</v>
      </c>
      <c r="E1691" s="3" t="s">
        <v>1776</v>
      </c>
      <c r="F1691" s="3" t="s">
        <v>219</v>
      </c>
      <c r="G1691" s="3">
        <v>1.8682439040000001</v>
      </c>
      <c r="H1691" s="3">
        <v>0.19291638999999999</v>
      </c>
      <c r="I1691" s="3">
        <v>9.6187282999999998E-2</v>
      </c>
      <c r="J1691" s="3">
        <v>10.783665879999999</v>
      </c>
      <c r="K1691" s="3">
        <v>1.9268154999999999E-2</v>
      </c>
      <c r="L1691" s="3">
        <v>2.9984460000000001E-2</v>
      </c>
      <c r="M1691" s="3">
        <v>9.1933040999999993E-2</v>
      </c>
      <c r="N1691" s="3">
        <v>4.0602636999999997E-2</v>
      </c>
      <c r="O1691" s="3">
        <v>2.3726421000000001E-2</v>
      </c>
      <c r="P1691" s="3">
        <v>5.9180204E-2</v>
      </c>
      <c r="Q1691" s="3">
        <v>6.1700310000000001E-2</v>
      </c>
      <c r="R1691" s="3">
        <v>1.2313800260000001</v>
      </c>
      <c r="S1691" s="3">
        <v>10.41207137</v>
      </c>
      <c r="T1691" s="3">
        <v>1.6004894970000001</v>
      </c>
      <c r="U1691" s="3">
        <v>0.615457013</v>
      </c>
      <c r="V1691" s="3">
        <v>0.357395299</v>
      </c>
      <c r="W1691" s="3">
        <v>0.86109444499999999</v>
      </c>
      <c r="X1691" s="3">
        <v>1.985615463</v>
      </c>
      <c r="Y1691" s="3">
        <v>2.9725940999999998</v>
      </c>
      <c r="Z1691" s="3">
        <v>2.6004894969999999</v>
      </c>
      <c r="AA1691" s="3">
        <v>2.9984460000000001E-2</v>
      </c>
      <c r="AB1691" s="3">
        <v>7.782753638</v>
      </c>
      <c r="AC1691" s="3">
        <v>2.3059206510000001</v>
      </c>
      <c r="AD1691" s="3">
        <v>2.2789918999999999E-2</v>
      </c>
      <c r="AE1691" s="3">
        <v>4.5430717410000003</v>
      </c>
      <c r="AF1691" s="4">
        <v>42677</v>
      </c>
      <c r="AG1691" s="5">
        <f>YEAR(AF1691)</f>
        <v>2016</v>
      </c>
      <c r="AH1691" s="5" t="str">
        <f>"Q"&amp;ROUNDUP(MONTH(AF1691)/3,0)</f>
        <v>Q4</v>
      </c>
      <c r="AI1691" s="5">
        <f>INDEX(RatingLookup!$B$2:$B$11,MATCH(A1691,RatingLookup!$A$2:$A$11,0))</f>
        <v>5</v>
      </c>
      <c r="AJ1691" s="5" t="str">
        <f>INDEX(RatingLookup!$C$2:$C$11,MATCH(A1691,RatingLookup!$A$2:$A$11,0))</f>
        <v>Speculative Grade</v>
      </c>
    </row>
    <row r="1692" spans="1:36" x14ac:dyDescent="0.3">
      <c r="A1692" s="3" t="s">
        <v>92</v>
      </c>
      <c r="B1692" s="3" t="s">
        <v>1772</v>
      </c>
      <c r="C1692" s="3" t="s">
        <v>1773</v>
      </c>
      <c r="D1692" s="3" t="s">
        <v>47</v>
      </c>
      <c r="E1692" s="3" t="s">
        <v>1222</v>
      </c>
      <c r="F1692" s="3" t="s">
        <v>219</v>
      </c>
      <c r="G1692" s="3">
        <v>1.606424713</v>
      </c>
      <c r="H1692" s="3">
        <v>0.25147363900000003</v>
      </c>
      <c r="I1692" s="3">
        <v>9.2356020999999996E-2</v>
      </c>
      <c r="J1692" s="3">
        <v>17.85598581</v>
      </c>
      <c r="K1692" s="3">
        <v>2.0905857E-2</v>
      </c>
      <c r="L1692" s="3">
        <v>3.3435337000000002E-2</v>
      </c>
      <c r="M1692" s="3">
        <v>0.11181529599999999</v>
      </c>
      <c r="N1692" s="3">
        <v>4.8811783999999997E-2</v>
      </c>
      <c r="O1692" s="3">
        <v>2.5694656E-2</v>
      </c>
      <c r="P1692" s="3">
        <v>6.6516528000000005E-2</v>
      </c>
      <c r="Q1692" s="3">
        <v>6.9974789999999995E-2</v>
      </c>
      <c r="R1692" s="3">
        <v>1.2290649600000001</v>
      </c>
      <c r="S1692" s="3">
        <v>8.3827794230000006</v>
      </c>
      <c r="T1692" s="3">
        <v>1.723320789</v>
      </c>
      <c r="U1692" s="3">
        <v>0.63280124599999998</v>
      </c>
      <c r="V1692" s="3">
        <v>0.37473767099999999</v>
      </c>
      <c r="W1692" s="3">
        <v>0.164958208</v>
      </c>
      <c r="X1692" s="3">
        <v>0.17487617799999999</v>
      </c>
      <c r="Y1692" s="3">
        <v>2.5549936259999999</v>
      </c>
      <c r="Z1692" s="3">
        <v>2.7233207890000002</v>
      </c>
      <c r="AA1692" s="3">
        <v>3.3435337000000002E-2</v>
      </c>
      <c r="AB1692" s="3">
        <v>6.5370267670000004</v>
      </c>
      <c r="AC1692" s="3">
        <v>1.0601241349999999</v>
      </c>
      <c r="AD1692" s="3">
        <v>1.2148463999999999E-2</v>
      </c>
      <c r="AE1692" s="3">
        <v>4.8913818459999998</v>
      </c>
      <c r="AF1692" s="4">
        <v>41522</v>
      </c>
      <c r="AG1692" s="5">
        <f>YEAR(AF1692)</f>
        <v>2013</v>
      </c>
      <c r="AH1692" s="5" t="str">
        <f>"Q"&amp;ROUNDUP(MONTH(AF1692)/3,0)</f>
        <v>Q3</v>
      </c>
      <c r="AI1692" s="5">
        <f>INDEX(RatingLookup!$B$2:$B$11,MATCH(A1692,RatingLookup!$A$2:$A$11,0))</f>
        <v>6</v>
      </c>
      <c r="AJ1692" s="5" t="str">
        <f>INDEX(RatingLookup!$C$2:$C$11,MATCH(A1692,RatingLookup!$A$2:$A$11,0))</f>
        <v>Speculative Grade</v>
      </c>
    </row>
    <row r="1693" spans="1:36" x14ac:dyDescent="0.3">
      <c r="A1693" s="3" t="s">
        <v>92</v>
      </c>
      <c r="B1693" s="3" t="s">
        <v>1772</v>
      </c>
      <c r="C1693" s="3" t="s">
        <v>1773</v>
      </c>
      <c r="D1693" s="3" t="s">
        <v>47</v>
      </c>
      <c r="E1693" s="3" t="s">
        <v>1777</v>
      </c>
      <c r="F1693" s="3" t="s">
        <v>219</v>
      </c>
      <c r="G1693" s="3">
        <v>4.9557863150000001</v>
      </c>
      <c r="H1693" s="3">
        <v>4.609222698</v>
      </c>
      <c r="I1693" s="3">
        <v>2.3980311090000002</v>
      </c>
      <c r="J1693" s="3">
        <v>208.29659799999999</v>
      </c>
      <c r="K1693" s="3">
        <v>0.50604813100000001</v>
      </c>
      <c r="L1693" s="3">
        <v>0.77969549100000002</v>
      </c>
      <c r="M1693" s="3">
        <v>1.6518584430000001</v>
      </c>
      <c r="N1693" s="3">
        <v>0.84249435299999997</v>
      </c>
      <c r="O1693" s="3">
        <v>0.20569425299999999</v>
      </c>
      <c r="P1693" s="3">
        <v>0.38844136800000001</v>
      </c>
      <c r="Q1693" s="3">
        <v>7.8827473999999995E-2</v>
      </c>
      <c r="R1693" s="3">
        <v>0.40647171799999998</v>
      </c>
      <c r="S1693" s="3">
        <v>4.641461477</v>
      </c>
      <c r="T1693" s="3">
        <v>0</v>
      </c>
      <c r="U1693" s="3">
        <v>0</v>
      </c>
      <c r="V1693" s="3">
        <v>-0.35096696500000002</v>
      </c>
      <c r="W1693" s="3">
        <v>1.2645045450000001</v>
      </c>
      <c r="X1693" s="3">
        <v>-0.23420839299999999</v>
      </c>
      <c r="Y1693" s="3">
        <v>6.4493566959999997</v>
      </c>
      <c r="Z1693" s="3">
        <v>0.38322642800000001</v>
      </c>
      <c r="AA1693" s="3">
        <v>0.77969549100000002</v>
      </c>
      <c r="AB1693" s="3">
        <v>7.556197203</v>
      </c>
      <c r="AC1693" s="3">
        <v>-0.185217518</v>
      </c>
      <c r="AD1693" s="3">
        <v>-4.3569033E-2</v>
      </c>
      <c r="AE1693" s="3">
        <v>59.43958121</v>
      </c>
      <c r="AF1693" s="4">
        <v>40501</v>
      </c>
      <c r="AG1693" s="5">
        <f>YEAR(AF1693)</f>
        <v>2010</v>
      </c>
      <c r="AH1693" s="5" t="str">
        <f>"Q"&amp;ROUNDUP(MONTH(AF1693)/3,0)</f>
        <v>Q4</v>
      </c>
      <c r="AI1693" s="5">
        <f>INDEX(RatingLookup!$B$2:$B$11,MATCH(A1693,RatingLookup!$A$2:$A$11,0))</f>
        <v>6</v>
      </c>
      <c r="AJ1693" s="5" t="str">
        <f>INDEX(RatingLookup!$C$2:$C$11,MATCH(A1693,RatingLookup!$A$2:$A$11,0))</f>
        <v>Speculative Grade</v>
      </c>
    </row>
    <row r="1694" spans="1:36" x14ac:dyDescent="0.3">
      <c r="A1694" s="3" t="s">
        <v>92</v>
      </c>
      <c r="B1694" s="3" t="s">
        <v>1772</v>
      </c>
      <c r="C1694" s="3" t="s">
        <v>1773</v>
      </c>
      <c r="D1694" s="3" t="s">
        <v>47</v>
      </c>
      <c r="E1694" s="3" t="s">
        <v>1778</v>
      </c>
      <c r="F1694" s="3" t="s">
        <v>219</v>
      </c>
      <c r="G1694" s="3">
        <v>1.399645716</v>
      </c>
      <c r="H1694" s="3">
        <v>0.26778775100000002</v>
      </c>
      <c r="I1694" s="3">
        <v>0.14659418299999999</v>
      </c>
      <c r="J1694" s="3">
        <v>10.46388131</v>
      </c>
      <c r="K1694" s="3">
        <v>2.3181014999999999E-2</v>
      </c>
      <c r="L1694" s="3">
        <v>3.6877102000000002E-2</v>
      </c>
      <c r="M1694" s="3">
        <v>0.10637978400000001</v>
      </c>
      <c r="N1694" s="3">
        <v>4.5307222000000001E-2</v>
      </c>
      <c r="O1694" s="3">
        <v>2.3843059E-2</v>
      </c>
      <c r="P1694" s="3">
        <v>6.1735857999999998E-2</v>
      </c>
      <c r="Q1694" s="3">
        <v>6.1541891000000001E-2</v>
      </c>
      <c r="R1694" s="3">
        <v>1.028559749</v>
      </c>
      <c r="S1694" s="3">
        <v>7.5630666470000003</v>
      </c>
      <c r="T1694" s="3">
        <v>1.5811239530000001</v>
      </c>
      <c r="U1694" s="3">
        <v>0.61257187999999996</v>
      </c>
      <c r="V1694" s="3">
        <v>0.37139813300000002</v>
      </c>
      <c r="W1694" s="3">
        <v>3.186705543</v>
      </c>
      <c r="X1694" s="3">
        <v>-2.0596916950000002</v>
      </c>
      <c r="Y1694" s="3">
        <v>5.6441578789999998</v>
      </c>
      <c r="Z1694" s="3">
        <v>2.5811239530000001</v>
      </c>
      <c r="AA1694" s="3">
        <v>3.6877102000000002E-2</v>
      </c>
      <c r="AB1694" s="3">
        <v>5.4648001219999998</v>
      </c>
      <c r="AC1694" s="3">
        <v>-0.64633888100000003</v>
      </c>
      <c r="AD1694" s="3">
        <v>-8.2135079999999996E-3</v>
      </c>
      <c r="AE1694" s="3">
        <v>4.226639091</v>
      </c>
      <c r="AF1694" s="4">
        <v>40858</v>
      </c>
      <c r="AG1694" s="5">
        <f>YEAR(AF1694)</f>
        <v>2011</v>
      </c>
      <c r="AH1694" s="5" t="str">
        <f>"Q"&amp;ROUNDUP(MONTH(AF1694)/3,0)</f>
        <v>Q4</v>
      </c>
      <c r="AI1694" s="5">
        <f>INDEX(RatingLookup!$B$2:$B$11,MATCH(A1694,RatingLookup!$A$2:$A$11,0))</f>
        <v>6</v>
      </c>
      <c r="AJ1694" s="5" t="str">
        <f>INDEX(RatingLookup!$C$2:$C$11,MATCH(A1694,RatingLookup!$A$2:$A$11,0))</f>
        <v>Speculative Grade</v>
      </c>
    </row>
    <row r="1695" spans="1:36" x14ac:dyDescent="0.3">
      <c r="A1695" s="3" t="s">
        <v>36</v>
      </c>
      <c r="B1695" s="3" t="s">
        <v>1779</v>
      </c>
      <c r="C1695" s="3" t="s">
        <v>1780</v>
      </c>
      <c r="D1695" s="3" t="s">
        <v>47</v>
      </c>
      <c r="E1695" s="3" t="s">
        <v>1401</v>
      </c>
      <c r="F1695" s="3" t="s">
        <v>215</v>
      </c>
      <c r="G1695" s="3">
        <v>1.3488370890000001</v>
      </c>
      <c r="H1695" s="3">
        <v>1.011458596</v>
      </c>
      <c r="I1695" s="3">
        <v>0.55250039299999998</v>
      </c>
      <c r="J1695" s="3">
        <v>42.71395425</v>
      </c>
      <c r="K1695" s="3">
        <v>0.118165758</v>
      </c>
      <c r="L1695" s="3">
        <v>0.16103300700000001</v>
      </c>
      <c r="M1695" s="3">
        <v>0.29534821300000003</v>
      </c>
      <c r="N1695" s="3">
        <v>0.13824047</v>
      </c>
      <c r="O1695" s="3">
        <v>0.19951920000000001</v>
      </c>
      <c r="P1695" s="3">
        <v>0.47770961499999998</v>
      </c>
      <c r="Q1695" s="3">
        <v>0.54424214500000001</v>
      </c>
      <c r="R1695" s="3">
        <v>1.688468836</v>
      </c>
      <c r="S1695" s="3">
        <v>36.378602299999997</v>
      </c>
      <c r="T1695" s="3">
        <v>1.7277682759999999</v>
      </c>
      <c r="U1695" s="3">
        <v>0.63339994499999996</v>
      </c>
      <c r="V1695" s="3">
        <v>0.22378029599999999</v>
      </c>
      <c r="W1695" s="3">
        <v>0.89146371199999996</v>
      </c>
      <c r="X1695" s="3">
        <v>6.5277900620000002</v>
      </c>
      <c r="Y1695" s="3">
        <v>7.8561157589999997</v>
      </c>
      <c r="Z1695" s="3">
        <v>2.7277682759999999</v>
      </c>
      <c r="AA1695" s="3">
        <v>0.16103300700000001</v>
      </c>
      <c r="AB1695" s="3">
        <v>12.898855380000001</v>
      </c>
      <c r="AC1695" s="3">
        <v>7.3225527579999996</v>
      </c>
      <c r="AD1695" s="3">
        <v>0.131477659</v>
      </c>
      <c r="AE1695" s="3">
        <v>19.144153630000002</v>
      </c>
      <c r="AF1695" s="4">
        <v>42635</v>
      </c>
      <c r="AG1695" s="5">
        <f>YEAR(AF1695)</f>
        <v>2016</v>
      </c>
      <c r="AH1695" s="5" t="str">
        <f>"Q"&amp;ROUNDUP(MONTH(AF1695)/3,0)</f>
        <v>Q3</v>
      </c>
      <c r="AI1695" s="5">
        <f>INDEX(RatingLookup!$B$2:$B$11,MATCH(A1695,RatingLookup!$A$2:$A$11,0))</f>
        <v>8</v>
      </c>
      <c r="AJ1695" s="5" t="str">
        <f>INDEX(RatingLookup!$C$2:$C$11,MATCH(A1695,RatingLookup!$A$2:$A$11,0))</f>
        <v>Investment Grade</v>
      </c>
    </row>
    <row r="1696" spans="1:36" x14ac:dyDescent="0.3">
      <c r="A1696" s="3" t="s">
        <v>36</v>
      </c>
      <c r="B1696" s="3" t="s">
        <v>1779</v>
      </c>
      <c r="C1696" s="3" t="s">
        <v>1780</v>
      </c>
      <c r="D1696" s="3" t="s">
        <v>47</v>
      </c>
      <c r="E1696" s="3" t="s">
        <v>1411</v>
      </c>
      <c r="F1696" s="3" t="s">
        <v>215</v>
      </c>
      <c r="G1696" s="3">
        <v>1.357140639</v>
      </c>
      <c r="H1696" s="3">
        <v>0.96154977200000002</v>
      </c>
      <c r="I1696" s="3">
        <v>0.51109520500000005</v>
      </c>
      <c r="J1696" s="3">
        <v>42.593356640000003</v>
      </c>
      <c r="K1696" s="3">
        <v>9.2773338999999996E-2</v>
      </c>
      <c r="L1696" s="3">
        <v>0.133999914</v>
      </c>
      <c r="M1696" s="3">
        <v>0.29802250200000002</v>
      </c>
      <c r="N1696" s="3">
        <v>0.13476975899999999</v>
      </c>
      <c r="O1696" s="3">
        <v>0.16717241299999999</v>
      </c>
      <c r="P1696" s="3">
        <v>0.45311217300000001</v>
      </c>
      <c r="Q1696" s="3">
        <v>0.49783467599999998</v>
      </c>
      <c r="R1696" s="3">
        <v>1.8019445679999999</v>
      </c>
      <c r="S1696" s="3">
        <v>41.046365809999998</v>
      </c>
      <c r="T1696" s="3">
        <v>1.9779714610000001</v>
      </c>
      <c r="U1696" s="3">
        <v>0.66420094600000001</v>
      </c>
      <c r="V1696" s="3">
        <v>0.25773342399999999</v>
      </c>
      <c r="W1696" s="3">
        <v>0.90346926299999997</v>
      </c>
      <c r="X1696" s="3">
        <v>5.8984084909999996</v>
      </c>
      <c r="Y1696" s="3">
        <v>6.9610990460000002</v>
      </c>
      <c r="Z1696" s="3">
        <v>2.9779714610000001</v>
      </c>
      <c r="AA1696" s="3">
        <v>0.133999914</v>
      </c>
      <c r="AB1696" s="3">
        <v>11.26689096</v>
      </c>
      <c r="AC1696" s="3">
        <v>6.5286210960000002</v>
      </c>
      <c r="AD1696" s="3">
        <v>0.124326557</v>
      </c>
      <c r="AE1696" s="3">
        <v>20.065920429999998</v>
      </c>
      <c r="AF1696" s="4">
        <v>42258</v>
      </c>
      <c r="AG1696" s="5">
        <f>YEAR(AF1696)</f>
        <v>2015</v>
      </c>
      <c r="AH1696" s="5" t="str">
        <f>"Q"&amp;ROUNDUP(MONTH(AF1696)/3,0)</f>
        <v>Q3</v>
      </c>
      <c r="AI1696" s="5">
        <f>INDEX(RatingLookup!$B$2:$B$11,MATCH(A1696,RatingLookup!$A$2:$A$11,0))</f>
        <v>8</v>
      </c>
      <c r="AJ1696" s="5" t="str">
        <f>INDEX(RatingLookup!$C$2:$C$11,MATCH(A1696,RatingLookup!$A$2:$A$11,0))</f>
        <v>Investment Grade</v>
      </c>
    </row>
    <row r="1697" spans="1:36" x14ac:dyDescent="0.3">
      <c r="A1697" s="3" t="s">
        <v>36</v>
      </c>
      <c r="B1697" s="3" t="s">
        <v>1779</v>
      </c>
      <c r="C1697" s="3" t="s">
        <v>1780</v>
      </c>
      <c r="D1697" s="3" t="s">
        <v>60</v>
      </c>
      <c r="E1697" s="3" t="s">
        <v>46</v>
      </c>
      <c r="F1697" s="3" t="s">
        <v>215</v>
      </c>
      <c r="G1697" s="3">
        <v>1.4508384080000001</v>
      </c>
      <c r="H1697" s="3">
        <v>1.130963808</v>
      </c>
      <c r="I1697" s="3">
        <v>0.72105404699999998</v>
      </c>
      <c r="J1697" s="3">
        <v>43.182292570000001</v>
      </c>
      <c r="K1697" s="3">
        <v>8.3269994999999999E-2</v>
      </c>
      <c r="L1697" s="3">
        <v>0.12839663100000001</v>
      </c>
      <c r="M1697" s="3">
        <v>0.30661153699999999</v>
      </c>
      <c r="N1697" s="3">
        <v>0.12687704899999999</v>
      </c>
      <c r="O1697" s="3">
        <v>0.14478438499999999</v>
      </c>
      <c r="P1697" s="3">
        <v>0.44882523400000002</v>
      </c>
      <c r="Q1697" s="3">
        <v>0.58718890800000001</v>
      </c>
      <c r="R1697" s="3">
        <v>1.7387341709999999</v>
      </c>
      <c r="S1697" s="3">
        <v>34.834225850000003</v>
      </c>
      <c r="T1697" s="3">
        <v>3.0556093639999999</v>
      </c>
      <c r="U1697" s="3">
        <v>0.753427929</v>
      </c>
      <c r="V1697" s="3">
        <v>0.27299999800000002</v>
      </c>
      <c r="W1697" s="3">
        <v>0.88270057700000004</v>
      </c>
      <c r="X1697" s="3">
        <v>4.7055116620000002</v>
      </c>
      <c r="Y1697" s="3">
        <v>8.8378741069999993</v>
      </c>
      <c r="Z1697" s="3">
        <v>4.0556093640000004</v>
      </c>
      <c r="AA1697" s="3">
        <v>0.12839663100000001</v>
      </c>
      <c r="AB1697" s="3">
        <v>7.1088479610000004</v>
      </c>
      <c r="AC1697" s="3">
        <v>5.3308129470000001</v>
      </c>
      <c r="AD1697" s="3">
        <v>0.125827142</v>
      </c>
      <c r="AE1697" s="3">
        <v>19.980189620000001</v>
      </c>
      <c r="AF1697" s="4">
        <v>41075</v>
      </c>
      <c r="AG1697" s="5">
        <f>YEAR(AF1697)</f>
        <v>2012</v>
      </c>
      <c r="AH1697" s="5" t="str">
        <f>"Q"&amp;ROUNDUP(MONTH(AF1697)/3,0)</f>
        <v>Q2</v>
      </c>
      <c r="AI1697" s="5">
        <f>INDEX(RatingLookup!$B$2:$B$11,MATCH(A1697,RatingLookup!$A$2:$A$11,0))</f>
        <v>8</v>
      </c>
      <c r="AJ1697" s="5" t="str">
        <f>INDEX(RatingLookup!$C$2:$C$11,MATCH(A1697,RatingLookup!$A$2:$A$11,0))</f>
        <v>Investment Grade</v>
      </c>
    </row>
    <row r="1698" spans="1:36" x14ac:dyDescent="0.3">
      <c r="A1698" s="3" t="s">
        <v>36</v>
      </c>
      <c r="B1698" s="3" t="s">
        <v>1779</v>
      </c>
      <c r="C1698" s="3" t="s">
        <v>1780</v>
      </c>
      <c r="D1698" s="3" t="s">
        <v>47</v>
      </c>
      <c r="E1698" s="3" t="s">
        <v>1781</v>
      </c>
      <c r="F1698" s="3" t="s">
        <v>215</v>
      </c>
      <c r="G1698" s="3">
        <v>1.459221221</v>
      </c>
      <c r="H1698" s="3">
        <v>1.0766595910000001</v>
      </c>
      <c r="I1698" s="3">
        <v>0.60324311600000002</v>
      </c>
      <c r="J1698" s="3">
        <v>44.19627251</v>
      </c>
      <c r="K1698" s="3">
        <v>9.2283221999999998E-2</v>
      </c>
      <c r="L1698" s="3">
        <v>9.9638905E-2</v>
      </c>
      <c r="M1698" s="3">
        <v>0.303829454</v>
      </c>
      <c r="N1698" s="3">
        <v>0.134919386</v>
      </c>
      <c r="O1698" s="3">
        <v>0.16405041000000001</v>
      </c>
      <c r="P1698" s="3">
        <v>0.32499352999999997</v>
      </c>
      <c r="Q1698" s="3">
        <v>0.51316818500000005</v>
      </c>
      <c r="R1698" s="3">
        <v>1.7776840199999999</v>
      </c>
      <c r="S1698" s="3">
        <v>40.172561639999998</v>
      </c>
      <c r="T1698" s="3">
        <v>2.1281127909999999</v>
      </c>
      <c r="U1698" s="3">
        <v>0.68031843299999994</v>
      </c>
      <c r="V1698" s="3">
        <v>0.35319831099999999</v>
      </c>
      <c r="W1698" s="3">
        <v>0.90767006500000003</v>
      </c>
      <c r="X1698" s="3">
        <v>4.9891736450000002</v>
      </c>
      <c r="Y1698" s="3">
        <v>7.7637666960000002</v>
      </c>
      <c r="Z1698" s="3">
        <v>3.1281127909999999</v>
      </c>
      <c r="AA1698" s="3">
        <v>9.9638905E-2</v>
      </c>
      <c r="AB1698" s="3">
        <v>9.4853636829999992</v>
      </c>
      <c r="AC1698" s="3">
        <v>5.4966819280000001</v>
      </c>
      <c r="AD1698" s="3">
        <v>0.10936847700000001</v>
      </c>
      <c r="AE1698" s="3">
        <v>20.85099434</v>
      </c>
      <c r="AF1698" s="4">
        <v>41912</v>
      </c>
      <c r="AG1698" s="5">
        <f>YEAR(AF1698)</f>
        <v>2014</v>
      </c>
      <c r="AH1698" s="5" t="str">
        <f>"Q"&amp;ROUNDUP(MONTH(AF1698)/3,0)</f>
        <v>Q3</v>
      </c>
      <c r="AI1698" s="5">
        <f>INDEX(RatingLookup!$B$2:$B$11,MATCH(A1698,RatingLookup!$A$2:$A$11,0))</f>
        <v>8</v>
      </c>
      <c r="AJ1698" s="5" t="str">
        <f>INDEX(RatingLookup!$C$2:$C$11,MATCH(A1698,RatingLookup!$A$2:$A$11,0))</f>
        <v>Investment Grade</v>
      </c>
    </row>
    <row r="1699" spans="1:36" x14ac:dyDescent="0.3">
      <c r="A1699" s="3" t="s">
        <v>36</v>
      </c>
      <c r="B1699" s="3" t="s">
        <v>1779</v>
      </c>
      <c r="C1699" s="3" t="s">
        <v>1780</v>
      </c>
      <c r="D1699" s="3" t="s">
        <v>47</v>
      </c>
      <c r="E1699" s="3" t="s">
        <v>1385</v>
      </c>
      <c r="F1699" s="3" t="s">
        <v>215</v>
      </c>
      <c r="G1699" s="3">
        <v>1.552301489</v>
      </c>
      <c r="H1699" s="3">
        <v>1.199089676</v>
      </c>
      <c r="I1699" s="3">
        <v>0.818887425</v>
      </c>
      <c r="J1699" s="3">
        <v>37.76347208</v>
      </c>
      <c r="K1699" s="3">
        <v>8.5751604999999995E-2</v>
      </c>
      <c r="L1699" s="3">
        <v>9.4866492999999996E-2</v>
      </c>
      <c r="M1699" s="3">
        <v>0.30182367900000001</v>
      </c>
      <c r="N1699" s="3">
        <v>0.130013767</v>
      </c>
      <c r="O1699" s="3">
        <v>0.153222107</v>
      </c>
      <c r="P1699" s="3">
        <v>0.33016171900000002</v>
      </c>
      <c r="Q1699" s="3">
        <v>0.61592206000000005</v>
      </c>
      <c r="R1699" s="3">
        <v>1.78681329</v>
      </c>
      <c r="S1699" s="3">
        <v>38.20168597</v>
      </c>
      <c r="T1699" s="3">
        <v>3.0197989160000001</v>
      </c>
      <c r="U1699" s="3">
        <v>0.751231337</v>
      </c>
      <c r="V1699" s="3">
        <v>0.38204127300000001</v>
      </c>
      <c r="W1699" s="3">
        <v>0.91261758699999995</v>
      </c>
      <c r="X1699" s="3">
        <v>6.0405552350000002</v>
      </c>
      <c r="Y1699" s="3">
        <v>10.328798430000001</v>
      </c>
      <c r="Z1699" s="3">
        <v>4.0197989160000001</v>
      </c>
      <c r="AA1699" s="3">
        <v>9.4866492999999996E-2</v>
      </c>
      <c r="AB1699" s="3">
        <v>8.5996155170000002</v>
      </c>
      <c r="AC1699" s="3">
        <v>6.6189336279999997</v>
      </c>
      <c r="AD1699" s="3">
        <v>0.14295299</v>
      </c>
      <c r="AE1699" s="3">
        <v>23.001994809999999</v>
      </c>
      <c r="AF1699" s="4">
        <v>41114</v>
      </c>
      <c r="AG1699" s="5">
        <f>YEAR(AF1699)</f>
        <v>2012</v>
      </c>
      <c r="AH1699" s="5" t="str">
        <f>"Q"&amp;ROUNDUP(MONTH(AF1699)/3,0)</f>
        <v>Q3</v>
      </c>
      <c r="AI1699" s="5">
        <f>INDEX(RatingLookup!$B$2:$B$11,MATCH(A1699,RatingLookup!$A$2:$A$11,0))</f>
        <v>8</v>
      </c>
      <c r="AJ1699" s="5" t="str">
        <f>INDEX(RatingLookup!$C$2:$C$11,MATCH(A1699,RatingLookup!$A$2:$A$11,0))</f>
        <v>Investment Grade</v>
      </c>
    </row>
    <row r="1700" spans="1:36" x14ac:dyDescent="0.3">
      <c r="A1700" s="3" t="s">
        <v>36</v>
      </c>
      <c r="B1700" s="3" t="s">
        <v>1779</v>
      </c>
      <c r="C1700" s="3" t="s">
        <v>1780</v>
      </c>
      <c r="D1700" s="3" t="s">
        <v>47</v>
      </c>
      <c r="E1700" s="3" t="s">
        <v>1073</v>
      </c>
      <c r="F1700" s="3" t="s">
        <v>215</v>
      </c>
      <c r="G1700" s="3">
        <v>1.4513163229999999</v>
      </c>
      <c r="H1700" s="3">
        <v>1.098829431</v>
      </c>
      <c r="I1700" s="3">
        <v>0.69009825999999996</v>
      </c>
      <c r="J1700" s="3">
        <v>40.026965269999998</v>
      </c>
      <c r="K1700" s="3">
        <v>0.10797681200000001</v>
      </c>
      <c r="L1700" s="3">
        <v>0.11694695200000001</v>
      </c>
      <c r="M1700" s="3">
        <v>0.30874801000000002</v>
      </c>
      <c r="N1700" s="3">
        <v>0.14274657199999999</v>
      </c>
      <c r="O1700" s="3">
        <v>0.19457333600000001</v>
      </c>
      <c r="P1700" s="3">
        <v>0.40828105999999997</v>
      </c>
      <c r="Q1700" s="3">
        <v>0.66164414000000005</v>
      </c>
      <c r="R1700" s="3">
        <v>1.80199186</v>
      </c>
      <c r="S1700" s="3">
        <v>38.983275079999999</v>
      </c>
      <c r="T1700" s="3">
        <v>2.4004871990000001</v>
      </c>
      <c r="U1700" s="3">
        <v>0.70592449199999996</v>
      </c>
      <c r="V1700" s="3">
        <v>0.220782334</v>
      </c>
      <c r="W1700" s="3">
        <v>0.888108181</v>
      </c>
      <c r="X1700" s="3">
        <v>4.544332893</v>
      </c>
      <c r="Y1700" s="3">
        <v>8.7282526699999998</v>
      </c>
      <c r="Z1700" s="3">
        <v>3.4004871990000001</v>
      </c>
      <c r="AA1700" s="3">
        <v>0.11694695200000001</v>
      </c>
      <c r="AB1700" s="3">
        <v>8.5023402259999994</v>
      </c>
      <c r="AC1700" s="3">
        <v>5.116868631</v>
      </c>
      <c r="AD1700" s="3">
        <v>0.108675957</v>
      </c>
      <c r="AE1700" s="3">
        <v>21.843414419999998</v>
      </c>
      <c r="AF1700" s="4">
        <v>41488</v>
      </c>
      <c r="AG1700" s="5">
        <f>YEAR(AF1700)</f>
        <v>2013</v>
      </c>
      <c r="AH1700" s="5" t="str">
        <f>"Q"&amp;ROUNDUP(MONTH(AF1700)/3,0)</f>
        <v>Q3</v>
      </c>
      <c r="AI1700" s="5">
        <f>INDEX(RatingLookup!$B$2:$B$11,MATCH(A1700,RatingLookup!$A$2:$A$11,0))</f>
        <v>8</v>
      </c>
      <c r="AJ1700" s="5" t="str">
        <f>INDEX(RatingLookup!$C$2:$C$11,MATCH(A1700,RatingLookup!$A$2:$A$11,0))</f>
        <v>Investment Grade</v>
      </c>
    </row>
    <row r="1701" spans="1:36" x14ac:dyDescent="0.3">
      <c r="A1701" s="3" t="s">
        <v>92</v>
      </c>
      <c r="B1701" s="3" t="s">
        <v>1782</v>
      </c>
      <c r="C1701" s="3" t="s">
        <v>1783</v>
      </c>
      <c r="D1701" s="3" t="s">
        <v>47</v>
      </c>
      <c r="E1701" s="3" t="s">
        <v>1549</v>
      </c>
      <c r="F1701" s="3" t="s">
        <v>113</v>
      </c>
      <c r="G1701" s="3">
        <v>1.9713199720000001</v>
      </c>
      <c r="H1701" s="3">
        <v>1.320836213</v>
      </c>
      <c r="I1701" s="3">
        <v>0.333102972</v>
      </c>
      <c r="J1701" s="3">
        <v>90.818579619999994</v>
      </c>
      <c r="K1701" s="3">
        <v>2.399155E-2</v>
      </c>
      <c r="L1701" s="3">
        <v>3.2743185000000001E-2</v>
      </c>
      <c r="M1701" s="3">
        <v>0.442762298</v>
      </c>
      <c r="N1701" s="3">
        <v>4.1796600000000003E-2</v>
      </c>
      <c r="O1701" s="3">
        <v>1.0700826E-2</v>
      </c>
      <c r="P1701" s="3">
        <v>1.6783540999999999E-2</v>
      </c>
      <c r="Q1701" s="3">
        <v>4.1590373999999999E-2</v>
      </c>
      <c r="R1701" s="3">
        <v>0.44602476699999999</v>
      </c>
      <c r="S1701" s="3">
        <v>5.2542283300000001</v>
      </c>
      <c r="T1701" s="3">
        <v>2.886650972</v>
      </c>
      <c r="U1701" s="3">
        <v>0.74270908099999999</v>
      </c>
      <c r="V1701" s="3">
        <v>0.281105991</v>
      </c>
      <c r="W1701" s="3">
        <v>0.43264733399999999</v>
      </c>
      <c r="X1701" s="3">
        <v>1.615748747</v>
      </c>
      <c r="Y1701" s="3">
        <v>4.712746074</v>
      </c>
      <c r="Z1701" s="3">
        <v>3.886650972</v>
      </c>
      <c r="AA1701" s="3">
        <v>3.2743185000000001E-2</v>
      </c>
      <c r="AB1701" s="3">
        <v>25.12096279</v>
      </c>
      <c r="AC1701" s="3">
        <v>3.7345630490000001</v>
      </c>
      <c r="AD1701" s="3">
        <v>0.107534453</v>
      </c>
      <c r="AE1701" s="3">
        <v>8.1283932500000002</v>
      </c>
      <c r="AF1701" s="4">
        <v>42206</v>
      </c>
      <c r="AG1701" s="5">
        <f>YEAR(AF1701)</f>
        <v>2015</v>
      </c>
      <c r="AH1701" s="5" t="str">
        <f>"Q"&amp;ROUNDUP(MONTH(AF1701)/3,0)</f>
        <v>Q3</v>
      </c>
      <c r="AI1701" s="5">
        <f>INDEX(RatingLookup!$B$2:$B$11,MATCH(A1701,RatingLookup!$A$2:$A$11,0))</f>
        <v>6</v>
      </c>
      <c r="AJ1701" s="5" t="str">
        <f>INDEX(RatingLookup!$C$2:$C$11,MATCH(A1701,RatingLookup!$A$2:$A$11,0))</f>
        <v>Speculative Grade</v>
      </c>
    </row>
    <row r="1702" spans="1:36" x14ac:dyDescent="0.3">
      <c r="A1702" s="3" t="s">
        <v>92</v>
      </c>
      <c r="B1702" s="3" t="s">
        <v>1782</v>
      </c>
      <c r="C1702" s="3" t="s">
        <v>1783</v>
      </c>
      <c r="D1702" s="3" t="s">
        <v>47</v>
      </c>
      <c r="E1702" s="3" t="s">
        <v>877</v>
      </c>
      <c r="F1702" s="3" t="s">
        <v>113</v>
      </c>
      <c r="G1702" s="3">
        <v>1.6338517290000001</v>
      </c>
      <c r="H1702" s="3">
        <v>1.1283406309999999</v>
      </c>
      <c r="I1702" s="3">
        <v>0.35059640600000003</v>
      </c>
      <c r="J1702" s="3">
        <v>70.808790299999998</v>
      </c>
      <c r="K1702" s="3">
        <v>4.6738475000000002E-2</v>
      </c>
      <c r="L1702" s="3">
        <v>3.5590538999999997E-2</v>
      </c>
      <c r="M1702" s="3">
        <v>0.47341066599999998</v>
      </c>
      <c r="N1702" s="3">
        <v>8.6735461999999999E-2</v>
      </c>
      <c r="O1702" s="3">
        <v>2.9115052999999998E-2</v>
      </c>
      <c r="P1702" s="3">
        <v>2.6249271000000001E-2</v>
      </c>
      <c r="Q1702" s="3">
        <v>0.101124511</v>
      </c>
      <c r="R1702" s="3">
        <v>0.62293543500000004</v>
      </c>
      <c r="S1702" s="3">
        <v>7.5862857139999997</v>
      </c>
      <c r="T1702" s="3">
        <v>2.4732724899999998</v>
      </c>
      <c r="U1702" s="3">
        <v>0.71208708700000001</v>
      </c>
      <c r="V1702" s="3">
        <v>0.164021164</v>
      </c>
      <c r="W1702" s="3">
        <v>0.70376955900000004</v>
      </c>
      <c r="X1702" s="3">
        <v>3.0290970869999998</v>
      </c>
      <c r="Y1702" s="3">
        <v>3.5540997660000002</v>
      </c>
      <c r="Z1702" s="3">
        <v>3.4732724899999998</v>
      </c>
      <c r="AA1702" s="3">
        <v>3.5590538999999997E-2</v>
      </c>
      <c r="AB1702" s="3">
        <v>12.599806210000001</v>
      </c>
      <c r="AC1702" s="3">
        <v>4.3041035919999997</v>
      </c>
      <c r="AD1702" s="3">
        <v>0.105905393</v>
      </c>
      <c r="AE1702" s="3">
        <v>10.280882350000001</v>
      </c>
      <c r="AF1702" s="4">
        <v>42675</v>
      </c>
      <c r="AG1702" s="5">
        <f>YEAR(AF1702)</f>
        <v>2016</v>
      </c>
      <c r="AH1702" s="5" t="str">
        <f>"Q"&amp;ROUNDUP(MONTH(AF1702)/3,0)</f>
        <v>Q4</v>
      </c>
      <c r="AI1702" s="5">
        <f>INDEX(RatingLookup!$B$2:$B$11,MATCH(A1702,RatingLookup!$A$2:$A$11,0))</f>
        <v>6</v>
      </c>
      <c r="AJ1702" s="5" t="str">
        <f>INDEX(RatingLookup!$C$2:$C$11,MATCH(A1702,RatingLookup!$A$2:$A$11,0))</f>
        <v>Speculative Grade</v>
      </c>
    </row>
    <row r="1703" spans="1:36" x14ac:dyDescent="0.3">
      <c r="A1703" s="3" t="s">
        <v>42</v>
      </c>
      <c r="B1703" s="3" t="s">
        <v>1782</v>
      </c>
      <c r="C1703" s="3" t="s">
        <v>1783</v>
      </c>
      <c r="D1703" s="3" t="s">
        <v>47</v>
      </c>
      <c r="E1703" s="3" t="s">
        <v>1784</v>
      </c>
      <c r="F1703" s="3" t="s">
        <v>113</v>
      </c>
      <c r="G1703" s="3">
        <v>1.761926294</v>
      </c>
      <c r="H1703" s="3">
        <v>1.246212978</v>
      </c>
      <c r="I1703" s="3">
        <v>0.22450825199999999</v>
      </c>
      <c r="J1703" s="3">
        <v>88.971591250000003</v>
      </c>
      <c r="K1703" s="3">
        <v>3.5940929000000003E-2</v>
      </c>
      <c r="L1703" s="3">
        <v>6.8323350000000005E-2</v>
      </c>
      <c r="M1703" s="3">
        <v>0.462546705</v>
      </c>
      <c r="N1703" s="3">
        <v>7.2712176000000003E-2</v>
      </c>
      <c r="O1703" s="3">
        <v>3.4587066999999999E-2</v>
      </c>
      <c r="P1703" s="3">
        <v>8.7952358999999994E-2</v>
      </c>
      <c r="Q1703" s="3">
        <v>7.5139492000000002E-2</v>
      </c>
      <c r="R1703" s="3">
        <v>0.96233091699999995</v>
      </c>
      <c r="S1703" s="3">
        <v>6.4478011469999998</v>
      </c>
      <c r="T1703" s="3">
        <v>1.1724736520000001</v>
      </c>
      <c r="U1703" s="3">
        <v>0.53969522299999995</v>
      </c>
      <c r="V1703" s="3">
        <v>0.47395833300000001</v>
      </c>
      <c r="W1703" s="3">
        <v>0.701854494</v>
      </c>
      <c r="X1703" s="3">
        <v>2.564503518</v>
      </c>
      <c r="Y1703" s="3">
        <v>2.435930849</v>
      </c>
      <c r="Z1703" s="3">
        <v>2.1724736519999999</v>
      </c>
      <c r="AA1703" s="3">
        <v>6.8323350000000005E-2</v>
      </c>
      <c r="AB1703" s="3">
        <v>12.82032948</v>
      </c>
      <c r="AC1703" s="3">
        <v>3.653896273</v>
      </c>
      <c r="AD1703" s="3">
        <v>0.124725698</v>
      </c>
      <c r="AE1703" s="3">
        <v>8.0408163269999999</v>
      </c>
      <c r="AF1703" s="4">
        <v>42172</v>
      </c>
      <c r="AG1703" s="5">
        <f>YEAR(AF1703)</f>
        <v>2015</v>
      </c>
      <c r="AH1703" s="5" t="str">
        <f>"Q"&amp;ROUNDUP(MONTH(AF1703)/3,0)</f>
        <v>Q2</v>
      </c>
      <c r="AI1703" s="5">
        <f>INDEX(RatingLookup!$B$2:$B$11,MATCH(A1703,RatingLookup!$A$2:$A$11,0))</f>
        <v>7</v>
      </c>
      <c r="AJ1703" s="5" t="str">
        <f>INDEX(RatingLookup!$C$2:$C$11,MATCH(A1703,RatingLookup!$A$2:$A$11,0))</f>
        <v>Investment Grade</v>
      </c>
    </row>
    <row r="1704" spans="1:36" x14ac:dyDescent="0.3">
      <c r="A1704" s="3" t="s">
        <v>42</v>
      </c>
      <c r="B1704" s="3" t="s">
        <v>1785</v>
      </c>
      <c r="C1704" s="3" t="s">
        <v>1786</v>
      </c>
      <c r="D1704" s="3" t="s">
        <v>60</v>
      </c>
      <c r="E1704" s="3" t="s">
        <v>46</v>
      </c>
      <c r="F1704" s="3" t="s">
        <v>59</v>
      </c>
      <c r="G1704" s="3">
        <v>1.8192996050000001</v>
      </c>
      <c r="H1704" s="3">
        <v>1.0895574969999999</v>
      </c>
      <c r="I1704" s="3">
        <v>0.474844983</v>
      </c>
      <c r="J1704" s="3">
        <v>62.475262909999998</v>
      </c>
      <c r="K1704" s="3">
        <v>1.9271615999999998E-2</v>
      </c>
      <c r="L1704" s="3">
        <v>4.127165E-2</v>
      </c>
      <c r="M1704" s="3">
        <v>0.22497366599999999</v>
      </c>
      <c r="N1704" s="3">
        <v>5.4896476E-2</v>
      </c>
      <c r="O1704" s="3">
        <v>1.2612022000000001E-2</v>
      </c>
      <c r="P1704" s="3">
        <v>5.4822555000000002E-2</v>
      </c>
      <c r="Q1704" s="3">
        <v>3.7109700000000002E-2</v>
      </c>
      <c r="R1704" s="3">
        <v>0.65443511499999996</v>
      </c>
      <c r="S1704" s="3">
        <v>3.9926227249999999</v>
      </c>
      <c r="T1704" s="3">
        <v>1.9056628870000001</v>
      </c>
      <c r="U1704" s="3">
        <v>0.64765445799999999</v>
      </c>
      <c r="V1704" s="3">
        <v>0.53305439300000002</v>
      </c>
      <c r="W1704" s="3">
        <v>-0.14851072700000001</v>
      </c>
      <c r="X1704" s="3">
        <v>-9.6290839000000003E-2</v>
      </c>
      <c r="Y1704" s="3">
        <v>2.837946257</v>
      </c>
      <c r="Z1704" s="3">
        <v>2.94240681</v>
      </c>
      <c r="AA1704" s="3">
        <v>5.6899617999999999E-2</v>
      </c>
      <c r="AB1704" s="3">
        <v>34.59821093</v>
      </c>
      <c r="AC1704" s="3">
        <v>0.64837632000000001</v>
      </c>
      <c r="AD1704" s="3">
        <v>8.2905938999999998E-2</v>
      </c>
      <c r="AE1704" s="3">
        <v>4.0653079710000002</v>
      </c>
      <c r="AF1704" s="4">
        <v>41075</v>
      </c>
      <c r="AG1704" s="5">
        <f>YEAR(AF1704)</f>
        <v>2012</v>
      </c>
      <c r="AH1704" s="5" t="str">
        <f>"Q"&amp;ROUNDUP(MONTH(AF1704)/3,0)</f>
        <v>Q2</v>
      </c>
      <c r="AI1704" s="5">
        <f>INDEX(RatingLookup!$B$2:$B$11,MATCH(A1704,RatingLookup!$A$2:$A$11,0))</f>
        <v>7</v>
      </c>
      <c r="AJ1704" s="5" t="str">
        <f>INDEX(RatingLookup!$C$2:$C$11,MATCH(A1704,RatingLookup!$A$2:$A$11,0))</f>
        <v>Investment Grade</v>
      </c>
    </row>
    <row r="1705" spans="1:36" x14ac:dyDescent="0.3">
      <c r="A1705" s="3" t="s">
        <v>42</v>
      </c>
      <c r="B1705" s="3" t="s">
        <v>1785</v>
      </c>
      <c r="C1705" s="3" t="s">
        <v>1786</v>
      </c>
      <c r="D1705" s="3" t="s">
        <v>47</v>
      </c>
      <c r="E1705" s="3" t="s">
        <v>95</v>
      </c>
      <c r="F1705" s="3" t="s">
        <v>59</v>
      </c>
      <c r="G1705" s="3">
        <v>2.081417998</v>
      </c>
      <c r="H1705" s="3">
        <v>1.2918776780000001</v>
      </c>
      <c r="I1705" s="3">
        <v>0.70299311799999997</v>
      </c>
      <c r="J1705" s="3">
        <v>73.355881310000001</v>
      </c>
      <c r="K1705" s="3">
        <v>1.1673217E-2</v>
      </c>
      <c r="L1705" s="3">
        <v>5.4756160999999998E-2</v>
      </c>
      <c r="M1705" s="3">
        <v>0.18746309899999999</v>
      </c>
      <c r="N1705" s="3">
        <v>5.5970715999999997E-2</v>
      </c>
      <c r="O1705" s="3">
        <v>5.9299879999999998E-3</v>
      </c>
      <c r="P1705" s="3">
        <v>4.0458254999999999E-2</v>
      </c>
      <c r="Q1705" s="3">
        <v>1.8493773000000002E-2</v>
      </c>
      <c r="R1705" s="3">
        <v>0.507999486</v>
      </c>
      <c r="S1705" s="3">
        <v>2.9239913190000002</v>
      </c>
      <c r="T1705" s="3">
        <v>2.091453311</v>
      </c>
      <c r="U1705" s="3">
        <v>0.670619992</v>
      </c>
      <c r="V1705" s="3">
        <v>0.78681454100000003</v>
      </c>
      <c r="W1705" s="3">
        <v>0.16811594199999999</v>
      </c>
      <c r="X1705" s="3">
        <v>0.19728684099999999</v>
      </c>
      <c r="Y1705" s="3">
        <v>3.793485795</v>
      </c>
      <c r="Z1705" s="3">
        <v>3.1186861939999999</v>
      </c>
      <c r="AA1705" s="3">
        <v>5.8619118999999997E-2</v>
      </c>
      <c r="AB1705" s="3">
        <v>36.533636749999999</v>
      </c>
      <c r="AC1705" s="3">
        <v>1.1735165519999999</v>
      </c>
      <c r="AD1705" s="3">
        <v>0.145493497</v>
      </c>
      <c r="AE1705" s="3">
        <v>3.5272407729999999</v>
      </c>
      <c r="AF1705" s="4">
        <v>42479</v>
      </c>
      <c r="AG1705" s="5">
        <f>YEAR(AF1705)</f>
        <v>2016</v>
      </c>
      <c r="AH1705" s="5" t="str">
        <f>"Q"&amp;ROUNDUP(MONTH(AF1705)/3,0)</f>
        <v>Q2</v>
      </c>
      <c r="AI1705" s="5">
        <f>INDEX(RatingLookup!$B$2:$B$11,MATCH(A1705,RatingLookup!$A$2:$A$11,0))</f>
        <v>7</v>
      </c>
      <c r="AJ1705" s="5" t="str">
        <f>INDEX(RatingLookup!$C$2:$C$11,MATCH(A1705,RatingLookup!$A$2:$A$11,0))</f>
        <v>Investment Grade</v>
      </c>
    </row>
    <row r="1706" spans="1:36" x14ac:dyDescent="0.3">
      <c r="A1706" s="3" t="s">
        <v>42</v>
      </c>
      <c r="B1706" s="3" t="s">
        <v>1787</v>
      </c>
      <c r="C1706" s="3" t="s">
        <v>1788</v>
      </c>
      <c r="D1706" s="3" t="s">
        <v>39</v>
      </c>
      <c r="E1706" s="3" t="s">
        <v>733</v>
      </c>
      <c r="F1706" s="3" t="s">
        <v>79</v>
      </c>
      <c r="G1706" s="3">
        <v>0.98169717099999998</v>
      </c>
      <c r="H1706" s="3">
        <v>0.87354409300000002</v>
      </c>
      <c r="I1706" s="3">
        <v>4.1597337999999998E-2</v>
      </c>
      <c r="J1706" s="3">
        <v>10.62328391</v>
      </c>
      <c r="K1706" s="3">
        <v>0.116144975</v>
      </c>
      <c r="L1706" s="3">
        <v>0.121636463</v>
      </c>
      <c r="M1706" s="3">
        <v>0.23256452499999999</v>
      </c>
      <c r="N1706" s="3">
        <v>0.12465678199999999</v>
      </c>
      <c r="O1706" s="3">
        <v>7.3706221000000002E-2</v>
      </c>
      <c r="P1706" s="3">
        <v>8.6220319000000004E-2</v>
      </c>
      <c r="Q1706" s="3">
        <v>0.14132976899999999</v>
      </c>
      <c r="R1706" s="3">
        <v>0.63460533200000002</v>
      </c>
      <c r="S1706" s="3">
        <v>1.0881386319999999</v>
      </c>
      <c r="T1706" s="3">
        <v>0.91747410600000001</v>
      </c>
      <c r="U1706" s="3">
        <v>0.47848057199999999</v>
      </c>
      <c r="V1706" s="3">
        <v>1.3544018E-2</v>
      </c>
      <c r="W1706" s="3">
        <v>0.35496183199999998</v>
      </c>
      <c r="X1706" s="3">
        <v>1.7448405250000001</v>
      </c>
      <c r="Y1706" s="3">
        <v>3.9305816139999998</v>
      </c>
      <c r="Z1706" s="3">
        <v>1.917474106</v>
      </c>
      <c r="AA1706" s="3">
        <v>0.121636463</v>
      </c>
      <c r="AB1706" s="3">
        <v>11.14662766</v>
      </c>
      <c r="AC1706" s="3">
        <v>4.9155722329999998</v>
      </c>
      <c r="AD1706" s="3">
        <v>0.14387699100000001</v>
      </c>
      <c r="AE1706" s="3">
        <v>14.260204079999999</v>
      </c>
      <c r="AF1706" s="4">
        <v>41905</v>
      </c>
      <c r="AG1706" s="5">
        <f>YEAR(AF1706)</f>
        <v>2014</v>
      </c>
      <c r="AH1706" s="5" t="str">
        <f>"Q"&amp;ROUNDUP(MONTH(AF1706)/3,0)</f>
        <v>Q3</v>
      </c>
      <c r="AI1706" s="5">
        <f>INDEX(RatingLookup!$B$2:$B$11,MATCH(A1706,RatingLookup!$A$2:$A$11,0))</f>
        <v>7</v>
      </c>
      <c r="AJ1706" s="5" t="str">
        <f>INDEX(RatingLookup!$C$2:$C$11,MATCH(A1706,RatingLookup!$A$2:$A$11,0))</f>
        <v>Investment Grade</v>
      </c>
    </row>
    <row r="1707" spans="1:36" x14ac:dyDescent="0.3">
      <c r="A1707" s="3" t="s">
        <v>92</v>
      </c>
      <c r="B1707" s="3" t="s">
        <v>1787</v>
      </c>
      <c r="C1707" s="3" t="s">
        <v>1788</v>
      </c>
      <c r="D1707" s="3" t="s">
        <v>39</v>
      </c>
      <c r="E1707" s="3" t="s">
        <v>196</v>
      </c>
      <c r="F1707" s="3" t="s">
        <v>79</v>
      </c>
      <c r="G1707" s="3">
        <v>1.53</v>
      </c>
      <c r="H1707" s="3">
        <v>1.3049999999999999</v>
      </c>
      <c r="I1707" s="3">
        <v>0.01</v>
      </c>
      <c r="J1707" s="3">
        <v>14.03846154</v>
      </c>
      <c r="K1707" s="3">
        <v>0.120126449</v>
      </c>
      <c r="L1707" s="3">
        <v>0.120126449</v>
      </c>
      <c r="M1707" s="3">
        <v>0.34351949399999998</v>
      </c>
      <c r="N1707" s="3">
        <v>7.7449947000000005E-2</v>
      </c>
      <c r="O1707" s="3">
        <v>4.1628629E-2</v>
      </c>
      <c r="P1707" s="3">
        <v>4.3206367000000002E-2</v>
      </c>
      <c r="Q1707" s="3">
        <v>8.2251082000000003E-2</v>
      </c>
      <c r="R1707" s="3">
        <v>0.346540077</v>
      </c>
      <c r="S1707" s="3">
        <v>0.54602991899999997</v>
      </c>
      <c r="T1707" s="3">
        <v>0.97582972599999995</v>
      </c>
      <c r="U1707" s="3">
        <v>0.493883513</v>
      </c>
      <c r="V1707" s="3">
        <v>-2.1929825E-2</v>
      </c>
      <c r="W1707" s="3">
        <v>0.56769230800000003</v>
      </c>
      <c r="X1707" s="3">
        <v>3.219895288</v>
      </c>
      <c r="Y1707" s="3">
        <v>1.640488656</v>
      </c>
      <c r="Z1707" s="3">
        <v>1.975829726</v>
      </c>
      <c r="AA1707" s="3">
        <v>0.120126449</v>
      </c>
      <c r="AB1707" s="3">
        <v>17.127498129999999</v>
      </c>
      <c r="AC1707" s="3">
        <v>5.6719022690000003</v>
      </c>
      <c r="AD1707" s="3">
        <v>0.34246575299999998</v>
      </c>
      <c r="AE1707" s="3">
        <v>12.71428571</v>
      </c>
      <c r="AF1707" s="4">
        <v>42321</v>
      </c>
      <c r="AG1707" s="5">
        <f>YEAR(AF1707)</f>
        <v>2015</v>
      </c>
      <c r="AH1707" s="5" t="str">
        <f>"Q"&amp;ROUNDUP(MONTH(AF1707)/3,0)</f>
        <v>Q4</v>
      </c>
      <c r="AI1707" s="5">
        <f>INDEX(RatingLookup!$B$2:$B$11,MATCH(A1707,RatingLookup!$A$2:$A$11,0))</f>
        <v>6</v>
      </c>
      <c r="AJ1707" s="5" t="str">
        <f>INDEX(RatingLookup!$C$2:$C$11,MATCH(A1707,RatingLookup!$A$2:$A$11,0))</f>
        <v>Speculative Grade</v>
      </c>
    </row>
    <row r="1708" spans="1:36" x14ac:dyDescent="0.3">
      <c r="A1708" s="3" t="s">
        <v>92</v>
      </c>
      <c r="B1708" s="3" t="s">
        <v>1789</v>
      </c>
      <c r="C1708" s="3" t="s">
        <v>1790</v>
      </c>
      <c r="D1708" s="3" t="s">
        <v>47</v>
      </c>
      <c r="E1708" s="3" t="s">
        <v>906</v>
      </c>
      <c r="F1708" s="3" t="s">
        <v>41</v>
      </c>
      <c r="G1708" s="3">
        <v>1.2311926609999999</v>
      </c>
      <c r="H1708" s="3">
        <v>0.75229357799999996</v>
      </c>
      <c r="I1708" s="3">
        <v>0.119266055</v>
      </c>
      <c r="J1708" s="3">
        <v>40.270227050000003</v>
      </c>
      <c r="K1708" s="3">
        <v>0.118004477</v>
      </c>
      <c r="L1708" s="3">
        <v>9.0502078999999999E-2</v>
      </c>
      <c r="M1708" s="3">
        <v>0.41861208799999999</v>
      </c>
      <c r="N1708" s="3">
        <v>0.13271506199999999</v>
      </c>
      <c r="O1708" s="3">
        <v>0.136565507</v>
      </c>
      <c r="P1708" s="3">
        <v>0.13120074200000001</v>
      </c>
      <c r="Q1708" s="3">
        <v>-24.6</v>
      </c>
      <c r="R1708" s="3">
        <v>1.1572908959999999</v>
      </c>
      <c r="S1708" s="3">
        <v>7.4099526070000001</v>
      </c>
      <c r="T1708" s="3">
        <v>-180.46666669999999</v>
      </c>
      <c r="U1708" s="3">
        <v>1.001850481</v>
      </c>
      <c r="V1708" s="3">
        <v>-0.303886926</v>
      </c>
      <c r="W1708" s="3">
        <v>0.62424242399999996</v>
      </c>
      <c r="X1708" s="3">
        <v>1745762.7120000001</v>
      </c>
      <c r="Y1708" s="3">
        <v>1101694.915</v>
      </c>
      <c r="Z1708" s="3">
        <v>-180.1333333</v>
      </c>
      <c r="AA1708" s="3">
        <v>9.0502078999999999E-2</v>
      </c>
      <c r="AB1708" s="3">
        <v>0.37910386000000001</v>
      </c>
      <c r="AC1708" s="3">
        <v>2796610.1690000002</v>
      </c>
      <c r="AD1708" s="3">
        <v>5.2766229999999997E-2</v>
      </c>
      <c r="AE1708" s="3">
        <v>8.2968036529999996</v>
      </c>
      <c r="AF1708" s="4">
        <v>42633</v>
      </c>
      <c r="AG1708" s="5">
        <f>YEAR(AF1708)</f>
        <v>2016</v>
      </c>
      <c r="AH1708" s="5" t="str">
        <f>"Q"&amp;ROUNDUP(MONTH(AF1708)/3,0)</f>
        <v>Q3</v>
      </c>
      <c r="AI1708" s="5">
        <f>INDEX(RatingLookup!$B$2:$B$11,MATCH(A1708,RatingLookup!$A$2:$A$11,0))</f>
        <v>6</v>
      </c>
      <c r="AJ1708" s="5" t="str">
        <f>INDEX(RatingLookup!$C$2:$C$11,MATCH(A1708,RatingLookup!$A$2:$A$11,0))</f>
        <v>Speculative Grade</v>
      </c>
    </row>
    <row r="1709" spans="1:36" x14ac:dyDescent="0.3">
      <c r="A1709" s="3" t="s">
        <v>92</v>
      </c>
      <c r="B1709" s="3" t="s">
        <v>1789</v>
      </c>
      <c r="C1709" s="3" t="s">
        <v>1790</v>
      </c>
      <c r="D1709" s="3" t="s">
        <v>47</v>
      </c>
      <c r="E1709" s="3" t="s">
        <v>624</v>
      </c>
      <c r="F1709" s="3" t="s">
        <v>41</v>
      </c>
      <c r="G1709" s="3">
        <v>1.1346423560000001</v>
      </c>
      <c r="H1709" s="3">
        <v>0.74614305800000003</v>
      </c>
      <c r="I1709" s="3">
        <v>0.214586255</v>
      </c>
      <c r="J1709" s="3">
        <v>43.901935889999997</v>
      </c>
      <c r="K1709" s="3">
        <v>0.10314186</v>
      </c>
      <c r="L1709" s="3">
        <v>6.3471914000000004E-2</v>
      </c>
      <c r="M1709" s="3">
        <v>0.396064741</v>
      </c>
      <c r="N1709" s="3">
        <v>9.8064106999999998E-2</v>
      </c>
      <c r="O1709" s="3">
        <v>0.122410546</v>
      </c>
      <c r="P1709" s="3">
        <v>0.10298661200000001</v>
      </c>
      <c r="Q1709" s="3">
        <v>1.1206896550000001</v>
      </c>
      <c r="R1709" s="3">
        <v>1.1868173259999999</v>
      </c>
      <c r="S1709" s="3">
        <v>8.728531856</v>
      </c>
      <c r="T1709" s="3">
        <v>8.1103448280000006</v>
      </c>
      <c r="U1709" s="3">
        <v>0.88587570599999998</v>
      </c>
      <c r="V1709" s="3">
        <v>-0.625</v>
      </c>
      <c r="W1709" s="3">
        <v>0.72222222199999997</v>
      </c>
      <c r="X1709" s="3">
        <v>2770491.8029999998</v>
      </c>
      <c r="Y1709" s="3">
        <v>2508196.7209999999</v>
      </c>
      <c r="Z1709" s="3">
        <v>9.1551724140000008</v>
      </c>
      <c r="AA1709" s="3">
        <v>6.3471914000000004E-2</v>
      </c>
      <c r="AB1709" s="3">
        <v>0.26579915999999998</v>
      </c>
      <c r="AC1709" s="3">
        <v>3836065.574</v>
      </c>
      <c r="AD1709" s="3">
        <v>7.4262139000000005E-2</v>
      </c>
      <c r="AE1709" s="3">
        <v>7.15037594</v>
      </c>
      <c r="AF1709" s="4">
        <v>42426</v>
      </c>
      <c r="AG1709" s="5">
        <f>YEAR(AF1709)</f>
        <v>2016</v>
      </c>
      <c r="AH1709" s="5" t="str">
        <f>"Q"&amp;ROUNDUP(MONTH(AF1709)/3,0)</f>
        <v>Q1</v>
      </c>
      <c r="AI1709" s="5">
        <f>INDEX(RatingLookup!$B$2:$B$11,MATCH(A1709,RatingLookup!$A$2:$A$11,0))</f>
        <v>6</v>
      </c>
      <c r="AJ1709" s="5" t="str">
        <f>INDEX(RatingLookup!$C$2:$C$11,MATCH(A1709,RatingLookup!$A$2:$A$11,0))</f>
        <v>Speculative Grade</v>
      </c>
    </row>
    <row r="1710" spans="1:36" x14ac:dyDescent="0.3">
      <c r="A1710" s="3" t="s">
        <v>109</v>
      </c>
      <c r="B1710" s="3" t="s">
        <v>1791</v>
      </c>
      <c r="C1710" s="3" t="s">
        <v>1792</v>
      </c>
      <c r="D1710" s="3" t="s">
        <v>47</v>
      </c>
      <c r="E1710" s="3" t="s">
        <v>643</v>
      </c>
      <c r="F1710" s="3" t="s">
        <v>53</v>
      </c>
      <c r="G1710" s="3">
        <v>1.6322398659999999</v>
      </c>
      <c r="H1710" s="3">
        <v>1.5743104889999999</v>
      </c>
      <c r="I1710" s="3">
        <v>1.399979106</v>
      </c>
      <c r="J1710" s="3">
        <v>22.038352440000001</v>
      </c>
      <c r="K1710" s="3">
        <v>-4.1482477759999998</v>
      </c>
      <c r="L1710" s="3">
        <v>-4.7601001500000004</v>
      </c>
      <c r="M1710" s="3">
        <v>1</v>
      </c>
      <c r="N1710" s="3">
        <v>-4.617877998</v>
      </c>
      <c r="O1710" s="3">
        <v>-0.87561901600000003</v>
      </c>
      <c r="P1710" s="3">
        <v>-1.0921927410000001</v>
      </c>
      <c r="Q1710" s="3">
        <v>6.1142194820000002</v>
      </c>
      <c r="R1710" s="3">
        <v>0.21108165700000001</v>
      </c>
      <c r="S1710" s="3">
        <v>0.24308276000000001</v>
      </c>
      <c r="T1710" s="3">
        <v>-7.9827394920000003</v>
      </c>
      <c r="U1710" s="3">
        <v>1.1432102689999999</v>
      </c>
      <c r="V1710" s="3">
        <v>0.12853771</v>
      </c>
      <c r="W1710" s="3">
        <v>-7.7818254339999999</v>
      </c>
      <c r="X1710" s="3">
        <v>-5.0771799709999996</v>
      </c>
      <c r="Y1710" s="3">
        <v>2.9373929259999998</v>
      </c>
      <c r="Z1710" s="3">
        <v>-6.9827394920000003</v>
      </c>
      <c r="AA1710" s="3">
        <v>-4.7601001500000004</v>
      </c>
      <c r="AB1710" s="3">
        <v>-1.8098621050000001</v>
      </c>
      <c r="AC1710" s="3">
        <v>0.65244074299999999</v>
      </c>
      <c r="AD1710" s="3">
        <v>0.119189294</v>
      </c>
      <c r="AE1710" s="3">
        <v>0</v>
      </c>
      <c r="AF1710" s="4">
        <v>42510</v>
      </c>
      <c r="AG1710" s="5">
        <f>YEAR(AF1710)</f>
        <v>2016</v>
      </c>
      <c r="AH1710" s="5" t="str">
        <f>"Q"&amp;ROUNDUP(MONTH(AF1710)/3,0)</f>
        <v>Q2</v>
      </c>
      <c r="AI1710" s="5">
        <f>INDEX(RatingLookup!$B$2:$B$11,MATCH(A1710,RatingLookup!$A$2:$A$11,0))</f>
        <v>5</v>
      </c>
      <c r="AJ1710" s="5" t="str">
        <f>INDEX(RatingLookup!$C$2:$C$11,MATCH(A1710,RatingLookup!$A$2:$A$11,0))</f>
        <v>Speculative Grade</v>
      </c>
    </row>
    <row r="1711" spans="1:36" x14ac:dyDescent="0.3">
      <c r="A1711" s="3" t="s">
        <v>116</v>
      </c>
      <c r="B1711" s="3" t="s">
        <v>1791</v>
      </c>
      <c r="C1711" s="3" t="s">
        <v>1792</v>
      </c>
      <c r="D1711" s="3" t="s">
        <v>47</v>
      </c>
      <c r="E1711" s="3" t="s">
        <v>906</v>
      </c>
      <c r="F1711" s="3" t="s">
        <v>53</v>
      </c>
      <c r="G1711" s="3">
        <v>0.98326190999999996</v>
      </c>
      <c r="H1711" s="3">
        <v>0.92951465</v>
      </c>
      <c r="I1711" s="3">
        <v>0.71863652700000002</v>
      </c>
      <c r="J1711" s="3">
        <v>40.173556959999999</v>
      </c>
      <c r="K1711" s="3">
        <v>-0.76909155100000004</v>
      </c>
      <c r="L1711" s="3">
        <v>-0.72829043999999998</v>
      </c>
      <c r="M1711" s="3">
        <v>1</v>
      </c>
      <c r="N1711" s="3">
        <v>-1.0460086740000001</v>
      </c>
      <c r="O1711" s="3">
        <v>-0.151857454</v>
      </c>
      <c r="P1711" s="3">
        <v>-0.16032359099999999</v>
      </c>
      <c r="Q1711" s="3">
        <v>0.49815496799999998</v>
      </c>
      <c r="R1711" s="3">
        <v>0.19745042600000001</v>
      </c>
      <c r="S1711" s="3">
        <v>0.22000045100000001</v>
      </c>
      <c r="T1711" s="3">
        <v>-4.2804116949999997</v>
      </c>
      <c r="U1711" s="3">
        <v>1.3048397860000001</v>
      </c>
      <c r="V1711" s="3">
        <v>-5.6023130999999997E-2</v>
      </c>
      <c r="W1711" s="3">
        <v>3.4200944029999998</v>
      </c>
      <c r="X1711" s="3">
        <v>-6.9189189190000002</v>
      </c>
      <c r="Y1711" s="3">
        <v>5.6188933409999997</v>
      </c>
      <c r="Z1711" s="3">
        <v>-3.2804116950000002</v>
      </c>
      <c r="AA1711" s="3">
        <v>-0.72829043999999998</v>
      </c>
      <c r="AB1711" s="3">
        <v>-45.918158679999998</v>
      </c>
      <c r="AC1711" s="3">
        <v>-2.0230198650000002</v>
      </c>
      <c r="AD1711" s="3">
        <v>-0.13504376600000001</v>
      </c>
      <c r="AE1711" s="3">
        <v>0</v>
      </c>
      <c r="AF1711" s="4">
        <v>42633</v>
      </c>
      <c r="AG1711" s="5">
        <f>YEAR(AF1711)</f>
        <v>2016</v>
      </c>
      <c r="AH1711" s="5" t="str">
        <f>"Q"&amp;ROUNDUP(MONTH(AF1711)/3,0)</f>
        <v>Q3</v>
      </c>
      <c r="AI1711" s="5">
        <f>INDEX(RatingLookup!$B$2:$B$11,MATCH(A1711,RatingLookup!$A$2:$A$11,0))</f>
        <v>4</v>
      </c>
      <c r="AJ1711" s="5" t="str">
        <f>INDEX(RatingLookup!$C$2:$C$11,MATCH(A1711,RatingLookup!$A$2:$A$11,0))</f>
        <v>Speculative Grade</v>
      </c>
    </row>
    <row r="1712" spans="1:36" x14ac:dyDescent="0.3">
      <c r="A1712" s="3" t="s">
        <v>109</v>
      </c>
      <c r="B1712" s="3" t="s">
        <v>1791</v>
      </c>
      <c r="C1712" s="3" t="s">
        <v>1792</v>
      </c>
      <c r="D1712" s="3" t="s">
        <v>47</v>
      </c>
      <c r="E1712" s="3" t="s">
        <v>1027</v>
      </c>
      <c r="F1712" s="3" t="s">
        <v>53</v>
      </c>
      <c r="G1712" s="3">
        <v>0.37748426000000002</v>
      </c>
      <c r="H1712" s="3">
        <v>0.21532826499999999</v>
      </c>
      <c r="I1712" s="3">
        <v>1.2770471E-2</v>
      </c>
      <c r="J1712" s="3">
        <v>21.59440845</v>
      </c>
      <c r="K1712" s="3">
        <v>-0.10285989099999999</v>
      </c>
      <c r="L1712" s="3">
        <v>-0.147326068</v>
      </c>
      <c r="M1712" s="3">
        <v>1</v>
      </c>
      <c r="N1712" s="3">
        <v>-5.7761543999999998E-2</v>
      </c>
      <c r="O1712" s="3">
        <v>-2.5111054000000001E-2</v>
      </c>
      <c r="P1712" s="3">
        <v>-3.8728017000000003E-2</v>
      </c>
      <c r="Q1712" s="3">
        <v>-6.5624311000000005E-2</v>
      </c>
      <c r="R1712" s="3">
        <v>0.24412872899999999</v>
      </c>
      <c r="S1712" s="3">
        <v>0.25258794899999998</v>
      </c>
      <c r="T1712" s="3">
        <v>1.6133634080000001</v>
      </c>
      <c r="U1712" s="3">
        <v>0.61735134199999997</v>
      </c>
      <c r="V1712" s="3">
        <v>0.30182151600000001</v>
      </c>
      <c r="W1712" s="3">
        <v>-0.58307313999999999</v>
      </c>
      <c r="X1712" s="3">
        <v>-5.0229445510000001</v>
      </c>
      <c r="Y1712" s="3">
        <v>4.4492663000000002E-2</v>
      </c>
      <c r="Z1712" s="3">
        <v>2.6133634080000001</v>
      </c>
      <c r="AA1712" s="3">
        <v>-0.147326068</v>
      </c>
      <c r="AB1712" s="3">
        <v>5.7339927660000001</v>
      </c>
      <c r="AC1712" s="3">
        <v>8.6146045929999993</v>
      </c>
      <c r="AD1712" s="3">
        <v>0.722193105</v>
      </c>
      <c r="AE1712" s="3">
        <v>0</v>
      </c>
      <c r="AF1712" s="4">
        <v>42124</v>
      </c>
      <c r="AG1712" s="5">
        <f>YEAR(AF1712)</f>
        <v>2015</v>
      </c>
      <c r="AH1712" s="5" t="str">
        <f>"Q"&amp;ROUNDUP(MONTH(AF1712)/3,0)</f>
        <v>Q2</v>
      </c>
      <c r="AI1712" s="5">
        <f>INDEX(RatingLookup!$B$2:$B$11,MATCH(A1712,RatingLookup!$A$2:$A$11,0))</f>
        <v>5</v>
      </c>
      <c r="AJ1712" s="5" t="str">
        <f>INDEX(RatingLookup!$C$2:$C$11,MATCH(A1712,RatingLookup!$A$2:$A$11,0))</f>
        <v>Speculative Grade</v>
      </c>
    </row>
    <row r="1713" spans="1:36" x14ac:dyDescent="0.3">
      <c r="A1713" s="3" t="s">
        <v>109</v>
      </c>
      <c r="B1713" s="3" t="s">
        <v>1793</v>
      </c>
      <c r="C1713" s="3" t="s">
        <v>1794</v>
      </c>
      <c r="D1713" s="3" t="s">
        <v>47</v>
      </c>
      <c r="E1713" s="3" t="s">
        <v>221</v>
      </c>
      <c r="F1713" s="3" t="s">
        <v>66</v>
      </c>
      <c r="G1713" s="3">
        <v>2.3446816699999999</v>
      </c>
      <c r="H1713" s="3">
        <v>1.311983074</v>
      </c>
      <c r="I1713" s="3">
        <v>0.51625312599999995</v>
      </c>
      <c r="J1713" s="3">
        <v>62.627224089999999</v>
      </c>
      <c r="K1713" s="3">
        <v>-0.14234167</v>
      </c>
      <c r="L1713" s="3">
        <v>-0.17705611499999999</v>
      </c>
      <c r="M1713" s="3">
        <v>0.25764174000000001</v>
      </c>
      <c r="N1713" s="3">
        <v>-8.6143254000000002E-2</v>
      </c>
      <c r="O1713" s="3">
        <v>-4.4392130000000002E-2</v>
      </c>
      <c r="P1713" s="3">
        <v>-5.9199578000000003E-2</v>
      </c>
      <c r="Q1713" s="3">
        <v>-0.15031534699999999</v>
      </c>
      <c r="R1713" s="3">
        <v>0.31187023800000002</v>
      </c>
      <c r="S1713" s="3">
        <v>2.8983050850000001</v>
      </c>
      <c r="T1713" s="3">
        <v>2.3860809390000002</v>
      </c>
      <c r="U1713" s="3">
        <v>0.70467333200000004</v>
      </c>
      <c r="V1713" s="3">
        <v>0.19606465200000001</v>
      </c>
      <c r="W1713" s="3">
        <v>0.36919716000000002</v>
      </c>
      <c r="X1713" s="3">
        <v>1.7027707809999999</v>
      </c>
      <c r="Y1713" s="3">
        <v>6.7607052899999998</v>
      </c>
      <c r="Z1713" s="3">
        <v>3.3860809390000002</v>
      </c>
      <c r="AA1713" s="3">
        <v>-0.17705611499999999</v>
      </c>
      <c r="AB1713" s="3">
        <v>-97.299633909999997</v>
      </c>
      <c r="AC1713" s="3">
        <v>4.6120906799999997</v>
      </c>
      <c r="AD1713" s="3">
        <v>7.5940441999999997E-2</v>
      </c>
      <c r="AE1713" s="3">
        <v>7.9551111109999999</v>
      </c>
      <c r="AF1713" s="4">
        <v>42137</v>
      </c>
      <c r="AG1713" s="5">
        <f>YEAR(AF1713)</f>
        <v>2015</v>
      </c>
      <c r="AH1713" s="5" t="str">
        <f>"Q"&amp;ROUNDUP(MONTH(AF1713)/3,0)</f>
        <v>Q2</v>
      </c>
      <c r="AI1713" s="5">
        <f>INDEX(RatingLookup!$B$2:$B$11,MATCH(A1713,RatingLookup!$A$2:$A$11,0))</f>
        <v>5</v>
      </c>
      <c r="AJ1713" s="5" t="str">
        <f>INDEX(RatingLookup!$C$2:$C$11,MATCH(A1713,RatingLookup!$A$2:$A$11,0))</f>
        <v>Speculative Grade</v>
      </c>
    </row>
    <row r="1714" spans="1:36" x14ac:dyDescent="0.3">
      <c r="A1714" s="3" t="s">
        <v>109</v>
      </c>
      <c r="B1714" s="3" t="s">
        <v>1793</v>
      </c>
      <c r="C1714" s="3" t="s">
        <v>1794</v>
      </c>
      <c r="D1714" s="3" t="s">
        <v>47</v>
      </c>
      <c r="E1714" s="3" t="s">
        <v>610</v>
      </c>
      <c r="F1714" s="3" t="s">
        <v>66</v>
      </c>
      <c r="G1714" s="3">
        <v>3.2758675080000002</v>
      </c>
      <c r="H1714" s="3">
        <v>2.4110410089999998</v>
      </c>
      <c r="I1714" s="3">
        <v>1.803785489</v>
      </c>
      <c r="J1714" s="3">
        <v>27.955160339999999</v>
      </c>
      <c r="K1714" s="3">
        <v>-6.5648099999999999E-4</v>
      </c>
      <c r="L1714" s="3">
        <v>-5.987905E-3</v>
      </c>
      <c r="M1714" s="3">
        <v>0.307830031</v>
      </c>
      <c r="N1714" s="3">
        <v>0.108558128</v>
      </c>
      <c r="O1714" s="3">
        <v>-3.5254200000000001E-4</v>
      </c>
      <c r="P1714" s="3">
        <v>-3.4492239999999999E-3</v>
      </c>
      <c r="Q1714" s="3">
        <v>-1.096856E-3</v>
      </c>
      <c r="R1714" s="3">
        <v>0.53701685799999999</v>
      </c>
      <c r="S1714" s="3">
        <v>3.7114589489999998</v>
      </c>
      <c r="T1714" s="3">
        <v>2.1112809939999999</v>
      </c>
      <c r="U1714" s="3">
        <v>0.67858897900000004</v>
      </c>
      <c r="V1714" s="3">
        <v>0.89036544900000003</v>
      </c>
      <c r="W1714" s="3">
        <v>0.75816082799999995</v>
      </c>
      <c r="X1714" s="3">
        <v>5.536337209</v>
      </c>
      <c r="Y1714" s="3">
        <v>16.622093020000001</v>
      </c>
      <c r="Z1714" s="3">
        <v>3.1112809939999999</v>
      </c>
      <c r="AA1714" s="3">
        <v>-5.987905E-3</v>
      </c>
      <c r="AB1714" s="3">
        <v>10.19564463</v>
      </c>
      <c r="AC1714" s="3">
        <v>7.3023255809999998</v>
      </c>
      <c r="AD1714" s="3">
        <v>9.9944299E-2</v>
      </c>
      <c r="AE1714" s="3">
        <v>13.15960666</v>
      </c>
      <c r="AF1714" s="4">
        <v>42718</v>
      </c>
      <c r="AG1714" s="5">
        <f>YEAR(AF1714)</f>
        <v>2016</v>
      </c>
      <c r="AH1714" s="5" t="str">
        <f>"Q"&amp;ROUNDUP(MONTH(AF1714)/3,0)</f>
        <v>Q4</v>
      </c>
      <c r="AI1714" s="5">
        <f>INDEX(RatingLookup!$B$2:$B$11,MATCH(A1714,RatingLookup!$A$2:$A$11,0))</f>
        <v>5</v>
      </c>
      <c r="AJ1714" s="5" t="str">
        <f>INDEX(RatingLookup!$C$2:$C$11,MATCH(A1714,RatingLookup!$A$2:$A$11,0))</f>
        <v>Speculative Grade</v>
      </c>
    </row>
    <row r="1715" spans="1:36" x14ac:dyDescent="0.3">
      <c r="A1715" s="3" t="s">
        <v>109</v>
      </c>
      <c r="B1715" s="3" t="s">
        <v>1793</v>
      </c>
      <c r="C1715" s="3" t="s">
        <v>1794</v>
      </c>
      <c r="D1715" s="3" t="s">
        <v>47</v>
      </c>
      <c r="E1715" s="3" t="s">
        <v>670</v>
      </c>
      <c r="F1715" s="3" t="s">
        <v>66</v>
      </c>
      <c r="G1715" s="3">
        <v>2.9160392800000001</v>
      </c>
      <c r="H1715" s="3">
        <v>1.9764320790000001</v>
      </c>
      <c r="I1715" s="3">
        <v>1.377086743</v>
      </c>
      <c r="J1715" s="3">
        <v>28.755862480000001</v>
      </c>
      <c r="K1715" s="3">
        <v>-2.4805300999999998E-2</v>
      </c>
      <c r="L1715" s="3">
        <v>-3.5992427E-2</v>
      </c>
      <c r="M1715" s="3">
        <v>0.252656942</v>
      </c>
      <c r="N1715" s="3">
        <v>4.5759648999999999E-2</v>
      </c>
      <c r="O1715" s="3">
        <v>-1.2504879999999999E-2</v>
      </c>
      <c r="P1715" s="3">
        <v>-1.9432247999999999E-2</v>
      </c>
      <c r="Q1715" s="3">
        <v>-3.8743279999999998E-2</v>
      </c>
      <c r="R1715" s="3">
        <v>0.504121296</v>
      </c>
      <c r="S1715" s="3">
        <v>3.4864986500000001</v>
      </c>
      <c r="T1715" s="3">
        <v>2.0982526880000001</v>
      </c>
      <c r="U1715" s="3">
        <v>0.67723743000000003</v>
      </c>
      <c r="V1715" s="3">
        <v>0.31081888800000002</v>
      </c>
      <c r="W1715" s="3">
        <v>0.76107174499999997</v>
      </c>
      <c r="X1715" s="3">
        <v>6.0617283950000003</v>
      </c>
      <c r="Y1715" s="3">
        <v>14.83950617</v>
      </c>
      <c r="Z1715" s="3">
        <v>3.0982526880000001</v>
      </c>
      <c r="AA1715" s="3">
        <v>-3.5992427E-2</v>
      </c>
      <c r="AB1715" s="3">
        <v>14.05042937</v>
      </c>
      <c r="AC1715" s="3">
        <v>7.9647266309999996</v>
      </c>
      <c r="AD1715" s="3">
        <v>9.7155887999999996E-2</v>
      </c>
      <c r="AE1715" s="3">
        <v>13.09879336</v>
      </c>
      <c r="AF1715" s="4">
        <v>42226</v>
      </c>
      <c r="AG1715" s="5">
        <f>YEAR(AF1715)</f>
        <v>2015</v>
      </c>
      <c r="AH1715" s="5" t="str">
        <f>"Q"&amp;ROUNDUP(MONTH(AF1715)/3,0)</f>
        <v>Q3</v>
      </c>
      <c r="AI1715" s="5">
        <f>INDEX(RatingLookup!$B$2:$B$11,MATCH(A1715,RatingLookup!$A$2:$A$11,0))</f>
        <v>5</v>
      </c>
      <c r="AJ1715" s="5" t="str">
        <f>INDEX(RatingLookup!$C$2:$C$11,MATCH(A1715,RatingLookup!$A$2:$A$11,0))</f>
        <v>Speculative Grade</v>
      </c>
    </row>
    <row r="1716" spans="1:36" x14ac:dyDescent="0.3">
      <c r="A1716" s="3" t="s">
        <v>109</v>
      </c>
      <c r="B1716" s="3" t="s">
        <v>1793</v>
      </c>
      <c r="C1716" s="3" t="s">
        <v>1794</v>
      </c>
      <c r="D1716" s="3" t="s">
        <v>47</v>
      </c>
      <c r="E1716" s="3" t="s">
        <v>372</v>
      </c>
      <c r="F1716" s="3" t="s">
        <v>66</v>
      </c>
      <c r="G1716" s="3">
        <v>4.5760273969999998</v>
      </c>
      <c r="H1716" s="3">
        <v>3.3232876710000001</v>
      </c>
      <c r="I1716" s="3">
        <v>2.7534246580000001</v>
      </c>
      <c r="J1716" s="3">
        <v>29.366598969999998</v>
      </c>
      <c r="K1716" s="3">
        <v>1.4698772000000001E-2</v>
      </c>
      <c r="L1716" s="3">
        <v>2.1564646E-2</v>
      </c>
      <c r="M1716" s="3">
        <v>0.41088869500000003</v>
      </c>
      <c r="N1716" s="3">
        <v>0.104245237</v>
      </c>
      <c r="O1716" s="3">
        <v>4.3756120000000001E-3</v>
      </c>
      <c r="P1716" s="3">
        <v>6.7011240000000001E-3</v>
      </c>
      <c r="Q1716" s="3">
        <v>1.01428E-2</v>
      </c>
      <c r="R1716" s="3">
        <v>0.29768553199999997</v>
      </c>
      <c r="S1716" s="3">
        <v>2.6617760619999999</v>
      </c>
      <c r="T1716" s="3">
        <v>1.318030161</v>
      </c>
      <c r="U1716" s="3">
        <v>0.56859922900000004</v>
      </c>
      <c r="V1716" s="3">
        <v>0.31838565000000002</v>
      </c>
      <c r="W1716" s="3">
        <v>0.72483221499999995</v>
      </c>
      <c r="X1716" s="3">
        <v>2.6422018349999998</v>
      </c>
      <c r="Y1716" s="3">
        <v>12.29357798</v>
      </c>
      <c r="Z1716" s="3">
        <v>2.3180301609999998</v>
      </c>
      <c r="AA1716" s="3">
        <v>2.1564646E-2</v>
      </c>
      <c r="AB1716" s="3">
        <v>13.09645179</v>
      </c>
      <c r="AC1716" s="3">
        <v>3.6452599389999998</v>
      </c>
      <c r="AD1716" s="3">
        <v>0.115269316</v>
      </c>
      <c r="AE1716" s="3">
        <v>7.9014267189999998</v>
      </c>
      <c r="AF1716" s="4">
        <v>41779</v>
      </c>
      <c r="AG1716" s="5">
        <f>YEAR(AF1716)</f>
        <v>2014</v>
      </c>
      <c r="AH1716" s="5" t="str">
        <f>"Q"&amp;ROUNDUP(MONTH(AF1716)/3,0)</f>
        <v>Q2</v>
      </c>
      <c r="AI1716" s="5">
        <f>INDEX(RatingLookup!$B$2:$B$11,MATCH(A1716,RatingLookup!$A$2:$A$11,0))</f>
        <v>5</v>
      </c>
      <c r="AJ1716" s="5" t="str">
        <f>INDEX(RatingLookup!$C$2:$C$11,MATCH(A1716,RatingLookup!$A$2:$A$11,0))</f>
        <v>Speculative Grade</v>
      </c>
    </row>
    <row r="1717" spans="1:36" x14ac:dyDescent="0.3">
      <c r="A1717" s="3" t="s">
        <v>92</v>
      </c>
      <c r="B1717" s="3" t="s">
        <v>1795</v>
      </c>
      <c r="C1717" s="3" t="s">
        <v>1796</v>
      </c>
      <c r="D1717" s="3" t="s">
        <v>47</v>
      </c>
      <c r="E1717" s="3" t="s">
        <v>623</v>
      </c>
      <c r="F1717" s="3" t="s">
        <v>174</v>
      </c>
      <c r="G1717" s="3">
        <v>1.461623675</v>
      </c>
      <c r="H1717" s="3">
        <v>0.44010128199999998</v>
      </c>
      <c r="I1717" s="3">
        <v>0.248298781</v>
      </c>
      <c r="J1717" s="3">
        <v>6.9181313409999996</v>
      </c>
      <c r="K1717" s="3">
        <v>2.7846198999999999E-2</v>
      </c>
      <c r="L1717" s="3">
        <v>4.2479020999999999E-2</v>
      </c>
      <c r="M1717" s="3">
        <v>0.55525403900000003</v>
      </c>
      <c r="N1717" s="3">
        <v>4.4002839000000002E-2</v>
      </c>
      <c r="O1717" s="3">
        <v>4.2704397999999998E-2</v>
      </c>
      <c r="P1717" s="3">
        <v>8.1664592999999994E-2</v>
      </c>
      <c r="Q1717" s="3">
        <v>7.6768141999999998E-2</v>
      </c>
      <c r="R1717" s="3">
        <v>1.5335808950000001</v>
      </c>
      <c r="S1717" s="3">
        <v>4.3135242209999998</v>
      </c>
      <c r="T1717" s="3">
        <v>0.79766357799999998</v>
      </c>
      <c r="U1717" s="3">
        <v>0.44372238899999999</v>
      </c>
      <c r="V1717" s="3">
        <v>0.32088452099999998</v>
      </c>
      <c r="W1717" s="3">
        <v>-0.274352816</v>
      </c>
      <c r="X1717" s="3">
        <v>-0.64009962600000003</v>
      </c>
      <c r="Y1717" s="3">
        <v>1.166251557</v>
      </c>
      <c r="Z1717" s="3">
        <v>1.7976635780000001</v>
      </c>
      <c r="AA1717" s="3">
        <v>4.2479020999999999E-2</v>
      </c>
      <c r="AB1717" s="3">
        <v>6.8103672660000001</v>
      </c>
      <c r="AC1717" s="3">
        <v>2.3331257779999999</v>
      </c>
      <c r="AD1717" s="3">
        <v>7.8215672E-2</v>
      </c>
      <c r="AE1717" s="3">
        <v>8.4146919429999993</v>
      </c>
      <c r="AF1717" s="4">
        <v>42181</v>
      </c>
      <c r="AG1717" s="5">
        <f>YEAR(AF1717)</f>
        <v>2015</v>
      </c>
      <c r="AH1717" s="5" t="str">
        <f>"Q"&amp;ROUNDUP(MONTH(AF1717)/3,0)</f>
        <v>Q2</v>
      </c>
      <c r="AI1717" s="5">
        <f>INDEX(RatingLookup!$B$2:$B$11,MATCH(A1717,RatingLookup!$A$2:$A$11,0))</f>
        <v>6</v>
      </c>
      <c r="AJ1717" s="5" t="str">
        <f>INDEX(RatingLookup!$C$2:$C$11,MATCH(A1717,RatingLookup!$A$2:$A$11,0))</f>
        <v>Speculative Grade</v>
      </c>
    </row>
    <row r="1718" spans="1:36" x14ac:dyDescent="0.3">
      <c r="A1718" s="3" t="s">
        <v>92</v>
      </c>
      <c r="B1718" s="3" t="s">
        <v>1795</v>
      </c>
      <c r="C1718" s="3" t="s">
        <v>1796</v>
      </c>
      <c r="D1718" s="3" t="s">
        <v>47</v>
      </c>
      <c r="E1718" s="3" t="s">
        <v>1797</v>
      </c>
      <c r="F1718" s="3" t="s">
        <v>174</v>
      </c>
      <c r="G1718" s="3">
        <v>1.3235335100000001</v>
      </c>
      <c r="H1718" s="3">
        <v>0.45255677900000002</v>
      </c>
      <c r="I1718" s="3">
        <v>0.33523756399999999</v>
      </c>
      <c r="J1718" s="3">
        <v>5.3804992819999997</v>
      </c>
      <c r="K1718" s="3">
        <v>-4.9303545999999997E-2</v>
      </c>
      <c r="L1718" s="3">
        <v>-5.0094734000000002E-2</v>
      </c>
      <c r="M1718" s="3">
        <v>0.555747569</v>
      </c>
      <c r="N1718" s="3">
        <v>-4.8907950999999998E-2</v>
      </c>
      <c r="O1718" s="3">
        <v>-8.1215489000000002E-2</v>
      </c>
      <c r="P1718" s="3">
        <v>-0.109463148</v>
      </c>
      <c r="Q1718" s="3">
        <v>-0.15598445399999999</v>
      </c>
      <c r="R1718" s="3">
        <v>1.6472545190000001</v>
      </c>
      <c r="S1718" s="3">
        <v>4.1050427349999996</v>
      </c>
      <c r="T1718" s="3">
        <v>0.92062446499999995</v>
      </c>
      <c r="U1718" s="3">
        <v>0.47933600900000001</v>
      </c>
      <c r="V1718" s="3">
        <v>1.5793848999999999E-2</v>
      </c>
      <c r="W1718" s="3">
        <v>0.27544632499999999</v>
      </c>
      <c r="X1718" s="3">
        <v>0.73062730600000003</v>
      </c>
      <c r="Y1718" s="3">
        <v>1.562115621</v>
      </c>
      <c r="Z1718" s="3">
        <v>1.9206244649999999</v>
      </c>
      <c r="AA1718" s="3">
        <v>-5.0094734000000002E-2</v>
      </c>
      <c r="AB1718" s="3">
        <v>-104.3902532</v>
      </c>
      <c r="AC1718" s="3">
        <v>2.652521525</v>
      </c>
      <c r="AD1718" s="3">
        <v>8.9799912999999995E-2</v>
      </c>
      <c r="AE1718" s="3">
        <v>8.9350921270000008</v>
      </c>
      <c r="AF1718" s="4">
        <v>42524</v>
      </c>
      <c r="AG1718" s="5">
        <f>YEAR(AF1718)</f>
        <v>2016</v>
      </c>
      <c r="AH1718" s="5" t="str">
        <f>"Q"&amp;ROUNDUP(MONTH(AF1718)/3,0)</f>
        <v>Q2</v>
      </c>
      <c r="AI1718" s="5">
        <f>INDEX(RatingLookup!$B$2:$B$11,MATCH(A1718,RatingLookup!$A$2:$A$11,0))</f>
        <v>6</v>
      </c>
      <c r="AJ1718" s="5" t="str">
        <f>INDEX(RatingLookup!$C$2:$C$11,MATCH(A1718,RatingLookup!$A$2:$A$11,0))</f>
        <v>Speculative Grade</v>
      </c>
    </row>
    <row r="1719" spans="1:36" x14ac:dyDescent="0.3">
      <c r="A1719" s="3" t="s">
        <v>109</v>
      </c>
      <c r="B1719" s="3" t="s">
        <v>1798</v>
      </c>
      <c r="C1719" s="3" t="s">
        <v>1799</v>
      </c>
      <c r="D1719" s="3" t="s">
        <v>47</v>
      </c>
      <c r="E1719" s="3" t="s">
        <v>483</v>
      </c>
      <c r="F1719" s="3" t="s">
        <v>174</v>
      </c>
      <c r="G1719" s="3">
        <v>5.6576659119999997</v>
      </c>
      <c r="H1719" s="3">
        <v>5.345132596</v>
      </c>
      <c r="I1719" s="3">
        <v>4.79394323</v>
      </c>
      <c r="J1719" s="3">
        <v>31.78260435</v>
      </c>
      <c r="K1719" s="3">
        <v>2.0973519999999998E-3</v>
      </c>
      <c r="L1719" s="3">
        <v>1.1818327999999999E-2</v>
      </c>
      <c r="M1719" s="3">
        <v>0.57923226900000002</v>
      </c>
      <c r="N1719" s="3">
        <v>0.141840985</v>
      </c>
      <c r="O1719" s="3">
        <v>1.0462410000000001E-3</v>
      </c>
      <c r="P1719" s="3">
        <v>6.3997790000000004E-3</v>
      </c>
      <c r="Q1719" s="3">
        <v>9.5114210000000008E-3</v>
      </c>
      <c r="R1719" s="3">
        <v>0.49883889599999998</v>
      </c>
      <c r="S1719" s="3">
        <v>1.0533372510000001</v>
      </c>
      <c r="T1719" s="3">
        <v>8.0910447049999998</v>
      </c>
      <c r="U1719" s="3">
        <v>0.89000164100000001</v>
      </c>
      <c r="V1719" s="3">
        <v>0.82253395699999998</v>
      </c>
      <c r="W1719" s="3">
        <v>0.178161706</v>
      </c>
      <c r="X1719" s="3">
        <v>0.28223082999999999</v>
      </c>
      <c r="Y1719" s="3">
        <v>6.2412179669999999</v>
      </c>
      <c r="Z1719" s="3">
        <v>9.0910447049999998</v>
      </c>
      <c r="AA1719" s="3">
        <v>1.1818327999999999E-2</v>
      </c>
      <c r="AB1719" s="3">
        <v>12.66485937</v>
      </c>
      <c r="AC1719" s="3">
        <v>1.5841273419999999</v>
      </c>
      <c r="AD1719" s="3">
        <v>0.192224798</v>
      </c>
      <c r="AE1719" s="3">
        <v>12.03379243</v>
      </c>
      <c r="AF1719" s="4">
        <v>42055</v>
      </c>
      <c r="AG1719" s="5">
        <f>YEAR(AF1719)</f>
        <v>2015</v>
      </c>
      <c r="AH1719" s="5" t="str">
        <f>"Q"&amp;ROUNDUP(MONTH(AF1719)/3,0)</f>
        <v>Q1</v>
      </c>
      <c r="AI1719" s="5">
        <f>INDEX(RatingLookup!$B$2:$B$11,MATCH(A1719,RatingLookup!$A$2:$A$11,0))</f>
        <v>5</v>
      </c>
      <c r="AJ1719" s="5" t="str">
        <f>INDEX(RatingLookup!$C$2:$C$11,MATCH(A1719,RatingLookup!$A$2:$A$11,0))</f>
        <v>Speculative Grade</v>
      </c>
    </row>
    <row r="1720" spans="1:36" x14ac:dyDescent="0.3">
      <c r="A1720" s="3" t="s">
        <v>109</v>
      </c>
      <c r="B1720" s="3" t="s">
        <v>1798</v>
      </c>
      <c r="C1720" s="3" t="s">
        <v>1799</v>
      </c>
      <c r="D1720" s="3" t="s">
        <v>47</v>
      </c>
      <c r="E1720" s="3" t="s">
        <v>1800</v>
      </c>
      <c r="F1720" s="3" t="s">
        <v>174</v>
      </c>
      <c r="G1720" s="3">
        <v>3.6476692210000001</v>
      </c>
      <c r="H1720" s="3">
        <v>3.4005137580000002</v>
      </c>
      <c r="I1720" s="3">
        <v>2.9547050970000002</v>
      </c>
      <c r="J1720" s="3">
        <v>27.736583270000001</v>
      </c>
      <c r="K1720" s="3">
        <v>1.2111797000000001E-2</v>
      </c>
      <c r="L1720" s="3">
        <v>3.1447132000000003E-2</v>
      </c>
      <c r="M1720" s="3">
        <v>0.56829460200000004</v>
      </c>
      <c r="N1720" s="3">
        <v>0.131201235</v>
      </c>
      <c r="O1720" s="3">
        <v>7.3866649999999997E-3</v>
      </c>
      <c r="P1720" s="3">
        <v>2.1403844000000002E-2</v>
      </c>
      <c r="Q1720" s="3">
        <v>-0.39898948699999998</v>
      </c>
      <c r="R1720" s="3">
        <v>0.60987363000000006</v>
      </c>
      <c r="S1720" s="3">
        <v>1.122448186</v>
      </c>
      <c r="T1720" s="3">
        <v>-55.014831719999997</v>
      </c>
      <c r="U1720" s="3">
        <v>1.0185134339999999</v>
      </c>
      <c r="V1720" s="3">
        <v>0.61485210800000001</v>
      </c>
      <c r="W1720" s="3">
        <v>0.57543939200000005</v>
      </c>
      <c r="X1720" s="3">
        <v>1.0743678320000001</v>
      </c>
      <c r="Y1720" s="3">
        <v>4.5354598299999997</v>
      </c>
      <c r="Z1720" s="3">
        <v>-54.014831719999997</v>
      </c>
      <c r="AA1720" s="3">
        <v>3.1447132000000003E-2</v>
      </c>
      <c r="AB1720" s="3">
        <v>11.574435769999999</v>
      </c>
      <c r="AC1720" s="3">
        <v>1.8670390779999999</v>
      </c>
      <c r="AD1720" s="3">
        <v>0.20732793399999999</v>
      </c>
      <c r="AE1720" s="3">
        <v>14.072252239999999</v>
      </c>
      <c r="AF1720" s="4">
        <v>42397</v>
      </c>
      <c r="AG1720" s="5">
        <f>YEAR(AF1720)</f>
        <v>2016</v>
      </c>
      <c r="AH1720" s="5" t="str">
        <f>"Q"&amp;ROUNDUP(MONTH(AF1720)/3,0)</f>
        <v>Q1</v>
      </c>
      <c r="AI1720" s="5">
        <f>INDEX(RatingLookup!$B$2:$B$11,MATCH(A1720,RatingLookup!$A$2:$A$11,0))</f>
        <v>5</v>
      </c>
      <c r="AJ1720" s="5" t="str">
        <f>INDEX(RatingLookup!$C$2:$C$11,MATCH(A1720,RatingLookup!$A$2:$A$11,0))</f>
        <v>Speculative Grade</v>
      </c>
    </row>
    <row r="1721" spans="1:36" x14ac:dyDescent="0.3">
      <c r="A1721" s="3" t="s">
        <v>109</v>
      </c>
      <c r="B1721" s="3" t="s">
        <v>1798</v>
      </c>
      <c r="C1721" s="3" t="s">
        <v>1799</v>
      </c>
      <c r="D1721" s="3" t="s">
        <v>47</v>
      </c>
      <c r="E1721" s="3" t="s">
        <v>688</v>
      </c>
      <c r="F1721" s="3" t="s">
        <v>174</v>
      </c>
      <c r="G1721" s="3">
        <v>4.8241573779999998</v>
      </c>
      <c r="H1721" s="3">
        <v>4.5339920190000003</v>
      </c>
      <c r="I1721" s="3">
        <v>4.0392708319999997</v>
      </c>
      <c r="J1721" s="3">
        <v>27.44074737</v>
      </c>
      <c r="K1721" s="3">
        <v>3.3405683999999998E-2</v>
      </c>
      <c r="L1721" s="3">
        <v>5.4285075000000002E-2</v>
      </c>
      <c r="M1721" s="3">
        <v>0.56575072699999995</v>
      </c>
      <c r="N1721" s="3">
        <v>0.14330275200000001</v>
      </c>
      <c r="O1721" s="3">
        <v>2.0231958000000001E-2</v>
      </c>
      <c r="P1721" s="3">
        <v>3.621009E-2</v>
      </c>
      <c r="Q1721" s="3">
        <v>-0.28033574900000002</v>
      </c>
      <c r="R1721" s="3">
        <v>0.60564418600000003</v>
      </c>
      <c r="S1721" s="3">
        <v>1.235755902</v>
      </c>
      <c r="T1721" s="3">
        <v>-14.856085930000001</v>
      </c>
      <c r="U1721" s="3">
        <v>1.072170453</v>
      </c>
      <c r="V1721" s="3">
        <v>0.38462489700000002</v>
      </c>
      <c r="W1721" s="3">
        <v>0.58103865099999996</v>
      </c>
      <c r="X1721" s="3">
        <v>1.4052523189999999</v>
      </c>
      <c r="Y1721" s="3">
        <v>6.1448904229999997</v>
      </c>
      <c r="Z1721" s="3">
        <v>-13.856085930000001</v>
      </c>
      <c r="AA1721" s="3">
        <v>5.4285075000000002E-2</v>
      </c>
      <c r="AB1721" s="3">
        <v>12.34965629</v>
      </c>
      <c r="AC1721" s="3">
        <v>2.4185178000000001</v>
      </c>
      <c r="AD1721" s="3">
        <v>0.24159095999999999</v>
      </c>
      <c r="AE1721" s="3">
        <v>16.800796470000002</v>
      </c>
      <c r="AF1721" s="4">
        <v>42702</v>
      </c>
      <c r="AG1721" s="5">
        <f>YEAR(AF1721)</f>
        <v>2016</v>
      </c>
      <c r="AH1721" s="5" t="str">
        <f>"Q"&amp;ROUNDUP(MONTH(AF1721)/3,0)</f>
        <v>Q4</v>
      </c>
      <c r="AI1721" s="5">
        <f>INDEX(RatingLookup!$B$2:$B$11,MATCH(A1721,RatingLookup!$A$2:$A$11,0))</f>
        <v>5</v>
      </c>
      <c r="AJ1721" s="5" t="str">
        <f>INDEX(RatingLookup!$C$2:$C$11,MATCH(A1721,RatingLookup!$A$2:$A$11,0))</f>
        <v>Speculative Grade</v>
      </c>
    </row>
    <row r="1722" spans="1:36" x14ac:dyDescent="0.3">
      <c r="A1722" s="3" t="s">
        <v>109</v>
      </c>
      <c r="B1722" s="3" t="s">
        <v>1798</v>
      </c>
      <c r="C1722" s="3" t="s">
        <v>1799</v>
      </c>
      <c r="D1722" s="3" t="s">
        <v>47</v>
      </c>
      <c r="E1722" s="3" t="s">
        <v>1801</v>
      </c>
      <c r="F1722" s="3" t="s">
        <v>174</v>
      </c>
      <c r="G1722" s="3">
        <v>5.7121626990000003</v>
      </c>
      <c r="H1722" s="3">
        <v>5.5020797190000001</v>
      </c>
      <c r="I1722" s="3">
        <v>4.9789310870000003</v>
      </c>
      <c r="J1722" s="3">
        <v>29.903715219999999</v>
      </c>
      <c r="K1722" s="3">
        <v>2.4687397999999999E-2</v>
      </c>
      <c r="L1722" s="3">
        <v>1.8271685999999999E-2</v>
      </c>
      <c r="M1722" s="3">
        <v>0.56739770899999997</v>
      </c>
      <c r="N1722" s="3">
        <v>0.119495908</v>
      </c>
      <c r="O1722" s="3">
        <v>1.2619405E-2</v>
      </c>
      <c r="P1722" s="3">
        <v>1.0152635E-2</v>
      </c>
      <c r="Q1722" s="3">
        <v>4.5987524000000002E-2</v>
      </c>
      <c r="R1722" s="3">
        <v>0.51116788899999999</v>
      </c>
      <c r="S1722" s="3">
        <v>0.99195397100000005</v>
      </c>
      <c r="T1722" s="3">
        <v>2.6441911939999998</v>
      </c>
      <c r="U1722" s="3">
        <v>0.72559068800000004</v>
      </c>
      <c r="V1722" s="3">
        <v>-0.351128628</v>
      </c>
      <c r="W1722" s="3">
        <v>0.39515129100000002</v>
      </c>
      <c r="X1722" s="3">
        <v>0.66307389100000003</v>
      </c>
      <c r="Y1722" s="3">
        <v>5.2723426939999998</v>
      </c>
      <c r="Z1722" s="3">
        <v>3.6441911939999998</v>
      </c>
      <c r="AA1722" s="3">
        <v>1.8271685999999999E-2</v>
      </c>
      <c r="AB1722" s="3">
        <v>5.7642369489999998</v>
      </c>
      <c r="AC1722" s="3">
        <v>1.678025369</v>
      </c>
      <c r="AD1722" s="3">
        <v>0.248163666</v>
      </c>
      <c r="AE1722" s="3">
        <v>9.3076977250000006</v>
      </c>
      <c r="AF1722" s="4">
        <v>40968</v>
      </c>
      <c r="AG1722" s="5">
        <f>YEAR(AF1722)</f>
        <v>2012</v>
      </c>
      <c r="AH1722" s="5" t="str">
        <f>"Q"&amp;ROUNDUP(MONTH(AF1722)/3,0)</f>
        <v>Q1</v>
      </c>
      <c r="AI1722" s="5">
        <f>INDEX(RatingLookup!$B$2:$B$11,MATCH(A1722,RatingLookup!$A$2:$A$11,0))</f>
        <v>5</v>
      </c>
      <c r="AJ1722" s="5" t="str">
        <f>INDEX(RatingLookup!$C$2:$C$11,MATCH(A1722,RatingLookup!$A$2:$A$11,0))</f>
        <v>Speculative Grade</v>
      </c>
    </row>
    <row r="1723" spans="1:36" x14ac:dyDescent="0.3">
      <c r="A1723" s="3" t="s">
        <v>109</v>
      </c>
      <c r="B1723" s="3" t="s">
        <v>1798</v>
      </c>
      <c r="C1723" s="3" t="s">
        <v>1799</v>
      </c>
      <c r="D1723" s="3" t="s">
        <v>47</v>
      </c>
      <c r="E1723" s="3" t="s">
        <v>1325</v>
      </c>
      <c r="F1723" s="3" t="s">
        <v>174</v>
      </c>
      <c r="G1723" s="3">
        <v>2.4654543680000001</v>
      </c>
      <c r="H1723" s="3">
        <v>2.3347808539999999</v>
      </c>
      <c r="I1723" s="3">
        <v>2.121633471</v>
      </c>
      <c r="J1723" s="3">
        <v>32.126134049999997</v>
      </c>
      <c r="K1723" s="3">
        <v>0.162909256</v>
      </c>
      <c r="L1723" s="3">
        <v>2.0078797999999998E-2</v>
      </c>
      <c r="M1723" s="3">
        <v>0.56829291400000004</v>
      </c>
      <c r="N1723" s="3">
        <v>0.13263444099999999</v>
      </c>
      <c r="O1723" s="3">
        <v>7.5074724999999995E-2</v>
      </c>
      <c r="P1723" s="3">
        <v>1.142774E-2</v>
      </c>
      <c r="Q1723" s="3">
        <v>0.29297852099999999</v>
      </c>
      <c r="R1723" s="3">
        <v>0.46083768899999999</v>
      </c>
      <c r="S1723" s="3">
        <v>1.0198890359999999</v>
      </c>
      <c r="T1723" s="3">
        <v>2.9024920930000002</v>
      </c>
      <c r="U1723" s="3">
        <v>0.74375348500000005</v>
      </c>
      <c r="V1723" s="3">
        <v>-7.1134964930000004</v>
      </c>
      <c r="W1723" s="3">
        <v>0.40097249899999998</v>
      </c>
      <c r="X1723" s="3">
        <v>0.711226425</v>
      </c>
      <c r="Y1723" s="3">
        <v>6.6066043680000002</v>
      </c>
      <c r="Z1723" s="3">
        <v>3.9024920930000002</v>
      </c>
      <c r="AA1723" s="3">
        <v>2.0078797999999998E-2</v>
      </c>
      <c r="AB1723" s="3">
        <v>14.912196440000001</v>
      </c>
      <c r="AC1723" s="3">
        <v>1.7737536300000001</v>
      </c>
      <c r="AD1723" s="3">
        <v>0.23521821700000001</v>
      </c>
      <c r="AE1723" s="3">
        <v>10.65576678</v>
      </c>
      <c r="AF1723" s="4">
        <v>41730</v>
      </c>
      <c r="AG1723" s="5">
        <f>YEAR(AF1723)</f>
        <v>2014</v>
      </c>
      <c r="AH1723" s="5" t="str">
        <f>"Q"&amp;ROUNDUP(MONTH(AF1723)/3,0)</f>
        <v>Q2</v>
      </c>
      <c r="AI1723" s="5">
        <f>INDEX(RatingLookup!$B$2:$B$11,MATCH(A1723,RatingLookup!$A$2:$A$11,0))</f>
        <v>5</v>
      </c>
      <c r="AJ1723" s="5" t="str">
        <f>INDEX(RatingLookup!$C$2:$C$11,MATCH(A1723,RatingLookup!$A$2:$A$11,0))</f>
        <v>Speculative Grade</v>
      </c>
    </row>
    <row r="1724" spans="1:36" x14ac:dyDescent="0.3">
      <c r="A1724" s="3" t="s">
        <v>109</v>
      </c>
      <c r="B1724" s="3" t="s">
        <v>1798</v>
      </c>
      <c r="C1724" s="3" t="s">
        <v>1799</v>
      </c>
      <c r="D1724" s="3" t="s">
        <v>47</v>
      </c>
      <c r="E1724" s="3" t="s">
        <v>1802</v>
      </c>
      <c r="F1724" s="3" t="s">
        <v>174</v>
      </c>
      <c r="G1724" s="3">
        <v>2.127676428</v>
      </c>
      <c r="H1724" s="3">
        <v>1.919947192</v>
      </c>
      <c r="I1724" s="3">
        <v>1.351008161</v>
      </c>
      <c r="J1724" s="3">
        <v>32.84246211</v>
      </c>
      <c r="K1724" s="3">
        <v>-6.3967260000000001E-3</v>
      </c>
      <c r="L1724" s="3">
        <v>-1.9285089999999999E-3</v>
      </c>
      <c r="M1724" s="3">
        <v>1</v>
      </c>
      <c r="N1724" s="3">
        <v>5.7760349000000002E-2</v>
      </c>
      <c r="O1724" s="3">
        <v>-4.4801559999999999E-3</v>
      </c>
      <c r="P1724" s="3">
        <v>-1.518943E-3</v>
      </c>
      <c r="Q1724" s="3">
        <v>-1.1100059000000001E-2</v>
      </c>
      <c r="R1724" s="3">
        <v>0.70038260799999996</v>
      </c>
      <c r="S1724" s="3">
        <v>0.34664515499999998</v>
      </c>
      <c r="T1724" s="3">
        <v>1.477605549</v>
      </c>
      <c r="U1724" s="3">
        <v>0.59638450099999996</v>
      </c>
      <c r="V1724" s="3">
        <v>-2.316929134</v>
      </c>
      <c r="W1724" s="3">
        <v>0.26190243000000002</v>
      </c>
      <c r="X1724" s="3">
        <v>0.41941235799999999</v>
      </c>
      <c r="Y1724" s="3">
        <v>1.2609928269999999</v>
      </c>
      <c r="Z1724" s="3">
        <v>2.4776055490000002</v>
      </c>
      <c r="AA1724" s="3">
        <v>-1.9285089999999999E-3</v>
      </c>
      <c r="AB1724" s="3">
        <v>7.5634996279999998</v>
      </c>
      <c r="AC1724" s="3">
        <v>1.601406895</v>
      </c>
      <c r="AD1724" s="3">
        <v>0.27134646299999998</v>
      </c>
      <c r="AE1724" s="3">
        <v>0</v>
      </c>
      <c r="AF1724" s="4">
        <v>40590</v>
      </c>
      <c r="AG1724" s="5">
        <f>YEAR(AF1724)</f>
        <v>2011</v>
      </c>
      <c r="AH1724" s="5" t="str">
        <f>"Q"&amp;ROUNDUP(MONTH(AF1724)/3,0)</f>
        <v>Q1</v>
      </c>
      <c r="AI1724" s="5">
        <f>INDEX(RatingLookup!$B$2:$B$11,MATCH(A1724,RatingLookup!$A$2:$A$11,0))</f>
        <v>5</v>
      </c>
      <c r="AJ1724" s="5" t="str">
        <f>INDEX(RatingLookup!$C$2:$C$11,MATCH(A1724,RatingLookup!$A$2:$A$11,0))</f>
        <v>Speculative Grade</v>
      </c>
    </row>
    <row r="1725" spans="1:36" x14ac:dyDescent="0.3">
      <c r="A1725" s="3" t="s">
        <v>109</v>
      </c>
      <c r="B1725" s="3" t="s">
        <v>1798</v>
      </c>
      <c r="C1725" s="3" t="s">
        <v>1799</v>
      </c>
      <c r="D1725" s="3" t="s">
        <v>47</v>
      </c>
      <c r="E1725" s="3" t="s">
        <v>1803</v>
      </c>
      <c r="F1725" s="3" t="s">
        <v>174</v>
      </c>
      <c r="G1725" s="3">
        <v>5.4358909930000001</v>
      </c>
      <c r="H1725" s="3">
        <v>5.2430421340000004</v>
      </c>
      <c r="I1725" s="3">
        <v>4.7793776579999996</v>
      </c>
      <c r="J1725" s="3">
        <v>27.624908120000001</v>
      </c>
      <c r="K1725" s="3">
        <v>-1.3411236999999999E-2</v>
      </c>
      <c r="L1725" s="3">
        <v>-1.104195E-2</v>
      </c>
      <c r="M1725" s="3">
        <v>0.54683206500000003</v>
      </c>
      <c r="N1725" s="3">
        <v>9.7699173E-2</v>
      </c>
      <c r="O1725" s="3">
        <v>-7.0087099999999996E-3</v>
      </c>
      <c r="P1725" s="3">
        <v>-6.3086820000000004E-3</v>
      </c>
      <c r="Q1725" s="3">
        <v>-2.6605499000000001E-2</v>
      </c>
      <c r="R1725" s="3">
        <v>0.52259983399999999</v>
      </c>
      <c r="S1725" s="3">
        <v>1.0186326020000001</v>
      </c>
      <c r="T1725" s="3">
        <v>2.7960620610000002</v>
      </c>
      <c r="U1725" s="3">
        <v>0.73656911199999997</v>
      </c>
      <c r="V1725" s="3">
        <v>-0.21457142900000001</v>
      </c>
      <c r="W1725" s="3">
        <v>0.445392342</v>
      </c>
      <c r="X1725" s="3">
        <v>0.78229423399999998</v>
      </c>
      <c r="Y1725" s="3">
        <v>5.4330626730000002</v>
      </c>
      <c r="Z1725" s="3">
        <v>3.7960620610000002</v>
      </c>
      <c r="AA1725" s="3">
        <v>-1.104195E-2</v>
      </c>
      <c r="AB1725" s="3">
        <v>10.000835520000001</v>
      </c>
      <c r="AC1725" s="3">
        <v>1.756415995</v>
      </c>
      <c r="AD1725" s="3">
        <v>0.252207601</v>
      </c>
      <c r="AE1725" s="3">
        <v>9.7490158820000001</v>
      </c>
      <c r="AF1725" s="4">
        <v>41325</v>
      </c>
      <c r="AG1725" s="5">
        <f>YEAR(AF1725)</f>
        <v>2013</v>
      </c>
      <c r="AH1725" s="5" t="str">
        <f>"Q"&amp;ROUNDUP(MONTH(AF1725)/3,0)</f>
        <v>Q1</v>
      </c>
      <c r="AI1725" s="5">
        <f>INDEX(RatingLookup!$B$2:$B$11,MATCH(A1725,RatingLookup!$A$2:$A$11,0))</f>
        <v>5</v>
      </c>
      <c r="AJ1725" s="5" t="str">
        <f>INDEX(RatingLookup!$C$2:$C$11,MATCH(A1725,RatingLookup!$A$2:$A$11,0))</f>
        <v>Speculative Grade</v>
      </c>
    </row>
    <row r="1726" spans="1:36" x14ac:dyDescent="0.3">
      <c r="A1726" s="3" t="s">
        <v>42</v>
      </c>
      <c r="B1726" s="3" t="s">
        <v>1804</v>
      </c>
      <c r="C1726" s="3" t="s">
        <v>1805</v>
      </c>
      <c r="D1726" s="3" t="s">
        <v>60</v>
      </c>
      <c r="E1726" s="3" t="s">
        <v>835</v>
      </c>
      <c r="F1726" s="3" t="s">
        <v>232</v>
      </c>
      <c r="G1726" s="3">
        <v>0.74261731600000003</v>
      </c>
      <c r="H1726" s="3">
        <v>0.74261731600000003</v>
      </c>
      <c r="I1726" s="3">
        <v>0.22153272299999999</v>
      </c>
      <c r="J1726" s="3">
        <v>54.909251529999999</v>
      </c>
      <c r="K1726" s="3">
        <v>0.112074701</v>
      </c>
      <c r="L1726" s="3">
        <v>0.15148941499999999</v>
      </c>
      <c r="M1726" s="3">
        <v>1</v>
      </c>
      <c r="N1726" s="3">
        <v>0.15148941499999999</v>
      </c>
      <c r="O1726" s="3">
        <v>2.4525379999999999E-2</v>
      </c>
      <c r="P1726" s="3">
        <v>3.6586103000000002E-2</v>
      </c>
      <c r="Q1726" s="3">
        <v>7.4167668000000006E-2</v>
      </c>
      <c r="R1726" s="3">
        <v>0.21883065400000001</v>
      </c>
      <c r="S1726" s="3">
        <v>49.350265530000001</v>
      </c>
      <c r="T1726" s="3">
        <v>2.024119003</v>
      </c>
      <c r="U1726" s="3">
        <v>0.66932518200000002</v>
      </c>
      <c r="V1726" s="3">
        <v>0.25769903100000002</v>
      </c>
      <c r="W1726" s="3">
        <v>0.91638085999999996</v>
      </c>
      <c r="X1726" s="3">
        <v>18.82168514</v>
      </c>
      <c r="Y1726" s="3">
        <v>52.994397659999997</v>
      </c>
      <c r="Z1726" s="3">
        <v>3.024119003</v>
      </c>
      <c r="AA1726" s="3">
        <v>0.15148941499999999</v>
      </c>
      <c r="AB1726" s="3">
        <v>9.2349962580000007</v>
      </c>
      <c r="AC1726" s="3">
        <v>20.5391513</v>
      </c>
      <c r="AD1726" s="3">
        <v>6.5202407000000004E-2</v>
      </c>
      <c r="AE1726" s="3">
        <v>0</v>
      </c>
      <c r="AF1726" s="4">
        <v>42396</v>
      </c>
      <c r="AG1726" s="5">
        <f>YEAR(AF1726)</f>
        <v>2016</v>
      </c>
      <c r="AH1726" s="5" t="str">
        <f>"Q"&amp;ROUNDUP(MONTH(AF1726)/3,0)</f>
        <v>Q1</v>
      </c>
      <c r="AI1726" s="5">
        <f>INDEX(RatingLookup!$B$2:$B$11,MATCH(A1726,RatingLookup!$A$2:$A$11,0))</f>
        <v>7</v>
      </c>
      <c r="AJ1726" s="5" t="str">
        <f>INDEX(RatingLookup!$C$2:$C$11,MATCH(A1726,RatingLookup!$A$2:$A$11,0))</f>
        <v>Investment Grade</v>
      </c>
    </row>
    <row r="1727" spans="1:36" x14ac:dyDescent="0.3">
      <c r="A1727" s="3" t="s">
        <v>42</v>
      </c>
      <c r="B1727" s="3" t="s">
        <v>1804</v>
      </c>
      <c r="C1727" s="3" t="s">
        <v>1805</v>
      </c>
      <c r="D1727" s="3" t="s">
        <v>60</v>
      </c>
      <c r="E1727" s="3" t="s">
        <v>46</v>
      </c>
      <c r="F1727" s="3" t="s">
        <v>232</v>
      </c>
      <c r="G1727" s="3">
        <v>2.1723348960000002</v>
      </c>
      <c r="H1727" s="3">
        <v>2.1723348960000002</v>
      </c>
      <c r="I1727" s="3">
        <v>0.13860354699999999</v>
      </c>
      <c r="J1727" s="3">
        <v>54.649794210000003</v>
      </c>
      <c r="K1727" s="3">
        <v>0.145901</v>
      </c>
      <c r="L1727" s="3">
        <v>0.194367293</v>
      </c>
      <c r="M1727" s="3">
        <v>1</v>
      </c>
      <c r="N1727" s="3">
        <v>0.194367293</v>
      </c>
      <c r="O1727" s="3">
        <v>2.2113157000000001E-2</v>
      </c>
      <c r="P1727" s="3">
        <v>3.2529181999999997E-2</v>
      </c>
      <c r="Q1727" s="3">
        <v>4.8963368E-2</v>
      </c>
      <c r="R1727" s="3">
        <v>0.15156275299999999</v>
      </c>
      <c r="S1727" s="3">
        <v>54.832849320000001</v>
      </c>
      <c r="T1727" s="3">
        <v>1.214218794</v>
      </c>
      <c r="U1727" s="3">
        <v>0.54837344799999999</v>
      </c>
      <c r="V1727" s="3">
        <v>0.24935416099999999</v>
      </c>
      <c r="W1727" s="3">
        <v>0.93153640000000004</v>
      </c>
      <c r="X1727" s="3">
        <v>9.9040736589999998</v>
      </c>
      <c r="Y1727" s="3">
        <v>134.12066350000001</v>
      </c>
      <c r="Z1727" s="3">
        <v>2.2142187940000002</v>
      </c>
      <c r="AA1727" s="3">
        <v>0.194367293</v>
      </c>
      <c r="AB1727" s="3">
        <v>12.584953179999999</v>
      </c>
      <c r="AC1727" s="3">
        <v>10.631977089999999</v>
      </c>
      <c r="AD1727" s="3">
        <v>9.5373264999999999E-2</v>
      </c>
      <c r="AE1727" s="3">
        <v>0</v>
      </c>
      <c r="AF1727" s="4">
        <v>41075</v>
      </c>
      <c r="AG1727" s="5">
        <f>YEAR(AF1727)</f>
        <v>2012</v>
      </c>
      <c r="AH1727" s="5" t="str">
        <f>"Q"&amp;ROUNDUP(MONTH(AF1727)/3,0)</f>
        <v>Q2</v>
      </c>
      <c r="AI1727" s="5">
        <f>INDEX(RatingLookup!$B$2:$B$11,MATCH(A1727,RatingLookup!$A$2:$A$11,0))</f>
        <v>7</v>
      </c>
      <c r="AJ1727" s="5" t="str">
        <f>INDEX(RatingLookup!$C$2:$C$11,MATCH(A1727,RatingLookup!$A$2:$A$11,0))</f>
        <v>Investment Grade</v>
      </c>
    </row>
    <row r="1728" spans="1:36" x14ac:dyDescent="0.3">
      <c r="A1728" s="3" t="s">
        <v>42</v>
      </c>
      <c r="B1728" s="3" t="s">
        <v>1804</v>
      </c>
      <c r="C1728" s="3" t="s">
        <v>1805</v>
      </c>
      <c r="D1728" s="3" t="s">
        <v>60</v>
      </c>
      <c r="E1728" s="3" t="s">
        <v>799</v>
      </c>
      <c r="F1728" s="3" t="s">
        <v>232</v>
      </c>
      <c r="G1728" s="3">
        <v>10.149452459999999</v>
      </c>
      <c r="H1728" s="3">
        <v>10.149452459999999</v>
      </c>
      <c r="I1728" s="3">
        <v>0.31634561300000003</v>
      </c>
      <c r="J1728" s="3">
        <v>47.709027599999999</v>
      </c>
      <c r="K1728" s="3">
        <v>0.12982870699999999</v>
      </c>
      <c r="L1728" s="3">
        <v>0.16185338599999999</v>
      </c>
      <c r="M1728" s="3">
        <v>1</v>
      </c>
      <c r="N1728" s="3">
        <v>0.12982870699999999</v>
      </c>
      <c r="O1728" s="3">
        <v>2.8916786E-2</v>
      </c>
      <c r="P1728" s="3">
        <v>3.9246386000000001E-2</v>
      </c>
      <c r="Q1728" s="3">
        <v>9.0887206999999998E-2</v>
      </c>
      <c r="R1728" s="3">
        <v>0.22273029499999999</v>
      </c>
      <c r="S1728" s="3">
        <v>58.843875830000002</v>
      </c>
      <c r="T1728" s="3">
        <v>2.143060454</v>
      </c>
      <c r="U1728" s="3">
        <v>0.68183876399999999</v>
      </c>
      <c r="V1728" s="3">
        <v>0.297332502</v>
      </c>
      <c r="W1728" s="3">
        <v>0.88282333499999999</v>
      </c>
      <c r="X1728" s="3">
        <v>20.060360660000001</v>
      </c>
      <c r="Y1728" s="3">
        <v>1141.9990190000001</v>
      </c>
      <c r="Z1728" s="3">
        <v>3.143060454</v>
      </c>
      <c r="AA1728" s="3">
        <v>0.16185338599999999</v>
      </c>
      <c r="AB1728" s="3">
        <v>9.8049890939999997</v>
      </c>
      <c r="AC1728" s="3">
        <v>22.722961510000001</v>
      </c>
      <c r="AD1728" s="3">
        <v>7.1252410000000002E-2</v>
      </c>
      <c r="AE1728" s="3">
        <v>0</v>
      </c>
      <c r="AF1728" s="4">
        <v>41884</v>
      </c>
      <c r="AG1728" s="5">
        <f>YEAR(AF1728)</f>
        <v>2014</v>
      </c>
      <c r="AH1728" s="5" t="str">
        <f>"Q"&amp;ROUNDUP(MONTH(AF1728)/3,0)</f>
        <v>Q3</v>
      </c>
      <c r="AI1728" s="5">
        <f>INDEX(RatingLookup!$B$2:$B$11,MATCH(A1728,RatingLookup!$A$2:$A$11,0))</f>
        <v>7</v>
      </c>
      <c r="AJ1728" s="5" t="str">
        <f>INDEX(RatingLookup!$C$2:$C$11,MATCH(A1728,RatingLookup!$A$2:$A$11,0))</f>
        <v>Investment Grade</v>
      </c>
    </row>
    <row r="1729" spans="1:36" x14ac:dyDescent="0.3">
      <c r="A1729" s="3" t="s">
        <v>42</v>
      </c>
      <c r="B1729" s="3" t="s">
        <v>1806</v>
      </c>
      <c r="C1729" s="3" t="s">
        <v>1807</v>
      </c>
      <c r="D1729" s="3" t="s">
        <v>47</v>
      </c>
      <c r="E1729" s="3" t="s">
        <v>239</v>
      </c>
      <c r="F1729" s="3" t="s">
        <v>53</v>
      </c>
      <c r="G1729" s="3">
        <v>0.94675462899999996</v>
      </c>
      <c r="H1729" s="3">
        <v>0.73441157700000004</v>
      </c>
      <c r="I1729" s="3">
        <v>0.41414485400000001</v>
      </c>
      <c r="J1729" s="3">
        <v>79.005753189999993</v>
      </c>
      <c r="K1729" s="3">
        <v>1.255241E-3</v>
      </c>
      <c r="L1729" s="3">
        <v>1.315388E-2</v>
      </c>
      <c r="M1729" s="3">
        <v>0.130475335</v>
      </c>
      <c r="N1729" s="3">
        <v>2.3849579999999999E-2</v>
      </c>
      <c r="O1729" s="3">
        <v>9.5770800000000004E-4</v>
      </c>
      <c r="P1729" s="3">
        <v>4.1166899E-2</v>
      </c>
      <c r="Q1729" s="3">
        <v>2.885748E-3</v>
      </c>
      <c r="R1729" s="3">
        <v>0.76296729799999996</v>
      </c>
      <c r="S1729" s="3">
        <v>4.0502543790000001</v>
      </c>
      <c r="T1729" s="3">
        <v>2.0113085270000002</v>
      </c>
      <c r="U1729" s="3">
        <v>0.66750310899999998</v>
      </c>
      <c r="V1729" s="3">
        <v>0.90457256500000005</v>
      </c>
      <c r="W1729" s="3">
        <v>0.53519919999999999</v>
      </c>
      <c r="X1729" s="3">
        <v>0.80327136499999996</v>
      </c>
      <c r="Y1729" s="3">
        <v>6.8818366749999997</v>
      </c>
      <c r="Z1729" s="3">
        <v>3.0131822590000001</v>
      </c>
      <c r="AA1729" s="3">
        <v>2.6133422E-2</v>
      </c>
      <c r="AB1729" s="3">
        <v>24.247235939999999</v>
      </c>
      <c r="AC1729" s="3">
        <v>1.5008829690000001</v>
      </c>
      <c r="AD1729" s="3">
        <v>6.1044814000000003E-2</v>
      </c>
      <c r="AE1729" s="3">
        <v>3.655971911</v>
      </c>
      <c r="AF1729" s="4">
        <v>42486</v>
      </c>
      <c r="AG1729" s="5">
        <f>YEAR(AF1729)</f>
        <v>2016</v>
      </c>
      <c r="AH1729" s="5" t="str">
        <f>"Q"&amp;ROUNDUP(MONTH(AF1729)/3,0)</f>
        <v>Q2</v>
      </c>
      <c r="AI1729" s="5">
        <f>INDEX(RatingLookup!$B$2:$B$11,MATCH(A1729,RatingLookup!$A$2:$A$11,0))</f>
        <v>7</v>
      </c>
      <c r="AJ1729" s="5" t="str">
        <f>INDEX(RatingLookup!$C$2:$C$11,MATCH(A1729,RatingLookup!$A$2:$A$11,0))</f>
        <v>Investment Grade</v>
      </c>
    </row>
    <row r="1730" spans="1:36" x14ac:dyDescent="0.3">
      <c r="A1730" s="3" t="s">
        <v>109</v>
      </c>
      <c r="B1730" s="3" t="s">
        <v>1808</v>
      </c>
      <c r="C1730" s="3" t="s">
        <v>1809</v>
      </c>
      <c r="D1730" s="3" t="s">
        <v>60</v>
      </c>
      <c r="E1730" s="3" t="s">
        <v>1810</v>
      </c>
      <c r="F1730" s="3" t="s">
        <v>219</v>
      </c>
      <c r="G1730" s="3">
        <v>0.67197906900000004</v>
      </c>
      <c r="H1730" s="3">
        <v>0.46406137200000003</v>
      </c>
      <c r="I1730" s="3">
        <v>0.34117723700000002</v>
      </c>
      <c r="J1730" s="3">
        <v>46.402326379999998</v>
      </c>
      <c r="K1730" s="3">
        <v>-2.4470719480000001</v>
      </c>
      <c r="L1730" s="3">
        <v>-2.7213107440000002</v>
      </c>
      <c r="M1730" s="3">
        <v>0.30116765099999998</v>
      </c>
      <c r="N1730" s="3">
        <v>-2.7213107440000002</v>
      </c>
      <c r="O1730" s="3">
        <v>-0.305562428</v>
      </c>
      <c r="P1730" s="3">
        <v>-0.403038801</v>
      </c>
      <c r="Q1730" s="3">
        <v>-0.438507965</v>
      </c>
      <c r="R1730" s="3">
        <v>0.124868592</v>
      </c>
      <c r="S1730" s="3">
        <v>0.141601543</v>
      </c>
      <c r="T1730" s="3">
        <v>0</v>
      </c>
      <c r="U1730" s="3">
        <v>0</v>
      </c>
      <c r="V1730" s="3">
        <v>0.100774524</v>
      </c>
      <c r="W1730" s="3">
        <v>1</v>
      </c>
      <c r="X1730" s="3">
        <v>62.760087409999997</v>
      </c>
      <c r="Y1730" s="3">
        <v>427.75047239999998</v>
      </c>
      <c r="Z1730" s="3">
        <v>1.4350846989999999</v>
      </c>
      <c r="AA1730" s="3">
        <v>-2.7213107440000002</v>
      </c>
      <c r="AB1730" s="3">
        <v>0.153135668</v>
      </c>
      <c r="AC1730" s="3">
        <v>62.760087409999997</v>
      </c>
      <c r="AD1730" s="3">
        <v>6.6895238999999995E-2</v>
      </c>
      <c r="AE1730" s="3">
        <v>1.9838695369999999</v>
      </c>
      <c r="AF1730" s="4">
        <v>42460</v>
      </c>
      <c r="AG1730" s="5">
        <f>YEAR(AF1730)</f>
        <v>2016</v>
      </c>
      <c r="AH1730" s="5" t="str">
        <f>"Q"&amp;ROUNDUP(MONTH(AF1730)/3,0)</f>
        <v>Q1</v>
      </c>
      <c r="AI1730" s="5">
        <f>INDEX(RatingLookup!$B$2:$B$11,MATCH(A1730,RatingLookup!$A$2:$A$11,0))</f>
        <v>5</v>
      </c>
      <c r="AJ1730" s="5" t="str">
        <f>INDEX(RatingLookup!$C$2:$C$11,MATCH(A1730,RatingLookup!$A$2:$A$11,0))</f>
        <v>Speculative Grade</v>
      </c>
    </row>
    <row r="1731" spans="1:36" x14ac:dyDescent="0.3">
      <c r="A1731" s="3" t="s">
        <v>92</v>
      </c>
      <c r="B1731" s="3" t="s">
        <v>1808</v>
      </c>
      <c r="C1731" s="3" t="s">
        <v>1809</v>
      </c>
      <c r="D1731" s="3" t="s">
        <v>47</v>
      </c>
      <c r="E1731" s="3" t="s">
        <v>1092</v>
      </c>
      <c r="F1731" s="3" t="s">
        <v>219</v>
      </c>
      <c r="G1731" s="3">
        <v>12.04095695</v>
      </c>
      <c r="H1731" s="3">
        <v>10.70883634</v>
      </c>
      <c r="I1731" s="3">
        <v>9.7393859210000002</v>
      </c>
      <c r="J1731" s="3">
        <v>45.814046730000001</v>
      </c>
      <c r="K1731" s="3">
        <v>-0.79530743400000004</v>
      </c>
      <c r="L1731" s="3">
        <v>-0.66542184800000004</v>
      </c>
      <c r="M1731" s="3">
        <v>0.37707607799999998</v>
      </c>
      <c r="N1731" s="3">
        <v>0.15206122999999999</v>
      </c>
      <c r="O1731" s="3">
        <v>-7.1729222999999995E-2</v>
      </c>
      <c r="P1731" s="3">
        <v>-5.9098439000000003E-2</v>
      </c>
      <c r="Q1731" s="3">
        <v>-9.8817921000000003E-2</v>
      </c>
      <c r="R1731" s="3">
        <v>9.0190560000000003E-2</v>
      </c>
      <c r="S1731" s="3">
        <v>0.11869104</v>
      </c>
      <c r="T1731" s="3">
        <v>0.35215859700000002</v>
      </c>
      <c r="U1731" s="3">
        <v>0.25562228100000001</v>
      </c>
      <c r="V1731" s="3">
        <v>-0.195192849</v>
      </c>
      <c r="W1731" s="3">
        <v>5.42948013</v>
      </c>
      <c r="X1731" s="3">
        <v>4.3060429769999997</v>
      </c>
      <c r="Y1731" s="3">
        <v>6.3985938009999996</v>
      </c>
      <c r="Z1731" s="3">
        <v>1.3776521980000001</v>
      </c>
      <c r="AA1731" s="3">
        <v>-0.64287414499999995</v>
      </c>
      <c r="AB1731" s="3">
        <v>-8.2576296409999994</v>
      </c>
      <c r="AC1731" s="3">
        <v>0.79308568700000004</v>
      </c>
      <c r="AD1731" s="3">
        <v>0.262666762</v>
      </c>
      <c r="AE1731" s="3">
        <v>2.9717876630000002</v>
      </c>
      <c r="AF1731" s="4">
        <v>42634</v>
      </c>
      <c r="AG1731" s="5">
        <f>YEAR(AF1731)</f>
        <v>2016</v>
      </c>
      <c r="AH1731" s="5" t="str">
        <f>"Q"&amp;ROUNDUP(MONTH(AF1731)/3,0)</f>
        <v>Q3</v>
      </c>
      <c r="AI1731" s="5">
        <f>INDEX(RatingLookup!$B$2:$B$11,MATCH(A1731,RatingLookup!$A$2:$A$11,0))</f>
        <v>6</v>
      </c>
      <c r="AJ1731" s="5" t="str">
        <f>INDEX(RatingLookup!$C$2:$C$11,MATCH(A1731,RatingLookup!$A$2:$A$11,0))</f>
        <v>Speculative Grade</v>
      </c>
    </row>
    <row r="1732" spans="1:36" x14ac:dyDescent="0.3">
      <c r="A1732" s="3" t="s">
        <v>92</v>
      </c>
      <c r="B1732" s="3" t="s">
        <v>1808</v>
      </c>
      <c r="C1732" s="3" t="s">
        <v>1809</v>
      </c>
      <c r="D1732" s="3" t="s">
        <v>47</v>
      </c>
      <c r="E1732" s="3" t="s">
        <v>245</v>
      </c>
      <c r="F1732" s="3" t="s">
        <v>219</v>
      </c>
      <c r="G1732" s="3">
        <v>4.2139414589999999</v>
      </c>
      <c r="H1732" s="3">
        <v>3.1027430310000002</v>
      </c>
      <c r="I1732" s="3">
        <v>2.480793813</v>
      </c>
      <c r="J1732" s="3">
        <v>40.329820519999998</v>
      </c>
      <c r="K1732" s="3">
        <v>9.6083056999999999E-2</v>
      </c>
      <c r="L1732" s="3">
        <v>0.20964154800000001</v>
      </c>
      <c r="M1732" s="3">
        <v>0.34546619099999998</v>
      </c>
      <c r="N1732" s="3">
        <v>0.240518064</v>
      </c>
      <c r="O1732" s="3">
        <v>1.3877738000000001E-2</v>
      </c>
      <c r="P1732" s="3">
        <v>3.5127147999999997E-2</v>
      </c>
      <c r="Q1732" s="3">
        <v>1.9379619000000001E-2</v>
      </c>
      <c r="R1732" s="3">
        <v>0.144434812</v>
      </c>
      <c r="S1732" s="3">
        <v>0.17906919099999999</v>
      </c>
      <c r="T1732" s="3">
        <v>0.34294032200000002</v>
      </c>
      <c r="U1732" s="3">
        <v>0.24557944400000001</v>
      </c>
      <c r="V1732" s="3">
        <v>0.54167932200000002</v>
      </c>
      <c r="W1732" s="3">
        <v>-0.44891563299999998</v>
      </c>
      <c r="X1732" s="3">
        <v>-0.88798544999999995</v>
      </c>
      <c r="Y1732" s="3">
        <v>3.5312427579999999</v>
      </c>
      <c r="Z1732" s="3">
        <v>1.396453696</v>
      </c>
      <c r="AA1732" s="3">
        <v>0.236590726</v>
      </c>
      <c r="AB1732" s="3">
        <v>11.72298676</v>
      </c>
      <c r="AC1732" s="3">
        <v>1.9780675590000001</v>
      </c>
      <c r="AD1732" s="3">
        <v>0.26532939900000002</v>
      </c>
      <c r="AE1732" s="3">
        <v>3.7841396340000002</v>
      </c>
      <c r="AF1732" s="4">
        <v>41891</v>
      </c>
      <c r="AG1732" s="5">
        <f>YEAR(AF1732)</f>
        <v>2014</v>
      </c>
      <c r="AH1732" s="5" t="str">
        <f>"Q"&amp;ROUNDUP(MONTH(AF1732)/3,0)</f>
        <v>Q3</v>
      </c>
      <c r="AI1732" s="5">
        <f>INDEX(RatingLookup!$B$2:$B$11,MATCH(A1732,RatingLookup!$A$2:$A$11,0))</f>
        <v>6</v>
      </c>
      <c r="AJ1732" s="5" t="str">
        <f>INDEX(RatingLookup!$C$2:$C$11,MATCH(A1732,RatingLookup!$A$2:$A$11,0))</f>
        <v>Speculative Grade</v>
      </c>
    </row>
    <row r="1733" spans="1:36" x14ac:dyDescent="0.3">
      <c r="A1733" s="3" t="s">
        <v>92</v>
      </c>
      <c r="B1733" s="3" t="s">
        <v>1808</v>
      </c>
      <c r="C1733" s="3" t="s">
        <v>1809</v>
      </c>
      <c r="D1733" s="3" t="s">
        <v>47</v>
      </c>
      <c r="E1733" s="3" t="s">
        <v>889</v>
      </c>
      <c r="F1733" s="3" t="s">
        <v>219</v>
      </c>
      <c r="G1733" s="3">
        <v>3.1939803109999998</v>
      </c>
      <c r="H1733" s="3">
        <v>3.1939803109999998</v>
      </c>
      <c r="I1733" s="3">
        <v>2.7738779579999999</v>
      </c>
      <c r="J1733" s="3">
        <v>33.407029680000001</v>
      </c>
      <c r="K1733" s="3">
        <v>-0.666323734</v>
      </c>
      <c r="L1733" s="3">
        <v>-0.518248602</v>
      </c>
      <c r="M1733" s="3">
        <v>0.50571326599999999</v>
      </c>
      <c r="N1733" s="3">
        <v>-0.518248602</v>
      </c>
      <c r="O1733" s="3">
        <v>-122.80056709999999</v>
      </c>
      <c r="P1733" s="3">
        <v>2.439504039</v>
      </c>
      <c r="Q1733" s="3">
        <v>-0.124405945</v>
      </c>
      <c r="R1733" s="3">
        <v>184.29565220000001</v>
      </c>
      <c r="S1733" s="3">
        <v>0.17150923400000001</v>
      </c>
      <c r="T1733" s="3">
        <v>0</v>
      </c>
      <c r="U1733" s="3">
        <v>0</v>
      </c>
      <c r="V1733" s="3">
        <v>-0.28572220300000001</v>
      </c>
      <c r="W1733" s="3">
        <v>1</v>
      </c>
      <c r="X1733" s="3">
        <v>3.1200000000000002E-6</v>
      </c>
      <c r="Y1733" s="3">
        <v>-1.7678619999999999E-2</v>
      </c>
      <c r="Z1733" s="3">
        <v>1.013073E-3</v>
      </c>
      <c r="AA1733" s="3">
        <v>-0.518248602</v>
      </c>
      <c r="AB1733" s="3">
        <v>2105.3390140000001</v>
      </c>
      <c r="AC1733" s="3">
        <v>3.1200000000000002E-6</v>
      </c>
      <c r="AD1733" s="3">
        <v>-1.06675E-4</v>
      </c>
      <c r="AE1733" s="3">
        <v>2.279462267</v>
      </c>
      <c r="AF1733" s="4">
        <v>41502</v>
      </c>
      <c r="AG1733" s="5">
        <f>YEAR(AF1733)</f>
        <v>2013</v>
      </c>
      <c r="AH1733" s="5" t="str">
        <f>"Q"&amp;ROUNDUP(MONTH(AF1733)/3,0)</f>
        <v>Q3</v>
      </c>
      <c r="AI1733" s="5">
        <f>INDEX(RatingLookup!$B$2:$B$11,MATCH(A1733,RatingLookup!$A$2:$A$11,0))</f>
        <v>6</v>
      </c>
      <c r="AJ1733" s="5" t="str">
        <f>INDEX(RatingLookup!$C$2:$C$11,MATCH(A1733,RatingLookup!$A$2:$A$11,0))</f>
        <v>Speculative Grade</v>
      </c>
    </row>
    <row r="1734" spans="1:36" x14ac:dyDescent="0.3">
      <c r="A1734" s="3" t="s">
        <v>109</v>
      </c>
      <c r="B1734" s="3" t="s">
        <v>1811</v>
      </c>
      <c r="C1734" s="3" t="s">
        <v>1812</v>
      </c>
      <c r="D1734" s="3" t="s">
        <v>60</v>
      </c>
      <c r="E1734" s="3" t="s">
        <v>914</v>
      </c>
      <c r="F1734" s="3" t="s">
        <v>174</v>
      </c>
      <c r="G1734" s="3">
        <v>1.07118062</v>
      </c>
      <c r="H1734" s="3">
        <v>2.6783081370000001</v>
      </c>
      <c r="I1734" s="3">
        <v>0.146991605</v>
      </c>
      <c r="J1734" s="3">
        <v>70.743567440000007</v>
      </c>
      <c r="K1734" s="3">
        <v>0.104602666</v>
      </c>
      <c r="L1734" s="3">
        <v>0.105512313</v>
      </c>
      <c r="M1734" s="3">
        <v>0.56870801599999998</v>
      </c>
      <c r="N1734" s="3">
        <v>0.176180593</v>
      </c>
      <c r="O1734" s="3">
        <v>4.9635011E-2</v>
      </c>
      <c r="P1734" s="3">
        <v>5.7573973000000001E-2</v>
      </c>
      <c r="Q1734" s="3">
        <v>0.380822206</v>
      </c>
      <c r="R1734" s="3">
        <v>0.47451000300000001</v>
      </c>
      <c r="S1734" s="3">
        <v>1.222276237</v>
      </c>
      <c r="T1734" s="3">
        <v>6.672451261</v>
      </c>
      <c r="U1734" s="3">
        <v>0.86966355799999995</v>
      </c>
      <c r="V1734" s="3">
        <v>-0.29570913999999998</v>
      </c>
      <c r="W1734" s="3">
        <v>0.161914206</v>
      </c>
      <c r="X1734" s="3">
        <v>0.39214350799999997</v>
      </c>
      <c r="Y1734" s="3">
        <v>8.6560595659999997</v>
      </c>
      <c r="Z1734" s="3">
        <v>7.672451261</v>
      </c>
      <c r="AA1734" s="3">
        <v>0.105512313</v>
      </c>
      <c r="AB1734" s="3">
        <v>13.411328279999999</v>
      </c>
      <c r="AC1734" s="3">
        <v>2.4219215680000001</v>
      </c>
      <c r="AD1734" s="3">
        <v>0.15169806599999999</v>
      </c>
      <c r="AE1734" s="3">
        <v>6.6233658760000003</v>
      </c>
      <c r="AF1734" s="4">
        <v>41991</v>
      </c>
      <c r="AG1734" s="5">
        <f>YEAR(AF1734)</f>
        <v>2014</v>
      </c>
      <c r="AH1734" s="5" t="str">
        <f>"Q"&amp;ROUNDUP(MONTH(AF1734)/3,0)</f>
        <v>Q4</v>
      </c>
      <c r="AI1734" s="5">
        <f>INDEX(RatingLookup!$B$2:$B$11,MATCH(A1734,RatingLookup!$A$2:$A$11,0))</f>
        <v>5</v>
      </c>
      <c r="AJ1734" s="5" t="str">
        <f>INDEX(RatingLookup!$C$2:$C$11,MATCH(A1734,RatingLookup!$A$2:$A$11,0))</f>
        <v>Speculative Grade</v>
      </c>
    </row>
    <row r="1735" spans="1:36" x14ac:dyDescent="0.3">
      <c r="A1735" s="3" t="s">
        <v>109</v>
      </c>
      <c r="B1735" s="3" t="s">
        <v>1811</v>
      </c>
      <c r="C1735" s="3" t="s">
        <v>1812</v>
      </c>
      <c r="D1735" s="3" t="s">
        <v>60</v>
      </c>
      <c r="E1735" s="3" t="s">
        <v>46</v>
      </c>
      <c r="F1735" s="3" t="s">
        <v>174</v>
      </c>
      <c r="G1735" s="3">
        <v>1.077052637</v>
      </c>
      <c r="H1735" s="3">
        <v>3.0350776769999999</v>
      </c>
      <c r="I1735" s="3">
        <v>0.211824082</v>
      </c>
      <c r="J1735" s="3">
        <v>65.799335790000001</v>
      </c>
      <c r="K1735" s="3">
        <v>0.131202974</v>
      </c>
      <c r="L1735" s="3">
        <v>0.117059624</v>
      </c>
      <c r="M1735" s="3">
        <v>1</v>
      </c>
      <c r="N1735" s="3">
        <v>0.18947106899999999</v>
      </c>
      <c r="O1735" s="3">
        <v>6.5472787000000005E-2</v>
      </c>
      <c r="P1735" s="3">
        <v>6.7966969000000002E-2</v>
      </c>
      <c r="Q1735" s="3">
        <v>0.31752573699999997</v>
      </c>
      <c r="R1735" s="3">
        <v>0.499019078</v>
      </c>
      <c r="S1735" s="3">
        <v>1.2524300159999999</v>
      </c>
      <c r="T1735" s="3">
        <v>3.8497360490000001</v>
      </c>
      <c r="U1735" s="3">
        <v>0.79380321099999995</v>
      </c>
      <c r="V1735" s="3">
        <v>0.301751204</v>
      </c>
      <c r="W1735" s="3">
        <v>0.62488829099999998</v>
      </c>
      <c r="X1735" s="3">
        <v>1.974463104</v>
      </c>
      <c r="Y1735" s="3">
        <v>10.43965663</v>
      </c>
      <c r="Z1735" s="3">
        <v>4.8497360489999997</v>
      </c>
      <c r="AA1735" s="3">
        <v>0.117059624</v>
      </c>
      <c r="AB1735" s="3">
        <v>9.6801019339999996</v>
      </c>
      <c r="AC1735" s="3">
        <v>3.1597057149999999</v>
      </c>
      <c r="AD1735" s="3">
        <v>0.20414548299999999</v>
      </c>
      <c r="AE1735" s="3">
        <v>7.962604153</v>
      </c>
      <c r="AF1735" s="4">
        <v>41075</v>
      </c>
      <c r="AG1735" s="5">
        <f>YEAR(AF1735)</f>
        <v>2012</v>
      </c>
      <c r="AH1735" s="5" t="str">
        <f>"Q"&amp;ROUNDUP(MONTH(AF1735)/3,0)</f>
        <v>Q2</v>
      </c>
      <c r="AI1735" s="5">
        <f>INDEX(RatingLookup!$B$2:$B$11,MATCH(A1735,RatingLookup!$A$2:$A$11,0))</f>
        <v>5</v>
      </c>
      <c r="AJ1735" s="5" t="str">
        <f>INDEX(RatingLookup!$C$2:$C$11,MATCH(A1735,RatingLookup!$A$2:$A$11,0))</f>
        <v>Speculative Grade</v>
      </c>
    </row>
    <row r="1736" spans="1:36" x14ac:dyDescent="0.3">
      <c r="A1736" s="3" t="s">
        <v>92</v>
      </c>
      <c r="B1736" s="3" t="s">
        <v>1813</v>
      </c>
      <c r="C1736" s="3" t="s">
        <v>1814</v>
      </c>
      <c r="D1736" s="3" t="s">
        <v>39</v>
      </c>
      <c r="E1736" s="3" t="s">
        <v>1775</v>
      </c>
      <c r="F1736" s="3" t="s">
        <v>174</v>
      </c>
      <c r="G1736" s="3">
        <v>1.1072219759999999</v>
      </c>
      <c r="H1736" s="3">
        <v>0.89720868399999998</v>
      </c>
      <c r="I1736" s="3">
        <v>0.250775366</v>
      </c>
      <c r="J1736" s="3">
        <v>29.333460290000001</v>
      </c>
      <c r="K1736" s="3">
        <v>6.4083031999999998E-2</v>
      </c>
      <c r="L1736" s="3">
        <v>0.10921729199999999</v>
      </c>
      <c r="M1736" s="3">
        <v>1</v>
      </c>
      <c r="N1736" s="3">
        <v>0.15930299000000001</v>
      </c>
      <c r="O1736" s="3">
        <v>2.5760766000000001E-2</v>
      </c>
      <c r="P1736" s="3">
        <v>4.8055975000000001E-2</v>
      </c>
      <c r="Q1736" s="3">
        <v>0.141624579</v>
      </c>
      <c r="R1736" s="3">
        <v>0.40199043099999998</v>
      </c>
      <c r="S1736" s="3">
        <v>1.403447815</v>
      </c>
      <c r="T1736" s="3">
        <v>4.4976851849999999</v>
      </c>
      <c r="U1736" s="3">
        <v>0.81810526299999997</v>
      </c>
      <c r="V1736" s="3">
        <v>0.405405405</v>
      </c>
      <c r="W1736" s="3">
        <v>0.75622254799999999</v>
      </c>
      <c r="X1736" s="3">
        <v>1.048730964</v>
      </c>
      <c r="Y1736" s="3">
        <v>1.198984772</v>
      </c>
      <c r="Z1736" s="3">
        <v>5.4976851849999999</v>
      </c>
      <c r="AA1736" s="3">
        <v>0.10921729199999999</v>
      </c>
      <c r="AB1736" s="3">
        <v>26.685516799999998</v>
      </c>
      <c r="AC1736" s="3">
        <v>1.3868020299999999</v>
      </c>
      <c r="AD1736" s="3">
        <v>0.130070463</v>
      </c>
      <c r="AE1736" s="3">
        <v>0</v>
      </c>
      <c r="AF1736" s="4">
        <v>41963</v>
      </c>
      <c r="AG1736" s="5">
        <f>YEAR(AF1736)</f>
        <v>2014</v>
      </c>
      <c r="AH1736" s="5" t="str">
        <f>"Q"&amp;ROUNDUP(MONTH(AF1736)/3,0)</f>
        <v>Q4</v>
      </c>
      <c r="AI1736" s="5">
        <f>INDEX(RatingLookup!$B$2:$B$11,MATCH(A1736,RatingLookup!$A$2:$A$11,0))</f>
        <v>6</v>
      </c>
      <c r="AJ1736" s="5" t="str">
        <f>INDEX(RatingLookup!$C$2:$C$11,MATCH(A1736,RatingLookup!$A$2:$A$11,0))</f>
        <v>Speculative Grade</v>
      </c>
    </row>
    <row r="1737" spans="1:36" x14ac:dyDescent="0.3">
      <c r="A1737" s="3" t="s">
        <v>92</v>
      </c>
      <c r="B1737" s="3" t="s">
        <v>1813</v>
      </c>
      <c r="C1737" s="3" t="s">
        <v>1814</v>
      </c>
      <c r="D1737" s="3" t="s">
        <v>39</v>
      </c>
      <c r="E1737" s="3" t="s">
        <v>778</v>
      </c>
      <c r="F1737" s="3" t="s">
        <v>174</v>
      </c>
      <c r="G1737" s="3">
        <v>1.047831374</v>
      </c>
      <c r="H1737" s="3">
        <v>0.85326307300000004</v>
      </c>
      <c r="I1737" s="3">
        <v>0.24685853299999999</v>
      </c>
      <c r="J1737" s="3">
        <v>28.365862310000001</v>
      </c>
      <c r="K1737" s="3">
        <v>0.124556423</v>
      </c>
      <c r="L1737" s="3">
        <v>0.13271823999999999</v>
      </c>
      <c r="M1737" s="3">
        <v>1</v>
      </c>
      <c r="N1737" s="3">
        <v>0.183729595</v>
      </c>
      <c r="O1737" s="3">
        <v>5.4596359999999997E-2</v>
      </c>
      <c r="P1737" s="3">
        <v>6.4346853999999995E-2</v>
      </c>
      <c r="Q1737" s="3">
        <v>0.23458646599999999</v>
      </c>
      <c r="R1737" s="3">
        <v>0.43832633399999998</v>
      </c>
      <c r="S1737" s="3">
        <v>1.2361004499999999</v>
      </c>
      <c r="T1737" s="3">
        <v>3.2967418550000001</v>
      </c>
      <c r="U1737" s="3">
        <v>0.76726551600000004</v>
      </c>
      <c r="V1737" s="3">
        <v>5.3475936000000002E-2</v>
      </c>
      <c r="W1737" s="3">
        <v>0.75107603999999994</v>
      </c>
      <c r="X1737" s="3">
        <v>1.061866126</v>
      </c>
      <c r="Y1737" s="3">
        <v>1.2464503039999999</v>
      </c>
      <c r="Z1737" s="3">
        <v>4.2967418549999996</v>
      </c>
      <c r="AA1737" s="3">
        <v>0.13271823999999999</v>
      </c>
      <c r="AB1737" s="3">
        <v>16.15505177</v>
      </c>
      <c r="AC1737" s="3">
        <v>1.4137931029999999</v>
      </c>
      <c r="AD1737" s="3">
        <v>0.123669269</v>
      </c>
      <c r="AE1737" s="3">
        <v>0</v>
      </c>
      <c r="AF1737" s="4">
        <v>42319</v>
      </c>
      <c r="AG1737" s="5">
        <f>YEAR(AF1737)</f>
        <v>2015</v>
      </c>
      <c r="AH1737" s="5" t="str">
        <f>"Q"&amp;ROUNDUP(MONTH(AF1737)/3,0)</f>
        <v>Q4</v>
      </c>
      <c r="AI1737" s="5">
        <f>INDEX(RatingLookup!$B$2:$B$11,MATCH(A1737,RatingLookup!$A$2:$A$11,0))</f>
        <v>6</v>
      </c>
      <c r="AJ1737" s="5" t="str">
        <f>INDEX(RatingLookup!$C$2:$C$11,MATCH(A1737,RatingLookup!$A$2:$A$11,0))</f>
        <v>Speculative Grade</v>
      </c>
    </row>
    <row r="1738" spans="1:36" x14ac:dyDescent="0.3">
      <c r="A1738" s="3" t="s">
        <v>109</v>
      </c>
      <c r="B1738" s="3" t="s">
        <v>1815</v>
      </c>
      <c r="C1738" s="3" t="s">
        <v>1816</v>
      </c>
      <c r="D1738" s="3" t="s">
        <v>60</v>
      </c>
      <c r="E1738" s="3" t="s">
        <v>311</v>
      </c>
      <c r="F1738" s="3" t="s">
        <v>219</v>
      </c>
      <c r="G1738" s="3">
        <v>1.9783458330000001</v>
      </c>
      <c r="H1738" s="3">
        <v>1.0826027250000001</v>
      </c>
      <c r="I1738" s="3">
        <v>0.40361254899999999</v>
      </c>
      <c r="J1738" s="3">
        <v>53.052373899999999</v>
      </c>
      <c r="K1738" s="3">
        <v>6.2393259999999999E-3</v>
      </c>
      <c r="L1738" s="3">
        <v>8.3798250000000005E-3</v>
      </c>
      <c r="M1738" s="3">
        <v>0.340270978</v>
      </c>
      <c r="N1738" s="3">
        <v>8.4139816000000006E-2</v>
      </c>
      <c r="O1738" s="3">
        <v>4.3820370000000001E-3</v>
      </c>
      <c r="P1738" s="3">
        <v>6.935414E-3</v>
      </c>
      <c r="Q1738" s="3">
        <v>2.6227625000000001E-2</v>
      </c>
      <c r="R1738" s="3">
        <v>0.70232535799999996</v>
      </c>
      <c r="S1738" s="3">
        <v>2.9004028800000001</v>
      </c>
      <c r="T1738" s="3">
        <v>4.9852589260000002</v>
      </c>
      <c r="U1738" s="3">
        <v>0.83292285099999996</v>
      </c>
      <c r="V1738" s="3">
        <v>5.7065217000000001E-2</v>
      </c>
      <c r="W1738" s="3">
        <v>0.24980111399999999</v>
      </c>
      <c r="X1738" s="3">
        <v>0.273877017</v>
      </c>
      <c r="Y1738" s="3">
        <v>1.6860008719999999</v>
      </c>
      <c r="Z1738" s="3">
        <v>5.9852589260000002</v>
      </c>
      <c r="AA1738" s="3">
        <v>8.3798250000000005E-3</v>
      </c>
      <c r="AB1738" s="3">
        <v>13.15851116</v>
      </c>
      <c r="AC1738" s="3">
        <v>1.096380288</v>
      </c>
      <c r="AD1738" s="3">
        <v>5.7246954000000003E-2</v>
      </c>
      <c r="AE1738" s="3">
        <v>5.8588473209999998</v>
      </c>
      <c r="AF1738" s="4">
        <v>42103</v>
      </c>
      <c r="AG1738" s="5">
        <f>YEAR(AF1738)</f>
        <v>2015</v>
      </c>
      <c r="AH1738" s="5" t="str">
        <f>"Q"&amp;ROUNDUP(MONTH(AF1738)/3,0)</f>
        <v>Q2</v>
      </c>
      <c r="AI1738" s="5">
        <f>INDEX(RatingLookup!$B$2:$B$11,MATCH(A1738,RatingLookup!$A$2:$A$11,0))</f>
        <v>5</v>
      </c>
      <c r="AJ1738" s="5" t="str">
        <f>INDEX(RatingLookup!$C$2:$C$11,MATCH(A1738,RatingLookup!$A$2:$A$11,0))</f>
        <v>Speculative Grade</v>
      </c>
    </row>
    <row r="1739" spans="1:36" x14ac:dyDescent="0.3">
      <c r="A1739" s="3" t="s">
        <v>42</v>
      </c>
      <c r="B1739" s="3" t="s">
        <v>1817</v>
      </c>
      <c r="C1739" s="3" t="s">
        <v>1818</v>
      </c>
      <c r="D1739" s="3" t="s">
        <v>47</v>
      </c>
      <c r="E1739" s="3" t="s">
        <v>1819</v>
      </c>
      <c r="F1739" s="3" t="s">
        <v>174</v>
      </c>
      <c r="G1739" s="3">
        <v>2.10204506</v>
      </c>
      <c r="H1739" s="3">
        <v>0.50732261199999995</v>
      </c>
      <c r="I1739" s="3">
        <v>0.45070395000000002</v>
      </c>
      <c r="J1739" s="3">
        <v>0</v>
      </c>
      <c r="K1739" s="3">
        <v>8.0587477000000005E-2</v>
      </c>
      <c r="L1739" s="3">
        <v>0.12657290800000001</v>
      </c>
      <c r="M1739" s="3">
        <v>0.38883179600000001</v>
      </c>
      <c r="N1739" s="3">
        <v>0.13081979399999999</v>
      </c>
      <c r="O1739" s="3">
        <v>0.141659268</v>
      </c>
      <c r="P1739" s="3">
        <v>0.31223786999999997</v>
      </c>
      <c r="Q1739" s="3">
        <v>0.349036705</v>
      </c>
      <c r="R1739" s="3">
        <v>1.7578322689999999</v>
      </c>
      <c r="S1739" s="3">
        <v>7.086047593</v>
      </c>
      <c r="T1739" s="3">
        <v>1.463917191</v>
      </c>
      <c r="U1739" s="3">
        <v>0.59414220399999995</v>
      </c>
      <c r="V1739" s="3">
        <v>0.36331179899999999</v>
      </c>
      <c r="W1739" s="3">
        <v>0.72118096099999995</v>
      </c>
      <c r="X1739" s="3">
        <v>4.5816756759999997</v>
      </c>
      <c r="Y1739" s="3">
        <v>5.2800347160000003</v>
      </c>
      <c r="Z1739" s="3">
        <v>2.4639171910000002</v>
      </c>
      <c r="AA1739" s="3">
        <v>0.12657290800000001</v>
      </c>
      <c r="AB1739" s="3">
        <v>8.3026984150000001</v>
      </c>
      <c r="AC1739" s="3">
        <v>6.3530180700000001</v>
      </c>
      <c r="AD1739" s="3">
        <v>9.9808974999999994E-2</v>
      </c>
      <c r="AE1739" s="3">
        <v>6.2794862880000002</v>
      </c>
      <c r="AF1739" s="4">
        <v>42381</v>
      </c>
      <c r="AG1739" s="5">
        <f>YEAR(AF1739)</f>
        <v>2016</v>
      </c>
      <c r="AH1739" s="5" t="str">
        <f>"Q"&amp;ROUNDUP(MONTH(AF1739)/3,0)</f>
        <v>Q1</v>
      </c>
      <c r="AI1739" s="5">
        <f>INDEX(RatingLookup!$B$2:$B$11,MATCH(A1739,RatingLookup!$A$2:$A$11,0))</f>
        <v>7</v>
      </c>
      <c r="AJ1739" s="5" t="str">
        <f>INDEX(RatingLookup!$C$2:$C$11,MATCH(A1739,RatingLookup!$A$2:$A$11,0))</f>
        <v>Investment Grade</v>
      </c>
    </row>
    <row r="1740" spans="1:36" x14ac:dyDescent="0.3">
      <c r="A1740" s="3" t="s">
        <v>42</v>
      </c>
      <c r="B1740" s="3" t="s">
        <v>1817</v>
      </c>
      <c r="C1740" s="3" t="s">
        <v>1818</v>
      </c>
      <c r="D1740" s="3" t="s">
        <v>60</v>
      </c>
      <c r="E1740" s="3" t="s">
        <v>1820</v>
      </c>
      <c r="F1740" s="3" t="s">
        <v>174</v>
      </c>
      <c r="G1740" s="3">
        <v>2.0732038049999999</v>
      </c>
      <c r="H1740" s="3">
        <v>0.46514460400000002</v>
      </c>
      <c r="I1740" s="3">
        <v>0.199197917</v>
      </c>
      <c r="J1740" s="3">
        <v>0</v>
      </c>
      <c r="K1740" s="3">
        <v>8.8864158999999998E-2</v>
      </c>
      <c r="L1740" s="3">
        <v>0.14025140699999999</v>
      </c>
      <c r="M1740" s="3">
        <v>0.396870365</v>
      </c>
      <c r="N1740" s="3">
        <v>0.14035050399999999</v>
      </c>
      <c r="O1740" s="3">
        <v>0.16083774300000001</v>
      </c>
      <c r="P1740" s="3">
        <v>0.35726761800000001</v>
      </c>
      <c r="Q1740" s="3">
        <v>0.259379741</v>
      </c>
      <c r="R1740" s="3">
        <v>1.809928142</v>
      </c>
      <c r="S1740" s="3">
        <v>7.2818925639999996</v>
      </c>
      <c r="T1740" s="3">
        <v>0.61267956400000001</v>
      </c>
      <c r="U1740" s="3">
        <v>0.37991401200000002</v>
      </c>
      <c r="V1740" s="3">
        <v>0.36639381399999998</v>
      </c>
      <c r="W1740" s="3">
        <v>0.77068882999999999</v>
      </c>
      <c r="X1740" s="3">
        <v>5.0591144229999996</v>
      </c>
      <c r="Y1740" s="3">
        <v>4.0617293910000001</v>
      </c>
      <c r="Z1740" s="3">
        <v>1.612679564</v>
      </c>
      <c r="AA1740" s="3">
        <v>0.14025140699999999</v>
      </c>
      <c r="AB1740" s="3">
        <v>7.9177035399999998</v>
      </c>
      <c r="AC1740" s="3">
        <v>6.5644060560000002</v>
      </c>
      <c r="AD1740" s="3">
        <v>0.12023560899999999</v>
      </c>
      <c r="AE1740" s="3">
        <v>6.2809649600000004</v>
      </c>
      <c r="AF1740" s="4">
        <v>41834</v>
      </c>
      <c r="AG1740" s="5">
        <f>YEAR(AF1740)</f>
        <v>2014</v>
      </c>
      <c r="AH1740" s="5" t="str">
        <f>"Q"&amp;ROUNDUP(MONTH(AF1740)/3,0)</f>
        <v>Q3</v>
      </c>
      <c r="AI1740" s="5">
        <f>INDEX(RatingLookup!$B$2:$B$11,MATCH(A1740,RatingLookup!$A$2:$A$11,0))</f>
        <v>7</v>
      </c>
      <c r="AJ1740" s="5" t="str">
        <f>INDEX(RatingLookup!$C$2:$C$11,MATCH(A1740,RatingLookup!$A$2:$A$11,0))</f>
        <v>Investment Grade</v>
      </c>
    </row>
    <row r="1741" spans="1:36" x14ac:dyDescent="0.3">
      <c r="A1741" s="3" t="s">
        <v>42</v>
      </c>
      <c r="B1741" s="3" t="s">
        <v>1817</v>
      </c>
      <c r="C1741" s="3" t="s">
        <v>1818</v>
      </c>
      <c r="D1741" s="3" t="s">
        <v>47</v>
      </c>
      <c r="E1741" s="3" t="s">
        <v>563</v>
      </c>
      <c r="F1741" s="3" t="s">
        <v>174</v>
      </c>
      <c r="G1741" s="3">
        <v>2.0490096270000002</v>
      </c>
      <c r="H1741" s="3">
        <v>0.322280389</v>
      </c>
      <c r="I1741" s="3">
        <v>0.27611723300000002</v>
      </c>
      <c r="J1741" s="3">
        <v>0</v>
      </c>
      <c r="K1741" s="3">
        <v>6.9522212E-2</v>
      </c>
      <c r="L1741" s="3">
        <v>0.10967096799999999</v>
      </c>
      <c r="M1741" s="3">
        <v>0.38172117799999999</v>
      </c>
      <c r="N1741" s="3">
        <v>0.11689658</v>
      </c>
      <c r="O1741" s="3">
        <v>0.129480962</v>
      </c>
      <c r="P1741" s="3">
        <v>0.28659902399999998</v>
      </c>
      <c r="Q1741" s="3">
        <v>0.32876571599999999</v>
      </c>
      <c r="R1741" s="3">
        <v>1.8624401829999999</v>
      </c>
      <c r="S1741" s="3">
        <v>7.0165711809999998</v>
      </c>
      <c r="T1741" s="3">
        <v>1.5391046829999999</v>
      </c>
      <c r="U1741" s="3">
        <v>0.60616038900000002</v>
      </c>
      <c r="V1741" s="3">
        <v>0.36608371699999998</v>
      </c>
      <c r="W1741" s="3">
        <v>0.67555800099999996</v>
      </c>
      <c r="X1741" s="3">
        <v>4.188420711</v>
      </c>
      <c r="Y1741" s="3">
        <v>3.6860287770000002</v>
      </c>
      <c r="Z1741" s="3">
        <v>2.5391046830000001</v>
      </c>
      <c r="AA1741" s="3">
        <v>0.10967096799999999</v>
      </c>
      <c r="AB1741" s="3">
        <v>5.3389415280000003</v>
      </c>
      <c r="AC1741" s="3">
        <v>6.1999424220000003</v>
      </c>
      <c r="AD1741" s="3">
        <v>8.3624707000000006E-2</v>
      </c>
      <c r="AE1741" s="3">
        <v>6.7973319600000002</v>
      </c>
      <c r="AF1741" s="4">
        <v>42576</v>
      </c>
      <c r="AG1741" s="5">
        <f>YEAR(AF1741)</f>
        <v>2016</v>
      </c>
      <c r="AH1741" s="5" t="str">
        <f>"Q"&amp;ROUNDUP(MONTH(AF1741)/3,0)</f>
        <v>Q3</v>
      </c>
      <c r="AI1741" s="5">
        <f>INDEX(RatingLookup!$B$2:$B$11,MATCH(A1741,RatingLookup!$A$2:$A$11,0))</f>
        <v>7</v>
      </c>
      <c r="AJ1741" s="5" t="str">
        <f>INDEX(RatingLookup!$C$2:$C$11,MATCH(A1741,RatingLookup!$A$2:$A$11,0))</f>
        <v>Investment Grade</v>
      </c>
    </row>
    <row r="1742" spans="1:36" x14ac:dyDescent="0.3">
      <c r="A1742" s="3" t="s">
        <v>92</v>
      </c>
      <c r="B1742" s="3" t="s">
        <v>1821</v>
      </c>
      <c r="C1742" s="3" t="s">
        <v>1822</v>
      </c>
      <c r="D1742" s="3" t="s">
        <v>39</v>
      </c>
      <c r="E1742" s="3" t="s">
        <v>423</v>
      </c>
      <c r="F1742" s="3" t="s">
        <v>96</v>
      </c>
      <c r="G1742" s="3">
        <v>1.503512881</v>
      </c>
      <c r="H1742" s="3">
        <v>1.290886027</v>
      </c>
      <c r="I1742" s="3">
        <v>0.62431694000000004</v>
      </c>
      <c r="J1742" s="3">
        <v>72.134095180000003</v>
      </c>
      <c r="K1742" s="3">
        <v>3.1390135E-2</v>
      </c>
      <c r="L1742" s="3">
        <v>6.3474612999999999E-2</v>
      </c>
      <c r="M1742" s="3">
        <v>0.24545059999999999</v>
      </c>
      <c r="N1742" s="3">
        <v>6.3503543999999995E-2</v>
      </c>
      <c r="O1742" s="3">
        <v>4.3227092000000002E-2</v>
      </c>
      <c r="P1742" s="3">
        <v>0.14772421199999999</v>
      </c>
      <c r="Q1742" s="3">
        <v>-0.154889365</v>
      </c>
      <c r="R1742" s="3">
        <v>1.377091633</v>
      </c>
      <c r="S1742" s="3">
        <v>19.785346310000001</v>
      </c>
      <c r="T1742" s="3">
        <v>-4.5831548890000002</v>
      </c>
      <c r="U1742" s="3">
        <v>1.2790836649999999</v>
      </c>
      <c r="V1742" s="3">
        <v>0.45259799499999998</v>
      </c>
      <c r="W1742" s="3">
        <v>0.40501600900000001</v>
      </c>
      <c r="X1742" s="3">
        <v>1.728968769</v>
      </c>
      <c r="Y1742" s="3">
        <v>14.57436388</v>
      </c>
      <c r="Z1742" s="3">
        <v>-3.5831548889999998</v>
      </c>
      <c r="AA1742" s="3">
        <v>6.3474612999999999E-2</v>
      </c>
      <c r="AB1742" s="3">
        <v>3.4643994990000002</v>
      </c>
      <c r="AC1742" s="3">
        <v>4.2688899520000003</v>
      </c>
      <c r="AD1742" s="3">
        <v>5.4216693000000003E-2</v>
      </c>
      <c r="AE1742" s="3">
        <v>10.571949740000001</v>
      </c>
      <c r="AF1742" s="4">
        <v>41684</v>
      </c>
      <c r="AG1742" s="5">
        <f>YEAR(AF1742)</f>
        <v>2014</v>
      </c>
      <c r="AH1742" s="5" t="str">
        <f>"Q"&amp;ROUNDUP(MONTH(AF1742)/3,0)</f>
        <v>Q1</v>
      </c>
      <c r="AI1742" s="5">
        <f>INDEX(RatingLookup!$B$2:$B$11,MATCH(A1742,RatingLookup!$A$2:$A$11,0))</f>
        <v>6</v>
      </c>
      <c r="AJ1742" s="5" t="str">
        <f>INDEX(RatingLookup!$C$2:$C$11,MATCH(A1742,RatingLookup!$A$2:$A$11,0))</f>
        <v>Speculative Grade</v>
      </c>
    </row>
    <row r="1743" spans="1:36" x14ac:dyDescent="0.3">
      <c r="A1743" s="3" t="s">
        <v>92</v>
      </c>
      <c r="B1743" s="3" t="s">
        <v>1821</v>
      </c>
      <c r="C1743" s="3" t="s">
        <v>1822</v>
      </c>
      <c r="D1743" s="3" t="s">
        <v>39</v>
      </c>
      <c r="E1743" s="3" t="s">
        <v>1619</v>
      </c>
      <c r="F1743" s="3" t="s">
        <v>96</v>
      </c>
      <c r="G1743" s="3">
        <v>1.170221535</v>
      </c>
      <c r="H1743" s="3">
        <v>0.97557959800000005</v>
      </c>
      <c r="I1743" s="3">
        <v>0.37630087600000001</v>
      </c>
      <c r="J1743" s="3">
        <v>70.406951680000006</v>
      </c>
      <c r="K1743" s="3">
        <v>-3.6449869000000003E-2</v>
      </c>
      <c r="L1743" s="3">
        <v>-1.9501840999999999E-2</v>
      </c>
      <c r="M1743" s="3">
        <v>0.17939703500000001</v>
      </c>
      <c r="N1743" s="3">
        <v>-1.8274683999999999E-2</v>
      </c>
      <c r="O1743" s="3">
        <v>-5.1278461999999997E-2</v>
      </c>
      <c r="P1743" s="3">
        <v>-5.0140701000000003E-2</v>
      </c>
      <c r="Q1743" s="3">
        <v>7.9081815999999999E-2</v>
      </c>
      <c r="R1743" s="3">
        <v>1.4068215749999999</v>
      </c>
      <c r="S1743" s="3">
        <v>19.604031209999999</v>
      </c>
      <c r="T1743" s="3">
        <v>-2.5422033530000001</v>
      </c>
      <c r="U1743" s="3">
        <v>1.6484229189999999</v>
      </c>
      <c r="V1743" s="3">
        <v>-0.755102041</v>
      </c>
      <c r="W1743" s="3">
        <v>-92.083333330000002</v>
      </c>
      <c r="X1743" s="3">
        <v>-2.2142069929999999</v>
      </c>
      <c r="Y1743" s="3">
        <v>7.3179040180000001</v>
      </c>
      <c r="Z1743" s="3">
        <v>-1.5422033530000001</v>
      </c>
      <c r="AA1743" s="3">
        <v>-1.9501840999999999E-2</v>
      </c>
      <c r="AB1743" s="3">
        <v>2.9709368</v>
      </c>
      <c r="AC1743" s="3">
        <v>2.4045687E-2</v>
      </c>
      <c r="AD1743" s="3">
        <v>3.9799699999999998E-4</v>
      </c>
      <c r="AE1743" s="3">
        <v>11.282261739999999</v>
      </c>
      <c r="AF1743" s="4">
        <v>42251</v>
      </c>
      <c r="AG1743" s="5">
        <f>YEAR(AF1743)</f>
        <v>2015</v>
      </c>
      <c r="AH1743" s="5" t="str">
        <f>"Q"&amp;ROUNDUP(MONTH(AF1743)/3,0)</f>
        <v>Q3</v>
      </c>
      <c r="AI1743" s="5">
        <f>INDEX(RatingLookup!$B$2:$B$11,MATCH(A1743,RatingLookup!$A$2:$A$11,0))</f>
        <v>6</v>
      </c>
      <c r="AJ1743" s="5" t="str">
        <f>INDEX(RatingLookup!$C$2:$C$11,MATCH(A1743,RatingLookup!$A$2:$A$11,0))</f>
        <v>Speculative Grade</v>
      </c>
    </row>
    <row r="1744" spans="1:36" x14ac:dyDescent="0.3">
      <c r="A1744" s="3" t="s">
        <v>92</v>
      </c>
      <c r="B1744" s="3" t="s">
        <v>1821</v>
      </c>
      <c r="C1744" s="3" t="s">
        <v>1822</v>
      </c>
      <c r="D1744" s="3" t="s">
        <v>39</v>
      </c>
      <c r="E1744" s="3" t="s">
        <v>1181</v>
      </c>
      <c r="F1744" s="3" t="s">
        <v>96</v>
      </c>
      <c r="G1744" s="3">
        <v>1.3203367749999999</v>
      </c>
      <c r="H1744" s="3">
        <v>1.1161671849999999</v>
      </c>
      <c r="I1744" s="3">
        <v>0.495439511</v>
      </c>
      <c r="J1744" s="3">
        <v>67.347306639999999</v>
      </c>
      <c r="K1744" s="3">
        <v>1.3913717000000001E-2</v>
      </c>
      <c r="L1744" s="3">
        <v>4.3350017999999997E-2</v>
      </c>
      <c r="M1744" s="3">
        <v>0.23173638399999999</v>
      </c>
      <c r="N1744" s="3">
        <v>4.6150638000000001E-2</v>
      </c>
      <c r="O1744" s="3">
        <v>1.9883339999999999E-2</v>
      </c>
      <c r="P1744" s="3">
        <v>0.107698001</v>
      </c>
      <c r="Q1744" s="3">
        <v>-3.1986301000000002E-2</v>
      </c>
      <c r="R1744" s="3">
        <v>1.429045855</v>
      </c>
      <c r="S1744" s="3">
        <v>19.895672789999999</v>
      </c>
      <c r="T1744" s="3">
        <v>-2.6086986300000001</v>
      </c>
      <c r="U1744" s="3">
        <v>1.621620471</v>
      </c>
      <c r="V1744" s="3">
        <v>0.59243986299999996</v>
      </c>
      <c r="W1744" s="3">
        <v>-4.5304777999999997E-2</v>
      </c>
      <c r="X1744" s="3">
        <v>-0.11160714300000001</v>
      </c>
      <c r="Y1744" s="3">
        <v>10.030438309999999</v>
      </c>
      <c r="Z1744" s="3">
        <v>-1.6086986299999999</v>
      </c>
      <c r="AA1744" s="3">
        <v>4.3350017999999997E-2</v>
      </c>
      <c r="AB1744" s="3">
        <v>2.5051326120000001</v>
      </c>
      <c r="AC1744" s="3">
        <v>2.4634740260000001</v>
      </c>
      <c r="AD1744" s="3">
        <v>3.6169706000000003E-2</v>
      </c>
      <c r="AE1744" s="3">
        <v>9.8232380950000007</v>
      </c>
      <c r="AF1744" s="4">
        <v>41939</v>
      </c>
      <c r="AG1744" s="5">
        <f>YEAR(AF1744)</f>
        <v>2014</v>
      </c>
      <c r="AH1744" s="5" t="str">
        <f>"Q"&amp;ROUNDUP(MONTH(AF1744)/3,0)</f>
        <v>Q4</v>
      </c>
      <c r="AI1744" s="5">
        <f>INDEX(RatingLookup!$B$2:$B$11,MATCH(A1744,RatingLookup!$A$2:$A$11,0))</f>
        <v>6</v>
      </c>
      <c r="AJ1744" s="5" t="str">
        <f>INDEX(RatingLookup!$C$2:$C$11,MATCH(A1744,RatingLookup!$A$2:$A$11,0))</f>
        <v>Speculative Grade</v>
      </c>
    </row>
    <row r="1745" spans="1:36" x14ac:dyDescent="0.3">
      <c r="A1745" s="3" t="s">
        <v>109</v>
      </c>
      <c r="B1745" s="3" t="s">
        <v>1821</v>
      </c>
      <c r="C1745" s="3" t="s">
        <v>1822</v>
      </c>
      <c r="D1745" s="3" t="s">
        <v>60</v>
      </c>
      <c r="E1745" s="3" t="s">
        <v>928</v>
      </c>
      <c r="F1745" s="3" t="s">
        <v>96</v>
      </c>
      <c r="G1745" s="3">
        <v>1.4679219640000001</v>
      </c>
      <c r="H1745" s="3">
        <v>1.286809667</v>
      </c>
      <c r="I1745" s="3">
        <v>0.63631951899999994</v>
      </c>
      <c r="J1745" s="3">
        <v>66.000161879999993</v>
      </c>
      <c r="K1745" s="3">
        <v>3.9283402000000002E-2</v>
      </c>
      <c r="L1745" s="3">
        <v>6.8557090000000001E-2</v>
      </c>
      <c r="M1745" s="3">
        <v>0.262653788</v>
      </c>
      <c r="N1745" s="3">
        <v>8.6121303999999996E-2</v>
      </c>
      <c r="O1745" s="3">
        <v>6.0155345999999998E-2</v>
      </c>
      <c r="P1745" s="3">
        <v>0.182792605</v>
      </c>
      <c r="Q1745" s="3">
        <v>-9.0988626000000003E-2</v>
      </c>
      <c r="R1745" s="3">
        <v>1.5313171379999999</v>
      </c>
      <c r="S1745" s="3">
        <v>21.011337869999998</v>
      </c>
      <c r="T1745" s="3">
        <v>-2.5125609299999998</v>
      </c>
      <c r="U1745" s="3">
        <v>1.661130392</v>
      </c>
      <c r="V1745" s="3">
        <v>0.38292010999999998</v>
      </c>
      <c r="W1745" s="3">
        <v>0.63069268999999994</v>
      </c>
      <c r="X1745" s="3">
        <v>3.757067299</v>
      </c>
      <c r="Y1745" s="3">
        <v>14.946197339999999</v>
      </c>
      <c r="Z1745" s="3">
        <v>-1.51256093</v>
      </c>
      <c r="AA1745" s="3">
        <v>6.8557090000000001E-2</v>
      </c>
      <c r="AB1745" s="3">
        <v>1.030259214</v>
      </c>
      <c r="AC1745" s="3">
        <v>5.9570490610000002</v>
      </c>
      <c r="AD1745" s="3">
        <v>7.0499675999999997E-2</v>
      </c>
      <c r="AE1745" s="3">
        <v>11.95494313</v>
      </c>
      <c r="AF1745" s="4">
        <v>41137</v>
      </c>
      <c r="AG1745" s="5">
        <f>YEAR(AF1745)</f>
        <v>2012</v>
      </c>
      <c r="AH1745" s="5" t="str">
        <f>"Q"&amp;ROUNDUP(MONTH(AF1745)/3,0)</f>
        <v>Q3</v>
      </c>
      <c r="AI1745" s="5">
        <f>INDEX(RatingLookup!$B$2:$B$11,MATCH(A1745,RatingLookup!$A$2:$A$11,0))</f>
        <v>5</v>
      </c>
      <c r="AJ1745" s="5" t="str">
        <f>INDEX(RatingLookup!$C$2:$C$11,MATCH(A1745,RatingLookup!$A$2:$A$11,0))</f>
        <v>Speculative Grade</v>
      </c>
    </row>
    <row r="1746" spans="1:36" x14ac:dyDescent="0.3">
      <c r="A1746" s="3" t="s">
        <v>92</v>
      </c>
      <c r="B1746" s="3" t="s">
        <v>1821</v>
      </c>
      <c r="C1746" s="3" t="s">
        <v>1822</v>
      </c>
      <c r="D1746" s="3" t="s">
        <v>60</v>
      </c>
      <c r="E1746" s="3" t="s">
        <v>46</v>
      </c>
      <c r="F1746" s="3" t="s">
        <v>96</v>
      </c>
      <c r="G1746" s="3">
        <v>1.4366096230000001</v>
      </c>
      <c r="H1746" s="3">
        <v>1.2435265660000001</v>
      </c>
      <c r="I1746" s="3">
        <v>0.64053400199999999</v>
      </c>
      <c r="J1746" s="3">
        <v>63.740982930000001</v>
      </c>
      <c r="K1746" s="3">
        <v>3.1267839999999998E-2</v>
      </c>
      <c r="L1746" s="3">
        <v>5.3453734000000003E-2</v>
      </c>
      <c r="M1746" s="3">
        <v>0.256110852</v>
      </c>
      <c r="N1746" s="3">
        <v>8.4228553999999997E-2</v>
      </c>
      <c r="O1746" s="3">
        <v>4.6129699000000003E-2</v>
      </c>
      <c r="P1746" s="3">
        <v>0.137691331</v>
      </c>
      <c r="Q1746" s="3">
        <v>-9.1419467000000004E-2</v>
      </c>
      <c r="R1746" s="3">
        <v>1.4753081690000001</v>
      </c>
      <c r="S1746" s="3">
        <v>20.14532148</v>
      </c>
      <c r="T1746" s="3">
        <v>-2.981791973</v>
      </c>
      <c r="U1746" s="3">
        <v>1.504593829</v>
      </c>
      <c r="V1746" s="3">
        <v>0.31456310700000001</v>
      </c>
      <c r="W1746" s="3">
        <v>0.70397225699999999</v>
      </c>
      <c r="X1746" s="3">
        <v>5.1755707500000003</v>
      </c>
      <c r="Y1746" s="3">
        <v>16.569706799999999</v>
      </c>
      <c r="Z1746" s="3">
        <v>-1.981791973</v>
      </c>
      <c r="AA1746" s="3">
        <v>5.3453734000000003E-2</v>
      </c>
      <c r="AB1746" s="3">
        <v>1.0015634390000001</v>
      </c>
      <c r="AC1746" s="3">
        <v>7.3519527179999997</v>
      </c>
      <c r="AD1746" s="3">
        <v>8.2308371000000005E-2</v>
      </c>
      <c r="AE1746" s="3">
        <v>11.865894040000001</v>
      </c>
      <c r="AF1746" s="4">
        <v>41075</v>
      </c>
      <c r="AG1746" s="5">
        <f>YEAR(AF1746)</f>
        <v>2012</v>
      </c>
      <c r="AH1746" s="5" t="str">
        <f>"Q"&amp;ROUNDUP(MONTH(AF1746)/3,0)</f>
        <v>Q2</v>
      </c>
      <c r="AI1746" s="5">
        <f>INDEX(RatingLookup!$B$2:$B$11,MATCH(A1746,RatingLookup!$A$2:$A$11,0))</f>
        <v>6</v>
      </c>
      <c r="AJ1746" s="5" t="str">
        <f>INDEX(RatingLookup!$C$2:$C$11,MATCH(A1746,RatingLookup!$A$2:$A$11,0))</f>
        <v>Speculative Grade</v>
      </c>
    </row>
    <row r="1747" spans="1:36" x14ac:dyDescent="0.3">
      <c r="A1747" s="3" t="s">
        <v>109</v>
      </c>
      <c r="B1747" s="3" t="s">
        <v>1823</v>
      </c>
      <c r="C1747" s="3" t="s">
        <v>1824</v>
      </c>
      <c r="D1747" s="3" t="s">
        <v>39</v>
      </c>
      <c r="E1747" s="3" t="s">
        <v>651</v>
      </c>
      <c r="F1747" s="3" t="s">
        <v>219</v>
      </c>
      <c r="G1747" s="3">
        <v>0.90934417999999995</v>
      </c>
      <c r="H1747" s="3">
        <v>0.26589402099999998</v>
      </c>
      <c r="I1747" s="3">
        <v>0.17507104300000001</v>
      </c>
      <c r="J1747" s="3">
        <v>45.502868069999998</v>
      </c>
      <c r="K1747" s="3">
        <v>-0.121529637</v>
      </c>
      <c r="L1747" s="3">
        <v>-0.14042065000000001</v>
      </c>
      <c r="M1747" s="3">
        <v>-7.2581261999999994E-2</v>
      </c>
      <c r="N1747" s="3">
        <v>-0.17644359500000001</v>
      </c>
      <c r="O1747" s="3">
        <v>-9.3169159000000001E-2</v>
      </c>
      <c r="P1747" s="3">
        <v>2.058295964</v>
      </c>
      <c r="Q1747" s="3">
        <v>0.34679179399999999</v>
      </c>
      <c r="R1747" s="3">
        <v>0.76663735</v>
      </c>
      <c r="S1747" s="3">
        <v>165.50632909999999</v>
      </c>
      <c r="T1747" s="3">
        <v>-4.722173723</v>
      </c>
      <c r="U1747" s="3">
        <v>1.2686602170000001</v>
      </c>
      <c r="V1747" s="3">
        <v>0.47113289800000002</v>
      </c>
      <c r="W1747" s="3">
        <v>1</v>
      </c>
      <c r="X1747" s="3">
        <v>16.571428569999998</v>
      </c>
      <c r="Y1747" s="3">
        <v>64.122448980000001</v>
      </c>
      <c r="Z1747" s="3">
        <v>-3.722173723</v>
      </c>
      <c r="AA1747" s="3">
        <v>-0.14042065000000001</v>
      </c>
      <c r="AB1747" s="3">
        <v>-2.2821024130000001</v>
      </c>
      <c r="AC1747" s="3">
        <v>16.571428569999998</v>
      </c>
      <c r="AD1747" s="3">
        <v>6.2103249999999999E-2</v>
      </c>
      <c r="AE1747" s="3">
        <v>4.1162312889999999</v>
      </c>
      <c r="AF1747" s="4">
        <v>41542</v>
      </c>
      <c r="AG1747" s="5">
        <f>YEAR(AF1747)</f>
        <v>2013</v>
      </c>
      <c r="AH1747" s="5" t="str">
        <f>"Q"&amp;ROUNDUP(MONTH(AF1747)/3,0)</f>
        <v>Q3</v>
      </c>
      <c r="AI1747" s="5">
        <f>INDEX(RatingLookup!$B$2:$B$11,MATCH(A1747,RatingLookup!$A$2:$A$11,0))</f>
        <v>5</v>
      </c>
      <c r="AJ1747" s="5" t="str">
        <f>INDEX(RatingLookup!$C$2:$C$11,MATCH(A1747,RatingLookup!$A$2:$A$11,0))</f>
        <v>Speculative Grade</v>
      </c>
    </row>
    <row r="1748" spans="1:36" x14ac:dyDescent="0.3">
      <c r="A1748" s="3" t="s">
        <v>92</v>
      </c>
      <c r="B1748" s="3" t="s">
        <v>1825</v>
      </c>
      <c r="C1748" s="3" t="s">
        <v>1826</v>
      </c>
      <c r="D1748" s="3" t="s">
        <v>47</v>
      </c>
      <c r="E1748" s="3" t="s">
        <v>839</v>
      </c>
      <c r="F1748" s="3" t="s">
        <v>219</v>
      </c>
      <c r="G1748" s="3">
        <v>2.620005667</v>
      </c>
      <c r="H1748" s="3">
        <v>1.8787191839999999</v>
      </c>
      <c r="I1748" s="3">
        <v>0.70728251600000003</v>
      </c>
      <c r="J1748" s="3">
        <v>87.303768120000001</v>
      </c>
      <c r="K1748" s="3">
        <v>5.3565216999999998E-2</v>
      </c>
      <c r="L1748" s="3">
        <v>7.1304348000000004E-2</v>
      </c>
      <c r="M1748" s="3">
        <v>0.25240579699999999</v>
      </c>
      <c r="N1748" s="3">
        <v>9.7855072000000001E-2</v>
      </c>
      <c r="O1748" s="3">
        <v>2.8636068000000001E-2</v>
      </c>
      <c r="P1748" s="3">
        <v>4.2800472999999999E-2</v>
      </c>
      <c r="Q1748" s="3">
        <v>0.107068366</v>
      </c>
      <c r="R1748" s="3">
        <v>0.53460191499999998</v>
      </c>
      <c r="S1748" s="3">
        <v>1.4592674050000001</v>
      </c>
      <c r="T1748" s="3">
        <v>2.7389339509999999</v>
      </c>
      <c r="U1748" s="3">
        <v>0.73254408500000001</v>
      </c>
      <c r="V1748" s="3">
        <v>0.25040650399999997</v>
      </c>
      <c r="W1748" s="3">
        <v>0.73680823699999998</v>
      </c>
      <c r="X1748" s="3">
        <v>6.6376811590000004</v>
      </c>
      <c r="Y1748" s="3">
        <v>7.2579710139999998</v>
      </c>
      <c r="Z1748" s="3">
        <v>3.7389339509999999</v>
      </c>
      <c r="AA1748" s="3">
        <v>7.1304348000000004E-2</v>
      </c>
      <c r="AB1748" s="3">
        <v>13.39560588</v>
      </c>
      <c r="AC1748" s="3">
        <v>9.0086956520000001</v>
      </c>
      <c r="AD1748" s="3">
        <v>0.18017391299999999</v>
      </c>
      <c r="AE1748" s="3">
        <v>7.5680751170000002</v>
      </c>
      <c r="AF1748" s="4">
        <v>42160</v>
      </c>
      <c r="AG1748" s="5">
        <f>YEAR(AF1748)</f>
        <v>2015</v>
      </c>
      <c r="AH1748" s="5" t="str">
        <f>"Q"&amp;ROUNDUP(MONTH(AF1748)/3,0)</f>
        <v>Q2</v>
      </c>
      <c r="AI1748" s="5">
        <f>INDEX(RatingLookup!$B$2:$B$11,MATCH(A1748,RatingLookup!$A$2:$A$11,0))</f>
        <v>6</v>
      </c>
      <c r="AJ1748" s="5" t="str">
        <f>INDEX(RatingLookup!$C$2:$C$11,MATCH(A1748,RatingLookup!$A$2:$A$11,0))</f>
        <v>Speculative Grade</v>
      </c>
    </row>
    <row r="1749" spans="1:36" x14ac:dyDescent="0.3">
      <c r="A1749" s="3" t="s">
        <v>92</v>
      </c>
      <c r="B1749" s="3" t="s">
        <v>1825</v>
      </c>
      <c r="C1749" s="3" t="s">
        <v>1826</v>
      </c>
      <c r="D1749" s="3" t="s">
        <v>47</v>
      </c>
      <c r="E1749" s="3" t="s">
        <v>826</v>
      </c>
      <c r="F1749" s="3" t="s">
        <v>219</v>
      </c>
      <c r="G1749" s="3">
        <v>4.5060477409999997</v>
      </c>
      <c r="H1749" s="3">
        <v>3.9276316520000001</v>
      </c>
      <c r="I1749" s="3">
        <v>2.7102446740000001</v>
      </c>
      <c r="J1749" s="3">
        <v>73.291374520000005</v>
      </c>
      <c r="K1749" s="3">
        <v>7.8895598999999997E-2</v>
      </c>
      <c r="L1749" s="3">
        <v>0.12150099</v>
      </c>
      <c r="M1749" s="3">
        <v>0.22947295200000001</v>
      </c>
      <c r="N1749" s="3">
        <v>0.12458688599999999</v>
      </c>
      <c r="O1749" s="3">
        <v>6.5976918999999995E-2</v>
      </c>
      <c r="P1749" s="3">
        <v>0.119335978</v>
      </c>
      <c r="Q1749" s="3">
        <v>9.4780410999999995E-2</v>
      </c>
      <c r="R1749" s="3">
        <v>0.83625601299999996</v>
      </c>
      <c r="S1749" s="3">
        <v>3.3266170270000002</v>
      </c>
      <c r="T1749" s="3">
        <v>0.43656921599999998</v>
      </c>
      <c r="U1749" s="3">
        <v>0.30389709799999998</v>
      </c>
      <c r="V1749" s="3">
        <v>0.27899927200000002</v>
      </c>
      <c r="W1749" s="3">
        <v>0.674836977</v>
      </c>
      <c r="X1749" s="3">
        <v>2.6222542519999998</v>
      </c>
      <c r="Y1749" s="3">
        <v>14.587373879999999</v>
      </c>
      <c r="Z1749" s="3">
        <v>1.4365692160000001</v>
      </c>
      <c r="AA1749" s="3">
        <v>0.12150099</v>
      </c>
      <c r="AB1749" s="3">
        <v>7.8557536680000002</v>
      </c>
      <c r="AC1749" s="3">
        <v>3.8857595850000002</v>
      </c>
      <c r="AD1749" s="3">
        <v>0.132390017</v>
      </c>
      <c r="AE1749" s="3">
        <v>8.2708976859999996</v>
      </c>
      <c r="AF1749" s="4">
        <v>41800</v>
      </c>
      <c r="AG1749" s="5">
        <f>YEAR(AF1749)</f>
        <v>2014</v>
      </c>
      <c r="AH1749" s="5" t="str">
        <f>"Q"&amp;ROUNDUP(MONTH(AF1749)/3,0)</f>
        <v>Q2</v>
      </c>
      <c r="AI1749" s="5">
        <f>INDEX(RatingLookup!$B$2:$B$11,MATCH(A1749,RatingLookup!$A$2:$A$11,0))</f>
        <v>6</v>
      </c>
      <c r="AJ1749" s="5" t="str">
        <f>INDEX(RatingLookup!$C$2:$C$11,MATCH(A1749,RatingLookup!$A$2:$A$11,0))</f>
        <v>Speculative Grade</v>
      </c>
    </row>
    <row r="1750" spans="1:36" x14ac:dyDescent="0.3">
      <c r="A1750" s="3" t="s">
        <v>92</v>
      </c>
      <c r="B1750" s="3" t="s">
        <v>1825</v>
      </c>
      <c r="C1750" s="3" t="s">
        <v>1826</v>
      </c>
      <c r="D1750" s="3" t="s">
        <v>60</v>
      </c>
      <c r="E1750" s="3" t="s">
        <v>1549</v>
      </c>
      <c r="F1750" s="3" t="s">
        <v>219</v>
      </c>
      <c r="G1750" s="3">
        <v>2.5222849969999999</v>
      </c>
      <c r="H1750" s="3">
        <v>1.8226616449999999</v>
      </c>
      <c r="I1750" s="3">
        <v>0.72002511000000002</v>
      </c>
      <c r="J1750" s="3">
        <v>70.803015130000006</v>
      </c>
      <c r="K1750" s="3">
        <v>6.0024477E-2</v>
      </c>
      <c r="L1750" s="3">
        <v>7.3765020000000001E-2</v>
      </c>
      <c r="M1750" s="3">
        <v>0.26201602099999999</v>
      </c>
      <c r="N1750" s="3">
        <v>0.111426346</v>
      </c>
      <c r="O1750" s="3">
        <v>3.6208054000000003E-2</v>
      </c>
      <c r="P1750" s="3">
        <v>4.9823401000000003E-2</v>
      </c>
      <c r="Q1750" s="3">
        <v>0.118506315</v>
      </c>
      <c r="R1750" s="3">
        <v>0.60322147699999995</v>
      </c>
      <c r="S1750" s="3">
        <v>1.6278185279999999</v>
      </c>
      <c r="T1750" s="3">
        <v>2.2729269630000002</v>
      </c>
      <c r="U1750" s="3">
        <v>0.69446308700000003</v>
      </c>
      <c r="V1750" s="3">
        <v>0.17194570100000001</v>
      </c>
      <c r="W1750" s="3">
        <v>0.68148148099999994</v>
      </c>
      <c r="X1750" s="3">
        <v>5.3025936600000003</v>
      </c>
      <c r="Y1750" s="3">
        <v>6.6858789630000004</v>
      </c>
      <c r="Z1750" s="3">
        <v>3.2729269630000002</v>
      </c>
      <c r="AA1750" s="3">
        <v>7.3765020000000001E-2</v>
      </c>
      <c r="AB1750" s="3">
        <v>7.9460388980000003</v>
      </c>
      <c r="AC1750" s="3">
        <v>7.7809798270000003</v>
      </c>
      <c r="AD1750" s="3">
        <v>0.150200267</v>
      </c>
      <c r="AE1750" s="3">
        <v>8.7047244090000007</v>
      </c>
      <c r="AF1750" s="4">
        <v>42206</v>
      </c>
      <c r="AG1750" s="5">
        <f>YEAR(AF1750)</f>
        <v>2015</v>
      </c>
      <c r="AH1750" s="5" t="str">
        <f>"Q"&amp;ROUNDUP(MONTH(AF1750)/3,0)</f>
        <v>Q3</v>
      </c>
      <c r="AI1750" s="5">
        <f>INDEX(RatingLookup!$B$2:$B$11,MATCH(A1750,RatingLookup!$A$2:$A$11,0))</f>
        <v>6</v>
      </c>
      <c r="AJ1750" s="5" t="str">
        <f>INDEX(RatingLookup!$C$2:$C$11,MATCH(A1750,RatingLookup!$A$2:$A$11,0))</f>
        <v>Speculative Grade</v>
      </c>
    </row>
    <row r="1751" spans="1:36" x14ac:dyDescent="0.3">
      <c r="A1751" s="3" t="s">
        <v>109</v>
      </c>
      <c r="B1751" s="3" t="s">
        <v>1827</v>
      </c>
      <c r="C1751" s="3" t="s">
        <v>1828</v>
      </c>
      <c r="D1751" s="3" t="s">
        <v>47</v>
      </c>
      <c r="E1751" s="3" t="s">
        <v>1829</v>
      </c>
      <c r="F1751" s="3" t="s">
        <v>53</v>
      </c>
      <c r="G1751" s="3">
        <v>0.85936827199999999</v>
      </c>
      <c r="H1751" s="3">
        <v>0.825483207</v>
      </c>
      <c r="I1751" s="3">
        <v>6.8986530000000004E-2</v>
      </c>
      <c r="J1751" s="3">
        <v>58.357425820000003</v>
      </c>
      <c r="K1751" s="3">
        <v>0.33452326199999999</v>
      </c>
      <c r="L1751" s="3">
        <v>0.54146255399999998</v>
      </c>
      <c r="M1751" s="3">
        <v>1</v>
      </c>
      <c r="N1751" s="3">
        <v>0.285162209</v>
      </c>
      <c r="O1751" s="3">
        <v>6.7532025999999995E-2</v>
      </c>
      <c r="P1751" s="3">
        <v>0.12255340200000001</v>
      </c>
      <c r="Q1751" s="3">
        <v>0.1698905</v>
      </c>
      <c r="R1751" s="3">
        <v>0.201875425</v>
      </c>
      <c r="S1751" s="3">
        <v>0.236692186</v>
      </c>
      <c r="T1751" s="3">
        <v>1.515702715</v>
      </c>
      <c r="U1751" s="3">
        <v>0.60249675199999997</v>
      </c>
      <c r="V1751" s="3">
        <v>0.382185787</v>
      </c>
      <c r="W1751" s="3">
        <v>0.98696909600000005</v>
      </c>
      <c r="X1751" s="3">
        <v>3.4801290759999999</v>
      </c>
      <c r="Y1751" s="3">
        <v>1.5845929569999999</v>
      </c>
      <c r="Z1751" s="3">
        <v>2.5157027150000002</v>
      </c>
      <c r="AA1751" s="3">
        <v>0.54146255399999998</v>
      </c>
      <c r="AB1751" s="3">
        <v>6.814874852</v>
      </c>
      <c r="AC1751" s="3">
        <v>3.526077049</v>
      </c>
      <c r="AD1751" s="3">
        <v>0.62764380200000003</v>
      </c>
      <c r="AE1751" s="3">
        <v>0</v>
      </c>
      <c r="AF1751" s="4">
        <v>42031</v>
      </c>
      <c r="AG1751" s="5">
        <f>YEAR(AF1751)</f>
        <v>2015</v>
      </c>
      <c r="AH1751" s="5" t="str">
        <f>"Q"&amp;ROUNDUP(MONTH(AF1751)/3,0)</f>
        <v>Q1</v>
      </c>
      <c r="AI1751" s="5">
        <f>INDEX(RatingLookup!$B$2:$B$11,MATCH(A1751,RatingLookup!$A$2:$A$11,0))</f>
        <v>5</v>
      </c>
      <c r="AJ1751" s="5" t="str">
        <f>INDEX(RatingLookup!$C$2:$C$11,MATCH(A1751,RatingLookup!$A$2:$A$11,0))</f>
        <v>Speculative Grade</v>
      </c>
    </row>
    <row r="1752" spans="1:36" x14ac:dyDescent="0.3">
      <c r="A1752" s="3" t="s">
        <v>109</v>
      </c>
      <c r="B1752" s="3" t="s">
        <v>1827</v>
      </c>
      <c r="C1752" s="3" t="s">
        <v>1828</v>
      </c>
      <c r="D1752" s="3" t="s">
        <v>47</v>
      </c>
      <c r="E1752" s="3" t="s">
        <v>1711</v>
      </c>
      <c r="F1752" s="3" t="s">
        <v>53</v>
      </c>
      <c r="G1752" s="3">
        <v>1.532329405</v>
      </c>
      <c r="H1752" s="3">
        <v>1.465110809</v>
      </c>
      <c r="I1752" s="3">
        <v>0.14368932000000001</v>
      </c>
      <c r="J1752" s="3">
        <v>52.766278190000001</v>
      </c>
      <c r="K1752" s="3">
        <v>-3.642911776</v>
      </c>
      <c r="L1752" s="3">
        <v>-3.9345921800000001</v>
      </c>
      <c r="M1752" s="3">
        <v>1</v>
      </c>
      <c r="N1752" s="3">
        <v>-4.074103257</v>
      </c>
      <c r="O1752" s="3">
        <v>-1.2187458470000001</v>
      </c>
      <c r="P1752" s="3">
        <v>-1.495097315</v>
      </c>
      <c r="Q1752" s="3">
        <v>-16.812373050000001</v>
      </c>
      <c r="R1752" s="3">
        <v>0.334552666</v>
      </c>
      <c r="S1752" s="3">
        <v>0.50542593000000002</v>
      </c>
      <c r="T1752" s="3">
        <v>12.79481464</v>
      </c>
      <c r="U1752" s="3">
        <v>0.927508993</v>
      </c>
      <c r="V1752" s="3">
        <v>7.4132308999999993E-2</v>
      </c>
      <c r="W1752" s="3">
        <v>-1.0022377170000001</v>
      </c>
      <c r="X1752" s="3">
        <v>-1.5899637470000001</v>
      </c>
      <c r="Y1752" s="3">
        <v>1.1546561019999999</v>
      </c>
      <c r="Z1752" s="3">
        <v>13.79481464</v>
      </c>
      <c r="AA1752" s="3">
        <v>-3.9345921800000001</v>
      </c>
      <c r="AB1752" s="3">
        <v>-1.387241975</v>
      </c>
      <c r="AC1752" s="3">
        <v>1.586413802</v>
      </c>
      <c r="AD1752" s="3">
        <v>0.52081465100000002</v>
      </c>
      <c r="AE1752" s="3">
        <v>0</v>
      </c>
      <c r="AF1752" s="4">
        <v>42391</v>
      </c>
      <c r="AG1752" s="5">
        <f>YEAR(AF1752)</f>
        <v>2016</v>
      </c>
      <c r="AH1752" s="5" t="str">
        <f>"Q"&amp;ROUNDUP(MONTH(AF1752)/3,0)</f>
        <v>Q1</v>
      </c>
      <c r="AI1752" s="5">
        <f>INDEX(RatingLookup!$B$2:$B$11,MATCH(A1752,RatingLookup!$A$2:$A$11,0))</f>
        <v>5</v>
      </c>
      <c r="AJ1752" s="5" t="str">
        <f>INDEX(RatingLookup!$C$2:$C$11,MATCH(A1752,RatingLookup!$A$2:$A$11,0))</f>
        <v>Speculative Grade</v>
      </c>
    </row>
    <row r="1753" spans="1:36" x14ac:dyDescent="0.3">
      <c r="A1753" s="3" t="s">
        <v>109</v>
      </c>
      <c r="B1753" s="3" t="s">
        <v>1827</v>
      </c>
      <c r="C1753" s="3" t="s">
        <v>1828</v>
      </c>
      <c r="D1753" s="3" t="s">
        <v>47</v>
      </c>
      <c r="E1753" s="3" t="s">
        <v>734</v>
      </c>
      <c r="F1753" s="3" t="s">
        <v>53</v>
      </c>
      <c r="G1753" s="3">
        <v>0.57350917400000001</v>
      </c>
      <c r="H1753" s="3">
        <v>0.47647193300000001</v>
      </c>
      <c r="I1753" s="3">
        <v>0.130630105</v>
      </c>
      <c r="J1753" s="3">
        <v>53.440180349999999</v>
      </c>
      <c r="K1753" s="3">
        <v>0.20846178600000001</v>
      </c>
      <c r="L1753" s="3">
        <v>0.32619132699999998</v>
      </c>
      <c r="M1753" s="3">
        <v>0.84590014400000002</v>
      </c>
      <c r="N1753" s="3">
        <v>0.399962871</v>
      </c>
      <c r="O1753" s="3">
        <v>6.4850472000000006E-2</v>
      </c>
      <c r="P1753" s="3">
        <v>0.15265504399999999</v>
      </c>
      <c r="Q1753" s="3">
        <v>0.13888446600000001</v>
      </c>
      <c r="R1753" s="3">
        <v>0.31109045400000002</v>
      </c>
      <c r="S1753" s="3">
        <v>0.36731497600000002</v>
      </c>
      <c r="T1753" s="3">
        <v>1.1416107360000001</v>
      </c>
      <c r="U1753" s="3">
        <v>0.53306173599999995</v>
      </c>
      <c r="V1753" s="3">
        <v>0.36092173900000002</v>
      </c>
      <c r="W1753" s="3">
        <v>-1.0541595459999999</v>
      </c>
      <c r="X1753" s="3">
        <v>-2.901688</v>
      </c>
      <c r="Y1753" s="3">
        <v>0.22401599999999999</v>
      </c>
      <c r="Z1753" s="3">
        <v>2.1416107360000001</v>
      </c>
      <c r="AA1753" s="3">
        <v>0.42608329900000003</v>
      </c>
      <c r="AB1753" s="3">
        <v>7.3227033820000003</v>
      </c>
      <c r="AC1753" s="3">
        <v>2.7526079999999999</v>
      </c>
      <c r="AD1753" s="3">
        <v>0.67952609600000002</v>
      </c>
      <c r="AE1753" s="3">
        <v>1.6960027820000001</v>
      </c>
      <c r="AF1753" s="4">
        <v>41023</v>
      </c>
      <c r="AG1753" s="5">
        <f>YEAR(AF1753)</f>
        <v>2012</v>
      </c>
      <c r="AH1753" s="5" t="str">
        <f>"Q"&amp;ROUNDUP(MONTH(AF1753)/3,0)</f>
        <v>Q2</v>
      </c>
      <c r="AI1753" s="5">
        <f>INDEX(RatingLookup!$B$2:$B$11,MATCH(A1753,RatingLookup!$A$2:$A$11,0))</f>
        <v>5</v>
      </c>
      <c r="AJ1753" s="5" t="str">
        <f>INDEX(RatingLookup!$C$2:$C$11,MATCH(A1753,RatingLookup!$A$2:$A$11,0))</f>
        <v>Speculative Grade</v>
      </c>
    </row>
    <row r="1754" spans="1:36" x14ac:dyDescent="0.3">
      <c r="A1754" s="3" t="s">
        <v>109</v>
      </c>
      <c r="B1754" s="3" t="s">
        <v>1827</v>
      </c>
      <c r="C1754" s="3" t="s">
        <v>1828</v>
      </c>
      <c r="D1754" s="3" t="s">
        <v>47</v>
      </c>
      <c r="E1754" s="3" t="s">
        <v>1830</v>
      </c>
      <c r="F1754" s="3" t="s">
        <v>53</v>
      </c>
      <c r="G1754" s="3">
        <v>0.52443258999999998</v>
      </c>
      <c r="H1754" s="3">
        <v>0.46441381599999998</v>
      </c>
      <c r="I1754" s="3">
        <v>0.126776257</v>
      </c>
      <c r="J1754" s="3">
        <v>52.03645762</v>
      </c>
      <c r="K1754" s="3">
        <v>0.104839478</v>
      </c>
      <c r="L1754" s="3">
        <v>0.16086756899999999</v>
      </c>
      <c r="M1754" s="3">
        <v>1</v>
      </c>
      <c r="N1754" s="3">
        <v>0.29210311500000002</v>
      </c>
      <c r="O1754" s="3">
        <v>2.6366974000000001E-2</v>
      </c>
      <c r="P1754" s="3">
        <v>4.5564665999999997E-2</v>
      </c>
      <c r="Q1754" s="3">
        <v>7.4128045000000004E-2</v>
      </c>
      <c r="R1754" s="3">
        <v>0.251498522</v>
      </c>
      <c r="S1754" s="3">
        <v>0.27819788200000001</v>
      </c>
      <c r="T1754" s="3">
        <v>1.8113975449999999</v>
      </c>
      <c r="U1754" s="3">
        <v>0.64430501799999995</v>
      </c>
      <c r="V1754" s="3">
        <v>0.34828705199999999</v>
      </c>
      <c r="W1754" s="3">
        <v>0.94560163100000005</v>
      </c>
      <c r="X1754" s="3">
        <v>2.8063044970000002</v>
      </c>
      <c r="Y1754" s="3">
        <v>0.29827421900000001</v>
      </c>
      <c r="Z1754" s="3">
        <v>2.8113975450000002</v>
      </c>
      <c r="AA1754" s="3">
        <v>0.16086756899999999</v>
      </c>
      <c r="AB1754" s="3">
        <v>8.5951278490000007</v>
      </c>
      <c r="AC1754" s="3">
        <v>2.9677449849999999</v>
      </c>
      <c r="AD1754" s="3">
        <v>0.64068834200000002</v>
      </c>
      <c r="AE1754" s="3">
        <v>0</v>
      </c>
      <c r="AF1754" s="4">
        <v>41302</v>
      </c>
      <c r="AG1754" s="5">
        <f>YEAR(AF1754)</f>
        <v>2013</v>
      </c>
      <c r="AH1754" s="5" t="str">
        <f>"Q"&amp;ROUNDUP(MONTH(AF1754)/3,0)</f>
        <v>Q1</v>
      </c>
      <c r="AI1754" s="5">
        <f>INDEX(RatingLookup!$B$2:$B$11,MATCH(A1754,RatingLookup!$A$2:$A$11,0))</f>
        <v>5</v>
      </c>
      <c r="AJ1754" s="5" t="str">
        <f>INDEX(RatingLookup!$C$2:$C$11,MATCH(A1754,RatingLookup!$A$2:$A$11,0))</f>
        <v>Speculative Grade</v>
      </c>
    </row>
    <row r="1755" spans="1:36" x14ac:dyDescent="0.3">
      <c r="A1755" s="3" t="s">
        <v>109</v>
      </c>
      <c r="B1755" s="3" t="s">
        <v>1827</v>
      </c>
      <c r="C1755" s="3" t="s">
        <v>1828</v>
      </c>
      <c r="D1755" s="3" t="s">
        <v>47</v>
      </c>
      <c r="E1755" s="3" t="s">
        <v>1831</v>
      </c>
      <c r="F1755" s="3" t="s">
        <v>53</v>
      </c>
      <c r="G1755" s="3">
        <v>0.82352283900000001</v>
      </c>
      <c r="H1755" s="3">
        <v>0.74748463600000004</v>
      </c>
      <c r="I1755" s="3">
        <v>0.173838091</v>
      </c>
      <c r="J1755" s="3">
        <v>53.076033930000001</v>
      </c>
      <c r="K1755" s="3">
        <v>-0.43647238399999999</v>
      </c>
      <c r="L1755" s="3">
        <v>-0.43647238399999999</v>
      </c>
      <c r="M1755" s="3">
        <v>1</v>
      </c>
      <c r="N1755" s="3">
        <v>-0.14724680200000001</v>
      </c>
      <c r="O1755" s="3">
        <v>-0.14628977800000001</v>
      </c>
      <c r="P1755" s="3">
        <v>-0.16353414199999999</v>
      </c>
      <c r="Q1755" s="3">
        <v>-1.443953415</v>
      </c>
      <c r="R1755" s="3">
        <v>0.33516388000000003</v>
      </c>
      <c r="S1755" s="3">
        <v>0.43704178999999999</v>
      </c>
      <c r="T1755" s="3">
        <v>8.8705011270000007</v>
      </c>
      <c r="U1755" s="3">
        <v>0.898688021</v>
      </c>
      <c r="V1755" s="3">
        <v>0</v>
      </c>
      <c r="W1755" s="3">
        <v>-4.8372837000000002E-2</v>
      </c>
      <c r="X1755" s="3">
        <v>-7.6426088000000003E-2</v>
      </c>
      <c r="Y1755" s="3">
        <v>0.23776561800000001</v>
      </c>
      <c r="Z1755" s="3">
        <v>9.8705011270000007</v>
      </c>
      <c r="AA1755" s="3">
        <v>-0.43647238399999999</v>
      </c>
      <c r="AB1755" s="3">
        <v>69.396891859999997</v>
      </c>
      <c r="AC1755" s="3">
        <v>1.579938096</v>
      </c>
      <c r="AD1755" s="3">
        <v>0.59643140500000003</v>
      </c>
      <c r="AE1755" s="3">
        <v>0</v>
      </c>
      <c r="AF1755" s="4">
        <v>42681</v>
      </c>
      <c r="AG1755" s="5">
        <f>YEAR(AF1755)</f>
        <v>2016</v>
      </c>
      <c r="AH1755" s="5" t="str">
        <f>"Q"&amp;ROUNDUP(MONTH(AF1755)/3,0)</f>
        <v>Q4</v>
      </c>
      <c r="AI1755" s="5">
        <f>INDEX(RatingLookup!$B$2:$B$11,MATCH(A1755,RatingLookup!$A$2:$A$11,0))</f>
        <v>5</v>
      </c>
      <c r="AJ1755" s="5" t="str">
        <f>INDEX(RatingLookup!$C$2:$C$11,MATCH(A1755,RatingLookup!$A$2:$A$11,0))</f>
        <v>Speculative Grade</v>
      </c>
    </row>
    <row r="1756" spans="1:36" x14ac:dyDescent="0.3">
      <c r="A1756" s="3" t="s">
        <v>109</v>
      </c>
      <c r="B1756" s="3" t="s">
        <v>1827</v>
      </c>
      <c r="C1756" s="3" t="s">
        <v>1828</v>
      </c>
      <c r="D1756" s="3" t="s">
        <v>47</v>
      </c>
      <c r="E1756" s="3" t="s">
        <v>725</v>
      </c>
      <c r="F1756" s="3" t="s">
        <v>53</v>
      </c>
      <c r="G1756" s="3">
        <v>1.21120688</v>
      </c>
      <c r="H1756" s="3">
        <v>1.1468998180000001</v>
      </c>
      <c r="I1756" s="3">
        <v>0.78022514600000004</v>
      </c>
      <c r="J1756" s="3">
        <v>42.421304849999999</v>
      </c>
      <c r="K1756" s="3">
        <v>0.17737506</v>
      </c>
      <c r="L1756" s="3">
        <v>0.28937237799999999</v>
      </c>
      <c r="M1756" s="3">
        <v>1</v>
      </c>
      <c r="N1756" s="3">
        <v>0.32220780799999998</v>
      </c>
      <c r="O1756" s="3">
        <v>4.4973626000000003E-2</v>
      </c>
      <c r="P1756" s="3">
        <v>8.1233745999999996E-2</v>
      </c>
      <c r="Q1756" s="3">
        <v>9.2748628999999999E-2</v>
      </c>
      <c r="R1756" s="3">
        <v>0.25355101099999999</v>
      </c>
      <c r="S1756" s="3">
        <v>0.30179637799999998</v>
      </c>
      <c r="T1756" s="3">
        <v>1.062289351</v>
      </c>
      <c r="U1756" s="3">
        <v>0.51510199099999998</v>
      </c>
      <c r="V1756" s="3">
        <v>0.38703527700000001</v>
      </c>
      <c r="W1756" s="3">
        <v>0.90757521299999999</v>
      </c>
      <c r="X1756" s="3">
        <v>2.4984451660000002</v>
      </c>
      <c r="Y1756" s="3">
        <v>1.6149067850000001</v>
      </c>
      <c r="Z1756" s="3">
        <v>2.062289351</v>
      </c>
      <c r="AA1756" s="3">
        <v>0.28937237799999999</v>
      </c>
      <c r="AB1756" s="3">
        <v>9.2597368390000003</v>
      </c>
      <c r="AC1756" s="3">
        <v>2.7528794630000002</v>
      </c>
      <c r="AD1756" s="3">
        <v>0.54825278099999997</v>
      </c>
      <c r="AE1756" s="3">
        <v>0</v>
      </c>
      <c r="AF1756" s="4">
        <v>41669</v>
      </c>
      <c r="AG1756" s="5">
        <f>YEAR(AF1756)</f>
        <v>2014</v>
      </c>
      <c r="AH1756" s="5" t="str">
        <f>"Q"&amp;ROUNDUP(MONTH(AF1756)/3,0)</f>
        <v>Q1</v>
      </c>
      <c r="AI1756" s="5">
        <f>INDEX(RatingLookup!$B$2:$B$11,MATCH(A1756,RatingLookup!$A$2:$A$11,0))</f>
        <v>5</v>
      </c>
      <c r="AJ1756" s="5" t="str">
        <f>INDEX(RatingLookup!$C$2:$C$11,MATCH(A1756,RatingLookup!$A$2:$A$11,0))</f>
        <v>Speculative Grade</v>
      </c>
    </row>
    <row r="1757" spans="1:36" x14ac:dyDescent="0.3">
      <c r="A1757" s="3" t="s">
        <v>92</v>
      </c>
      <c r="B1757" s="3" t="s">
        <v>1832</v>
      </c>
      <c r="C1757" s="3" t="s">
        <v>1833</v>
      </c>
      <c r="D1757" s="3" t="s">
        <v>47</v>
      </c>
      <c r="E1757" s="3" t="s">
        <v>45</v>
      </c>
      <c r="F1757" s="3" t="s">
        <v>53</v>
      </c>
      <c r="G1757" s="3">
        <v>1.084022665</v>
      </c>
      <c r="H1757" s="3">
        <v>0.91310833199999997</v>
      </c>
      <c r="I1757" s="3">
        <v>0.212949472</v>
      </c>
      <c r="J1757" s="3">
        <v>15.589794940000001</v>
      </c>
      <c r="K1757" s="3">
        <v>0.24758475199999999</v>
      </c>
      <c r="L1757" s="3">
        <v>0.41141065799999998</v>
      </c>
      <c r="M1757" s="3">
        <v>0.47773238000000001</v>
      </c>
      <c r="N1757" s="3">
        <v>0.47773238000000001</v>
      </c>
      <c r="O1757" s="3">
        <v>5.8200829000000003E-2</v>
      </c>
      <c r="P1757" s="3">
        <v>0.107434738</v>
      </c>
      <c r="Q1757" s="3">
        <v>0.123055886</v>
      </c>
      <c r="R1757" s="3">
        <v>0.23507436600000001</v>
      </c>
      <c r="S1757" s="3">
        <v>0.29090039699999998</v>
      </c>
      <c r="T1757" s="3">
        <v>1.114332195</v>
      </c>
      <c r="U1757" s="3">
        <v>0.52703742499999995</v>
      </c>
      <c r="V1757" s="3">
        <v>0.39817135199999998</v>
      </c>
      <c r="W1757" s="3">
        <v>-3.0942611169999998</v>
      </c>
      <c r="X1757" s="3">
        <v>-11.785542510000001</v>
      </c>
      <c r="Y1757" s="3">
        <v>3.5814506659999998</v>
      </c>
      <c r="Z1757" s="3">
        <v>2.1143321949999998</v>
      </c>
      <c r="AA1757" s="3">
        <v>0.41141065799999998</v>
      </c>
      <c r="AB1757" s="3">
        <v>7.4253370629999997</v>
      </c>
      <c r="AC1757" s="3">
        <v>3.808839028</v>
      </c>
      <c r="AD1757" s="3">
        <v>0.366871006</v>
      </c>
      <c r="AE1757" s="3">
        <v>2.6730515989999999</v>
      </c>
      <c r="AF1757" s="4">
        <v>42069</v>
      </c>
      <c r="AG1757" s="5">
        <f>YEAR(AF1757)</f>
        <v>2015</v>
      </c>
      <c r="AH1757" s="5" t="str">
        <f>"Q"&amp;ROUNDUP(MONTH(AF1757)/3,0)</f>
        <v>Q1</v>
      </c>
      <c r="AI1757" s="5">
        <f>INDEX(RatingLookup!$B$2:$B$11,MATCH(A1757,RatingLookup!$A$2:$A$11,0))</f>
        <v>6</v>
      </c>
      <c r="AJ1757" s="5" t="str">
        <f>INDEX(RatingLookup!$C$2:$C$11,MATCH(A1757,RatingLookup!$A$2:$A$11,0))</f>
        <v>Speculative Grade</v>
      </c>
    </row>
    <row r="1758" spans="1:36" x14ac:dyDescent="0.3">
      <c r="A1758" s="3" t="s">
        <v>92</v>
      </c>
      <c r="B1758" s="3" t="s">
        <v>1832</v>
      </c>
      <c r="C1758" s="3" t="s">
        <v>1833</v>
      </c>
      <c r="D1758" s="3" t="s">
        <v>47</v>
      </c>
      <c r="E1758" s="3" t="s">
        <v>487</v>
      </c>
      <c r="F1758" s="3" t="s">
        <v>53</v>
      </c>
      <c r="G1758" s="3">
        <v>1.7648649030000001</v>
      </c>
      <c r="H1758" s="3">
        <v>1.572111075</v>
      </c>
      <c r="I1758" s="3">
        <v>3.3188174000000001E-2</v>
      </c>
      <c r="J1758" s="3">
        <v>7.3283187410000004</v>
      </c>
      <c r="K1758" s="3">
        <v>0.23802725699999999</v>
      </c>
      <c r="L1758" s="3">
        <v>0.393411344</v>
      </c>
      <c r="M1758" s="3">
        <v>1</v>
      </c>
      <c r="N1758" s="3">
        <v>0.45268022299999999</v>
      </c>
      <c r="O1758" s="3">
        <v>6.6502938999999997E-2</v>
      </c>
      <c r="P1758" s="3">
        <v>0.115696856</v>
      </c>
      <c r="Q1758" s="3">
        <v>0.15862855000000001</v>
      </c>
      <c r="R1758" s="3">
        <v>0.279392117</v>
      </c>
      <c r="S1758" s="3">
        <v>0.36850249899999998</v>
      </c>
      <c r="T1758" s="3">
        <v>1.385286311</v>
      </c>
      <c r="U1758" s="3">
        <v>0.58076311599999997</v>
      </c>
      <c r="V1758" s="3">
        <v>0.37013637199999999</v>
      </c>
      <c r="W1758" s="3">
        <v>-1.333021987</v>
      </c>
      <c r="X1758" s="3">
        <v>-4.893898429</v>
      </c>
      <c r="Y1758" s="3">
        <v>3.7665742419999999</v>
      </c>
      <c r="Z1758" s="3">
        <v>2.3852863110000002</v>
      </c>
      <c r="AA1758" s="3">
        <v>0.393411344</v>
      </c>
      <c r="AB1758" s="3">
        <v>4.8575031839999996</v>
      </c>
      <c r="AC1758" s="3">
        <v>3.6712811030000001</v>
      </c>
      <c r="AD1758" s="3">
        <v>0.25446703799999998</v>
      </c>
      <c r="AE1758" s="3">
        <v>0</v>
      </c>
      <c r="AF1758" s="4">
        <v>42439</v>
      </c>
      <c r="AG1758" s="5">
        <f>YEAR(AF1758)</f>
        <v>2016</v>
      </c>
      <c r="AH1758" s="5" t="str">
        <f>"Q"&amp;ROUNDUP(MONTH(AF1758)/3,0)</f>
        <v>Q1</v>
      </c>
      <c r="AI1758" s="5">
        <f>INDEX(RatingLookup!$B$2:$B$11,MATCH(A1758,RatingLookup!$A$2:$A$11,0))</f>
        <v>6</v>
      </c>
      <c r="AJ1758" s="5" t="str">
        <f>INDEX(RatingLookup!$C$2:$C$11,MATCH(A1758,RatingLookup!$A$2:$A$11,0))</f>
        <v>Speculative Grade</v>
      </c>
    </row>
    <row r="1759" spans="1:36" x14ac:dyDescent="0.3">
      <c r="A1759" s="3" t="s">
        <v>92</v>
      </c>
      <c r="B1759" s="3" t="s">
        <v>1832</v>
      </c>
      <c r="C1759" s="3" t="s">
        <v>1833</v>
      </c>
      <c r="D1759" s="3" t="s">
        <v>47</v>
      </c>
      <c r="E1759" s="3" t="s">
        <v>537</v>
      </c>
      <c r="F1759" s="3" t="s">
        <v>53</v>
      </c>
      <c r="G1759" s="3">
        <v>0.49252864000000002</v>
      </c>
      <c r="H1759" s="3">
        <v>0.164320983</v>
      </c>
      <c r="I1759" s="3">
        <v>3.8671965000000003E-2</v>
      </c>
      <c r="J1759" s="3">
        <v>6.2102463419999996</v>
      </c>
      <c r="K1759" s="3">
        <v>-0.48655995200000002</v>
      </c>
      <c r="L1759" s="3">
        <v>-0.71413364700000004</v>
      </c>
      <c r="M1759" s="3">
        <v>1</v>
      </c>
      <c r="N1759" s="3">
        <v>-0.55935053999999995</v>
      </c>
      <c r="O1759" s="3">
        <v>-5.9542844999999997E-2</v>
      </c>
      <c r="P1759" s="3">
        <v>-9.2707916000000001E-2</v>
      </c>
      <c r="Q1759" s="3">
        <v>-0.135536776</v>
      </c>
      <c r="R1759" s="3">
        <v>0.122375145</v>
      </c>
      <c r="S1759" s="3">
        <v>0.145053771</v>
      </c>
      <c r="T1759" s="3">
        <v>1.276289894</v>
      </c>
      <c r="U1759" s="3">
        <v>0.56068864399999996</v>
      </c>
      <c r="V1759" s="3">
        <v>0.39843188099999999</v>
      </c>
      <c r="W1759" s="3">
        <v>-1.010406395</v>
      </c>
      <c r="X1759" s="3">
        <v>-4.2522266860000002</v>
      </c>
      <c r="Y1759" s="3">
        <v>0.35475088599999999</v>
      </c>
      <c r="Z1759" s="3">
        <v>2.276289894</v>
      </c>
      <c r="AA1759" s="3">
        <v>-0.71413364700000004</v>
      </c>
      <c r="AB1759" s="3">
        <v>-73.13445505</v>
      </c>
      <c r="AC1759" s="3">
        <v>4.2084320809999998</v>
      </c>
      <c r="AD1759" s="3">
        <v>0.711515169</v>
      </c>
      <c r="AE1759" s="3">
        <v>0</v>
      </c>
      <c r="AF1759" s="4">
        <v>42640</v>
      </c>
      <c r="AG1759" s="5">
        <f>YEAR(AF1759)</f>
        <v>2016</v>
      </c>
      <c r="AH1759" s="5" t="str">
        <f>"Q"&amp;ROUNDUP(MONTH(AF1759)/3,0)</f>
        <v>Q3</v>
      </c>
      <c r="AI1759" s="5">
        <f>INDEX(RatingLookup!$B$2:$B$11,MATCH(A1759,RatingLookup!$A$2:$A$11,0))</f>
        <v>6</v>
      </c>
      <c r="AJ1759" s="5" t="str">
        <f>INDEX(RatingLookup!$C$2:$C$11,MATCH(A1759,RatingLookup!$A$2:$A$11,0))</f>
        <v>Speculative Grade</v>
      </c>
    </row>
    <row r="1760" spans="1:36" x14ac:dyDescent="0.3">
      <c r="A1760" s="3" t="s">
        <v>42</v>
      </c>
      <c r="B1760" s="3" t="s">
        <v>1834</v>
      </c>
      <c r="C1760" s="3" t="s">
        <v>1835</v>
      </c>
      <c r="D1760" s="3" t="s">
        <v>60</v>
      </c>
      <c r="E1760" s="3" t="s">
        <v>1053</v>
      </c>
      <c r="F1760" s="3" t="s">
        <v>53</v>
      </c>
      <c r="G1760" s="3">
        <v>1.3217158179999999</v>
      </c>
      <c r="H1760" s="3">
        <v>0.74798927599999998</v>
      </c>
      <c r="I1760" s="3">
        <v>0.17414617099999999</v>
      </c>
      <c r="J1760" s="3">
        <v>15.14225544</v>
      </c>
      <c r="K1760" s="3">
        <v>2.5803286000000002E-2</v>
      </c>
      <c r="L1760" s="3">
        <v>3.9205864E-2</v>
      </c>
      <c r="M1760" s="3">
        <v>0.14360489500000001</v>
      </c>
      <c r="N1760" s="3">
        <v>4.1414068999999998E-2</v>
      </c>
      <c r="O1760" s="3">
        <v>8.2862771000000002E-2</v>
      </c>
      <c r="P1760" s="3">
        <v>0.175266213</v>
      </c>
      <c r="Q1760" s="3">
        <v>0.234768859</v>
      </c>
      <c r="R1760" s="3">
        <v>3.2113263299999999</v>
      </c>
      <c r="S1760" s="3">
        <v>6.0154357049999998</v>
      </c>
      <c r="T1760" s="3">
        <v>1.833224816</v>
      </c>
      <c r="U1760" s="3">
        <v>0.64704530500000002</v>
      </c>
      <c r="V1760" s="3">
        <v>0.33376792700000002</v>
      </c>
      <c r="W1760" s="3">
        <v>0.52411575600000004</v>
      </c>
      <c r="X1760" s="3">
        <v>5.7192982460000001</v>
      </c>
      <c r="Y1760" s="3">
        <v>8.2771929820000008</v>
      </c>
      <c r="Z1760" s="3">
        <v>2.833224816</v>
      </c>
      <c r="AA1760" s="3">
        <v>3.9205864E-2</v>
      </c>
      <c r="AB1760" s="3">
        <v>3.4100148780000001</v>
      </c>
      <c r="AC1760" s="3">
        <v>10.9122807</v>
      </c>
      <c r="AD1760" s="3">
        <v>3.1794063999999997E-2</v>
      </c>
      <c r="AE1760" s="3">
        <v>12.57618976</v>
      </c>
      <c r="AF1760" s="4">
        <v>41885</v>
      </c>
      <c r="AG1760" s="5">
        <f>YEAR(AF1760)</f>
        <v>2014</v>
      </c>
      <c r="AH1760" s="5" t="str">
        <f>"Q"&amp;ROUNDUP(MONTH(AF1760)/3,0)</f>
        <v>Q3</v>
      </c>
      <c r="AI1760" s="5">
        <f>INDEX(RatingLookup!$B$2:$B$11,MATCH(A1760,RatingLookup!$A$2:$A$11,0))</f>
        <v>7</v>
      </c>
      <c r="AJ1760" s="5" t="str">
        <f>INDEX(RatingLookup!$C$2:$C$11,MATCH(A1760,RatingLookup!$A$2:$A$11,0))</f>
        <v>Investment Grade</v>
      </c>
    </row>
    <row r="1761" spans="1:36" x14ac:dyDescent="0.3">
      <c r="A1761" s="3" t="s">
        <v>42</v>
      </c>
      <c r="B1761" s="3" t="s">
        <v>1834</v>
      </c>
      <c r="C1761" s="3" t="s">
        <v>1835</v>
      </c>
      <c r="D1761" s="3" t="s">
        <v>60</v>
      </c>
      <c r="E1761" s="3" t="s">
        <v>1000</v>
      </c>
      <c r="F1761" s="3" t="s">
        <v>53</v>
      </c>
      <c r="G1761" s="3">
        <v>1.4926713949999999</v>
      </c>
      <c r="H1761" s="3">
        <v>1.2097714740000001</v>
      </c>
      <c r="I1761" s="3">
        <v>0.17762017299999999</v>
      </c>
      <c r="J1761" s="3">
        <v>14.82776089</v>
      </c>
      <c r="K1761" s="3">
        <v>3.9583073000000003E-2</v>
      </c>
      <c r="L1761" s="3">
        <v>6.0706998999999998E-2</v>
      </c>
      <c r="M1761" s="3">
        <v>0.22856032500000001</v>
      </c>
      <c r="N1761" s="3">
        <v>6.5120540000000005E-2</v>
      </c>
      <c r="O1761" s="3">
        <v>6.6148672000000006E-2</v>
      </c>
      <c r="P1761" s="3">
        <v>0.11895567</v>
      </c>
      <c r="Q1761" s="3">
        <v>0.21545667399999999</v>
      </c>
      <c r="R1761" s="3">
        <v>1.6711353360000001</v>
      </c>
      <c r="S1761" s="3">
        <v>2.8632570340000001</v>
      </c>
      <c r="T1761" s="3">
        <v>2.2571579659999998</v>
      </c>
      <c r="U1761" s="3">
        <v>0.69298388</v>
      </c>
      <c r="V1761" s="3">
        <v>0.34430727</v>
      </c>
      <c r="W1761" s="3">
        <v>0.50800295500000003</v>
      </c>
      <c r="X1761" s="3">
        <v>3.8345724909999999</v>
      </c>
      <c r="Y1761" s="3">
        <v>8.8271375459999994</v>
      </c>
      <c r="Z1761" s="3">
        <v>3.2571579659999998</v>
      </c>
      <c r="AA1761" s="3">
        <v>6.0706998999999998E-2</v>
      </c>
      <c r="AB1761" s="3">
        <v>5.2510287160000004</v>
      </c>
      <c r="AC1761" s="3">
        <v>7.5483271380000003</v>
      </c>
      <c r="AD1761" s="3">
        <v>5.6362853999999997E-2</v>
      </c>
      <c r="AE1761" s="3">
        <v>11.718954249999999</v>
      </c>
      <c r="AF1761" s="4">
        <v>42345</v>
      </c>
      <c r="AG1761" s="5">
        <f>YEAR(AF1761)</f>
        <v>2015</v>
      </c>
      <c r="AH1761" s="5" t="str">
        <f>"Q"&amp;ROUNDUP(MONTH(AF1761)/3,0)</f>
        <v>Q4</v>
      </c>
      <c r="AI1761" s="5">
        <f>INDEX(RatingLookup!$B$2:$B$11,MATCH(A1761,RatingLookup!$A$2:$A$11,0))</f>
        <v>7</v>
      </c>
      <c r="AJ1761" s="5" t="str">
        <f>INDEX(RatingLookup!$C$2:$C$11,MATCH(A1761,RatingLookup!$A$2:$A$11,0))</f>
        <v>Investment Grade</v>
      </c>
    </row>
    <row r="1762" spans="1:36" x14ac:dyDescent="0.3">
      <c r="A1762" s="3" t="s">
        <v>42</v>
      </c>
      <c r="B1762" s="3" t="s">
        <v>1834</v>
      </c>
      <c r="C1762" s="3" t="s">
        <v>1835</v>
      </c>
      <c r="D1762" s="3" t="s">
        <v>47</v>
      </c>
      <c r="E1762" s="3" t="s">
        <v>1836</v>
      </c>
      <c r="F1762" s="3" t="s">
        <v>53</v>
      </c>
      <c r="G1762" s="3">
        <v>1.251277239</v>
      </c>
      <c r="H1762" s="3">
        <v>0.89041809999999999</v>
      </c>
      <c r="I1762" s="3">
        <v>0.32103013200000002</v>
      </c>
      <c r="J1762" s="3">
        <v>25.299140420000001</v>
      </c>
      <c r="K1762" s="3">
        <v>3.0333041000000002E-2</v>
      </c>
      <c r="L1762" s="3">
        <v>4.7219999999999998E-2</v>
      </c>
      <c r="M1762" s="3">
        <v>0.16520016800000001</v>
      </c>
      <c r="N1762" s="3">
        <v>4.7219999999999998E-2</v>
      </c>
      <c r="O1762" s="3">
        <v>9.2794716999999999E-2</v>
      </c>
      <c r="P1762" s="3">
        <v>0.23022161699999999</v>
      </c>
      <c r="Q1762" s="3">
        <v>0.25134139900000002</v>
      </c>
      <c r="R1762" s="3">
        <v>3.0591959599999998</v>
      </c>
      <c r="S1762" s="3">
        <v>6.4408734049999996</v>
      </c>
      <c r="T1762" s="3">
        <v>1.7085744350000001</v>
      </c>
      <c r="U1762" s="3">
        <v>0.63080209700000001</v>
      </c>
      <c r="V1762" s="3">
        <v>0.35762301699999999</v>
      </c>
      <c r="W1762" s="3">
        <v>0.64188576600000002</v>
      </c>
      <c r="X1762" s="3">
        <v>5.9662921349999998</v>
      </c>
      <c r="Y1762" s="3">
        <v>8.6544943819999993</v>
      </c>
      <c r="Z1762" s="3">
        <v>2.7085744350000001</v>
      </c>
      <c r="AA1762" s="3">
        <v>4.7219999999999998E-2</v>
      </c>
      <c r="AB1762" s="3">
        <v>1.4966247290000001</v>
      </c>
      <c r="AC1762" s="3">
        <v>9.2949438200000003</v>
      </c>
      <c r="AD1762" s="3">
        <v>4.2014245999999998E-2</v>
      </c>
      <c r="AE1762" s="3">
        <v>8.0484759459999999</v>
      </c>
      <c r="AF1762" s="4">
        <v>40725</v>
      </c>
      <c r="AG1762" s="5">
        <f>YEAR(AF1762)</f>
        <v>2011</v>
      </c>
      <c r="AH1762" s="5" t="str">
        <f>"Q"&amp;ROUNDUP(MONTH(AF1762)/3,0)</f>
        <v>Q3</v>
      </c>
      <c r="AI1762" s="5">
        <f>INDEX(RatingLookup!$B$2:$B$11,MATCH(A1762,RatingLookup!$A$2:$A$11,0))</f>
        <v>7</v>
      </c>
      <c r="AJ1762" s="5" t="str">
        <f>INDEX(RatingLookup!$C$2:$C$11,MATCH(A1762,RatingLookup!$A$2:$A$11,0))</f>
        <v>Investment Grade</v>
      </c>
    </row>
    <row r="1763" spans="1:36" x14ac:dyDescent="0.3">
      <c r="A1763" s="3" t="s">
        <v>92</v>
      </c>
      <c r="B1763" s="3" t="s">
        <v>1837</v>
      </c>
      <c r="C1763" s="3" t="s">
        <v>1838</v>
      </c>
      <c r="D1763" s="3" t="s">
        <v>47</v>
      </c>
      <c r="E1763" s="3" t="s">
        <v>1839</v>
      </c>
      <c r="F1763" s="3" t="s">
        <v>59</v>
      </c>
      <c r="G1763" s="3">
        <v>2.8986776089999999</v>
      </c>
      <c r="H1763" s="3">
        <v>1.527184442</v>
      </c>
      <c r="I1763" s="3">
        <v>0.62631632599999998</v>
      </c>
      <c r="J1763" s="3">
        <v>49.974416550000001</v>
      </c>
      <c r="K1763" s="3">
        <v>2.01301E-3</v>
      </c>
      <c r="L1763" s="3">
        <v>7.6592709999999996E-3</v>
      </c>
      <c r="M1763" s="3">
        <v>0.223149134</v>
      </c>
      <c r="N1763" s="3">
        <v>3.4122310000000003E-2</v>
      </c>
      <c r="O1763" s="3">
        <v>2.1059059999999998E-3</v>
      </c>
      <c r="P1763" s="3">
        <v>9.5275759999999994E-3</v>
      </c>
      <c r="Q1763" s="3">
        <v>5.7912509999999999E-3</v>
      </c>
      <c r="R1763" s="3">
        <v>1.04614768</v>
      </c>
      <c r="S1763" s="3">
        <v>5.2923191349999996</v>
      </c>
      <c r="T1763" s="3">
        <v>1.7500046119999999</v>
      </c>
      <c r="U1763" s="3">
        <v>0.63636424599999997</v>
      </c>
      <c r="V1763" s="3">
        <v>0.52626805300000001</v>
      </c>
      <c r="W1763" s="3">
        <v>0.24791382200000001</v>
      </c>
      <c r="X1763" s="3">
        <v>0.39027706299999998</v>
      </c>
      <c r="Y1763" s="3">
        <v>3.2727640189999998</v>
      </c>
      <c r="Z1763" s="3">
        <v>2.7500046120000001</v>
      </c>
      <c r="AA1763" s="3">
        <v>7.6592709999999996E-3</v>
      </c>
      <c r="AB1763" s="3">
        <v>8.5567547610000005</v>
      </c>
      <c r="AC1763" s="3">
        <v>1.5742448739999999</v>
      </c>
      <c r="AD1763" s="3">
        <v>4.5787293999999999E-2</v>
      </c>
      <c r="AE1763" s="3">
        <v>8.8854104270000001</v>
      </c>
      <c r="AF1763" s="4">
        <v>41705</v>
      </c>
      <c r="AG1763" s="5">
        <f>YEAR(AF1763)</f>
        <v>2014</v>
      </c>
      <c r="AH1763" s="5" t="str">
        <f>"Q"&amp;ROUNDUP(MONTH(AF1763)/3,0)</f>
        <v>Q1</v>
      </c>
      <c r="AI1763" s="5">
        <f>INDEX(RatingLookup!$B$2:$B$11,MATCH(A1763,RatingLookup!$A$2:$A$11,0))</f>
        <v>6</v>
      </c>
      <c r="AJ1763" s="5" t="str">
        <f>INDEX(RatingLookup!$C$2:$C$11,MATCH(A1763,RatingLookup!$A$2:$A$11,0))</f>
        <v>Speculative Grade</v>
      </c>
    </row>
    <row r="1764" spans="1:36" x14ac:dyDescent="0.3">
      <c r="A1764" s="3" t="s">
        <v>92</v>
      </c>
      <c r="B1764" s="3" t="s">
        <v>1837</v>
      </c>
      <c r="C1764" s="3" t="s">
        <v>1838</v>
      </c>
      <c r="D1764" s="3" t="s">
        <v>47</v>
      </c>
      <c r="E1764" s="3" t="s">
        <v>1801</v>
      </c>
      <c r="F1764" s="3" t="s">
        <v>59</v>
      </c>
      <c r="G1764" s="3">
        <v>2.8576373780000002</v>
      </c>
      <c r="H1764" s="3">
        <v>1.6230202709999999</v>
      </c>
      <c r="I1764" s="3">
        <v>0.77181711099999994</v>
      </c>
      <c r="J1764" s="3">
        <v>53.4353196</v>
      </c>
      <c r="K1764" s="3">
        <v>-4.0588769999999998E-3</v>
      </c>
      <c r="L1764" s="3">
        <v>-7.8375489999999992E-3</v>
      </c>
      <c r="M1764" s="3">
        <v>0.214911826</v>
      </c>
      <c r="N1764" s="3">
        <v>3.0341348000000001E-2</v>
      </c>
      <c r="O1764" s="3">
        <v>-3.9839080000000004E-3</v>
      </c>
      <c r="P1764" s="3">
        <v>-9.25518E-3</v>
      </c>
      <c r="Q1764" s="3">
        <v>-1.1398848E-2</v>
      </c>
      <c r="R1764" s="3">
        <v>0.98152959299999998</v>
      </c>
      <c r="S1764" s="3">
        <v>5.2301156979999996</v>
      </c>
      <c r="T1764" s="3">
        <v>1.861222749</v>
      </c>
      <c r="U1764" s="3">
        <v>0.65049907399999995</v>
      </c>
      <c r="V1764" s="3">
        <v>0.48212419000000001</v>
      </c>
      <c r="W1764" s="3">
        <v>-1.476105695</v>
      </c>
      <c r="X1764" s="3">
        <v>-0.88650520200000005</v>
      </c>
      <c r="Y1764" s="3">
        <v>4.1247984520000003</v>
      </c>
      <c r="Z1764" s="3">
        <v>2.861222749</v>
      </c>
      <c r="AA1764" s="3">
        <v>-7.8375489999999992E-3</v>
      </c>
      <c r="AB1764" s="3">
        <v>8.590874758</v>
      </c>
      <c r="AC1764" s="3">
        <v>0.60057027399999996</v>
      </c>
      <c r="AD1764" s="3">
        <v>1.9327594999999999E-2</v>
      </c>
      <c r="AE1764" s="3">
        <v>7.8484896470000001</v>
      </c>
      <c r="AF1764" s="4">
        <v>40968</v>
      </c>
      <c r="AG1764" s="5">
        <f>YEAR(AF1764)</f>
        <v>2012</v>
      </c>
      <c r="AH1764" s="5" t="str">
        <f>"Q"&amp;ROUNDUP(MONTH(AF1764)/3,0)</f>
        <v>Q1</v>
      </c>
      <c r="AI1764" s="5">
        <f>INDEX(RatingLookup!$B$2:$B$11,MATCH(A1764,RatingLookup!$A$2:$A$11,0))</f>
        <v>6</v>
      </c>
      <c r="AJ1764" s="5" t="str">
        <f>INDEX(RatingLookup!$C$2:$C$11,MATCH(A1764,RatingLookup!$A$2:$A$11,0))</f>
        <v>Speculative Grade</v>
      </c>
    </row>
    <row r="1765" spans="1:36" x14ac:dyDescent="0.3">
      <c r="A1765" s="3" t="s">
        <v>92</v>
      </c>
      <c r="B1765" s="3" t="s">
        <v>1837</v>
      </c>
      <c r="C1765" s="3" t="s">
        <v>1838</v>
      </c>
      <c r="D1765" s="3" t="s">
        <v>47</v>
      </c>
      <c r="E1765" s="3" t="s">
        <v>783</v>
      </c>
      <c r="F1765" s="3" t="s">
        <v>59</v>
      </c>
      <c r="G1765" s="3">
        <v>2.4613226720000001</v>
      </c>
      <c r="H1765" s="3">
        <v>1.0594208890000001</v>
      </c>
      <c r="I1765" s="3">
        <v>0.27903177600000001</v>
      </c>
      <c r="J1765" s="3">
        <v>47.358479289999998</v>
      </c>
      <c r="K1765" s="3">
        <v>-8.8900000000000006E-5</v>
      </c>
      <c r="L1765" s="3">
        <v>-2.8697499999999999E-3</v>
      </c>
      <c r="M1765" s="3">
        <v>0.230643871</v>
      </c>
      <c r="N1765" s="3">
        <v>3.9242679000000003E-2</v>
      </c>
      <c r="O1765" s="3">
        <v>-9.7200000000000004E-5</v>
      </c>
      <c r="P1765" s="3">
        <v>-3.8383079999999999E-3</v>
      </c>
      <c r="Q1765" s="3">
        <v>-3.3269000000000001E-4</v>
      </c>
      <c r="R1765" s="3">
        <v>1.0941846150000001</v>
      </c>
      <c r="S1765" s="3">
        <v>5.3750651029999998</v>
      </c>
      <c r="T1765" s="3">
        <v>2.421557553</v>
      </c>
      <c r="U1765" s="3">
        <v>0.70773544399999999</v>
      </c>
      <c r="V1765" s="3">
        <v>0.96903428999999996</v>
      </c>
      <c r="W1765" s="3">
        <v>0.17370660600000001</v>
      </c>
      <c r="X1765" s="3">
        <v>0.32829623000000002</v>
      </c>
      <c r="Y1765" s="3">
        <v>1.8717969489999999</v>
      </c>
      <c r="Z1765" s="3">
        <v>3.421557553</v>
      </c>
      <c r="AA1765" s="3">
        <v>-2.8697499999999999E-3</v>
      </c>
      <c r="AB1765" s="3">
        <v>8.6550451679999991</v>
      </c>
      <c r="AC1765" s="3">
        <v>1.889946726</v>
      </c>
      <c r="AD1765" s="3">
        <v>4.6842295999999999E-2</v>
      </c>
      <c r="AE1765" s="3">
        <v>7.0068174650000001</v>
      </c>
      <c r="AF1765" s="4">
        <v>42104</v>
      </c>
      <c r="AG1765" s="5">
        <f>YEAR(AF1765)</f>
        <v>2015</v>
      </c>
      <c r="AH1765" s="5" t="str">
        <f>"Q"&amp;ROUNDUP(MONTH(AF1765)/3,0)</f>
        <v>Q2</v>
      </c>
      <c r="AI1765" s="5">
        <f>INDEX(RatingLookup!$B$2:$B$11,MATCH(A1765,RatingLookup!$A$2:$A$11,0))</f>
        <v>6</v>
      </c>
      <c r="AJ1765" s="5" t="str">
        <f>INDEX(RatingLookup!$C$2:$C$11,MATCH(A1765,RatingLookup!$A$2:$A$11,0))</f>
        <v>Speculative Grade</v>
      </c>
    </row>
    <row r="1766" spans="1:36" x14ac:dyDescent="0.3">
      <c r="A1766" s="3" t="s">
        <v>92</v>
      </c>
      <c r="B1766" s="3" t="s">
        <v>1837</v>
      </c>
      <c r="C1766" s="3" t="s">
        <v>1838</v>
      </c>
      <c r="D1766" s="3" t="s">
        <v>47</v>
      </c>
      <c r="E1766" s="3" t="s">
        <v>1720</v>
      </c>
      <c r="F1766" s="3" t="s">
        <v>59</v>
      </c>
      <c r="G1766" s="3">
        <v>2.3386645239999999</v>
      </c>
      <c r="H1766" s="3">
        <v>0.83662206800000005</v>
      </c>
      <c r="I1766" s="3">
        <v>0.160680407</v>
      </c>
      <c r="J1766" s="3">
        <v>39.605311319999998</v>
      </c>
      <c r="K1766" s="3">
        <v>1.7008163E-2</v>
      </c>
      <c r="L1766" s="3">
        <v>2.6604736E-2</v>
      </c>
      <c r="M1766" s="3">
        <v>0.23599724599999999</v>
      </c>
      <c r="N1766" s="3">
        <v>5.0106843999999998E-2</v>
      </c>
      <c r="O1766" s="3">
        <v>1.9803827E-2</v>
      </c>
      <c r="P1766" s="3">
        <v>3.8099081E-2</v>
      </c>
      <c r="Q1766" s="3">
        <v>7.9644619999999999E-2</v>
      </c>
      <c r="R1766" s="3">
        <v>1.164371939</v>
      </c>
      <c r="S1766" s="3">
        <v>5.3057383180000004</v>
      </c>
      <c r="T1766" s="3">
        <v>3.0216781840000002</v>
      </c>
      <c r="U1766" s="3">
        <v>0.75134758300000004</v>
      </c>
      <c r="V1766" s="3">
        <v>0.36070922500000002</v>
      </c>
      <c r="W1766" s="3">
        <v>3.3058827999999998E-2</v>
      </c>
      <c r="X1766" s="3">
        <v>5.6424857000000002E-2</v>
      </c>
      <c r="Y1766" s="3">
        <v>1.165732604</v>
      </c>
      <c r="Z1766" s="3">
        <v>4.0216781839999998</v>
      </c>
      <c r="AA1766" s="3">
        <v>2.6604736E-2</v>
      </c>
      <c r="AB1766" s="3">
        <v>8.7623295970000008</v>
      </c>
      <c r="AC1766" s="3">
        <v>1.7068014709999999</v>
      </c>
      <c r="AD1766" s="3">
        <v>3.7765769999999997E-2</v>
      </c>
      <c r="AE1766" s="3">
        <v>7.7085545839999998</v>
      </c>
      <c r="AF1766" s="4">
        <v>42424</v>
      </c>
      <c r="AG1766" s="5">
        <f>YEAR(AF1766)</f>
        <v>2016</v>
      </c>
      <c r="AH1766" s="5" t="str">
        <f>"Q"&amp;ROUNDUP(MONTH(AF1766)/3,0)</f>
        <v>Q1</v>
      </c>
      <c r="AI1766" s="5">
        <f>INDEX(RatingLookup!$B$2:$B$11,MATCH(A1766,RatingLookup!$A$2:$A$11,0))</f>
        <v>6</v>
      </c>
      <c r="AJ1766" s="5" t="str">
        <f>INDEX(RatingLookup!$C$2:$C$11,MATCH(A1766,RatingLookup!$A$2:$A$11,0))</f>
        <v>Speculative Grade</v>
      </c>
    </row>
    <row r="1767" spans="1:36" x14ac:dyDescent="0.3">
      <c r="A1767" s="3" t="s">
        <v>92</v>
      </c>
      <c r="B1767" s="3" t="s">
        <v>1837</v>
      </c>
      <c r="C1767" s="3" t="s">
        <v>1838</v>
      </c>
      <c r="D1767" s="3" t="s">
        <v>47</v>
      </c>
      <c r="E1767" s="3" t="s">
        <v>399</v>
      </c>
      <c r="F1767" s="3" t="s">
        <v>59</v>
      </c>
      <c r="G1767" s="3">
        <v>2.4194475529999999</v>
      </c>
      <c r="H1767" s="3">
        <v>1.2589903149999999</v>
      </c>
      <c r="I1767" s="3">
        <v>0.50678843799999995</v>
      </c>
      <c r="J1767" s="3">
        <v>71.090316349999995</v>
      </c>
      <c r="K1767" s="3">
        <v>7.4126970000000002E-3</v>
      </c>
      <c r="L1767" s="3">
        <v>1.0673912000000001E-2</v>
      </c>
      <c r="M1767" s="3">
        <v>0.222801307</v>
      </c>
      <c r="N1767" s="3">
        <v>1.7558786999999999E-2</v>
      </c>
      <c r="O1767" s="3">
        <v>5.482659E-3</v>
      </c>
      <c r="P1767" s="3">
        <v>9.7648500000000003E-3</v>
      </c>
      <c r="Q1767" s="3">
        <v>1.3496268000000001E-2</v>
      </c>
      <c r="R1767" s="3">
        <v>0.73963084599999995</v>
      </c>
      <c r="S1767" s="3">
        <v>4.1088890720000002</v>
      </c>
      <c r="T1767" s="3">
        <v>1.461628079</v>
      </c>
      <c r="U1767" s="3">
        <v>0.59376479000000004</v>
      </c>
      <c r="V1767" s="3">
        <v>0.31190269300000001</v>
      </c>
      <c r="W1767" s="3">
        <v>0.51305864700000003</v>
      </c>
      <c r="X1767" s="3">
        <v>0.72316614099999998</v>
      </c>
      <c r="Y1767" s="3">
        <v>2.87926883</v>
      </c>
      <c r="Z1767" s="3">
        <v>2.461628079</v>
      </c>
      <c r="AA1767" s="3">
        <v>1.0673912000000001E-2</v>
      </c>
      <c r="AB1767" s="3">
        <v>8.9815787720000007</v>
      </c>
      <c r="AC1767" s="3">
        <v>1.409519449</v>
      </c>
      <c r="AD1767" s="3">
        <v>6.4238992999999994E-2</v>
      </c>
      <c r="AE1767" s="3">
        <v>5.4313288149999996</v>
      </c>
      <c r="AF1767" s="4">
        <v>40626</v>
      </c>
      <c r="AG1767" s="5">
        <f>YEAR(AF1767)</f>
        <v>2011</v>
      </c>
      <c r="AH1767" s="5" t="str">
        <f>"Q"&amp;ROUNDUP(MONTH(AF1767)/3,0)</f>
        <v>Q1</v>
      </c>
      <c r="AI1767" s="5">
        <f>INDEX(RatingLookup!$B$2:$B$11,MATCH(A1767,RatingLookup!$A$2:$A$11,0))</f>
        <v>6</v>
      </c>
      <c r="AJ1767" s="5" t="str">
        <f>INDEX(RatingLookup!$C$2:$C$11,MATCH(A1767,RatingLookup!$A$2:$A$11,0))</f>
        <v>Speculative Grade</v>
      </c>
    </row>
    <row r="1768" spans="1:36" x14ac:dyDescent="0.3">
      <c r="A1768" s="3" t="s">
        <v>92</v>
      </c>
      <c r="B1768" s="3" t="s">
        <v>1837</v>
      </c>
      <c r="C1768" s="3" t="s">
        <v>1838</v>
      </c>
      <c r="D1768" s="3" t="s">
        <v>47</v>
      </c>
      <c r="E1768" s="3" t="s">
        <v>630</v>
      </c>
      <c r="F1768" s="3" t="s">
        <v>59</v>
      </c>
      <c r="G1768" s="3">
        <v>3.022188651</v>
      </c>
      <c r="H1768" s="3">
        <v>1.644253666</v>
      </c>
      <c r="I1768" s="3">
        <v>0.76688747999999995</v>
      </c>
      <c r="J1768" s="3">
        <v>47.039755100000001</v>
      </c>
      <c r="K1768" s="3">
        <v>9.1400720000000008E-3</v>
      </c>
      <c r="L1768" s="3">
        <v>1.1788979E-2</v>
      </c>
      <c r="M1768" s="3">
        <v>0.22502545500000001</v>
      </c>
      <c r="N1768" s="3">
        <v>3.891153E-2</v>
      </c>
      <c r="O1768" s="3">
        <v>9.4181569999999999E-3</v>
      </c>
      <c r="P1768" s="3">
        <v>1.4314243000000001E-2</v>
      </c>
      <c r="Q1768" s="3">
        <v>2.6004658999999999E-2</v>
      </c>
      <c r="R1768" s="3">
        <v>1.030424783</v>
      </c>
      <c r="S1768" s="3">
        <v>5.2150588859999996</v>
      </c>
      <c r="T1768" s="3">
        <v>1.76111974</v>
      </c>
      <c r="U1768" s="3">
        <v>0.63782809399999996</v>
      </c>
      <c r="V1768" s="3">
        <v>0.22469349599999999</v>
      </c>
      <c r="W1768" s="3">
        <v>0.236092311</v>
      </c>
      <c r="X1768" s="3">
        <v>0.38056658399999999</v>
      </c>
      <c r="Y1768" s="3">
        <v>3.7495797120000001</v>
      </c>
      <c r="Z1768" s="3">
        <v>2.7611197399999998</v>
      </c>
      <c r="AA1768" s="3">
        <v>1.1788979E-2</v>
      </c>
      <c r="AB1768" s="3">
        <v>7.2188828459999996</v>
      </c>
      <c r="AC1768" s="3">
        <v>1.611939765</v>
      </c>
      <c r="AD1768" s="3">
        <v>4.8427178000000001E-2</v>
      </c>
      <c r="AE1768" s="3">
        <v>10.17854118</v>
      </c>
      <c r="AF1768" s="4">
        <v>41332</v>
      </c>
      <c r="AG1768" s="5">
        <f>YEAR(AF1768)</f>
        <v>2013</v>
      </c>
      <c r="AH1768" s="5" t="str">
        <f>"Q"&amp;ROUNDUP(MONTH(AF1768)/3,0)</f>
        <v>Q1</v>
      </c>
      <c r="AI1768" s="5">
        <f>INDEX(RatingLookup!$B$2:$B$11,MATCH(A1768,RatingLookup!$A$2:$A$11,0))</f>
        <v>6</v>
      </c>
      <c r="AJ1768" s="5" t="str">
        <f>INDEX(RatingLookup!$C$2:$C$11,MATCH(A1768,RatingLookup!$A$2:$A$11,0))</f>
        <v>Speculative Grade</v>
      </c>
    </row>
    <row r="1769" spans="1:36" x14ac:dyDescent="0.3">
      <c r="A1769" s="3" t="s">
        <v>42</v>
      </c>
      <c r="B1769" s="3" t="s">
        <v>1840</v>
      </c>
      <c r="C1769" s="3" t="s">
        <v>1841</v>
      </c>
      <c r="D1769" s="3" t="s">
        <v>60</v>
      </c>
      <c r="E1769" s="3" t="s">
        <v>46</v>
      </c>
      <c r="F1769" s="3" t="s">
        <v>41</v>
      </c>
      <c r="G1769" s="3">
        <v>2.1568738380000001</v>
      </c>
      <c r="H1769" s="3">
        <v>1.2650756970000001</v>
      </c>
      <c r="I1769" s="3">
        <v>0.41517397099999998</v>
      </c>
      <c r="J1769" s="3">
        <v>44.57659237</v>
      </c>
      <c r="K1769" s="3">
        <v>6.0313093999999998E-2</v>
      </c>
      <c r="L1769" s="3">
        <v>9.2936520999999994E-2</v>
      </c>
      <c r="M1769" s="3">
        <v>0.20684085499999999</v>
      </c>
      <c r="N1769" s="3">
        <v>0.104098261</v>
      </c>
      <c r="O1769" s="3">
        <v>6.5503447000000006E-2</v>
      </c>
      <c r="P1769" s="3">
        <v>0.11959927300000001</v>
      </c>
      <c r="Q1769" s="3">
        <v>0.17012089399999999</v>
      </c>
      <c r="R1769" s="3">
        <v>1.0860568230000001</v>
      </c>
      <c r="S1769" s="3">
        <v>1.7743567549999999</v>
      </c>
      <c r="T1769" s="3">
        <v>1.597128893</v>
      </c>
      <c r="U1769" s="3">
        <v>0.61495942599999998</v>
      </c>
      <c r="V1769" s="3">
        <v>0.35102914099999999</v>
      </c>
      <c r="W1769" s="3">
        <v>0.188996683</v>
      </c>
      <c r="X1769" s="3">
        <v>0.657739144</v>
      </c>
      <c r="Y1769" s="3">
        <v>1.5744502979999999</v>
      </c>
      <c r="Z1769" s="3">
        <v>2.5971288929999998</v>
      </c>
      <c r="AA1769" s="3">
        <v>9.2936520999999994E-2</v>
      </c>
      <c r="AB1769" s="3">
        <v>7.9214389059999997</v>
      </c>
      <c r="AC1769" s="3">
        <v>3.4801623670000001</v>
      </c>
      <c r="AD1769" s="3">
        <v>0.13186998599999999</v>
      </c>
      <c r="AE1769" s="3">
        <v>13.420070389999999</v>
      </c>
      <c r="AF1769" s="4">
        <v>41075</v>
      </c>
      <c r="AG1769" s="5">
        <f>YEAR(AF1769)</f>
        <v>2012</v>
      </c>
      <c r="AH1769" s="5" t="str">
        <f>"Q"&amp;ROUNDUP(MONTH(AF1769)/3,0)</f>
        <v>Q2</v>
      </c>
      <c r="AI1769" s="5">
        <f>INDEX(RatingLookup!$B$2:$B$11,MATCH(A1769,RatingLookup!$A$2:$A$11,0))</f>
        <v>7</v>
      </c>
      <c r="AJ1769" s="5" t="str">
        <f>INDEX(RatingLookup!$C$2:$C$11,MATCH(A1769,RatingLookup!$A$2:$A$11,0))</f>
        <v>Investment Grade</v>
      </c>
    </row>
    <row r="1770" spans="1:36" x14ac:dyDescent="0.3">
      <c r="A1770" s="3" t="s">
        <v>42</v>
      </c>
      <c r="B1770" s="3" t="s">
        <v>1840</v>
      </c>
      <c r="C1770" s="3" t="s">
        <v>1841</v>
      </c>
      <c r="D1770" s="3" t="s">
        <v>60</v>
      </c>
      <c r="E1770" s="3" t="s">
        <v>799</v>
      </c>
      <c r="F1770" s="3" t="s">
        <v>41</v>
      </c>
      <c r="G1770" s="3">
        <v>2.583633388</v>
      </c>
      <c r="H1770" s="3">
        <v>1.261865794</v>
      </c>
      <c r="I1770" s="3">
        <v>0.204418985</v>
      </c>
      <c r="J1770" s="3">
        <v>40.294313639999999</v>
      </c>
      <c r="K1770" s="3">
        <v>6.7081296999999998E-2</v>
      </c>
      <c r="L1770" s="3">
        <v>0.104961897</v>
      </c>
      <c r="M1770" s="3">
        <v>0.21007757199999999</v>
      </c>
      <c r="N1770" s="3">
        <v>0.120066295</v>
      </c>
      <c r="O1770" s="3">
        <v>7.3403758E-2</v>
      </c>
      <c r="P1770" s="3">
        <v>0.12966754599999999</v>
      </c>
      <c r="Q1770" s="3">
        <v>0.258051794</v>
      </c>
      <c r="R1770" s="3">
        <v>1.094250725</v>
      </c>
      <c r="S1770" s="3">
        <v>2.048082307</v>
      </c>
      <c r="T1770" s="3">
        <v>2.5155120279999998</v>
      </c>
      <c r="U1770" s="3">
        <v>0.71554641500000005</v>
      </c>
      <c r="V1770" s="3">
        <v>0.36089858400000002</v>
      </c>
      <c r="W1770" s="3">
        <v>0.429153648</v>
      </c>
      <c r="X1770" s="3">
        <v>3.256701031</v>
      </c>
      <c r="Y1770" s="3">
        <v>1.2876288659999999</v>
      </c>
      <c r="Z1770" s="3">
        <v>3.5155120279999998</v>
      </c>
      <c r="AA1770" s="3">
        <v>0.104961897</v>
      </c>
      <c r="AB1770" s="3">
        <v>8.768129858</v>
      </c>
      <c r="AC1770" s="3">
        <v>7.5886597939999998</v>
      </c>
      <c r="AD1770" s="3">
        <v>0.12577316099999999</v>
      </c>
      <c r="AE1770" s="3">
        <v>13.988199699999999</v>
      </c>
      <c r="AF1770" s="4">
        <v>41884</v>
      </c>
      <c r="AG1770" s="5">
        <f>YEAR(AF1770)</f>
        <v>2014</v>
      </c>
      <c r="AH1770" s="5" t="str">
        <f>"Q"&amp;ROUNDUP(MONTH(AF1770)/3,0)</f>
        <v>Q3</v>
      </c>
      <c r="AI1770" s="5">
        <f>INDEX(RatingLookup!$B$2:$B$11,MATCH(A1770,RatingLookup!$A$2:$A$11,0))</f>
        <v>7</v>
      </c>
      <c r="AJ1770" s="5" t="str">
        <f>INDEX(RatingLookup!$C$2:$C$11,MATCH(A1770,RatingLookup!$A$2:$A$11,0))</f>
        <v>Investment Grade</v>
      </c>
    </row>
    <row r="1771" spans="1:36" x14ac:dyDescent="0.3">
      <c r="A1771" s="3" t="s">
        <v>42</v>
      </c>
      <c r="B1771" s="3" t="s">
        <v>1840</v>
      </c>
      <c r="C1771" s="3" t="s">
        <v>1841</v>
      </c>
      <c r="D1771" s="3" t="s">
        <v>60</v>
      </c>
      <c r="E1771" s="3" t="s">
        <v>1842</v>
      </c>
      <c r="F1771" s="3" t="s">
        <v>41</v>
      </c>
      <c r="G1771" s="3">
        <v>2.2515006679999998</v>
      </c>
      <c r="H1771" s="3">
        <v>1.2626703340000001</v>
      </c>
      <c r="I1771" s="3">
        <v>0.28909723700000001</v>
      </c>
      <c r="J1771" s="3">
        <v>64.039719169999998</v>
      </c>
      <c r="K1771" s="3">
        <v>0.11903037900000001</v>
      </c>
      <c r="L1771" s="3">
        <v>0.11331435199999999</v>
      </c>
      <c r="M1771" s="3">
        <v>0.234410587</v>
      </c>
      <c r="N1771" s="3">
        <v>0.12921342499999999</v>
      </c>
      <c r="O1771" s="3">
        <v>8.3900996000000005E-2</v>
      </c>
      <c r="P1771" s="3">
        <v>9.1494205999999995E-2</v>
      </c>
      <c r="Q1771" s="3">
        <v>0.33227571700000003</v>
      </c>
      <c r="R1771" s="3">
        <v>0.70487044700000001</v>
      </c>
      <c r="S1771" s="3">
        <v>1.306377294</v>
      </c>
      <c r="T1771" s="3">
        <v>2.960330994</v>
      </c>
      <c r="U1771" s="3">
        <v>0.74749585299999999</v>
      </c>
      <c r="V1771" s="3">
        <v>-5.0443981999999998E-2</v>
      </c>
      <c r="W1771" s="3">
        <v>0.61456492200000001</v>
      </c>
      <c r="X1771" s="3">
        <v>3.8701891719999999</v>
      </c>
      <c r="Y1771" s="3">
        <v>1.977241429</v>
      </c>
      <c r="Z1771" s="3">
        <v>3.960330994</v>
      </c>
      <c r="AA1771" s="3">
        <v>0.11331435199999999</v>
      </c>
      <c r="AB1771" s="3">
        <v>12.343746680000001</v>
      </c>
      <c r="AC1771" s="3">
        <v>6.2974456139999999</v>
      </c>
      <c r="AD1771" s="3">
        <v>0.16593448599999999</v>
      </c>
      <c r="AE1771" s="3">
        <v>7.8507828059999998</v>
      </c>
      <c r="AF1771" s="4">
        <v>41562</v>
      </c>
      <c r="AG1771" s="5">
        <f>YEAR(AF1771)</f>
        <v>2013</v>
      </c>
      <c r="AH1771" s="5" t="str">
        <f>"Q"&amp;ROUNDUP(MONTH(AF1771)/3,0)</f>
        <v>Q4</v>
      </c>
      <c r="AI1771" s="5">
        <f>INDEX(RatingLookup!$B$2:$B$11,MATCH(A1771,RatingLookup!$A$2:$A$11,0))</f>
        <v>7</v>
      </c>
      <c r="AJ1771" s="5" t="str">
        <f>INDEX(RatingLookup!$C$2:$C$11,MATCH(A1771,RatingLookup!$A$2:$A$11,0))</f>
        <v>Investment Grade</v>
      </c>
    </row>
    <row r="1772" spans="1:36" x14ac:dyDescent="0.3">
      <c r="A1772" s="3" t="s">
        <v>36</v>
      </c>
      <c r="B1772" s="3" t="s">
        <v>1843</v>
      </c>
      <c r="C1772" s="3" t="s">
        <v>1844</v>
      </c>
      <c r="D1772" s="3" t="s">
        <v>60</v>
      </c>
      <c r="E1772" s="3" t="s">
        <v>46</v>
      </c>
      <c r="F1772" s="3" t="s">
        <v>232</v>
      </c>
      <c r="G1772" s="3">
        <v>1.5680047930000001</v>
      </c>
      <c r="H1772" s="3">
        <v>1.5680047930000001</v>
      </c>
      <c r="I1772" s="3">
        <v>3.8645895999999999E-2</v>
      </c>
      <c r="J1772" s="3">
        <v>0</v>
      </c>
      <c r="K1772" s="3">
        <v>7.5316769000000006E-2</v>
      </c>
      <c r="L1772" s="3">
        <v>0.15799532799999999</v>
      </c>
      <c r="M1772" s="3">
        <v>0.61145324599999995</v>
      </c>
      <c r="N1772" s="3">
        <v>7.5316769000000006E-2</v>
      </c>
      <c r="O1772" s="3">
        <v>1.4116086E-2</v>
      </c>
      <c r="P1772" s="3">
        <v>3.0984078000000002E-2</v>
      </c>
      <c r="Q1772" s="3">
        <v>5.6490576000000001E-2</v>
      </c>
      <c r="R1772" s="3">
        <v>0.18742288600000001</v>
      </c>
      <c r="S1772" s="3">
        <v>1.0373770010000001</v>
      </c>
      <c r="T1772" s="3">
        <v>3.001858243</v>
      </c>
      <c r="U1772" s="3">
        <v>0.75011608600000002</v>
      </c>
      <c r="V1772" s="3">
        <v>0.240143369</v>
      </c>
      <c r="W1772" s="3">
        <v>0.78385876399999999</v>
      </c>
      <c r="X1772" s="3">
        <v>7.682990137</v>
      </c>
      <c r="Y1772" s="3">
        <v>12.938471809999999</v>
      </c>
      <c r="Z1772" s="3">
        <v>4.001858243</v>
      </c>
      <c r="AA1772" s="3">
        <v>0.15799532799999999</v>
      </c>
      <c r="AB1772" s="3">
        <v>12.22287588</v>
      </c>
      <c r="AC1772" s="3">
        <v>9.8014980349999998</v>
      </c>
      <c r="AD1772" s="3">
        <v>0.28066822400000002</v>
      </c>
      <c r="AE1772" s="3">
        <v>23.557939910000002</v>
      </c>
      <c r="AF1772" s="4">
        <v>41075</v>
      </c>
      <c r="AG1772" s="5">
        <f>YEAR(AF1772)</f>
        <v>2012</v>
      </c>
      <c r="AH1772" s="5" t="str">
        <f>"Q"&amp;ROUNDUP(MONTH(AF1772)/3,0)</f>
        <v>Q2</v>
      </c>
      <c r="AI1772" s="5">
        <f>INDEX(RatingLookup!$B$2:$B$11,MATCH(A1772,RatingLookup!$A$2:$A$11,0))</f>
        <v>8</v>
      </c>
      <c r="AJ1772" s="5" t="str">
        <f>INDEX(RatingLookup!$C$2:$C$11,MATCH(A1772,RatingLookup!$A$2:$A$11,0))</f>
        <v>Investment Grade</v>
      </c>
    </row>
    <row r="1773" spans="1:36" x14ac:dyDescent="0.3">
      <c r="A1773" s="3" t="s">
        <v>92</v>
      </c>
      <c r="B1773" s="3" t="s">
        <v>1845</v>
      </c>
      <c r="C1773" s="3" t="s">
        <v>1846</v>
      </c>
      <c r="D1773" s="3" t="s">
        <v>39</v>
      </c>
      <c r="E1773" s="3" t="s">
        <v>600</v>
      </c>
      <c r="F1773" s="3" t="s">
        <v>41</v>
      </c>
      <c r="G1773" s="3">
        <v>1.745163287</v>
      </c>
      <c r="H1773" s="3">
        <v>0.795645669</v>
      </c>
      <c r="I1773" s="3">
        <v>0.25870447000000002</v>
      </c>
      <c r="J1773" s="3">
        <v>32.778582980000003</v>
      </c>
      <c r="K1773" s="3">
        <v>4.9996522000000002E-2</v>
      </c>
      <c r="L1773" s="3">
        <v>6.8210805999999999E-2</v>
      </c>
      <c r="M1773" s="3">
        <v>0.147563528</v>
      </c>
      <c r="N1773" s="3">
        <v>8.7414973000000007E-2</v>
      </c>
      <c r="O1773" s="3">
        <v>5.5829094000000003E-2</v>
      </c>
      <c r="P1773" s="3">
        <v>9.3660605999999993E-2</v>
      </c>
      <c r="Q1773" s="3">
        <v>0.25973918600000001</v>
      </c>
      <c r="R1773" s="3">
        <v>1.116659571</v>
      </c>
      <c r="S1773" s="3">
        <v>3.315786321</v>
      </c>
      <c r="T1773" s="3">
        <v>3.652398357</v>
      </c>
      <c r="U1773" s="3">
        <v>0.78505709899999998</v>
      </c>
      <c r="V1773" s="3">
        <v>0.27397504</v>
      </c>
      <c r="W1773" s="3">
        <v>0.70591807900000003</v>
      </c>
      <c r="X1773" s="3">
        <v>3.8529741340000001</v>
      </c>
      <c r="Y1773" s="3">
        <v>2.4973231239999998</v>
      </c>
      <c r="Z1773" s="3">
        <v>4.652398357</v>
      </c>
      <c r="AA1773" s="3">
        <v>6.8210805999999999E-2</v>
      </c>
      <c r="AB1773" s="3">
        <v>6.0864962330000001</v>
      </c>
      <c r="AC1773" s="3">
        <v>5.4581037759999997</v>
      </c>
      <c r="AD1773" s="3">
        <v>9.4567425999999996E-2</v>
      </c>
      <c r="AE1773" s="3">
        <v>8.9760017259999998</v>
      </c>
      <c r="AF1773" s="4">
        <v>41589</v>
      </c>
      <c r="AG1773" s="5">
        <f>YEAR(AF1773)</f>
        <v>2013</v>
      </c>
      <c r="AH1773" s="5" t="str">
        <f>"Q"&amp;ROUNDUP(MONTH(AF1773)/3,0)</f>
        <v>Q4</v>
      </c>
      <c r="AI1773" s="5">
        <f>INDEX(RatingLookup!$B$2:$B$11,MATCH(A1773,RatingLookup!$A$2:$A$11,0))</f>
        <v>6</v>
      </c>
      <c r="AJ1773" s="5" t="str">
        <f>INDEX(RatingLookup!$C$2:$C$11,MATCH(A1773,RatingLookup!$A$2:$A$11,0))</f>
        <v>Speculative Grade</v>
      </c>
    </row>
    <row r="1774" spans="1:36" x14ac:dyDescent="0.3">
      <c r="A1774" s="3" t="s">
        <v>92</v>
      </c>
      <c r="B1774" s="3" t="s">
        <v>1845</v>
      </c>
      <c r="C1774" s="3" t="s">
        <v>1846</v>
      </c>
      <c r="D1774" s="3" t="s">
        <v>39</v>
      </c>
      <c r="E1774" s="3" t="s">
        <v>985</v>
      </c>
      <c r="F1774" s="3" t="s">
        <v>41</v>
      </c>
      <c r="G1774" s="3">
        <v>1.7422482779999999</v>
      </c>
      <c r="H1774" s="3">
        <v>0.80251804900000001</v>
      </c>
      <c r="I1774" s="3">
        <v>0.33494391800000001</v>
      </c>
      <c r="J1774" s="3">
        <v>28.99367809</v>
      </c>
      <c r="K1774" s="3">
        <v>4.6625969000000003E-2</v>
      </c>
      <c r="L1774" s="3">
        <v>7.2742145999999994E-2</v>
      </c>
      <c r="M1774" s="3">
        <v>0.153339008</v>
      </c>
      <c r="N1774" s="3">
        <v>9.2247539000000003E-2</v>
      </c>
      <c r="O1774" s="3">
        <v>5.5204357000000003E-2</v>
      </c>
      <c r="P1774" s="3">
        <v>0.107810903</v>
      </c>
      <c r="Q1774" s="3">
        <v>0.25690465299999998</v>
      </c>
      <c r="R1774" s="3">
        <v>1.183983046</v>
      </c>
      <c r="S1774" s="3">
        <v>3.6777698280000002</v>
      </c>
      <c r="T1774" s="3">
        <v>3.653702483</v>
      </c>
      <c r="U1774" s="3">
        <v>0.78511733299999997</v>
      </c>
      <c r="V1774" s="3">
        <v>0.35902401</v>
      </c>
      <c r="W1774" s="3">
        <v>0.59294526199999997</v>
      </c>
      <c r="X1774" s="3">
        <v>3.225160029</v>
      </c>
      <c r="Y1774" s="3">
        <v>3.5094598430000001</v>
      </c>
      <c r="Z1774" s="3">
        <v>4.653702483</v>
      </c>
      <c r="AA1774" s="3">
        <v>7.2742145999999994E-2</v>
      </c>
      <c r="AB1774" s="3">
        <v>5.8600596710000001</v>
      </c>
      <c r="AC1774" s="3">
        <v>5.4392205090000001</v>
      </c>
      <c r="AD1774" s="3">
        <v>8.8191851000000002E-2</v>
      </c>
      <c r="AE1774" s="3">
        <v>7.8129769639999997</v>
      </c>
      <c r="AF1774" s="4">
        <v>41844</v>
      </c>
      <c r="AG1774" s="5">
        <f>YEAR(AF1774)</f>
        <v>2014</v>
      </c>
      <c r="AH1774" s="5" t="str">
        <f>"Q"&amp;ROUNDUP(MONTH(AF1774)/3,0)</f>
        <v>Q3</v>
      </c>
      <c r="AI1774" s="5">
        <f>INDEX(RatingLookup!$B$2:$B$11,MATCH(A1774,RatingLookup!$A$2:$A$11,0))</f>
        <v>6</v>
      </c>
      <c r="AJ1774" s="5" t="str">
        <f>INDEX(RatingLookup!$C$2:$C$11,MATCH(A1774,RatingLookup!$A$2:$A$11,0))</f>
        <v>Speculative Grade</v>
      </c>
    </row>
    <row r="1775" spans="1:36" x14ac:dyDescent="0.3">
      <c r="A1775" s="3" t="s">
        <v>92</v>
      </c>
      <c r="B1775" s="3" t="s">
        <v>1845</v>
      </c>
      <c r="C1775" s="3" t="s">
        <v>1846</v>
      </c>
      <c r="D1775" s="3" t="s">
        <v>60</v>
      </c>
      <c r="E1775" s="3" t="s">
        <v>46</v>
      </c>
      <c r="F1775" s="3" t="s">
        <v>41</v>
      </c>
      <c r="G1775" s="3">
        <v>2.239710557</v>
      </c>
      <c r="H1775" s="3">
        <v>1.2376551039999999</v>
      </c>
      <c r="I1775" s="3">
        <v>0.66684858999999996</v>
      </c>
      <c r="J1775" s="3">
        <v>35.354448429999998</v>
      </c>
      <c r="K1775" s="3">
        <v>5.5047166000000002E-2</v>
      </c>
      <c r="L1775" s="3">
        <v>7.5967156999999993E-2</v>
      </c>
      <c r="M1775" s="3">
        <v>0.147778984</v>
      </c>
      <c r="N1775" s="3">
        <v>0.100911397</v>
      </c>
      <c r="O1775" s="3">
        <v>6.4843021000000001E-2</v>
      </c>
      <c r="P1775" s="3">
        <v>0.11184184599999999</v>
      </c>
      <c r="Q1775" s="3">
        <v>0.29357866500000002</v>
      </c>
      <c r="R1775" s="3">
        <v>1.17795385</v>
      </c>
      <c r="S1775" s="3">
        <v>3.2959525049999998</v>
      </c>
      <c r="T1775" s="3">
        <v>3.5275291260000001</v>
      </c>
      <c r="U1775" s="3">
        <v>0.779128975</v>
      </c>
      <c r="V1775" s="3">
        <v>0.36383756099999998</v>
      </c>
      <c r="W1775" s="3">
        <v>0.51886078800000002</v>
      </c>
      <c r="X1775" s="3">
        <v>2.665480885</v>
      </c>
      <c r="Y1775" s="3">
        <v>5.6731956109999997</v>
      </c>
      <c r="Z1775" s="3">
        <v>4.5275291260000001</v>
      </c>
      <c r="AA1775" s="3">
        <v>7.5967156999999993E-2</v>
      </c>
      <c r="AB1775" s="3">
        <v>4.705433287</v>
      </c>
      <c r="AC1775" s="3">
        <v>5.1371792669999996</v>
      </c>
      <c r="AD1775" s="3">
        <v>0.10246758</v>
      </c>
      <c r="AE1775" s="3">
        <v>9.3650853789999999</v>
      </c>
      <c r="AF1775" s="4">
        <v>41075</v>
      </c>
      <c r="AG1775" s="5">
        <f>YEAR(AF1775)</f>
        <v>2012</v>
      </c>
      <c r="AH1775" s="5" t="str">
        <f>"Q"&amp;ROUNDUP(MONTH(AF1775)/3,0)</f>
        <v>Q2</v>
      </c>
      <c r="AI1775" s="5">
        <f>INDEX(RatingLookup!$B$2:$B$11,MATCH(A1775,RatingLookup!$A$2:$A$11,0))</f>
        <v>6</v>
      </c>
      <c r="AJ1775" s="5" t="str">
        <f>INDEX(RatingLookup!$C$2:$C$11,MATCH(A1775,RatingLookup!$A$2:$A$11,0))</f>
        <v>Speculative Grade</v>
      </c>
    </row>
    <row r="1776" spans="1:36" x14ac:dyDescent="0.3">
      <c r="A1776" s="3" t="s">
        <v>92</v>
      </c>
      <c r="B1776" s="3" t="s">
        <v>1845</v>
      </c>
      <c r="C1776" s="3" t="s">
        <v>1846</v>
      </c>
      <c r="D1776" s="3" t="s">
        <v>39</v>
      </c>
      <c r="E1776" s="3" t="s">
        <v>705</v>
      </c>
      <c r="F1776" s="3" t="s">
        <v>41</v>
      </c>
      <c r="G1776" s="3">
        <v>1.337993607</v>
      </c>
      <c r="H1776" s="3">
        <v>0.48768517700000003</v>
      </c>
      <c r="I1776" s="3">
        <v>0.12793565900000001</v>
      </c>
      <c r="J1776" s="3">
        <v>27.2531231</v>
      </c>
      <c r="K1776" s="3">
        <v>4.5806145E-2</v>
      </c>
      <c r="L1776" s="3">
        <v>6.7185959000000003E-2</v>
      </c>
      <c r="M1776" s="3">
        <v>0.147218456</v>
      </c>
      <c r="N1776" s="3">
        <v>8.4966648000000006E-2</v>
      </c>
      <c r="O1776" s="3">
        <v>5.400261E-2</v>
      </c>
      <c r="P1776" s="3">
        <v>0.104868159</v>
      </c>
      <c r="Q1776" s="3">
        <v>0.26973923</v>
      </c>
      <c r="R1776" s="3">
        <v>1.1789381269999999</v>
      </c>
      <c r="S1776" s="3">
        <v>3.344464753</v>
      </c>
      <c r="T1776" s="3">
        <v>3.994929473</v>
      </c>
      <c r="U1776" s="3">
        <v>0.79979697299999997</v>
      </c>
      <c r="V1776" s="3">
        <v>0.31821848600000002</v>
      </c>
      <c r="W1776" s="3">
        <v>0.292493277</v>
      </c>
      <c r="X1776" s="3">
        <v>1.607708822</v>
      </c>
      <c r="Y1776" s="3">
        <v>1.637878763</v>
      </c>
      <c r="Z1776" s="3">
        <v>4.994929473</v>
      </c>
      <c r="AA1776" s="3">
        <v>6.7185959000000003E-2</v>
      </c>
      <c r="AB1776" s="3">
        <v>6.4921636989999998</v>
      </c>
      <c r="AC1776" s="3">
        <v>5.496566756</v>
      </c>
      <c r="AD1776" s="3">
        <v>8.9109613000000004E-2</v>
      </c>
      <c r="AE1776" s="3">
        <v>6.7268232980000002</v>
      </c>
      <c r="AF1776" s="4">
        <v>42300</v>
      </c>
      <c r="AG1776" s="5">
        <f>YEAR(AF1776)</f>
        <v>2015</v>
      </c>
      <c r="AH1776" s="5" t="str">
        <f>"Q"&amp;ROUNDUP(MONTH(AF1776)/3,0)</f>
        <v>Q4</v>
      </c>
      <c r="AI1776" s="5">
        <f>INDEX(RatingLookup!$B$2:$B$11,MATCH(A1776,RatingLookup!$A$2:$A$11,0))</f>
        <v>6</v>
      </c>
      <c r="AJ1776" s="5" t="str">
        <f>INDEX(RatingLookup!$C$2:$C$11,MATCH(A1776,RatingLookup!$A$2:$A$11,0))</f>
        <v>Speculative Grade</v>
      </c>
    </row>
    <row r="1777" spans="1:36" x14ac:dyDescent="0.3">
      <c r="A1777" s="3" t="s">
        <v>42</v>
      </c>
      <c r="B1777" s="3" t="s">
        <v>1847</v>
      </c>
      <c r="C1777" s="3" t="s">
        <v>1848</v>
      </c>
      <c r="D1777" s="3" t="s">
        <v>60</v>
      </c>
      <c r="E1777" s="3" t="s">
        <v>1849</v>
      </c>
      <c r="F1777" s="3" t="s">
        <v>113</v>
      </c>
      <c r="G1777" s="3">
        <v>1.8368627449999999</v>
      </c>
      <c r="H1777" s="3">
        <v>1.5749019609999999</v>
      </c>
      <c r="I1777" s="3">
        <v>0.20486274500000001</v>
      </c>
      <c r="J1777" s="3">
        <v>6.838036089</v>
      </c>
      <c r="K1777" s="3">
        <v>3.1232428999999999E-2</v>
      </c>
      <c r="L1777" s="3">
        <v>4.8842202000000001E-2</v>
      </c>
      <c r="M1777" s="3">
        <v>1</v>
      </c>
      <c r="N1777" s="3">
        <v>5.1525840000000003E-2</v>
      </c>
      <c r="O1777" s="3">
        <v>6.1164221999999997E-2</v>
      </c>
      <c r="P1777" s="3">
        <v>0.14047339</v>
      </c>
      <c r="Q1777" s="3">
        <v>0.13812591799999999</v>
      </c>
      <c r="R1777" s="3">
        <v>1.958356274</v>
      </c>
      <c r="S1777" s="3">
        <v>35.633879780000001</v>
      </c>
      <c r="T1777" s="3">
        <v>1.2582796430000001</v>
      </c>
      <c r="U1777" s="3">
        <v>0.55718504400000002</v>
      </c>
      <c r="V1777" s="3">
        <v>0.36054421800000003</v>
      </c>
      <c r="W1777" s="3">
        <v>0.78679147199999999</v>
      </c>
      <c r="X1777" s="3">
        <v>9.3693492850000002</v>
      </c>
      <c r="Y1777" s="3">
        <v>57.634192859999999</v>
      </c>
      <c r="Z1777" s="3">
        <v>2.2582796429999998</v>
      </c>
      <c r="AA1777" s="3">
        <v>4.8842202000000001E-2</v>
      </c>
      <c r="AB1777" s="3">
        <v>5.6561448939999996</v>
      </c>
      <c r="AC1777" s="3">
        <v>11.90830051</v>
      </c>
      <c r="AD1777" s="3">
        <v>4.9148904E-2</v>
      </c>
      <c r="AE1777" s="3">
        <v>0</v>
      </c>
      <c r="AF1777" s="4">
        <v>41248</v>
      </c>
      <c r="AG1777" s="5">
        <f>YEAR(AF1777)</f>
        <v>2012</v>
      </c>
      <c r="AH1777" s="5" t="str">
        <f>"Q"&amp;ROUNDUP(MONTH(AF1777)/3,0)</f>
        <v>Q4</v>
      </c>
      <c r="AI1777" s="5">
        <f>INDEX(RatingLookup!$B$2:$B$11,MATCH(A1777,RatingLookup!$A$2:$A$11,0))</f>
        <v>7</v>
      </c>
      <c r="AJ1777" s="5" t="str">
        <f>INDEX(RatingLookup!$C$2:$C$11,MATCH(A1777,RatingLookup!$A$2:$A$11,0))</f>
        <v>Investment Grade</v>
      </c>
    </row>
    <row r="1778" spans="1:36" x14ac:dyDescent="0.3">
      <c r="A1778" s="3" t="s">
        <v>42</v>
      </c>
      <c r="B1778" s="3" t="s">
        <v>1847</v>
      </c>
      <c r="C1778" s="3" t="s">
        <v>1848</v>
      </c>
      <c r="D1778" s="3" t="s">
        <v>60</v>
      </c>
      <c r="E1778" s="3" t="s">
        <v>46</v>
      </c>
      <c r="F1778" s="3" t="s">
        <v>113</v>
      </c>
      <c r="G1778" s="3">
        <v>1.846268164</v>
      </c>
      <c r="H1778" s="3">
        <v>1.6766842799999999</v>
      </c>
      <c r="I1778" s="3">
        <v>0.22737780699999999</v>
      </c>
      <c r="J1778" s="3">
        <v>10.24679626</v>
      </c>
      <c r="K1778" s="3">
        <v>3.8526281000000002E-2</v>
      </c>
      <c r="L1778" s="3">
        <v>6.0680930000000001E-2</v>
      </c>
      <c r="M1778" s="3">
        <v>1</v>
      </c>
      <c r="N1778" s="3">
        <v>6.3640313000000004E-2</v>
      </c>
      <c r="O1778" s="3">
        <v>8.0133273000000005E-2</v>
      </c>
      <c r="P1778" s="3">
        <v>0.19181256399999999</v>
      </c>
      <c r="Q1778" s="3">
        <v>0.17598908599999999</v>
      </c>
      <c r="R1778" s="3">
        <v>2.0799638580000002</v>
      </c>
      <c r="S1778" s="3">
        <v>40.385964909999998</v>
      </c>
      <c r="T1778" s="3">
        <v>1.1962048869999999</v>
      </c>
      <c r="U1778" s="3">
        <v>0.54466907600000003</v>
      </c>
      <c r="V1778" s="3">
        <v>0.36510067099999999</v>
      </c>
      <c r="W1778" s="3">
        <v>0.83357383399999996</v>
      </c>
      <c r="X1778" s="3">
        <v>10.47680654</v>
      </c>
      <c r="Y1778" s="3">
        <v>55.134723389999998</v>
      </c>
      <c r="Z1778" s="3">
        <v>2.1962048869999999</v>
      </c>
      <c r="AA1778" s="3">
        <v>6.0680930000000001E-2</v>
      </c>
      <c r="AB1778" s="3">
        <v>5.617594435</v>
      </c>
      <c r="AC1778" s="3">
        <v>12.568540560000001</v>
      </c>
      <c r="AD1778" s="3">
        <v>5.6445481999999998E-2</v>
      </c>
      <c r="AE1778" s="3">
        <v>0</v>
      </c>
      <c r="AF1778" s="4">
        <v>41075</v>
      </c>
      <c r="AG1778" s="5">
        <f>YEAR(AF1778)</f>
        <v>2012</v>
      </c>
      <c r="AH1778" s="5" t="str">
        <f>"Q"&amp;ROUNDUP(MONTH(AF1778)/3,0)</f>
        <v>Q2</v>
      </c>
      <c r="AI1778" s="5">
        <f>INDEX(RatingLookup!$B$2:$B$11,MATCH(A1778,RatingLookup!$A$2:$A$11,0))</f>
        <v>7</v>
      </c>
      <c r="AJ1778" s="5" t="str">
        <f>INDEX(RatingLookup!$C$2:$C$11,MATCH(A1778,RatingLookup!$A$2:$A$11,0))</f>
        <v>Investment Grade</v>
      </c>
    </row>
    <row r="1779" spans="1:36" x14ac:dyDescent="0.3">
      <c r="A1779" s="3" t="s">
        <v>42</v>
      </c>
      <c r="B1779" s="3" t="s">
        <v>1847</v>
      </c>
      <c r="C1779" s="3" t="s">
        <v>1848</v>
      </c>
      <c r="D1779" s="3" t="s">
        <v>60</v>
      </c>
      <c r="E1779" s="3" t="s">
        <v>341</v>
      </c>
      <c r="F1779" s="3" t="s">
        <v>113</v>
      </c>
      <c r="G1779" s="3">
        <v>2.0002719240000002</v>
      </c>
      <c r="H1779" s="3">
        <v>1.45492862</v>
      </c>
      <c r="I1779" s="3">
        <v>0.26308633599999998</v>
      </c>
      <c r="J1779" s="3">
        <v>8.7901030930000008</v>
      </c>
      <c r="K1779" s="3">
        <v>2.3649485000000001E-2</v>
      </c>
      <c r="L1779" s="3">
        <v>4.4742268000000002E-2</v>
      </c>
      <c r="M1779" s="3">
        <v>1</v>
      </c>
      <c r="N1779" s="3">
        <v>4.8701030999999999E-2</v>
      </c>
      <c r="O1779" s="3">
        <v>4.8879230000000003E-2</v>
      </c>
      <c r="P1779" s="3">
        <v>0.134690584</v>
      </c>
      <c r="Q1779" s="3">
        <v>0.118909392</v>
      </c>
      <c r="R1779" s="3">
        <v>2.0668200799999998</v>
      </c>
      <c r="S1779" s="3">
        <v>34.178999300000001</v>
      </c>
      <c r="T1779" s="3">
        <v>1.4327182249999999</v>
      </c>
      <c r="U1779" s="3">
        <v>0.588937186</v>
      </c>
      <c r="V1779" s="3">
        <v>0.47142857100000002</v>
      </c>
      <c r="W1779" s="3">
        <v>0.67367119900000005</v>
      </c>
      <c r="X1779" s="3">
        <v>7.0693378820000001</v>
      </c>
      <c r="Y1779" s="3">
        <v>61.827521130000001</v>
      </c>
      <c r="Z1779" s="3">
        <v>2.4327182249999999</v>
      </c>
      <c r="AA1779" s="3">
        <v>4.4742268000000002E-2</v>
      </c>
      <c r="AB1779" s="3">
        <v>8.7047827390000005</v>
      </c>
      <c r="AC1779" s="3">
        <v>10.49375109</v>
      </c>
      <c r="AD1779" s="3">
        <v>3.3360824999999997E-2</v>
      </c>
      <c r="AE1779" s="3">
        <v>0</v>
      </c>
      <c r="AF1779" s="4">
        <v>41898</v>
      </c>
      <c r="AG1779" s="5">
        <f>YEAR(AF1779)</f>
        <v>2014</v>
      </c>
      <c r="AH1779" s="5" t="str">
        <f>"Q"&amp;ROUNDUP(MONTH(AF1779)/3,0)</f>
        <v>Q3</v>
      </c>
      <c r="AI1779" s="5">
        <f>INDEX(RatingLookup!$B$2:$B$11,MATCH(A1779,RatingLookup!$A$2:$A$11,0))</f>
        <v>7</v>
      </c>
      <c r="AJ1779" s="5" t="str">
        <f>INDEX(RatingLookup!$C$2:$C$11,MATCH(A1779,RatingLookup!$A$2:$A$11,0))</f>
        <v>Investment Grade</v>
      </c>
    </row>
    <row r="1780" spans="1:36" x14ac:dyDescent="0.3">
      <c r="A1780" s="3" t="s">
        <v>42</v>
      </c>
      <c r="B1780" s="3" t="s">
        <v>1850</v>
      </c>
      <c r="C1780" s="3" t="s">
        <v>1851</v>
      </c>
      <c r="D1780" s="3" t="s">
        <v>39</v>
      </c>
      <c r="E1780" s="3" t="s">
        <v>1852</v>
      </c>
      <c r="F1780" s="3" t="s">
        <v>41</v>
      </c>
      <c r="G1780" s="3">
        <v>0.68248553199999995</v>
      </c>
      <c r="H1780" s="3">
        <v>0.49001814900000001</v>
      </c>
      <c r="I1780" s="3">
        <v>0.13170949900000001</v>
      </c>
      <c r="J1780" s="3">
        <v>24.780411000000001</v>
      </c>
      <c r="K1780" s="3">
        <v>0.119345408</v>
      </c>
      <c r="L1780" s="3">
        <v>0.17751878300000001</v>
      </c>
      <c r="M1780" s="3">
        <v>0.63784450199999998</v>
      </c>
      <c r="N1780" s="3">
        <v>0.198695763</v>
      </c>
      <c r="O1780" s="3">
        <v>0.118333964</v>
      </c>
      <c r="P1780" s="3">
        <v>0.24336298000000001</v>
      </c>
      <c r="Q1780" s="3">
        <v>0.308563592</v>
      </c>
      <c r="R1780" s="3">
        <v>0.99152506699999998</v>
      </c>
      <c r="S1780" s="3">
        <v>19.105508830000002</v>
      </c>
      <c r="T1780" s="3">
        <v>1.6075657489999999</v>
      </c>
      <c r="U1780" s="3">
        <v>0.61650056200000003</v>
      </c>
      <c r="V1780" s="3">
        <v>0.32770264599999999</v>
      </c>
      <c r="W1780" s="3">
        <v>0.85335330499999995</v>
      </c>
      <c r="X1780" s="3">
        <v>4.8021353879999999</v>
      </c>
      <c r="Y1780" s="3">
        <v>2.31408674</v>
      </c>
      <c r="Z1780" s="3">
        <v>2.6075657489999999</v>
      </c>
      <c r="AA1780" s="3">
        <v>0.17751878300000001</v>
      </c>
      <c r="AB1780" s="3">
        <v>8.5650729989999999</v>
      </c>
      <c r="AC1780" s="3">
        <v>5.6273707030000004</v>
      </c>
      <c r="AD1780" s="3">
        <v>0.167491796</v>
      </c>
      <c r="AE1780" s="3">
        <v>6.9514538620000002</v>
      </c>
      <c r="AF1780" s="4">
        <v>42122</v>
      </c>
      <c r="AG1780" s="5">
        <f>YEAR(AF1780)</f>
        <v>2015</v>
      </c>
      <c r="AH1780" s="5" t="str">
        <f>"Q"&amp;ROUNDUP(MONTH(AF1780)/3,0)</f>
        <v>Q2</v>
      </c>
      <c r="AI1780" s="5">
        <f>INDEX(RatingLookup!$B$2:$B$11,MATCH(A1780,RatingLookup!$A$2:$A$11,0))</f>
        <v>7</v>
      </c>
      <c r="AJ1780" s="5" t="str">
        <f>INDEX(RatingLookup!$C$2:$C$11,MATCH(A1780,RatingLookup!$A$2:$A$11,0))</f>
        <v>Investment Grade</v>
      </c>
    </row>
    <row r="1781" spans="1:36" x14ac:dyDescent="0.3">
      <c r="A1781" s="3" t="s">
        <v>42</v>
      </c>
      <c r="B1781" s="3" t="s">
        <v>1850</v>
      </c>
      <c r="C1781" s="3" t="s">
        <v>1851</v>
      </c>
      <c r="D1781" s="3" t="s">
        <v>39</v>
      </c>
      <c r="E1781" s="3" t="s">
        <v>264</v>
      </c>
      <c r="F1781" s="3" t="s">
        <v>41</v>
      </c>
      <c r="G1781" s="3">
        <v>0.65156477300000004</v>
      </c>
      <c r="H1781" s="3">
        <v>0.52749295500000004</v>
      </c>
      <c r="I1781" s="3">
        <v>0.24708460600000001</v>
      </c>
      <c r="J1781" s="3">
        <v>20.278519889999998</v>
      </c>
      <c r="K1781" s="3">
        <v>0.117774592</v>
      </c>
      <c r="L1781" s="3">
        <v>0.17734398300000001</v>
      </c>
      <c r="M1781" s="3">
        <v>0.64594428199999998</v>
      </c>
      <c r="N1781" s="3">
        <v>0.20059893100000001</v>
      </c>
      <c r="O1781" s="3">
        <v>0.11892230099999999</v>
      </c>
      <c r="P1781" s="3">
        <v>0.26037048200000001</v>
      </c>
      <c r="Q1781" s="3">
        <v>0.339085523</v>
      </c>
      <c r="R1781" s="3">
        <v>1.0097449620000001</v>
      </c>
      <c r="S1781" s="3">
        <v>15.638218719999999</v>
      </c>
      <c r="T1781" s="3">
        <v>1.851319903</v>
      </c>
      <c r="U1781" s="3">
        <v>0.64928523100000002</v>
      </c>
      <c r="V1781" s="3">
        <v>0.33589744500000002</v>
      </c>
      <c r="W1781" s="3">
        <v>0.85675444199999995</v>
      </c>
      <c r="X1781" s="3">
        <v>4.432106825</v>
      </c>
      <c r="Y1781" s="3">
        <v>3.3721068249999999</v>
      </c>
      <c r="Z1781" s="3">
        <v>2.8513199029999998</v>
      </c>
      <c r="AA1781" s="3">
        <v>0.17734398300000001</v>
      </c>
      <c r="AB1781" s="3">
        <v>7.5447540440000003</v>
      </c>
      <c r="AC1781" s="3">
        <v>5.1731355089999997</v>
      </c>
      <c r="AD1781" s="3">
        <v>0.165003811</v>
      </c>
      <c r="AE1781" s="3">
        <v>7.8486543949999996</v>
      </c>
      <c r="AF1781" s="4">
        <v>41771</v>
      </c>
      <c r="AG1781" s="5">
        <f>YEAR(AF1781)</f>
        <v>2014</v>
      </c>
      <c r="AH1781" s="5" t="str">
        <f>"Q"&amp;ROUNDUP(MONTH(AF1781)/3,0)</f>
        <v>Q2</v>
      </c>
      <c r="AI1781" s="5">
        <f>INDEX(RatingLookup!$B$2:$B$11,MATCH(A1781,RatingLookup!$A$2:$A$11,0))</f>
        <v>7</v>
      </c>
      <c r="AJ1781" s="5" t="str">
        <f>INDEX(RatingLookup!$C$2:$C$11,MATCH(A1781,RatingLookup!$A$2:$A$11,0))</f>
        <v>Investment Grade</v>
      </c>
    </row>
    <row r="1782" spans="1:36" x14ac:dyDescent="0.3">
      <c r="A1782" s="3" t="s">
        <v>92</v>
      </c>
      <c r="B1782" s="3" t="s">
        <v>1850</v>
      </c>
      <c r="C1782" s="3" t="s">
        <v>1851</v>
      </c>
      <c r="D1782" s="3" t="s">
        <v>60</v>
      </c>
      <c r="E1782" s="3" t="s">
        <v>46</v>
      </c>
      <c r="F1782" s="3" t="s">
        <v>41</v>
      </c>
      <c r="G1782" s="3">
        <v>0.64113234799999996</v>
      </c>
      <c r="H1782" s="3">
        <v>0.497125184</v>
      </c>
      <c r="I1782" s="3">
        <v>9.5506496999999996E-2</v>
      </c>
      <c r="J1782" s="3">
        <v>17.77191457</v>
      </c>
      <c r="K1782" s="3">
        <v>0.102000147</v>
      </c>
      <c r="L1782" s="3">
        <v>0.15242988800000001</v>
      </c>
      <c r="M1782" s="3">
        <v>0.65194456000000001</v>
      </c>
      <c r="N1782" s="3">
        <v>0.19120962499999999</v>
      </c>
      <c r="O1782" s="3">
        <v>0.104114389</v>
      </c>
      <c r="P1782" s="3">
        <v>0.198525966</v>
      </c>
      <c r="Q1782" s="3">
        <v>0.47770153500000001</v>
      </c>
      <c r="R1782" s="3">
        <v>1.0207278319999999</v>
      </c>
      <c r="S1782" s="3">
        <v>12.499634070000001</v>
      </c>
      <c r="T1782" s="3">
        <v>3.5882374320000001</v>
      </c>
      <c r="U1782" s="3">
        <v>0.78205138399999996</v>
      </c>
      <c r="V1782" s="3">
        <v>0.330838933</v>
      </c>
      <c r="W1782" s="3">
        <v>1</v>
      </c>
      <c r="X1782" s="3">
        <v>4.6117838390000001</v>
      </c>
      <c r="Y1782" s="3">
        <v>1.573340387</v>
      </c>
      <c r="Z1782" s="3">
        <v>4.5882374319999997</v>
      </c>
      <c r="AA1782" s="3">
        <v>0.15242988800000001</v>
      </c>
      <c r="AB1782" s="3">
        <v>5.6060871880000001</v>
      </c>
      <c r="AC1782" s="3">
        <v>4.6117838390000001</v>
      </c>
      <c r="AD1782" s="3">
        <v>0.166032494</v>
      </c>
      <c r="AE1782" s="3">
        <v>7.6267041769999997</v>
      </c>
      <c r="AF1782" s="4">
        <v>41075</v>
      </c>
      <c r="AG1782" s="5">
        <f>YEAR(AF1782)</f>
        <v>2012</v>
      </c>
      <c r="AH1782" s="5" t="str">
        <f>"Q"&amp;ROUNDUP(MONTH(AF1782)/3,0)</f>
        <v>Q2</v>
      </c>
      <c r="AI1782" s="5">
        <f>INDEX(RatingLookup!$B$2:$B$11,MATCH(A1782,RatingLookup!$A$2:$A$11,0))</f>
        <v>6</v>
      </c>
      <c r="AJ1782" s="5" t="str">
        <f>INDEX(RatingLookup!$C$2:$C$11,MATCH(A1782,RatingLookup!$A$2:$A$11,0))</f>
        <v>Speculative Grade</v>
      </c>
    </row>
    <row r="1783" spans="1:36" x14ac:dyDescent="0.3">
      <c r="A1783" s="3" t="s">
        <v>42</v>
      </c>
      <c r="B1783" s="3" t="s">
        <v>1850</v>
      </c>
      <c r="C1783" s="3" t="s">
        <v>1851</v>
      </c>
      <c r="D1783" s="3" t="s">
        <v>39</v>
      </c>
      <c r="E1783" s="3" t="s">
        <v>1853</v>
      </c>
      <c r="F1783" s="3" t="s">
        <v>41</v>
      </c>
      <c r="G1783" s="3">
        <v>0.43404705199999999</v>
      </c>
      <c r="H1783" s="3">
        <v>0.31878867100000002</v>
      </c>
      <c r="I1783" s="3">
        <v>8.3120406999999993E-2</v>
      </c>
      <c r="J1783" s="3">
        <v>25.458752929999999</v>
      </c>
      <c r="K1783" s="3">
        <v>0.12332293699999999</v>
      </c>
      <c r="L1783" s="3">
        <v>0.18498638000000001</v>
      </c>
      <c r="M1783" s="3">
        <v>0.63943881400000002</v>
      </c>
      <c r="N1783" s="3">
        <v>0.19986890900000001</v>
      </c>
      <c r="O1783" s="3">
        <v>0.118536523</v>
      </c>
      <c r="P1783" s="3">
        <v>0.29994448299999998</v>
      </c>
      <c r="Q1783" s="3">
        <v>0.29343456800000001</v>
      </c>
      <c r="R1783" s="3">
        <v>0.96118796200000001</v>
      </c>
      <c r="S1783" s="3">
        <v>20.67859142</v>
      </c>
      <c r="T1783" s="3">
        <v>1.4754781100000001</v>
      </c>
      <c r="U1783" s="3">
        <v>0.59603763200000004</v>
      </c>
      <c r="V1783" s="3">
        <v>0.33334044800000001</v>
      </c>
      <c r="W1783" s="3">
        <v>0.85951164700000005</v>
      </c>
      <c r="X1783" s="3">
        <v>5.3528567090000001</v>
      </c>
      <c r="Y1783" s="3">
        <v>2.3413894229999999</v>
      </c>
      <c r="Z1783" s="3">
        <v>2.4754781100000001</v>
      </c>
      <c r="AA1783" s="3">
        <v>0.18498638000000001</v>
      </c>
      <c r="AB1783" s="3">
        <v>6.4450777280000002</v>
      </c>
      <c r="AC1783" s="3">
        <v>6.2277884520000004</v>
      </c>
      <c r="AD1783" s="3">
        <v>0.17369700299999999</v>
      </c>
      <c r="AE1783" s="3">
        <v>7.2989894380000004</v>
      </c>
      <c r="AF1783" s="4">
        <v>42292</v>
      </c>
      <c r="AG1783" s="5">
        <f>YEAR(AF1783)</f>
        <v>2015</v>
      </c>
      <c r="AH1783" s="5" t="str">
        <f>"Q"&amp;ROUNDUP(MONTH(AF1783)/3,0)</f>
        <v>Q4</v>
      </c>
      <c r="AI1783" s="5">
        <f>INDEX(RatingLookup!$B$2:$B$11,MATCH(A1783,RatingLookup!$A$2:$A$11,0))</f>
        <v>7</v>
      </c>
      <c r="AJ1783" s="5" t="str">
        <f>INDEX(RatingLookup!$C$2:$C$11,MATCH(A1783,RatingLookup!$A$2:$A$11,0))</f>
        <v>Investment Grade</v>
      </c>
    </row>
    <row r="1784" spans="1:36" x14ac:dyDescent="0.3">
      <c r="A1784" s="3" t="s">
        <v>92</v>
      </c>
      <c r="B1784" s="3" t="s">
        <v>1850</v>
      </c>
      <c r="C1784" s="3" t="s">
        <v>1851</v>
      </c>
      <c r="D1784" s="3" t="s">
        <v>60</v>
      </c>
      <c r="E1784" s="3" t="s">
        <v>1102</v>
      </c>
      <c r="F1784" s="3" t="s">
        <v>41</v>
      </c>
      <c r="G1784" s="3">
        <v>0.99833265199999999</v>
      </c>
      <c r="H1784" s="3">
        <v>0.75711689599999998</v>
      </c>
      <c r="I1784" s="3">
        <v>0.206419518</v>
      </c>
      <c r="J1784" s="3">
        <v>16.958853189999999</v>
      </c>
      <c r="K1784" s="3">
        <v>0.112542139</v>
      </c>
      <c r="L1784" s="3">
        <v>0.16552259999999999</v>
      </c>
      <c r="M1784" s="3">
        <v>0.65385892400000001</v>
      </c>
      <c r="N1784" s="3">
        <v>0.19936933800000001</v>
      </c>
      <c r="O1784" s="3">
        <v>0.12070742800000001</v>
      </c>
      <c r="P1784" s="3">
        <v>0.210305033</v>
      </c>
      <c r="Q1784" s="3">
        <v>0.393805075</v>
      </c>
      <c r="R1784" s="3">
        <v>1.0725531699999999</v>
      </c>
      <c r="S1784" s="3">
        <v>14.540085810000001</v>
      </c>
      <c r="T1784" s="3">
        <v>2.2624758909999998</v>
      </c>
      <c r="U1784" s="3">
        <v>0.69348432500000001</v>
      </c>
      <c r="V1784" s="3">
        <v>0.32007991899999999</v>
      </c>
      <c r="W1784" s="3">
        <v>0.85581189499999999</v>
      </c>
      <c r="X1784" s="3">
        <v>4.1139143279999999</v>
      </c>
      <c r="Y1784" s="3">
        <v>1.895854259</v>
      </c>
      <c r="Z1784" s="3">
        <v>3.2624758909999998</v>
      </c>
      <c r="AA1784" s="3">
        <v>0.16552259999999999</v>
      </c>
      <c r="AB1784" s="3">
        <v>6.417976039</v>
      </c>
      <c r="AC1784" s="3">
        <v>4.8070310190000001</v>
      </c>
      <c r="AD1784" s="3">
        <v>0.161115757</v>
      </c>
      <c r="AE1784" s="3">
        <v>8.0540494880000004</v>
      </c>
      <c r="AF1784" s="4">
        <v>41222</v>
      </c>
      <c r="AG1784" s="5">
        <f>YEAR(AF1784)</f>
        <v>2012</v>
      </c>
      <c r="AH1784" s="5" t="str">
        <f>"Q"&amp;ROUNDUP(MONTH(AF1784)/3,0)</f>
        <v>Q4</v>
      </c>
      <c r="AI1784" s="5">
        <f>INDEX(RatingLookup!$B$2:$B$11,MATCH(A1784,RatingLookup!$A$2:$A$11,0))</f>
        <v>6</v>
      </c>
      <c r="AJ1784" s="5" t="str">
        <f>INDEX(RatingLookup!$C$2:$C$11,MATCH(A1784,RatingLookup!$A$2:$A$11,0))</f>
        <v>Speculative Grade</v>
      </c>
    </row>
    <row r="1785" spans="1:36" x14ac:dyDescent="0.3">
      <c r="A1785" s="3" t="s">
        <v>42</v>
      </c>
      <c r="B1785" s="3" t="s">
        <v>1854</v>
      </c>
      <c r="C1785" s="3" t="s">
        <v>1855</v>
      </c>
      <c r="D1785" s="3" t="s">
        <v>60</v>
      </c>
      <c r="E1785" s="3" t="s">
        <v>46</v>
      </c>
      <c r="F1785" s="3" t="s">
        <v>59</v>
      </c>
      <c r="G1785" s="3">
        <v>1.5765404080000001</v>
      </c>
      <c r="H1785" s="3">
        <v>0.79071391199999996</v>
      </c>
      <c r="I1785" s="3">
        <v>7.8547740000000005E-2</v>
      </c>
      <c r="J1785" s="3">
        <v>45.078096619999997</v>
      </c>
      <c r="K1785" s="3">
        <v>2.6728417000000001E-2</v>
      </c>
      <c r="L1785" s="3">
        <v>3.9532630999999999E-2</v>
      </c>
      <c r="M1785" s="3">
        <v>0.252330791</v>
      </c>
      <c r="N1785" s="3">
        <v>4.4708802999999998E-2</v>
      </c>
      <c r="O1785" s="3">
        <v>5.1767603000000002E-2</v>
      </c>
      <c r="P1785" s="3">
        <v>0.11528954800000001</v>
      </c>
      <c r="Q1785" s="3">
        <v>0.18875587899999999</v>
      </c>
      <c r="R1785" s="3">
        <v>1.936800141</v>
      </c>
      <c r="S1785" s="3">
        <v>10.66021297</v>
      </c>
      <c r="T1785" s="3">
        <v>2.6462163319999998</v>
      </c>
      <c r="U1785" s="3">
        <v>0.72574309699999995</v>
      </c>
      <c r="V1785" s="3">
        <v>0.32388973999999998</v>
      </c>
      <c r="W1785" s="3">
        <v>0.433070866</v>
      </c>
      <c r="X1785" s="3">
        <v>0.62857142899999996</v>
      </c>
      <c r="Y1785" s="3">
        <v>0.85714285700000004</v>
      </c>
      <c r="Z1785" s="3">
        <v>3.6462163319999998</v>
      </c>
      <c r="AA1785" s="3">
        <v>3.9532630999999999E-2</v>
      </c>
      <c r="AB1785" s="3">
        <v>11.267539640000001</v>
      </c>
      <c r="AC1785" s="3">
        <v>1.4514285709999999</v>
      </c>
      <c r="AD1785" s="3">
        <v>2.3065746000000002E-2</v>
      </c>
      <c r="AE1785" s="3">
        <v>8.9169675089999991</v>
      </c>
      <c r="AF1785" s="4">
        <v>41075</v>
      </c>
      <c r="AG1785" s="5">
        <f>YEAR(AF1785)</f>
        <v>2012</v>
      </c>
      <c r="AH1785" s="5" t="str">
        <f>"Q"&amp;ROUNDUP(MONTH(AF1785)/3,0)</f>
        <v>Q2</v>
      </c>
      <c r="AI1785" s="5">
        <f>INDEX(RatingLookup!$B$2:$B$11,MATCH(A1785,RatingLookup!$A$2:$A$11,0))</f>
        <v>7</v>
      </c>
      <c r="AJ1785" s="5" t="str">
        <f>INDEX(RatingLookup!$C$2:$C$11,MATCH(A1785,RatingLookup!$A$2:$A$11,0))</f>
        <v>Investment Grade</v>
      </c>
    </row>
    <row r="1786" spans="1:36" x14ac:dyDescent="0.3">
      <c r="A1786" s="3" t="s">
        <v>36</v>
      </c>
      <c r="B1786" s="3" t="s">
        <v>1854</v>
      </c>
      <c r="C1786" s="3" t="s">
        <v>1855</v>
      </c>
      <c r="D1786" s="3" t="s">
        <v>39</v>
      </c>
      <c r="E1786" s="3" t="s">
        <v>1549</v>
      </c>
      <c r="F1786" s="3" t="s">
        <v>59</v>
      </c>
      <c r="G1786" s="3">
        <v>1.138592233</v>
      </c>
      <c r="H1786" s="3">
        <v>0.55934466000000005</v>
      </c>
      <c r="I1786" s="3">
        <v>4.7208738E-2</v>
      </c>
      <c r="J1786" s="3">
        <v>44.422333739999999</v>
      </c>
      <c r="K1786" s="3">
        <v>5.3815539000000003E-2</v>
      </c>
      <c r="L1786" s="3">
        <v>8.1501989999999996E-2</v>
      </c>
      <c r="M1786" s="3">
        <v>0.27323066299999998</v>
      </c>
      <c r="N1786" s="3">
        <v>8.8077522000000005E-2</v>
      </c>
      <c r="O1786" s="3">
        <v>0.11105820700000001</v>
      </c>
      <c r="P1786" s="3">
        <v>0.33006306899999999</v>
      </c>
      <c r="Q1786" s="3">
        <v>1.8366141730000001</v>
      </c>
      <c r="R1786" s="3">
        <v>2.0636828949999999</v>
      </c>
      <c r="S1786" s="3">
        <v>10.210247349999999</v>
      </c>
      <c r="T1786" s="3">
        <v>15.53740157</v>
      </c>
      <c r="U1786" s="3">
        <v>0.939531008</v>
      </c>
      <c r="V1786" s="3">
        <v>0.33757961800000003</v>
      </c>
      <c r="W1786" s="3">
        <v>0.78894927500000001</v>
      </c>
      <c r="X1786" s="3">
        <v>5.8195991090000003</v>
      </c>
      <c r="Y1786" s="3">
        <v>0.86636970999999996</v>
      </c>
      <c r="Z1786" s="3">
        <v>16.53740157</v>
      </c>
      <c r="AA1786" s="3">
        <v>8.1501989999999996E-2</v>
      </c>
      <c r="AB1786" s="3">
        <v>15.97180337</v>
      </c>
      <c r="AC1786" s="3">
        <v>7.3763919820000003</v>
      </c>
      <c r="AD1786" s="3">
        <v>9.5518255999999996E-2</v>
      </c>
      <c r="AE1786" s="3">
        <v>7.8725398310000001</v>
      </c>
      <c r="AF1786" s="4">
        <v>42206</v>
      </c>
      <c r="AG1786" s="5">
        <f>YEAR(AF1786)</f>
        <v>2015</v>
      </c>
      <c r="AH1786" s="5" t="str">
        <f>"Q"&amp;ROUNDUP(MONTH(AF1786)/3,0)</f>
        <v>Q3</v>
      </c>
      <c r="AI1786" s="5">
        <f>INDEX(RatingLookup!$B$2:$B$11,MATCH(A1786,RatingLookup!$A$2:$A$11,0))</f>
        <v>8</v>
      </c>
      <c r="AJ1786" s="5" t="str">
        <f>INDEX(RatingLookup!$C$2:$C$11,MATCH(A1786,RatingLookup!$A$2:$A$11,0))</f>
        <v>Investment Grade</v>
      </c>
    </row>
    <row r="1787" spans="1:36" x14ac:dyDescent="0.3">
      <c r="A1787" s="3" t="s">
        <v>36</v>
      </c>
      <c r="B1787" s="3" t="s">
        <v>1854</v>
      </c>
      <c r="C1787" s="3" t="s">
        <v>1855</v>
      </c>
      <c r="D1787" s="3" t="s">
        <v>39</v>
      </c>
      <c r="E1787" s="3" t="s">
        <v>851</v>
      </c>
      <c r="F1787" s="3" t="s">
        <v>59</v>
      </c>
      <c r="G1787" s="3">
        <v>1.2256738789999999</v>
      </c>
      <c r="H1787" s="3">
        <v>0.55421249800000005</v>
      </c>
      <c r="I1787" s="3">
        <v>4.5328175999999998E-2</v>
      </c>
      <c r="J1787" s="3">
        <v>45.633129420000003</v>
      </c>
      <c r="K1787" s="3">
        <v>6.1115401E-2</v>
      </c>
      <c r="L1787" s="3">
        <v>9.4316090000000005E-2</v>
      </c>
      <c r="M1787" s="3">
        <v>0.2682485</v>
      </c>
      <c r="N1787" s="3">
        <v>9.9394191000000007E-2</v>
      </c>
      <c r="O1787" s="3">
        <v>0.11664682899999999</v>
      </c>
      <c r="P1787" s="3">
        <v>0.338954109</v>
      </c>
      <c r="Q1787" s="3">
        <v>22.866666670000001</v>
      </c>
      <c r="R1787" s="3">
        <v>1.9086323190000001</v>
      </c>
      <c r="S1787" s="3">
        <v>9.3904071390000006</v>
      </c>
      <c r="T1787" s="3">
        <v>195.03333330000001</v>
      </c>
      <c r="U1787" s="3">
        <v>0.99489882699999999</v>
      </c>
      <c r="V1787" s="3">
        <v>0.3447733</v>
      </c>
      <c r="W1787" s="3">
        <v>0.52164502199999996</v>
      </c>
      <c r="X1787" s="3">
        <v>2.0125260960000002</v>
      </c>
      <c r="Y1787" s="3">
        <v>0.78288100199999999</v>
      </c>
      <c r="Z1787" s="3">
        <v>196.03333330000001</v>
      </c>
      <c r="AA1787" s="3">
        <v>9.4316090000000005E-2</v>
      </c>
      <c r="AB1787" s="3">
        <v>13.5791378</v>
      </c>
      <c r="AC1787" s="3">
        <v>3.8580375779999998</v>
      </c>
      <c r="AD1787" s="3">
        <v>5.4879135000000002E-2</v>
      </c>
      <c r="AE1787" s="3">
        <v>7.5982115329999997</v>
      </c>
      <c r="AF1787" s="4">
        <v>42116</v>
      </c>
      <c r="AG1787" s="5">
        <f>YEAR(AF1787)</f>
        <v>2015</v>
      </c>
      <c r="AH1787" s="5" t="str">
        <f>"Q"&amp;ROUNDUP(MONTH(AF1787)/3,0)</f>
        <v>Q2</v>
      </c>
      <c r="AI1787" s="5">
        <f>INDEX(RatingLookup!$B$2:$B$11,MATCH(A1787,RatingLookup!$A$2:$A$11,0))</f>
        <v>8</v>
      </c>
      <c r="AJ1787" s="5" t="str">
        <f>INDEX(RatingLookup!$C$2:$C$11,MATCH(A1787,RatingLookup!$A$2:$A$11,0))</f>
        <v>Investment Grade</v>
      </c>
    </row>
    <row r="1788" spans="1:36" x14ac:dyDescent="0.3">
      <c r="A1788" s="3" t="s">
        <v>42</v>
      </c>
      <c r="B1788" s="3" t="s">
        <v>1854</v>
      </c>
      <c r="C1788" s="3" t="s">
        <v>1855</v>
      </c>
      <c r="D1788" s="3" t="s">
        <v>60</v>
      </c>
      <c r="E1788" s="3" t="s">
        <v>465</v>
      </c>
      <c r="F1788" s="3" t="s">
        <v>59</v>
      </c>
      <c r="G1788" s="3">
        <v>1.1320054020000001</v>
      </c>
      <c r="H1788" s="3">
        <v>0.58428989399999998</v>
      </c>
      <c r="I1788" s="3">
        <v>5.6493359999999999E-2</v>
      </c>
      <c r="J1788" s="3">
        <v>47.008183219999999</v>
      </c>
      <c r="K1788" s="3">
        <v>7.6285148999999997E-2</v>
      </c>
      <c r="L1788" s="3">
        <v>0.11058326</v>
      </c>
      <c r="M1788" s="3">
        <v>0.295611819</v>
      </c>
      <c r="N1788" s="3">
        <v>0.117915202</v>
      </c>
      <c r="O1788" s="3">
        <v>0.15781400900000001</v>
      </c>
      <c r="P1788" s="3">
        <v>0.46197086199999998</v>
      </c>
      <c r="Q1788" s="3">
        <v>7.3105263159999998</v>
      </c>
      <c r="R1788" s="3">
        <v>2.0687382830000001</v>
      </c>
      <c r="S1788" s="3">
        <v>10.07636967</v>
      </c>
      <c r="T1788" s="3">
        <v>45.323684210000003</v>
      </c>
      <c r="U1788" s="3">
        <v>0.97841277100000001</v>
      </c>
      <c r="V1788" s="3">
        <v>0.30816985299999999</v>
      </c>
      <c r="W1788" s="3">
        <v>0.76220028200000001</v>
      </c>
      <c r="X1788" s="3">
        <v>6.2258064519999996</v>
      </c>
      <c r="Y1788" s="3">
        <v>1.1566820280000001</v>
      </c>
      <c r="Z1788" s="3">
        <v>46.323684210000003</v>
      </c>
      <c r="AA1788" s="3">
        <v>0.11058326</v>
      </c>
      <c r="AB1788" s="3">
        <v>15.510096409999999</v>
      </c>
      <c r="AC1788" s="3">
        <v>8.1682027650000002</v>
      </c>
      <c r="AD1788" s="3">
        <v>9.7347320000000001E-2</v>
      </c>
      <c r="AE1788" s="3">
        <v>7.1016057589999999</v>
      </c>
      <c r="AF1788" s="4">
        <v>42668</v>
      </c>
      <c r="AG1788" s="5">
        <f>YEAR(AF1788)</f>
        <v>2016</v>
      </c>
      <c r="AH1788" s="5" t="str">
        <f>"Q"&amp;ROUNDUP(MONTH(AF1788)/3,0)</f>
        <v>Q4</v>
      </c>
      <c r="AI1788" s="5">
        <f>INDEX(RatingLookup!$B$2:$B$11,MATCH(A1788,RatingLookup!$A$2:$A$11,0))</f>
        <v>7</v>
      </c>
      <c r="AJ1788" s="5" t="str">
        <f>INDEX(RatingLookup!$C$2:$C$11,MATCH(A1788,RatingLookup!$A$2:$A$11,0))</f>
        <v>Investment Grade</v>
      </c>
    </row>
    <row r="1789" spans="1:36" x14ac:dyDescent="0.3">
      <c r="A1789" s="3" t="s">
        <v>42</v>
      </c>
      <c r="B1789" s="3" t="s">
        <v>1856</v>
      </c>
      <c r="C1789" s="3" t="s">
        <v>1857</v>
      </c>
      <c r="D1789" s="3" t="s">
        <v>47</v>
      </c>
      <c r="E1789" s="3" t="s">
        <v>1858</v>
      </c>
      <c r="F1789" s="3" t="s">
        <v>96</v>
      </c>
      <c r="G1789" s="3">
        <v>1.459241</v>
      </c>
      <c r="H1789" s="3">
        <v>1.068390277</v>
      </c>
      <c r="I1789" s="3">
        <v>0.60014904800000002</v>
      </c>
      <c r="J1789" s="3">
        <v>164.1448522</v>
      </c>
      <c r="K1789" s="3">
        <v>-7.2833166000000005E-2</v>
      </c>
      <c r="L1789" s="3">
        <v>-6.8261523000000005E-2</v>
      </c>
      <c r="M1789" s="3">
        <v>0.34819639299999999</v>
      </c>
      <c r="N1789" s="3">
        <v>-7.5588677000000007E-2</v>
      </c>
      <c r="O1789" s="3">
        <v>-3.2122634999999997E-2</v>
      </c>
      <c r="P1789" s="3">
        <v>-5.8099247999999999E-2</v>
      </c>
      <c r="Q1789" s="3">
        <v>-9.795334E-2</v>
      </c>
      <c r="R1789" s="3">
        <v>0.44104405499999999</v>
      </c>
      <c r="S1789" s="3">
        <v>8.6688382189999995</v>
      </c>
      <c r="T1789" s="3">
        <v>1.8772845949999999</v>
      </c>
      <c r="U1789" s="3">
        <v>0.61563319999999999</v>
      </c>
      <c r="V1789" s="3">
        <v>-6.6972477000000002E-2</v>
      </c>
      <c r="W1789" s="3">
        <v>0.67399049899999997</v>
      </c>
      <c r="X1789" s="3">
        <v>0.30307431800000001</v>
      </c>
      <c r="Y1789" s="3">
        <v>3.0590479140000002</v>
      </c>
      <c r="Z1789" s="3">
        <v>3.0493556810000002</v>
      </c>
      <c r="AA1789" s="3">
        <v>-6.8261523000000005E-2</v>
      </c>
      <c r="AB1789" s="3">
        <v>-15.20082644</v>
      </c>
      <c r="AC1789" s="3">
        <v>0.44967149899999997</v>
      </c>
      <c r="AD1789" s="3">
        <v>0.105460922</v>
      </c>
      <c r="AE1789" s="3">
        <v>1.8814172090000001</v>
      </c>
      <c r="AF1789" s="4">
        <v>40757</v>
      </c>
      <c r="AG1789" s="5">
        <f>YEAR(AF1789)</f>
        <v>2011</v>
      </c>
      <c r="AH1789" s="5" t="str">
        <f>"Q"&amp;ROUNDUP(MONTH(AF1789)/3,0)</f>
        <v>Q3</v>
      </c>
      <c r="AI1789" s="5">
        <f>INDEX(RatingLookup!$B$2:$B$11,MATCH(A1789,RatingLookup!$A$2:$A$11,0))</f>
        <v>7</v>
      </c>
      <c r="AJ1789" s="5" t="str">
        <f>INDEX(RatingLookup!$C$2:$C$11,MATCH(A1789,RatingLookup!$A$2:$A$11,0))</f>
        <v>Investment Grade</v>
      </c>
    </row>
    <row r="1790" spans="1:36" x14ac:dyDescent="0.3">
      <c r="A1790" s="3" t="s">
        <v>42</v>
      </c>
      <c r="B1790" s="3" t="s">
        <v>1856</v>
      </c>
      <c r="C1790" s="3" t="s">
        <v>1857</v>
      </c>
      <c r="D1790" s="3" t="s">
        <v>47</v>
      </c>
      <c r="E1790" s="3" t="s">
        <v>1859</v>
      </c>
      <c r="F1790" s="3" t="s">
        <v>96</v>
      </c>
      <c r="G1790" s="3">
        <v>1.547605473</v>
      </c>
      <c r="H1790" s="3">
        <v>1.155188141</v>
      </c>
      <c r="I1790" s="3">
        <v>0.64789053600000002</v>
      </c>
      <c r="J1790" s="3">
        <v>65.095650939999999</v>
      </c>
      <c r="K1790" s="3">
        <v>4.3584789999999998E-2</v>
      </c>
      <c r="L1790" s="3">
        <v>5.402158E-2</v>
      </c>
      <c r="M1790" s="3">
        <v>0.30603590400000003</v>
      </c>
      <c r="N1790" s="3">
        <v>5.3032087999999998E-2</v>
      </c>
      <c r="O1790" s="3">
        <v>4.7286762000000003E-2</v>
      </c>
      <c r="P1790" s="3">
        <v>0.106241023</v>
      </c>
      <c r="Q1790" s="3">
        <v>0.128615128</v>
      </c>
      <c r="R1790" s="3">
        <v>1.084937249</v>
      </c>
      <c r="S1790" s="3">
        <v>21.72262027</v>
      </c>
      <c r="T1790" s="3">
        <v>1.5914905450000001</v>
      </c>
      <c r="U1790" s="3">
        <v>0.58512895200000004</v>
      </c>
      <c r="V1790" s="3">
        <v>0.19319668600000001</v>
      </c>
      <c r="W1790" s="3">
        <v>0.89573760099999999</v>
      </c>
      <c r="X1790" s="3">
        <v>1.50949702</v>
      </c>
      <c r="Y1790" s="3">
        <v>3.3890918409999999</v>
      </c>
      <c r="Z1790" s="3">
        <v>2.7198971080000001</v>
      </c>
      <c r="AA1790" s="3">
        <v>5.402158E-2</v>
      </c>
      <c r="AB1790" s="3">
        <v>13.2200515</v>
      </c>
      <c r="AC1790" s="3">
        <v>1.685200016</v>
      </c>
      <c r="AD1790" s="3">
        <v>0.14868303299999999</v>
      </c>
      <c r="AE1790" s="3">
        <v>4.8280609739999996</v>
      </c>
      <c r="AF1790" s="4">
        <v>40703</v>
      </c>
      <c r="AG1790" s="5">
        <f>YEAR(AF1790)</f>
        <v>2011</v>
      </c>
      <c r="AH1790" s="5" t="str">
        <f>"Q"&amp;ROUNDUP(MONTH(AF1790)/3,0)</f>
        <v>Q2</v>
      </c>
      <c r="AI1790" s="5">
        <f>INDEX(RatingLookup!$B$2:$B$11,MATCH(A1790,RatingLookup!$A$2:$A$11,0))</f>
        <v>7</v>
      </c>
      <c r="AJ1790" s="5" t="str">
        <f>INDEX(RatingLookup!$C$2:$C$11,MATCH(A1790,RatingLookup!$A$2:$A$11,0))</f>
        <v>Investment Grade</v>
      </c>
    </row>
    <row r="1791" spans="1:36" x14ac:dyDescent="0.3">
      <c r="A1791" s="3" t="s">
        <v>92</v>
      </c>
      <c r="B1791" s="3" t="s">
        <v>1856</v>
      </c>
      <c r="C1791" s="3" t="s">
        <v>1857</v>
      </c>
      <c r="D1791" s="3" t="s">
        <v>47</v>
      </c>
      <c r="E1791" s="3" t="s">
        <v>1163</v>
      </c>
      <c r="F1791" s="3" t="s">
        <v>96</v>
      </c>
      <c r="G1791" s="3">
        <v>1.45989418</v>
      </c>
      <c r="H1791" s="3">
        <v>1.2895238099999999</v>
      </c>
      <c r="I1791" s="3">
        <v>0.90888888899999998</v>
      </c>
      <c r="J1791" s="3">
        <v>89.772361169999996</v>
      </c>
      <c r="K1791" s="3">
        <v>2.3145400999999999E-2</v>
      </c>
      <c r="L1791" s="3">
        <v>4.6121238000000002E-2</v>
      </c>
      <c r="M1791" s="3">
        <v>0.39321746499999999</v>
      </c>
      <c r="N1791" s="3">
        <v>0.100466299</v>
      </c>
      <c r="O1791" s="3">
        <v>1.0837204E-2</v>
      </c>
      <c r="P1791" s="3">
        <v>3.4559431000000002E-2</v>
      </c>
      <c r="Q1791" s="3">
        <v>4.2207792000000001E-2</v>
      </c>
      <c r="R1791" s="3">
        <v>0.46822277800000001</v>
      </c>
      <c r="S1791" s="3">
        <v>20.83922261</v>
      </c>
      <c r="T1791" s="3">
        <v>2.8650278290000002</v>
      </c>
      <c r="U1791" s="3">
        <v>0.73561986400000001</v>
      </c>
      <c r="V1791" s="3">
        <v>0.49816176499999998</v>
      </c>
      <c r="W1791" s="3">
        <v>-0.17467248899999999</v>
      </c>
      <c r="X1791" s="3">
        <v>-1.0681032999999999E-2</v>
      </c>
      <c r="Y1791" s="3">
        <v>2.479334836</v>
      </c>
      <c r="Z1791" s="3">
        <v>3.8947124299999998</v>
      </c>
      <c r="AA1791" s="3">
        <v>4.6121238000000002E-2</v>
      </c>
      <c r="AB1791" s="3">
        <v>51.388418629999997</v>
      </c>
      <c r="AC1791" s="3">
        <v>6.1148914999999998E-2</v>
      </c>
      <c r="AD1791" s="3">
        <v>1.9415005999999999E-2</v>
      </c>
      <c r="AE1791" s="3">
        <v>3.8854505970000002</v>
      </c>
      <c r="AF1791" s="4">
        <v>41774</v>
      </c>
      <c r="AG1791" s="5">
        <f>YEAR(AF1791)</f>
        <v>2014</v>
      </c>
      <c r="AH1791" s="5" t="str">
        <f>"Q"&amp;ROUNDUP(MONTH(AF1791)/3,0)</f>
        <v>Q2</v>
      </c>
      <c r="AI1791" s="5">
        <f>INDEX(RatingLookup!$B$2:$B$11,MATCH(A1791,RatingLookup!$A$2:$A$11,0))</f>
        <v>6</v>
      </c>
      <c r="AJ1791" s="5" t="str">
        <f>INDEX(RatingLookup!$C$2:$C$11,MATCH(A1791,RatingLookup!$A$2:$A$11,0))</f>
        <v>Speculative Grade</v>
      </c>
    </row>
    <row r="1792" spans="1:36" x14ac:dyDescent="0.3">
      <c r="A1792" s="3" t="s">
        <v>92</v>
      </c>
      <c r="B1792" s="3" t="s">
        <v>1856</v>
      </c>
      <c r="C1792" s="3" t="s">
        <v>1857</v>
      </c>
      <c r="D1792" s="3" t="s">
        <v>44</v>
      </c>
      <c r="E1792" s="3" t="s">
        <v>1860</v>
      </c>
      <c r="F1792" s="3" t="s">
        <v>96</v>
      </c>
      <c r="G1792" s="3">
        <v>1.512961336</v>
      </c>
      <c r="H1792" s="3">
        <v>1.1676918570000001</v>
      </c>
      <c r="I1792" s="3">
        <v>0.69522554199999997</v>
      </c>
      <c r="J1792" s="3">
        <v>131.5659091</v>
      </c>
      <c r="K1792" s="3">
        <v>-5.0064934999999998E-2</v>
      </c>
      <c r="L1792" s="3">
        <v>-3.0324674999999999E-2</v>
      </c>
      <c r="M1792" s="3">
        <v>0.360974026</v>
      </c>
      <c r="N1792" s="3">
        <v>2.7012986999999999E-2</v>
      </c>
      <c r="O1792" s="3">
        <v>-2.5713713999999999E-2</v>
      </c>
      <c r="P1792" s="3">
        <v>-2.8601175999999999E-2</v>
      </c>
      <c r="Q1792" s="3">
        <v>-9.7139977000000002E-2</v>
      </c>
      <c r="R1792" s="3">
        <v>0.51360725699999998</v>
      </c>
      <c r="S1792" s="3">
        <v>10.7617051</v>
      </c>
      <c r="T1792" s="3">
        <v>2.6137079499999998</v>
      </c>
      <c r="U1792" s="3">
        <v>0.69186899700000004</v>
      </c>
      <c r="V1792" s="3">
        <v>-0.65096359699999995</v>
      </c>
      <c r="W1792" s="3">
        <v>0.78713450299999999</v>
      </c>
      <c r="X1792" s="3">
        <v>0.179708384</v>
      </c>
      <c r="Y1792" s="3">
        <v>2.7757335080000001</v>
      </c>
      <c r="Z1792" s="3">
        <v>3.7777497800000002</v>
      </c>
      <c r="AA1792" s="3">
        <v>-3.0324674999999999E-2</v>
      </c>
      <c r="AB1792" s="3">
        <v>-17.88770178</v>
      </c>
      <c r="AC1792" s="3">
        <v>0.22830708499999999</v>
      </c>
      <c r="AD1792" s="3">
        <v>5.5519481000000002E-2</v>
      </c>
      <c r="AE1792" s="3">
        <v>2.2396449700000001</v>
      </c>
      <c r="AF1792" s="4">
        <v>41110</v>
      </c>
      <c r="AG1792" s="5">
        <f>YEAR(AF1792)</f>
        <v>2012</v>
      </c>
      <c r="AH1792" s="5" t="str">
        <f>"Q"&amp;ROUNDUP(MONTH(AF1792)/3,0)</f>
        <v>Q3</v>
      </c>
      <c r="AI1792" s="5">
        <f>INDEX(RatingLookup!$B$2:$B$11,MATCH(A1792,RatingLookup!$A$2:$A$11,0))</f>
        <v>6</v>
      </c>
      <c r="AJ1792" s="5" t="str">
        <f>INDEX(RatingLookup!$C$2:$C$11,MATCH(A1792,RatingLookup!$A$2:$A$11,0))</f>
        <v>Speculative Grade</v>
      </c>
    </row>
    <row r="1793" spans="1:36" x14ac:dyDescent="0.3">
      <c r="A1793" s="3" t="s">
        <v>42</v>
      </c>
      <c r="B1793" s="3" t="s">
        <v>1861</v>
      </c>
      <c r="C1793" s="3" t="s">
        <v>1862</v>
      </c>
      <c r="D1793" s="3" t="s">
        <v>60</v>
      </c>
      <c r="E1793" s="3" t="s">
        <v>881</v>
      </c>
      <c r="F1793" s="3" t="s">
        <v>59</v>
      </c>
      <c r="G1793" s="3">
        <v>2.1101367039999999</v>
      </c>
      <c r="H1793" s="3">
        <v>1.375032241</v>
      </c>
      <c r="I1793" s="3">
        <v>0.75315966000000001</v>
      </c>
      <c r="J1793" s="3">
        <v>65.558652899999998</v>
      </c>
      <c r="K1793" s="3">
        <v>6.9501996999999996E-2</v>
      </c>
      <c r="L1793" s="3">
        <v>9.8696601999999994E-2</v>
      </c>
      <c r="M1793" s="3">
        <v>0.32637685500000002</v>
      </c>
      <c r="N1793" s="3">
        <v>0.100354102</v>
      </c>
      <c r="O1793" s="3">
        <v>5.0805452000000001E-2</v>
      </c>
      <c r="P1793" s="3">
        <v>9.1733483000000005E-2</v>
      </c>
      <c r="Q1793" s="3">
        <v>0.15186435100000001</v>
      </c>
      <c r="R1793" s="3">
        <v>0.73099270299999997</v>
      </c>
      <c r="S1793" s="3">
        <v>5.9801757149999997</v>
      </c>
      <c r="T1793" s="3">
        <v>1.989134908</v>
      </c>
      <c r="U1793" s="3">
        <v>0.66545504600000005</v>
      </c>
      <c r="V1793" s="3">
        <v>0.272137405</v>
      </c>
      <c r="W1793" s="3">
        <v>0.51450755999999997</v>
      </c>
      <c r="X1793" s="3">
        <v>1.3759562839999999</v>
      </c>
      <c r="Y1793" s="3">
        <v>6.4415300550000003</v>
      </c>
      <c r="Z1793" s="3">
        <v>2.989134908</v>
      </c>
      <c r="AA1793" s="3">
        <v>9.8696601999999994E-2</v>
      </c>
      <c r="AB1793" s="3">
        <v>7.6112630389999998</v>
      </c>
      <c r="AC1793" s="3">
        <v>2.6743169400000002</v>
      </c>
      <c r="AD1793" s="3">
        <v>9.2179612999999994E-2</v>
      </c>
      <c r="AE1793" s="3">
        <v>5.7758397930000003</v>
      </c>
      <c r="AF1793" s="4">
        <v>41977</v>
      </c>
      <c r="AG1793" s="5">
        <f>YEAR(AF1793)</f>
        <v>2014</v>
      </c>
      <c r="AH1793" s="5" t="str">
        <f>"Q"&amp;ROUNDUP(MONTH(AF1793)/3,0)</f>
        <v>Q4</v>
      </c>
      <c r="AI1793" s="5">
        <f>INDEX(RatingLookup!$B$2:$B$11,MATCH(A1793,RatingLookup!$A$2:$A$11,0))</f>
        <v>7</v>
      </c>
      <c r="AJ1793" s="5" t="str">
        <f>INDEX(RatingLookup!$C$2:$C$11,MATCH(A1793,RatingLookup!$A$2:$A$11,0))</f>
        <v>Investment Grade</v>
      </c>
    </row>
    <row r="1794" spans="1:36" x14ac:dyDescent="0.3">
      <c r="A1794" s="3" t="s">
        <v>42</v>
      </c>
      <c r="B1794" s="3" t="s">
        <v>1861</v>
      </c>
      <c r="C1794" s="3" t="s">
        <v>1862</v>
      </c>
      <c r="D1794" s="3" t="s">
        <v>44</v>
      </c>
      <c r="E1794" s="3" t="s">
        <v>1863</v>
      </c>
      <c r="F1794" s="3" t="s">
        <v>59</v>
      </c>
      <c r="G1794" s="3">
        <v>1.5713985939999999</v>
      </c>
      <c r="H1794" s="3">
        <v>1.08551044</v>
      </c>
      <c r="I1794" s="3">
        <v>0.43615570199999998</v>
      </c>
      <c r="J1794" s="3">
        <v>81.352590919999997</v>
      </c>
      <c r="K1794" s="3">
        <v>0.14153524300000001</v>
      </c>
      <c r="L1794" s="3">
        <v>0.15380592200000001</v>
      </c>
      <c r="M1794" s="3">
        <v>0.32551496600000002</v>
      </c>
      <c r="N1794" s="3">
        <v>0.15292082400000001</v>
      </c>
      <c r="O1794" s="3">
        <v>9.4478461999999999E-2</v>
      </c>
      <c r="P1794" s="3">
        <v>0.137989533</v>
      </c>
      <c r="Q1794" s="3">
        <v>0.25827765899999999</v>
      </c>
      <c r="R1794" s="3">
        <v>0.66752604999999998</v>
      </c>
      <c r="S1794" s="3">
        <v>5.6045095829999996</v>
      </c>
      <c r="T1794" s="3">
        <v>1.7337199910000001</v>
      </c>
      <c r="U1794" s="3">
        <v>0.63419808799999999</v>
      </c>
      <c r="V1794" s="3">
        <v>0.18336384999999999</v>
      </c>
      <c r="W1794" s="3">
        <v>0.62255115400000005</v>
      </c>
      <c r="X1794" s="3">
        <v>1.592427617</v>
      </c>
      <c r="Y1794" s="3">
        <v>5.3518930960000004</v>
      </c>
      <c r="Z1794" s="3">
        <v>2.7337199910000001</v>
      </c>
      <c r="AA1794" s="3">
        <v>0.15380592200000001</v>
      </c>
      <c r="AB1794" s="3">
        <v>5.8419697939999997</v>
      </c>
      <c r="AC1794" s="3">
        <v>2.5579064589999998</v>
      </c>
      <c r="AD1794" s="3">
        <v>9.2412295000000005E-2</v>
      </c>
      <c r="AE1794" s="3">
        <v>5.3272958370000003</v>
      </c>
      <c r="AF1794" s="4">
        <v>42506</v>
      </c>
      <c r="AG1794" s="5">
        <f>YEAR(AF1794)</f>
        <v>2016</v>
      </c>
      <c r="AH1794" s="5" t="str">
        <f>"Q"&amp;ROUNDUP(MONTH(AF1794)/3,0)</f>
        <v>Q2</v>
      </c>
      <c r="AI1794" s="5">
        <f>INDEX(RatingLookup!$B$2:$B$11,MATCH(A1794,RatingLookup!$A$2:$A$11,0))</f>
        <v>7</v>
      </c>
      <c r="AJ1794" s="5" t="str">
        <f>INDEX(RatingLookup!$C$2:$C$11,MATCH(A1794,RatingLookup!$A$2:$A$11,0))</f>
        <v>Investment Grade</v>
      </c>
    </row>
    <row r="1795" spans="1:36" x14ac:dyDescent="0.3">
      <c r="A1795" s="3" t="s">
        <v>109</v>
      </c>
      <c r="B1795" s="3" t="s">
        <v>1864</v>
      </c>
      <c r="C1795" s="3" t="s">
        <v>1865</v>
      </c>
      <c r="D1795" s="3" t="s">
        <v>60</v>
      </c>
      <c r="E1795" s="3" t="s">
        <v>227</v>
      </c>
      <c r="F1795" s="3" t="s">
        <v>219</v>
      </c>
      <c r="G1795" s="3">
        <v>3.0983351080000001</v>
      </c>
      <c r="H1795" s="3">
        <v>1.7709150410000001</v>
      </c>
      <c r="I1795" s="3">
        <v>0.54940564300000005</v>
      </c>
      <c r="J1795" s="3">
        <v>43.823158980000002</v>
      </c>
      <c r="K1795" s="3">
        <v>9.6292098000000007E-2</v>
      </c>
      <c r="L1795" s="3">
        <v>8.2017714000000005E-2</v>
      </c>
      <c r="M1795" s="3">
        <v>0.17847235</v>
      </c>
      <c r="N1795" s="3">
        <v>0.13768730100000001</v>
      </c>
      <c r="O1795" s="3">
        <v>8.6626464E-2</v>
      </c>
      <c r="P1795" s="3">
        <v>0.13764375700000001</v>
      </c>
      <c r="Q1795" s="3">
        <v>0.25782446199999998</v>
      </c>
      <c r="R1795" s="3">
        <v>0.89962173599999995</v>
      </c>
      <c r="S1795" s="3">
        <v>1.330591632</v>
      </c>
      <c r="T1795" s="3">
        <v>1.9762782539999999</v>
      </c>
      <c r="U1795" s="3">
        <v>0.66400990900000001</v>
      </c>
      <c r="V1795" s="3">
        <v>-0.174040257</v>
      </c>
      <c r="W1795" s="3">
        <v>0.76061637199999999</v>
      </c>
      <c r="X1795" s="3">
        <v>1.7110685240000001</v>
      </c>
      <c r="Y1795" s="3">
        <v>0.98731528999999996</v>
      </c>
      <c r="Z1795" s="3">
        <v>2.9762782539999999</v>
      </c>
      <c r="AA1795" s="3">
        <v>0.139472663</v>
      </c>
      <c r="AB1795" s="3">
        <v>6.0903263580000004</v>
      </c>
      <c r="AC1795" s="3">
        <v>2.2495815060000002</v>
      </c>
      <c r="AD1795" s="3">
        <v>0.123041889</v>
      </c>
      <c r="AE1795" s="3">
        <v>9.4437466370000003</v>
      </c>
      <c r="AF1795" s="4">
        <v>41955</v>
      </c>
      <c r="AG1795" s="5">
        <f>YEAR(AF1795)</f>
        <v>2014</v>
      </c>
      <c r="AH1795" s="5" t="str">
        <f>"Q"&amp;ROUNDUP(MONTH(AF1795)/3,0)</f>
        <v>Q4</v>
      </c>
      <c r="AI1795" s="5">
        <f>INDEX(RatingLookup!$B$2:$B$11,MATCH(A1795,RatingLookup!$A$2:$A$11,0))</f>
        <v>5</v>
      </c>
      <c r="AJ1795" s="5" t="str">
        <f>INDEX(RatingLookup!$C$2:$C$11,MATCH(A1795,RatingLookup!$A$2:$A$11,0))</f>
        <v>Speculative Grade</v>
      </c>
    </row>
    <row r="1796" spans="1:36" x14ac:dyDescent="0.3">
      <c r="A1796" s="3" t="s">
        <v>92</v>
      </c>
      <c r="B1796" s="3" t="s">
        <v>1864</v>
      </c>
      <c r="C1796" s="3" t="s">
        <v>1865</v>
      </c>
      <c r="D1796" s="3" t="s">
        <v>47</v>
      </c>
      <c r="E1796" s="3" t="s">
        <v>206</v>
      </c>
      <c r="F1796" s="3" t="s">
        <v>219</v>
      </c>
      <c r="G1796" s="3">
        <v>4.3130943439999996</v>
      </c>
      <c r="H1796" s="3">
        <v>2.8419877640000002</v>
      </c>
      <c r="I1796" s="3">
        <v>1.5122464309999999</v>
      </c>
      <c r="J1796" s="3">
        <v>48.539570189999999</v>
      </c>
      <c r="K1796" s="3">
        <v>3.7507660999999998E-2</v>
      </c>
      <c r="L1796" s="3">
        <v>6.3828393999999997E-2</v>
      </c>
      <c r="M1796" s="3">
        <v>0.17137082300000001</v>
      </c>
      <c r="N1796" s="3">
        <v>0.123573591</v>
      </c>
      <c r="O1796" s="3">
        <v>3.0156863999999999E-2</v>
      </c>
      <c r="P1796" s="3">
        <v>0.104209329</v>
      </c>
      <c r="Q1796" s="3">
        <v>9.2166761999999999E-2</v>
      </c>
      <c r="R1796" s="3">
        <v>0.80401878599999999</v>
      </c>
      <c r="S1796" s="3">
        <v>1.2618898620000001</v>
      </c>
      <c r="T1796" s="3">
        <v>2.0562448569999998</v>
      </c>
      <c r="U1796" s="3">
        <v>0.67280108500000002</v>
      </c>
      <c r="V1796" s="3">
        <v>0.41236714699999999</v>
      </c>
      <c r="W1796" s="3">
        <v>0.69793013299999995</v>
      </c>
      <c r="X1796" s="3">
        <v>1.518777482</v>
      </c>
      <c r="Y1796" s="3">
        <v>2.1778789289999998</v>
      </c>
      <c r="Z1796" s="3">
        <v>3.0562448569999998</v>
      </c>
      <c r="AA1796" s="3">
        <v>0.119188771</v>
      </c>
      <c r="AB1796" s="3">
        <v>6.106939079</v>
      </c>
      <c r="AC1796" s="3">
        <v>2.1761167910000001</v>
      </c>
      <c r="AD1796" s="3">
        <v>0.15111477500000001</v>
      </c>
      <c r="AE1796" s="3">
        <v>8.3788653360000005</v>
      </c>
      <c r="AF1796" s="4">
        <v>42663</v>
      </c>
      <c r="AG1796" s="5">
        <f>YEAR(AF1796)</f>
        <v>2016</v>
      </c>
      <c r="AH1796" s="5" t="str">
        <f>"Q"&amp;ROUNDUP(MONTH(AF1796)/3,0)</f>
        <v>Q4</v>
      </c>
      <c r="AI1796" s="5">
        <f>INDEX(RatingLookup!$B$2:$B$11,MATCH(A1796,RatingLookup!$A$2:$A$11,0))</f>
        <v>6</v>
      </c>
      <c r="AJ1796" s="5" t="str">
        <f>INDEX(RatingLookup!$C$2:$C$11,MATCH(A1796,RatingLookup!$A$2:$A$11,0))</f>
        <v>Speculative Grade</v>
      </c>
    </row>
    <row r="1797" spans="1:36" x14ac:dyDescent="0.3">
      <c r="A1797" s="3" t="s">
        <v>109</v>
      </c>
      <c r="B1797" s="3" t="s">
        <v>1864</v>
      </c>
      <c r="C1797" s="3" t="s">
        <v>1865</v>
      </c>
      <c r="D1797" s="3" t="s">
        <v>47</v>
      </c>
      <c r="E1797" s="3" t="s">
        <v>1866</v>
      </c>
      <c r="F1797" s="3" t="s">
        <v>219</v>
      </c>
      <c r="G1797" s="3">
        <v>3.723494316</v>
      </c>
      <c r="H1797" s="3">
        <v>2.3282002660000001</v>
      </c>
      <c r="I1797" s="3">
        <v>1.0425010290000001</v>
      </c>
      <c r="J1797" s="3">
        <v>47.42791356</v>
      </c>
      <c r="K1797" s="3">
        <v>7.3075598000000005E-2</v>
      </c>
      <c r="L1797" s="3">
        <v>0.10157819799999999</v>
      </c>
      <c r="M1797" s="3">
        <v>0.20510954300000001</v>
      </c>
      <c r="N1797" s="3">
        <v>0.160359426</v>
      </c>
      <c r="O1797" s="3">
        <v>6.3832360000000005E-2</v>
      </c>
      <c r="P1797" s="3">
        <v>0.14729468600000001</v>
      </c>
      <c r="Q1797" s="3">
        <v>0.19714551299999999</v>
      </c>
      <c r="R1797" s="3">
        <v>0.87351128700000003</v>
      </c>
      <c r="S1797" s="3">
        <v>1.3552153680000001</v>
      </c>
      <c r="T1797" s="3">
        <v>2.0884885739999999</v>
      </c>
      <c r="U1797" s="3">
        <v>0.67621703099999997</v>
      </c>
      <c r="V1797" s="3">
        <v>0.280597612</v>
      </c>
      <c r="W1797" s="3">
        <v>0.70772515999999996</v>
      </c>
      <c r="X1797" s="3">
        <v>1.7469874059999999</v>
      </c>
      <c r="Y1797" s="3">
        <v>1.687686824</v>
      </c>
      <c r="Z1797" s="3">
        <v>3.0884885739999999</v>
      </c>
      <c r="AA1797" s="3">
        <v>0.15373730599999999</v>
      </c>
      <c r="AB1797" s="3">
        <v>5.364819668</v>
      </c>
      <c r="AC1797" s="3">
        <v>2.4684545710000001</v>
      </c>
      <c r="AD1797" s="3">
        <v>0.15410315899999999</v>
      </c>
      <c r="AE1797" s="3">
        <v>7.9389463510000002</v>
      </c>
      <c r="AF1797" s="4">
        <v>42334</v>
      </c>
      <c r="AG1797" s="5">
        <f>YEAR(AF1797)</f>
        <v>2015</v>
      </c>
      <c r="AH1797" s="5" t="str">
        <f>"Q"&amp;ROUNDUP(MONTH(AF1797)/3,0)</f>
        <v>Q4</v>
      </c>
      <c r="AI1797" s="5">
        <f>INDEX(RatingLookup!$B$2:$B$11,MATCH(A1797,RatingLookup!$A$2:$A$11,0))</f>
        <v>5</v>
      </c>
      <c r="AJ1797" s="5" t="str">
        <f>INDEX(RatingLookup!$C$2:$C$11,MATCH(A1797,RatingLookup!$A$2:$A$11,0))</f>
        <v>Speculative Grade</v>
      </c>
    </row>
    <row r="1798" spans="1:36" x14ac:dyDescent="0.3">
      <c r="A1798" s="3" t="s">
        <v>36</v>
      </c>
      <c r="B1798" s="3" t="s">
        <v>1867</v>
      </c>
      <c r="C1798" s="3" t="s">
        <v>1868</v>
      </c>
      <c r="D1798" s="3" t="s">
        <v>60</v>
      </c>
      <c r="E1798" s="3" t="s">
        <v>46</v>
      </c>
      <c r="F1798" s="3" t="s">
        <v>174</v>
      </c>
      <c r="G1798" s="3">
        <v>1.1374273859999999</v>
      </c>
      <c r="H1798" s="3">
        <v>0.47377593400000001</v>
      </c>
      <c r="I1798" s="3">
        <v>0.332697095</v>
      </c>
      <c r="J1798" s="3">
        <v>0.39408423799999998</v>
      </c>
      <c r="K1798" s="3">
        <v>1.644267E-2</v>
      </c>
      <c r="L1798" s="3">
        <v>2.6800877000000001E-2</v>
      </c>
      <c r="M1798" s="3">
        <v>0.12569307800000001</v>
      </c>
      <c r="N1798" s="3">
        <v>2.7430692E-2</v>
      </c>
      <c r="O1798" s="3">
        <v>5.4631739999999998E-2</v>
      </c>
      <c r="P1798" s="3">
        <v>0.16198762799999999</v>
      </c>
      <c r="Q1798" s="3">
        <v>0.121813031</v>
      </c>
      <c r="R1798" s="3">
        <v>3.3225589480000002</v>
      </c>
      <c r="S1798" s="3">
        <v>7.1521074650000003</v>
      </c>
      <c r="T1798" s="3">
        <v>1.2297117150000001</v>
      </c>
      <c r="U1798" s="3">
        <v>0.55151152800000003</v>
      </c>
      <c r="V1798" s="3">
        <v>0.35291649200000003</v>
      </c>
      <c r="W1798" s="3">
        <v>0.59662288900000005</v>
      </c>
      <c r="X1798" s="3">
        <v>4.3749527080000004</v>
      </c>
      <c r="Y1798" s="3">
        <v>12.870340430000001</v>
      </c>
      <c r="Z1798" s="3">
        <v>2.2297117150000001</v>
      </c>
      <c r="AA1798" s="3">
        <v>2.6800877000000001E-2</v>
      </c>
      <c r="AB1798" s="3">
        <v>10.601674340000001</v>
      </c>
      <c r="AC1798" s="3">
        <v>7.3328609849999999</v>
      </c>
      <c r="AD1798" s="3">
        <v>3.5966934999999998E-2</v>
      </c>
      <c r="AE1798" s="3">
        <v>11.879431540000001</v>
      </c>
      <c r="AF1798" s="4">
        <v>41075</v>
      </c>
      <c r="AG1798" s="5">
        <f>YEAR(AF1798)</f>
        <v>2012</v>
      </c>
      <c r="AH1798" s="5" t="str">
        <f>"Q"&amp;ROUNDUP(MONTH(AF1798)/3,0)</f>
        <v>Q2</v>
      </c>
      <c r="AI1798" s="5">
        <f>INDEX(RatingLookup!$B$2:$B$11,MATCH(A1798,RatingLookup!$A$2:$A$11,0))</f>
        <v>8</v>
      </c>
      <c r="AJ1798" s="5" t="str">
        <f>INDEX(RatingLookup!$C$2:$C$11,MATCH(A1798,RatingLookup!$A$2:$A$11,0))</f>
        <v>Investment Grade</v>
      </c>
    </row>
    <row r="1799" spans="1:36" x14ac:dyDescent="0.3">
      <c r="A1799" s="3" t="s">
        <v>49</v>
      </c>
      <c r="B1799" s="3" t="s">
        <v>1867</v>
      </c>
      <c r="C1799" s="3" t="s">
        <v>1868</v>
      </c>
      <c r="D1799" s="3" t="s">
        <v>39</v>
      </c>
      <c r="E1799" s="3" t="s">
        <v>1869</v>
      </c>
      <c r="F1799" s="3" t="s">
        <v>174</v>
      </c>
      <c r="G1799" s="3">
        <v>1.2203719120000001</v>
      </c>
      <c r="H1799" s="3">
        <v>0.50312239800000003</v>
      </c>
      <c r="I1799" s="3">
        <v>0.39814043900000001</v>
      </c>
      <c r="J1799" s="3">
        <v>0.337002841</v>
      </c>
      <c r="K1799" s="3">
        <v>1.8270597E-2</v>
      </c>
      <c r="L1799" s="3">
        <v>2.8382457E-2</v>
      </c>
      <c r="M1799" s="3">
        <v>0.12590554000000001</v>
      </c>
      <c r="N1799" s="3">
        <v>2.8586647999999999E-2</v>
      </c>
      <c r="O1799" s="3">
        <v>6.2318314E-2</v>
      </c>
      <c r="P1799" s="3">
        <v>0.1717709</v>
      </c>
      <c r="Q1799" s="3">
        <v>0.167276274</v>
      </c>
      <c r="R1799" s="3">
        <v>3.4108527130000001</v>
      </c>
      <c r="S1799" s="3">
        <v>7.5954147000000001</v>
      </c>
      <c r="T1799" s="3">
        <v>1.6842233600000001</v>
      </c>
      <c r="U1799" s="3">
        <v>0.627452762</v>
      </c>
      <c r="V1799" s="3">
        <v>0.34688770699999999</v>
      </c>
      <c r="W1799" s="3">
        <v>0.499748996</v>
      </c>
      <c r="X1799" s="3">
        <v>4.5384813529999999</v>
      </c>
      <c r="Y1799" s="3">
        <v>16.2915752</v>
      </c>
      <c r="Z1799" s="3">
        <v>2.6842233599999998</v>
      </c>
      <c r="AA1799" s="3">
        <v>2.8382457E-2</v>
      </c>
      <c r="AB1799" s="3">
        <v>13.074372029999999</v>
      </c>
      <c r="AC1799" s="3">
        <v>9.0815217019999999</v>
      </c>
      <c r="AD1799" s="3">
        <v>3.5369317999999997E-2</v>
      </c>
      <c r="AE1799" s="3">
        <v>11.59557178</v>
      </c>
      <c r="AF1799" s="4">
        <v>41921</v>
      </c>
      <c r="AG1799" s="5">
        <f>YEAR(AF1799)</f>
        <v>2014</v>
      </c>
      <c r="AH1799" s="5" t="str">
        <f>"Q"&amp;ROUNDUP(MONTH(AF1799)/3,0)</f>
        <v>Q4</v>
      </c>
      <c r="AI1799" s="5">
        <f>INDEX(RatingLookup!$B$2:$B$11,MATCH(A1799,RatingLookup!$A$2:$A$11,0))</f>
        <v>9</v>
      </c>
      <c r="AJ1799" s="5" t="str">
        <f>INDEX(RatingLookup!$C$2:$C$11,MATCH(A1799,RatingLookup!$A$2:$A$11,0))</f>
        <v>Investment Grade</v>
      </c>
    </row>
    <row r="1800" spans="1:36" x14ac:dyDescent="0.3">
      <c r="A1800" s="3" t="s">
        <v>49</v>
      </c>
      <c r="B1800" s="3" t="s">
        <v>1867</v>
      </c>
      <c r="C1800" s="3" t="s">
        <v>1868</v>
      </c>
      <c r="D1800" s="3" t="s">
        <v>39</v>
      </c>
      <c r="E1800" s="3" t="s">
        <v>115</v>
      </c>
      <c r="F1800" s="3" t="s">
        <v>174</v>
      </c>
      <c r="G1800" s="3">
        <v>1.1948404619999999</v>
      </c>
      <c r="H1800" s="3">
        <v>0.45055442400000001</v>
      </c>
      <c r="I1800" s="3">
        <v>0.35030549900000002</v>
      </c>
      <c r="J1800" s="3">
        <v>0.18049374300000001</v>
      </c>
      <c r="K1800" s="3">
        <v>1.9390239E-2</v>
      </c>
      <c r="L1800" s="3">
        <v>2.9014036E-2</v>
      </c>
      <c r="M1800" s="3">
        <v>0.12560386500000001</v>
      </c>
      <c r="N1800" s="3">
        <v>2.9033056000000002E-2</v>
      </c>
      <c r="O1800" s="3">
        <v>6.7331505999999999E-2</v>
      </c>
      <c r="P1800" s="3">
        <v>0.179196523</v>
      </c>
      <c r="Q1800" s="3">
        <v>0.18822117599999999</v>
      </c>
      <c r="R1800" s="3">
        <v>3.4724432850000002</v>
      </c>
      <c r="S1800" s="3">
        <v>7.5755349040000004</v>
      </c>
      <c r="T1800" s="3">
        <v>1.7954398600000001</v>
      </c>
      <c r="U1800" s="3">
        <v>0.64227454299999998</v>
      </c>
      <c r="V1800" s="3">
        <v>0.324483776</v>
      </c>
      <c r="W1800" s="3">
        <v>0.39394821099999999</v>
      </c>
      <c r="X1800" s="3">
        <v>3.1073504669999998</v>
      </c>
      <c r="Y1800" s="3">
        <v>13.58834721</v>
      </c>
      <c r="Z1800" s="3">
        <v>2.7954398600000001</v>
      </c>
      <c r="AA1800" s="3">
        <v>2.9014036E-2</v>
      </c>
      <c r="AB1800" s="3">
        <v>12.89152663</v>
      </c>
      <c r="AC1800" s="3">
        <v>7.8877131140000003</v>
      </c>
      <c r="AD1800" s="3">
        <v>3.2684773E-2</v>
      </c>
      <c r="AE1800" s="3">
        <v>11.680386179999999</v>
      </c>
      <c r="AF1800" s="4">
        <v>41743</v>
      </c>
      <c r="AG1800" s="5">
        <f>YEAR(AF1800)</f>
        <v>2014</v>
      </c>
      <c r="AH1800" s="5" t="str">
        <f>"Q"&amp;ROUNDUP(MONTH(AF1800)/3,0)</f>
        <v>Q2</v>
      </c>
      <c r="AI1800" s="5">
        <f>INDEX(RatingLookup!$B$2:$B$11,MATCH(A1800,RatingLookup!$A$2:$A$11,0))</f>
        <v>9</v>
      </c>
      <c r="AJ1800" s="5" t="str">
        <f>INDEX(RatingLookup!$C$2:$C$11,MATCH(A1800,RatingLookup!$A$2:$A$11,0))</f>
        <v>Investment Grade</v>
      </c>
    </row>
    <row r="1801" spans="1:36" x14ac:dyDescent="0.3">
      <c r="A1801" s="3" t="s">
        <v>36</v>
      </c>
      <c r="B1801" s="3" t="s">
        <v>1867</v>
      </c>
      <c r="C1801" s="3" t="s">
        <v>1868</v>
      </c>
      <c r="D1801" s="3" t="s">
        <v>60</v>
      </c>
      <c r="E1801" s="3" t="s">
        <v>80</v>
      </c>
      <c r="F1801" s="3" t="s">
        <v>174</v>
      </c>
      <c r="G1801" s="3">
        <v>1.1032626430000001</v>
      </c>
      <c r="H1801" s="3">
        <v>0.40130505700000002</v>
      </c>
      <c r="I1801" s="3">
        <v>0.28776509</v>
      </c>
      <c r="J1801" s="3">
        <v>0.24299706500000001</v>
      </c>
      <c r="K1801" s="3">
        <v>1.7238771E-2</v>
      </c>
      <c r="L1801" s="3">
        <v>2.7910871E-2</v>
      </c>
      <c r="M1801" s="3">
        <v>0.124211949</v>
      </c>
      <c r="N1801" s="3">
        <v>2.7830173999999999E-2</v>
      </c>
      <c r="O1801" s="3">
        <v>6.2969786E-2</v>
      </c>
      <c r="P1801" s="3">
        <v>0.18595430099999999</v>
      </c>
      <c r="Q1801" s="3">
        <v>0.13825742299999999</v>
      </c>
      <c r="R1801" s="3">
        <v>3.652800295</v>
      </c>
      <c r="S1801" s="3">
        <v>7.6488696860000003</v>
      </c>
      <c r="T1801" s="3">
        <v>1.1956152410000001</v>
      </c>
      <c r="U1801" s="3">
        <v>0.54454679399999995</v>
      </c>
      <c r="V1801" s="3">
        <v>0.36140224100000001</v>
      </c>
      <c r="W1801" s="3">
        <v>0.51586522700000004</v>
      </c>
      <c r="X1801" s="3">
        <v>3.6368248699999999</v>
      </c>
      <c r="Y1801" s="3">
        <v>11.194133109999999</v>
      </c>
      <c r="Z1801" s="3">
        <v>2.1956152410000001</v>
      </c>
      <c r="AA1801" s="3">
        <v>2.7910871E-2</v>
      </c>
      <c r="AB1801" s="3">
        <v>11.17939836</v>
      </c>
      <c r="AC1801" s="3">
        <v>7.0499515700000002</v>
      </c>
      <c r="AD1801" s="3">
        <v>3.0836116E-2</v>
      </c>
      <c r="AE1801" s="3">
        <v>11.88867589</v>
      </c>
      <c r="AF1801" s="4">
        <v>41241</v>
      </c>
      <c r="AG1801" s="5">
        <f>YEAR(AF1801)</f>
        <v>2012</v>
      </c>
      <c r="AH1801" s="5" t="str">
        <f>"Q"&amp;ROUNDUP(MONTH(AF1801)/3,0)</f>
        <v>Q4</v>
      </c>
      <c r="AI1801" s="5">
        <f>INDEX(RatingLookup!$B$2:$B$11,MATCH(A1801,RatingLookup!$A$2:$A$11,0))</f>
        <v>8</v>
      </c>
      <c r="AJ1801" s="5" t="str">
        <f>INDEX(RatingLookup!$C$2:$C$11,MATCH(A1801,RatingLookup!$A$2:$A$11,0))</f>
        <v>Investment Grade</v>
      </c>
    </row>
    <row r="1802" spans="1:36" x14ac:dyDescent="0.3">
      <c r="A1802" s="3" t="s">
        <v>49</v>
      </c>
      <c r="B1802" s="3" t="s">
        <v>1867</v>
      </c>
      <c r="C1802" s="3" t="s">
        <v>1868</v>
      </c>
      <c r="D1802" s="3" t="s">
        <v>39</v>
      </c>
      <c r="E1802" s="3" t="s">
        <v>145</v>
      </c>
      <c r="F1802" s="3" t="s">
        <v>174</v>
      </c>
      <c r="G1802" s="3">
        <v>1.045888755</v>
      </c>
      <c r="H1802" s="3">
        <v>0.39528416</v>
      </c>
      <c r="I1802" s="3">
        <v>0.29026602200000001</v>
      </c>
      <c r="J1802" s="3">
        <v>0.37379839799999998</v>
      </c>
      <c r="K1802" s="3">
        <v>2.0456286000000001E-2</v>
      </c>
      <c r="L1802" s="3">
        <v>3.1015757000000001E-2</v>
      </c>
      <c r="M1802" s="3">
        <v>0.13024208500000001</v>
      </c>
      <c r="N1802" s="3">
        <v>3.1187876E-2</v>
      </c>
      <c r="O1802" s="3">
        <v>7.1082536000000002E-2</v>
      </c>
      <c r="P1802" s="3">
        <v>0.21325443799999999</v>
      </c>
      <c r="Q1802" s="3">
        <v>0.22388622</v>
      </c>
      <c r="R1802" s="3">
        <v>3.474850478</v>
      </c>
      <c r="S1802" s="3">
        <v>7.5448996819999996</v>
      </c>
      <c r="T1802" s="3">
        <v>2.149665631</v>
      </c>
      <c r="U1802" s="3">
        <v>0.68250598100000004</v>
      </c>
      <c r="V1802" s="3">
        <v>0.331576027</v>
      </c>
      <c r="W1802" s="3">
        <v>0.44154025699999999</v>
      </c>
      <c r="X1802" s="3">
        <v>4.305332742</v>
      </c>
      <c r="Y1802" s="3">
        <v>14.60672879</v>
      </c>
      <c r="Z1802" s="3">
        <v>3.149665631</v>
      </c>
      <c r="AA1802" s="3">
        <v>3.1015757000000001E-2</v>
      </c>
      <c r="AB1802" s="3">
        <v>13.577030649999999</v>
      </c>
      <c r="AC1802" s="3">
        <v>9.750713953</v>
      </c>
      <c r="AD1802" s="3">
        <v>3.6876393E-2</v>
      </c>
      <c r="AE1802" s="3">
        <v>11.21573632</v>
      </c>
      <c r="AF1802" s="4">
        <v>42282</v>
      </c>
      <c r="AG1802" s="5">
        <f>YEAR(AF1802)</f>
        <v>2015</v>
      </c>
      <c r="AH1802" s="5" t="str">
        <f>"Q"&amp;ROUNDUP(MONTH(AF1802)/3,0)</f>
        <v>Q4</v>
      </c>
      <c r="AI1802" s="5">
        <f>INDEX(RatingLookup!$B$2:$B$11,MATCH(A1802,RatingLookup!$A$2:$A$11,0))</f>
        <v>9</v>
      </c>
      <c r="AJ1802" s="5" t="str">
        <f>INDEX(RatingLookup!$C$2:$C$11,MATCH(A1802,RatingLookup!$A$2:$A$11,0))</f>
        <v>Investment Grade</v>
      </c>
    </row>
    <row r="1803" spans="1:36" x14ac:dyDescent="0.3">
      <c r="A1803" s="3" t="s">
        <v>42</v>
      </c>
      <c r="B1803" s="3" t="s">
        <v>1870</v>
      </c>
      <c r="C1803" s="3" t="s">
        <v>1871</v>
      </c>
      <c r="D1803" s="3" t="s">
        <v>47</v>
      </c>
      <c r="E1803" s="3" t="s">
        <v>209</v>
      </c>
      <c r="F1803" s="3" t="s">
        <v>79</v>
      </c>
      <c r="G1803" s="3">
        <v>0.82913072300000001</v>
      </c>
      <c r="H1803" s="3">
        <v>0.64167219600000003</v>
      </c>
      <c r="I1803" s="3">
        <v>1.9243529999999998E-2</v>
      </c>
      <c r="J1803" s="3">
        <v>44.34920975</v>
      </c>
      <c r="K1803" s="3">
        <v>7.0085099999999999E-3</v>
      </c>
      <c r="L1803" s="3">
        <v>3.5328613000000002E-2</v>
      </c>
      <c r="M1803" s="3">
        <v>0.91189301300000003</v>
      </c>
      <c r="N1803" s="3">
        <v>7.7165128999999999E-2</v>
      </c>
      <c r="O1803" s="3">
        <v>4.3357079999999997E-3</v>
      </c>
      <c r="P1803" s="3">
        <v>2.5218234999999999E-2</v>
      </c>
      <c r="Q1803" s="3">
        <v>1.7171894E-2</v>
      </c>
      <c r="R1803" s="3">
        <v>0.61863469500000001</v>
      </c>
      <c r="S1803" s="3">
        <v>1.1327770580000001</v>
      </c>
      <c r="T1803" s="3">
        <v>2.9605747330000001</v>
      </c>
      <c r="U1803" s="3">
        <v>0.74751139200000005</v>
      </c>
      <c r="V1803" s="3">
        <v>0.73684210500000002</v>
      </c>
      <c r="W1803" s="3">
        <v>0.48228105900000001</v>
      </c>
      <c r="X1803" s="3">
        <v>2.53153731</v>
      </c>
      <c r="Y1803" s="3">
        <v>0.50245884100000004</v>
      </c>
      <c r="Z1803" s="3">
        <v>3.9605747330000001</v>
      </c>
      <c r="AA1803" s="3">
        <v>3.5328613000000002E-2</v>
      </c>
      <c r="AB1803" s="3">
        <v>12.31889842</v>
      </c>
      <c r="AC1803" s="3">
        <v>5.2490912979999997</v>
      </c>
      <c r="AD1803" s="3">
        <v>0.17557033499999999</v>
      </c>
      <c r="AE1803" s="3">
        <v>1.6559139780000001</v>
      </c>
      <c r="AF1803" s="4">
        <v>41604</v>
      </c>
      <c r="AG1803" s="5">
        <f>YEAR(AF1803)</f>
        <v>2013</v>
      </c>
      <c r="AH1803" s="5" t="str">
        <f>"Q"&amp;ROUNDUP(MONTH(AF1803)/3,0)</f>
        <v>Q4</v>
      </c>
      <c r="AI1803" s="5">
        <f>INDEX(RatingLookup!$B$2:$B$11,MATCH(A1803,RatingLookup!$A$2:$A$11,0))</f>
        <v>7</v>
      </c>
      <c r="AJ1803" s="5" t="str">
        <f>INDEX(RatingLookup!$C$2:$C$11,MATCH(A1803,RatingLookup!$A$2:$A$11,0))</f>
        <v>Investment Grade</v>
      </c>
    </row>
    <row r="1804" spans="1:36" x14ac:dyDescent="0.3">
      <c r="A1804" s="3" t="s">
        <v>116</v>
      </c>
      <c r="B1804" s="3" t="s">
        <v>1872</v>
      </c>
      <c r="C1804" s="3" t="s">
        <v>1873</v>
      </c>
      <c r="D1804" s="3" t="s">
        <v>60</v>
      </c>
      <c r="E1804" s="3" t="s">
        <v>630</v>
      </c>
      <c r="F1804" s="3" t="s">
        <v>232</v>
      </c>
      <c r="G1804" s="3">
        <v>0.110881626</v>
      </c>
      <c r="H1804" s="3">
        <v>0.110881626</v>
      </c>
      <c r="I1804" s="3">
        <v>2.1899416000000001E-2</v>
      </c>
      <c r="J1804" s="3">
        <v>38.701387680000003</v>
      </c>
      <c r="K1804" s="3">
        <v>-0.54696344100000005</v>
      </c>
      <c r="L1804" s="3">
        <v>-0.538154464</v>
      </c>
      <c r="M1804" s="3">
        <v>1</v>
      </c>
      <c r="N1804" s="3">
        <v>-0.538154464</v>
      </c>
      <c r="O1804" s="3">
        <v>-7.6478519999999994E-2</v>
      </c>
      <c r="P1804" s="3">
        <v>-9.9544539000000001E-2</v>
      </c>
      <c r="Q1804" s="3">
        <v>-0.61313686199999995</v>
      </c>
      <c r="R1804" s="3">
        <v>0.13982382400000001</v>
      </c>
      <c r="S1804" s="3">
        <v>110.7038627</v>
      </c>
      <c r="T1804" s="3">
        <v>7.0171120089999999</v>
      </c>
      <c r="U1804" s="3">
        <v>0.87526680400000001</v>
      </c>
      <c r="V1804" s="3">
        <v>-1.6368863000000001E-2</v>
      </c>
      <c r="W1804" s="3">
        <v>1</v>
      </c>
      <c r="X1804" s="3">
        <v>-3.851870855</v>
      </c>
      <c r="Y1804" s="3">
        <v>0.54515479200000005</v>
      </c>
      <c r="Z1804" s="3">
        <v>8.0171120089999999</v>
      </c>
      <c r="AA1804" s="3">
        <v>-0.538154464</v>
      </c>
      <c r="AB1804" s="3">
        <v>-4.8516399860000003</v>
      </c>
      <c r="AC1804" s="3">
        <v>-3.851870855</v>
      </c>
      <c r="AD1804" s="3">
        <v>-0.618482011</v>
      </c>
      <c r="AE1804" s="3">
        <v>0</v>
      </c>
      <c r="AF1804" s="4">
        <v>41332</v>
      </c>
      <c r="AG1804" s="5">
        <f>YEAR(AF1804)</f>
        <v>2013</v>
      </c>
      <c r="AH1804" s="5" t="str">
        <f>"Q"&amp;ROUNDUP(MONTH(AF1804)/3,0)</f>
        <v>Q1</v>
      </c>
      <c r="AI1804" s="5">
        <f>INDEX(RatingLookup!$B$2:$B$11,MATCH(A1804,RatingLookup!$A$2:$A$11,0))</f>
        <v>4</v>
      </c>
      <c r="AJ1804" s="5" t="str">
        <f>INDEX(RatingLookup!$C$2:$C$11,MATCH(A1804,RatingLookup!$A$2:$A$11,0))</f>
        <v>Speculative Grade</v>
      </c>
    </row>
    <row r="1805" spans="1:36" x14ac:dyDescent="0.3">
      <c r="A1805" s="3" t="s">
        <v>116</v>
      </c>
      <c r="B1805" s="3" t="s">
        <v>1872</v>
      </c>
      <c r="C1805" s="3" t="s">
        <v>1873</v>
      </c>
      <c r="D1805" s="3" t="s">
        <v>60</v>
      </c>
      <c r="E1805" s="3" t="s">
        <v>46</v>
      </c>
      <c r="F1805" s="3" t="s">
        <v>232</v>
      </c>
      <c r="G1805" s="3">
        <v>0.9712383</v>
      </c>
      <c r="H1805" s="3">
        <v>0.9712383</v>
      </c>
      <c r="I1805" s="3">
        <v>2.4690647E-2</v>
      </c>
      <c r="J1805" s="3">
        <v>19.23468935</v>
      </c>
      <c r="K1805" s="3">
        <v>0.15512030500000001</v>
      </c>
      <c r="L1805" s="3">
        <v>0.189189786</v>
      </c>
      <c r="M1805" s="3">
        <v>1</v>
      </c>
      <c r="N1805" s="3">
        <v>0.189189786</v>
      </c>
      <c r="O1805" s="3">
        <v>4.5389915000000003E-2</v>
      </c>
      <c r="P1805" s="3">
        <v>7.0658855000000007E-2</v>
      </c>
      <c r="Q1805" s="3">
        <v>0.25556314000000002</v>
      </c>
      <c r="R1805" s="3">
        <v>0.29261105100000001</v>
      </c>
      <c r="S1805" s="3">
        <v>176.37115180000001</v>
      </c>
      <c r="T1805" s="3">
        <v>4.6303947169999997</v>
      </c>
      <c r="U1805" s="3">
        <v>0.82239255899999997</v>
      </c>
      <c r="V1805" s="3">
        <v>0.180080974</v>
      </c>
      <c r="W1805" s="3">
        <v>1</v>
      </c>
      <c r="X1805" s="3">
        <v>-6.7822122499999997</v>
      </c>
      <c r="Y1805" s="3">
        <v>9.8003505270000009</v>
      </c>
      <c r="Z1805" s="3">
        <v>5.6303947169999997</v>
      </c>
      <c r="AA1805" s="3">
        <v>0.189189786</v>
      </c>
      <c r="AB1805" s="3">
        <v>4.7922538899999996</v>
      </c>
      <c r="AC1805" s="3">
        <v>-6.7822122499999997</v>
      </c>
      <c r="AD1805" s="3">
        <v>-0.46090726999999998</v>
      </c>
      <c r="AE1805" s="3">
        <v>0</v>
      </c>
      <c r="AF1805" s="4">
        <v>41075</v>
      </c>
      <c r="AG1805" s="5">
        <f>YEAR(AF1805)</f>
        <v>2012</v>
      </c>
      <c r="AH1805" s="5" t="str">
        <f>"Q"&amp;ROUNDUP(MONTH(AF1805)/3,0)</f>
        <v>Q2</v>
      </c>
      <c r="AI1805" s="5">
        <f>INDEX(RatingLookup!$B$2:$B$11,MATCH(A1805,RatingLookup!$A$2:$A$11,0))</f>
        <v>4</v>
      </c>
      <c r="AJ1805" s="5" t="str">
        <f>INDEX(RatingLookup!$C$2:$C$11,MATCH(A1805,RatingLookup!$A$2:$A$11,0))</f>
        <v>Speculative Grade</v>
      </c>
    </row>
    <row r="1806" spans="1:36" x14ac:dyDescent="0.3">
      <c r="A1806" s="3" t="s">
        <v>42</v>
      </c>
      <c r="B1806" s="3" t="s">
        <v>1874</v>
      </c>
      <c r="C1806" s="3" t="s">
        <v>1875</v>
      </c>
      <c r="D1806" s="3" t="s">
        <v>47</v>
      </c>
      <c r="E1806" s="3" t="s">
        <v>1069</v>
      </c>
      <c r="F1806" s="3" t="s">
        <v>66</v>
      </c>
      <c r="G1806" s="3">
        <v>1.1079995170000001</v>
      </c>
      <c r="H1806" s="3">
        <v>0.34895172499999999</v>
      </c>
      <c r="I1806" s="3">
        <v>5.5313877999999997E-2</v>
      </c>
      <c r="J1806" s="3">
        <v>22.408478819999999</v>
      </c>
      <c r="K1806" s="3">
        <v>-1.5954625E-2</v>
      </c>
      <c r="L1806" s="3">
        <v>-3.1296582000000003E-2</v>
      </c>
      <c r="M1806" s="3">
        <v>0.20897021299999999</v>
      </c>
      <c r="N1806" s="3">
        <v>-3.1296582000000003E-2</v>
      </c>
      <c r="O1806" s="3">
        <v>-1.4399561999999999E-2</v>
      </c>
      <c r="P1806" s="3">
        <v>-3.4815908E-2</v>
      </c>
      <c r="Q1806" s="3">
        <v>-5.5810870999999998E-2</v>
      </c>
      <c r="R1806" s="3">
        <v>0.90253218000000002</v>
      </c>
      <c r="S1806" s="3">
        <v>4.3880158529999997</v>
      </c>
      <c r="T1806" s="3">
        <v>2.8758727350000002</v>
      </c>
      <c r="U1806" s="3">
        <v>0.74199359300000001</v>
      </c>
      <c r="V1806" s="3">
        <v>-0.47225025199999998</v>
      </c>
      <c r="W1806" s="3">
        <v>0.68127786000000001</v>
      </c>
      <c r="X1806" s="3">
        <v>2.3672846750000001</v>
      </c>
      <c r="Y1806" s="3">
        <v>0.42971133500000003</v>
      </c>
      <c r="Z1806" s="3">
        <v>3.8758727350000002</v>
      </c>
      <c r="AA1806" s="3">
        <v>-3.1296582000000003E-2</v>
      </c>
      <c r="AB1806" s="3">
        <v>227.4155165</v>
      </c>
      <c r="AC1806" s="3">
        <v>3.4747711799999998</v>
      </c>
      <c r="AD1806" s="3">
        <v>9.3517091999999996E-2</v>
      </c>
      <c r="AE1806" s="3">
        <v>9.2202753439999992</v>
      </c>
      <c r="AF1806" s="4">
        <v>42186</v>
      </c>
      <c r="AG1806" s="5">
        <f>YEAR(AF1806)</f>
        <v>2015</v>
      </c>
      <c r="AH1806" s="5" t="str">
        <f>"Q"&amp;ROUNDUP(MONTH(AF1806)/3,0)</f>
        <v>Q3</v>
      </c>
      <c r="AI1806" s="5">
        <f>INDEX(RatingLookup!$B$2:$B$11,MATCH(A1806,RatingLookup!$A$2:$A$11,0))</f>
        <v>7</v>
      </c>
      <c r="AJ1806" s="5" t="str">
        <f>INDEX(RatingLookup!$C$2:$C$11,MATCH(A1806,RatingLookup!$A$2:$A$11,0))</f>
        <v>Investment Grade</v>
      </c>
    </row>
    <row r="1807" spans="1:36" x14ac:dyDescent="0.3">
      <c r="A1807" s="3" t="s">
        <v>92</v>
      </c>
      <c r="B1807" s="3" t="s">
        <v>1876</v>
      </c>
      <c r="C1807" s="3" t="s">
        <v>1877</v>
      </c>
      <c r="D1807" s="3" t="s">
        <v>60</v>
      </c>
      <c r="E1807" s="3" t="s">
        <v>839</v>
      </c>
      <c r="F1807" s="3" t="s">
        <v>59</v>
      </c>
      <c r="G1807" s="3">
        <v>1.6331433989999999</v>
      </c>
      <c r="H1807" s="3">
        <v>1.0381654330000001</v>
      </c>
      <c r="I1807" s="3">
        <v>0.237603799</v>
      </c>
      <c r="J1807" s="3">
        <v>81.228608390000005</v>
      </c>
      <c r="K1807" s="3">
        <v>8.4787552000000002E-2</v>
      </c>
      <c r="L1807" s="3">
        <v>7.7467804000000001E-2</v>
      </c>
      <c r="M1807" s="3">
        <v>0.319786501</v>
      </c>
      <c r="N1807" s="3">
        <v>8.8562033999999998E-2</v>
      </c>
      <c r="O1807" s="3">
        <v>5.4119075000000003E-2</v>
      </c>
      <c r="P1807" s="3">
        <v>6.0113132E-2</v>
      </c>
      <c r="Q1807" s="3">
        <v>0.124601106</v>
      </c>
      <c r="R1807" s="3">
        <v>0.63829033099999999</v>
      </c>
      <c r="S1807" s="3">
        <v>6.3372599110000003</v>
      </c>
      <c r="T1807" s="3">
        <v>1.3023510039999999</v>
      </c>
      <c r="U1807" s="3">
        <v>0.56566136199999995</v>
      </c>
      <c r="V1807" s="3">
        <v>-0.17313425299999999</v>
      </c>
      <c r="W1807" s="3">
        <v>0.78100519000000002</v>
      </c>
      <c r="X1807" s="3">
        <v>2.4869537269999999</v>
      </c>
      <c r="Y1807" s="3">
        <v>2.5213673769999998</v>
      </c>
      <c r="Z1807" s="3">
        <v>2.3023510040000001</v>
      </c>
      <c r="AA1807" s="3">
        <v>7.7467804000000001E-2</v>
      </c>
      <c r="AB1807" s="3">
        <v>11.506222429999999</v>
      </c>
      <c r="AC1807" s="3">
        <v>3.1842985929999998</v>
      </c>
      <c r="AD1807" s="3">
        <v>8.3416586000000001E-2</v>
      </c>
      <c r="AE1807" s="3">
        <v>4.0313769160000001</v>
      </c>
      <c r="AF1807" s="4">
        <v>42160</v>
      </c>
      <c r="AG1807" s="5">
        <f>YEAR(AF1807)</f>
        <v>2015</v>
      </c>
      <c r="AH1807" s="5" t="str">
        <f>"Q"&amp;ROUNDUP(MONTH(AF1807)/3,0)</f>
        <v>Q2</v>
      </c>
      <c r="AI1807" s="5">
        <f>INDEX(RatingLookup!$B$2:$B$11,MATCH(A1807,RatingLookup!$A$2:$A$11,0))</f>
        <v>6</v>
      </c>
      <c r="AJ1807" s="5" t="str">
        <f>INDEX(RatingLookup!$C$2:$C$11,MATCH(A1807,RatingLookup!$A$2:$A$11,0))</f>
        <v>Speculative Grade</v>
      </c>
    </row>
    <row r="1808" spans="1:36" x14ac:dyDescent="0.3">
      <c r="A1808" s="3" t="s">
        <v>92</v>
      </c>
      <c r="B1808" s="3" t="s">
        <v>1876</v>
      </c>
      <c r="C1808" s="3" t="s">
        <v>1877</v>
      </c>
      <c r="D1808" s="3" t="s">
        <v>47</v>
      </c>
      <c r="E1808" s="3" t="s">
        <v>581</v>
      </c>
      <c r="F1808" s="3" t="s">
        <v>59</v>
      </c>
      <c r="G1808" s="3">
        <v>1.6134805729999999</v>
      </c>
      <c r="H1808" s="3">
        <v>1.0259064550000001</v>
      </c>
      <c r="I1808" s="3">
        <v>0.20035710600000001</v>
      </c>
      <c r="J1808" s="3">
        <v>91.435374980000006</v>
      </c>
      <c r="K1808" s="3">
        <v>3.5127324000000001E-2</v>
      </c>
      <c r="L1808" s="3">
        <v>5.7032169000000001E-2</v>
      </c>
      <c r="M1808" s="3">
        <v>0.31413113100000001</v>
      </c>
      <c r="N1808" s="3">
        <v>6.5262389000000004E-2</v>
      </c>
      <c r="O1808" s="3">
        <v>2.0062927000000001E-2</v>
      </c>
      <c r="P1808" s="3">
        <v>3.9402817E-2</v>
      </c>
      <c r="Q1808" s="3">
        <v>4.4223922999999998E-2</v>
      </c>
      <c r="R1808" s="3">
        <v>0.57114876199999998</v>
      </c>
      <c r="S1808" s="3">
        <v>6.0360186950000001</v>
      </c>
      <c r="T1808" s="3">
        <v>1.2042607350000001</v>
      </c>
      <c r="U1808" s="3">
        <v>0.54633316099999996</v>
      </c>
      <c r="V1808" s="3">
        <v>0.30196298999999999</v>
      </c>
      <c r="W1808" s="3">
        <v>0.74389611899999997</v>
      </c>
      <c r="X1808" s="3">
        <v>1.494757439</v>
      </c>
      <c r="Y1808" s="3">
        <v>1.803979724</v>
      </c>
      <c r="Z1808" s="3">
        <v>2.2042607350000001</v>
      </c>
      <c r="AA1808" s="3">
        <v>5.7032169000000001E-2</v>
      </c>
      <c r="AB1808" s="3">
        <v>15.496019459999999</v>
      </c>
      <c r="AC1808" s="3">
        <v>2.0093631369999998</v>
      </c>
      <c r="AD1808" s="3">
        <v>6.7718897E-2</v>
      </c>
      <c r="AE1808" s="3">
        <v>4.128431494</v>
      </c>
      <c r="AF1808" s="4">
        <v>42705</v>
      </c>
      <c r="AG1808" s="5">
        <f>YEAR(AF1808)</f>
        <v>2016</v>
      </c>
      <c r="AH1808" s="5" t="str">
        <f>"Q"&amp;ROUNDUP(MONTH(AF1808)/3,0)</f>
        <v>Q4</v>
      </c>
      <c r="AI1808" s="5">
        <f>INDEX(RatingLookup!$B$2:$B$11,MATCH(A1808,RatingLookup!$A$2:$A$11,0))</f>
        <v>6</v>
      </c>
      <c r="AJ1808" s="5" t="str">
        <f>INDEX(RatingLookup!$C$2:$C$11,MATCH(A1808,RatingLookup!$A$2:$A$11,0))</f>
        <v>Speculative Grade</v>
      </c>
    </row>
    <row r="1809" spans="1:36" x14ac:dyDescent="0.3">
      <c r="A1809" s="3" t="s">
        <v>92</v>
      </c>
      <c r="B1809" s="3" t="s">
        <v>1876</v>
      </c>
      <c r="C1809" s="3" t="s">
        <v>1877</v>
      </c>
      <c r="D1809" s="3" t="s">
        <v>47</v>
      </c>
      <c r="E1809" s="3" t="s">
        <v>594</v>
      </c>
      <c r="F1809" s="3" t="s">
        <v>59</v>
      </c>
      <c r="G1809" s="3">
        <v>1.5763644539999999</v>
      </c>
      <c r="H1809" s="3">
        <v>0.97249145400000003</v>
      </c>
      <c r="I1809" s="3">
        <v>0.17688902300000001</v>
      </c>
      <c r="J1809" s="3">
        <v>81.718240219999998</v>
      </c>
      <c r="K1809" s="3">
        <v>4.2283025000000002E-2</v>
      </c>
      <c r="L1809" s="3">
        <v>5.9717377000000002E-2</v>
      </c>
      <c r="M1809" s="3">
        <v>0.31554254500000001</v>
      </c>
      <c r="N1809" s="3">
        <v>7.1752255000000001E-2</v>
      </c>
      <c r="O1809" s="3">
        <v>2.4913266E-2</v>
      </c>
      <c r="P1809" s="3">
        <v>4.2179085999999998E-2</v>
      </c>
      <c r="Q1809" s="3">
        <v>5.4638555999999998E-2</v>
      </c>
      <c r="R1809" s="3">
        <v>0.58920254400000005</v>
      </c>
      <c r="S1809" s="3">
        <v>6.1548974769999996</v>
      </c>
      <c r="T1809" s="3">
        <v>1.1931510839999999</v>
      </c>
      <c r="U1809" s="3">
        <v>0.54403506099999999</v>
      </c>
      <c r="V1809" s="3">
        <v>0.20989269799999999</v>
      </c>
      <c r="W1809" s="3">
        <v>0.76999996699999995</v>
      </c>
      <c r="X1809" s="3">
        <v>1.885044744</v>
      </c>
      <c r="Y1809" s="3">
        <v>1.5911954580000001</v>
      </c>
      <c r="Z1809" s="3">
        <v>2.1931510840000001</v>
      </c>
      <c r="AA1809" s="3">
        <v>5.9717377000000002E-2</v>
      </c>
      <c r="AB1809" s="3">
        <v>9.0341355060000001</v>
      </c>
      <c r="AC1809" s="3">
        <v>2.4481101619999999</v>
      </c>
      <c r="AD1809" s="3">
        <v>7.6584053999999999E-2</v>
      </c>
      <c r="AE1809" s="3">
        <v>3.7770280139999999</v>
      </c>
      <c r="AF1809" s="4">
        <v>42454</v>
      </c>
      <c r="AG1809" s="5">
        <f>YEAR(AF1809)</f>
        <v>2016</v>
      </c>
      <c r="AH1809" s="5" t="str">
        <f>"Q"&amp;ROUNDUP(MONTH(AF1809)/3,0)</f>
        <v>Q1</v>
      </c>
      <c r="AI1809" s="5">
        <f>INDEX(RatingLookup!$B$2:$B$11,MATCH(A1809,RatingLookup!$A$2:$A$11,0))</f>
        <v>6</v>
      </c>
      <c r="AJ1809" s="5" t="str">
        <f>INDEX(RatingLookup!$C$2:$C$11,MATCH(A1809,RatingLookup!$A$2:$A$11,0))</f>
        <v>Speculative Grade</v>
      </c>
    </row>
    <row r="1810" spans="1:36" x14ac:dyDescent="0.3">
      <c r="A1810" s="3" t="s">
        <v>92</v>
      </c>
      <c r="B1810" s="3" t="s">
        <v>1876</v>
      </c>
      <c r="C1810" s="3" t="s">
        <v>1877</v>
      </c>
      <c r="D1810" s="3" t="s">
        <v>60</v>
      </c>
      <c r="E1810" s="3" t="s">
        <v>1878</v>
      </c>
      <c r="F1810" s="3" t="s">
        <v>59</v>
      </c>
      <c r="G1810" s="3">
        <v>1.5550589420000001</v>
      </c>
      <c r="H1810" s="3">
        <v>0.97607647500000005</v>
      </c>
      <c r="I1810" s="3">
        <v>0.226385909</v>
      </c>
      <c r="J1810" s="3">
        <v>89.435913450000001</v>
      </c>
      <c r="K1810" s="3">
        <v>4.2457600999999998E-2</v>
      </c>
      <c r="L1810" s="3">
        <v>7.1970514999999999E-2</v>
      </c>
      <c r="M1810" s="3">
        <v>0.31047233499999999</v>
      </c>
      <c r="N1810" s="3">
        <v>9.6594203000000003E-2</v>
      </c>
      <c r="O1810" s="3">
        <v>2.7135347000000001E-2</v>
      </c>
      <c r="P1810" s="3">
        <v>5.8143006999999997E-2</v>
      </c>
      <c r="Q1810" s="3">
        <v>7.1056438999999999E-2</v>
      </c>
      <c r="R1810" s="3">
        <v>0.63911635300000003</v>
      </c>
      <c r="S1810" s="3">
        <v>5.5567121009999996</v>
      </c>
      <c r="T1810" s="3">
        <v>1.6185933429999999</v>
      </c>
      <c r="U1810" s="3">
        <v>0.61811558</v>
      </c>
      <c r="V1810" s="3">
        <v>0.309291765</v>
      </c>
      <c r="W1810" s="3">
        <v>0.80262805500000001</v>
      </c>
      <c r="X1810" s="3">
        <v>2.930354742</v>
      </c>
      <c r="Y1810" s="3">
        <v>3.1381601570000002</v>
      </c>
      <c r="Z1810" s="3">
        <v>2.6185933430000001</v>
      </c>
      <c r="AA1810" s="3">
        <v>7.1970514999999999E-2</v>
      </c>
      <c r="AB1810" s="3">
        <v>13.72397404</v>
      </c>
      <c r="AC1810" s="3">
        <v>3.6509498069999999</v>
      </c>
      <c r="AD1810" s="3">
        <v>8.6082959000000001E-2</v>
      </c>
      <c r="AE1810" s="3">
        <v>3.3717508540000001</v>
      </c>
      <c r="AF1810" s="4">
        <v>41568</v>
      </c>
      <c r="AG1810" s="5">
        <f>YEAR(AF1810)</f>
        <v>2013</v>
      </c>
      <c r="AH1810" s="5" t="str">
        <f>"Q"&amp;ROUNDUP(MONTH(AF1810)/3,0)</f>
        <v>Q4</v>
      </c>
      <c r="AI1810" s="5">
        <f>INDEX(RatingLookup!$B$2:$B$11,MATCH(A1810,RatingLookup!$A$2:$A$11,0))</f>
        <v>6</v>
      </c>
      <c r="AJ1810" s="5" t="str">
        <f>INDEX(RatingLookup!$C$2:$C$11,MATCH(A1810,RatingLookup!$A$2:$A$11,0))</f>
        <v>Speculative Grade</v>
      </c>
    </row>
    <row r="1811" spans="1:36" x14ac:dyDescent="0.3">
      <c r="A1811" s="3" t="s">
        <v>92</v>
      </c>
      <c r="B1811" s="3" t="s">
        <v>1876</v>
      </c>
      <c r="C1811" s="3" t="s">
        <v>1877</v>
      </c>
      <c r="D1811" s="3" t="s">
        <v>60</v>
      </c>
      <c r="E1811" s="3" t="s">
        <v>630</v>
      </c>
      <c r="F1811" s="3" t="s">
        <v>59</v>
      </c>
      <c r="G1811" s="3">
        <v>1.812724912</v>
      </c>
      <c r="H1811" s="3">
        <v>1.153449124</v>
      </c>
      <c r="I1811" s="3">
        <v>0.41043491100000001</v>
      </c>
      <c r="J1811" s="3">
        <v>459.74633399999999</v>
      </c>
      <c r="K1811" s="3">
        <v>6.5691559999999996E-3</v>
      </c>
      <c r="L1811" s="3">
        <v>-3.9869223000000002E-2</v>
      </c>
      <c r="M1811" s="3">
        <v>0.34626733500000001</v>
      </c>
      <c r="N1811" s="3">
        <v>3.7361261999999999E-2</v>
      </c>
      <c r="O1811" s="3">
        <v>7.4310000000000001E-4</v>
      </c>
      <c r="P1811" s="3">
        <v>-5.580036E-3</v>
      </c>
      <c r="Q1811" s="3">
        <v>2.3818839999999999E-3</v>
      </c>
      <c r="R1811" s="3">
        <v>0.113119557</v>
      </c>
      <c r="S1811" s="3">
        <v>1.0070029190000001</v>
      </c>
      <c r="T1811" s="3">
        <v>2.2053340600000002</v>
      </c>
      <c r="U1811" s="3">
        <v>0.68802003700000003</v>
      </c>
      <c r="V1811" s="3">
        <v>-0.55822029299999998</v>
      </c>
      <c r="W1811" s="3">
        <v>0.74129092100000005</v>
      </c>
      <c r="X1811" s="3">
        <v>0.97094216</v>
      </c>
      <c r="Y1811" s="3">
        <v>11.05648439</v>
      </c>
      <c r="Z1811" s="3">
        <v>3.2053340600000002</v>
      </c>
      <c r="AA1811" s="3">
        <v>-3.9869223000000002E-2</v>
      </c>
      <c r="AB1811" s="3">
        <v>64.569265389999998</v>
      </c>
      <c r="AC1811" s="3">
        <v>1.3097990719999999</v>
      </c>
      <c r="AD1811" s="3">
        <v>8.2425236999999998E-2</v>
      </c>
      <c r="AE1811" s="3">
        <v>0.64790759600000003</v>
      </c>
      <c r="AF1811" s="4">
        <v>41332</v>
      </c>
      <c r="AG1811" s="5">
        <f>YEAR(AF1811)</f>
        <v>2013</v>
      </c>
      <c r="AH1811" s="5" t="str">
        <f>"Q"&amp;ROUNDUP(MONTH(AF1811)/3,0)</f>
        <v>Q1</v>
      </c>
      <c r="AI1811" s="5">
        <f>INDEX(RatingLookup!$B$2:$B$11,MATCH(A1811,RatingLookup!$A$2:$A$11,0))</f>
        <v>6</v>
      </c>
      <c r="AJ1811" s="5" t="str">
        <f>INDEX(RatingLookup!$C$2:$C$11,MATCH(A1811,RatingLookup!$A$2:$A$11,0))</f>
        <v>Speculative Grade</v>
      </c>
    </row>
    <row r="1812" spans="1:36" x14ac:dyDescent="0.3">
      <c r="A1812" s="3" t="s">
        <v>42</v>
      </c>
      <c r="B1812" s="3" t="s">
        <v>1879</v>
      </c>
      <c r="C1812" s="3" t="s">
        <v>1880</v>
      </c>
      <c r="D1812" s="3" t="s">
        <v>60</v>
      </c>
      <c r="E1812" s="3" t="s">
        <v>1642</v>
      </c>
      <c r="F1812" s="3" t="s">
        <v>79</v>
      </c>
      <c r="G1812" s="3">
        <v>1.197416714</v>
      </c>
      <c r="H1812" s="3">
        <v>0.94363575899999996</v>
      </c>
      <c r="I1812" s="3">
        <v>0.52697012700000001</v>
      </c>
      <c r="J1812" s="3">
        <v>60.693874370000003</v>
      </c>
      <c r="K1812" s="3">
        <v>0.13129770499999999</v>
      </c>
      <c r="L1812" s="3">
        <v>0.20405973499999999</v>
      </c>
      <c r="M1812" s="3">
        <v>0.51186285600000003</v>
      </c>
      <c r="N1812" s="3">
        <v>0.227198383</v>
      </c>
      <c r="O1812" s="3">
        <v>6.3395070999999997E-2</v>
      </c>
      <c r="P1812" s="3">
        <v>0.14976831199999999</v>
      </c>
      <c r="Q1812" s="3">
        <v>9.9674604999999999E-2</v>
      </c>
      <c r="R1812" s="3">
        <v>0.48283457299999999</v>
      </c>
      <c r="S1812" s="3">
        <v>1.926799508</v>
      </c>
      <c r="T1812" s="3">
        <v>0.57227688099999996</v>
      </c>
      <c r="U1812" s="3">
        <v>0.36397970899999998</v>
      </c>
      <c r="V1812" s="3">
        <v>0.35657220299999998</v>
      </c>
      <c r="W1812" s="3">
        <v>1</v>
      </c>
      <c r="X1812" s="3">
        <v>8.9457552909999993</v>
      </c>
      <c r="Y1812" s="3">
        <v>6.3471683130000001</v>
      </c>
      <c r="Z1812" s="3">
        <v>1.5722768810000001</v>
      </c>
      <c r="AA1812" s="3">
        <v>0.25041542300000003</v>
      </c>
      <c r="AB1812" s="3">
        <v>1.7744439700000001</v>
      </c>
      <c r="AC1812" s="3">
        <v>8.9457552909999993</v>
      </c>
      <c r="AD1812" s="3">
        <v>0.29640621900000003</v>
      </c>
      <c r="AE1812" s="3">
        <v>2.6371328030000001</v>
      </c>
      <c r="AF1812" s="4">
        <v>41163</v>
      </c>
      <c r="AG1812" s="5">
        <f>YEAR(AF1812)</f>
        <v>2012</v>
      </c>
      <c r="AH1812" s="5" t="str">
        <f>"Q"&amp;ROUNDUP(MONTH(AF1812)/3,0)</f>
        <v>Q3</v>
      </c>
      <c r="AI1812" s="5">
        <f>INDEX(RatingLookup!$B$2:$B$11,MATCH(A1812,RatingLookup!$A$2:$A$11,0))</f>
        <v>7</v>
      </c>
      <c r="AJ1812" s="5" t="str">
        <f>INDEX(RatingLookup!$C$2:$C$11,MATCH(A1812,RatingLookup!$A$2:$A$11,0))</f>
        <v>Investment Grade</v>
      </c>
    </row>
    <row r="1813" spans="1:36" x14ac:dyDescent="0.3">
      <c r="A1813" s="3" t="s">
        <v>92</v>
      </c>
      <c r="B1813" s="3" t="s">
        <v>1881</v>
      </c>
      <c r="C1813" s="3" t="s">
        <v>1882</v>
      </c>
      <c r="D1813" s="3" t="s">
        <v>47</v>
      </c>
      <c r="E1813" s="3" t="s">
        <v>1333</v>
      </c>
      <c r="F1813" s="3" t="s">
        <v>66</v>
      </c>
      <c r="G1813" s="3">
        <v>2.8461018390000001</v>
      </c>
      <c r="H1813" s="3">
        <v>1.8161944379999999</v>
      </c>
      <c r="I1813" s="3">
        <v>0.62053298400000001</v>
      </c>
      <c r="J1813" s="3">
        <v>75.485659220000002</v>
      </c>
      <c r="K1813" s="3">
        <v>7.2315757999999994E-2</v>
      </c>
      <c r="L1813" s="3">
        <v>9.9516187000000006E-2</v>
      </c>
      <c r="M1813" s="3">
        <v>0.25580041100000001</v>
      </c>
      <c r="N1813" s="3">
        <v>0.10512063000000001</v>
      </c>
      <c r="O1813" s="3">
        <v>8.376517E-2</v>
      </c>
      <c r="P1813" s="3">
        <v>0.144153587</v>
      </c>
      <c r="Q1813" s="3">
        <v>0.174403696</v>
      </c>
      <c r="R1813" s="3">
        <v>1.15832527</v>
      </c>
      <c r="S1813" s="3">
        <v>7.0211122760000002</v>
      </c>
      <c r="T1813" s="3">
        <v>1.0820550579999999</v>
      </c>
      <c r="U1813" s="3">
        <v>0.51970530500000001</v>
      </c>
      <c r="V1813" s="3">
        <v>0.27197510200000002</v>
      </c>
      <c r="W1813" s="3">
        <v>0.67283039600000005</v>
      </c>
      <c r="X1813" s="3">
        <v>2.8690323750000002</v>
      </c>
      <c r="Y1813" s="3">
        <v>5.8965734940000001</v>
      </c>
      <c r="Z1813" s="3">
        <v>2.0820550579999999</v>
      </c>
      <c r="AA1813" s="3">
        <v>9.9516187000000006E-2</v>
      </c>
      <c r="AB1813" s="3">
        <v>10.073494999999999</v>
      </c>
      <c r="AC1813" s="3">
        <v>4.2641242000000004</v>
      </c>
      <c r="AD1813" s="3">
        <v>7.7617269000000003E-2</v>
      </c>
      <c r="AE1813" s="3">
        <v>8.5307538869999995</v>
      </c>
      <c r="AF1813" s="4">
        <v>42241</v>
      </c>
      <c r="AG1813" s="5">
        <f>YEAR(AF1813)</f>
        <v>2015</v>
      </c>
      <c r="AH1813" s="5" t="str">
        <f>"Q"&amp;ROUNDUP(MONTH(AF1813)/3,0)</f>
        <v>Q3</v>
      </c>
      <c r="AI1813" s="5">
        <f>INDEX(RatingLookup!$B$2:$B$11,MATCH(A1813,RatingLookup!$A$2:$A$11,0))</f>
        <v>6</v>
      </c>
      <c r="AJ1813" s="5" t="str">
        <f>INDEX(RatingLookup!$C$2:$C$11,MATCH(A1813,RatingLookup!$A$2:$A$11,0))</f>
        <v>Speculative Grade</v>
      </c>
    </row>
    <row r="1814" spans="1:36" x14ac:dyDescent="0.3">
      <c r="A1814" s="3" t="s">
        <v>109</v>
      </c>
      <c r="B1814" s="3" t="s">
        <v>1881</v>
      </c>
      <c r="C1814" s="3" t="s">
        <v>1882</v>
      </c>
      <c r="D1814" s="3" t="s">
        <v>60</v>
      </c>
      <c r="E1814" s="3" t="s">
        <v>46</v>
      </c>
      <c r="F1814" s="3" t="s">
        <v>66</v>
      </c>
      <c r="G1814" s="3">
        <v>2.1527357130000002</v>
      </c>
      <c r="H1814" s="3">
        <v>1.2359266739999999</v>
      </c>
      <c r="I1814" s="3">
        <v>0.23484809300000001</v>
      </c>
      <c r="J1814" s="3">
        <v>86.225276949999994</v>
      </c>
      <c r="K1814" s="3">
        <v>5.7738963999999997E-2</v>
      </c>
      <c r="L1814" s="3">
        <v>7.7091845000000006E-2</v>
      </c>
      <c r="M1814" s="3">
        <v>0.22899094</v>
      </c>
      <c r="N1814" s="3">
        <v>9.3569638999999996E-2</v>
      </c>
      <c r="O1814" s="3">
        <v>6.2036101000000003E-2</v>
      </c>
      <c r="P1814" s="3">
        <v>0.11096302399999999</v>
      </c>
      <c r="Q1814" s="3">
        <v>0.116414237</v>
      </c>
      <c r="R1814" s="3">
        <v>1.074423522</v>
      </c>
      <c r="S1814" s="3">
        <v>5.7042612190000002</v>
      </c>
      <c r="T1814" s="3">
        <v>0.87655632400000005</v>
      </c>
      <c r="U1814" s="3">
        <v>0.46710898699999998</v>
      </c>
      <c r="V1814" s="3">
        <v>0.25103668699999998</v>
      </c>
      <c r="W1814" s="3">
        <v>0.21605043199999999</v>
      </c>
      <c r="X1814" s="3">
        <v>0.33455435500000003</v>
      </c>
      <c r="Y1814" s="3">
        <v>2.2048912220000001</v>
      </c>
      <c r="Z1814" s="3">
        <v>1.8765563240000001</v>
      </c>
      <c r="AA1814" s="3">
        <v>7.7091845000000006E-2</v>
      </c>
      <c r="AB1814" s="3">
        <v>7.3946504129999999</v>
      </c>
      <c r="AC1814" s="3">
        <v>1.5485012069999999</v>
      </c>
      <c r="AD1814" s="3">
        <v>3.8921088999999999E-2</v>
      </c>
      <c r="AE1814" s="3">
        <v>6.0148284050000003</v>
      </c>
      <c r="AF1814" s="4">
        <v>41075</v>
      </c>
      <c r="AG1814" s="5">
        <f>YEAR(AF1814)</f>
        <v>2012</v>
      </c>
      <c r="AH1814" s="5" t="str">
        <f>"Q"&amp;ROUNDUP(MONTH(AF1814)/3,0)</f>
        <v>Q2</v>
      </c>
      <c r="AI1814" s="5">
        <f>INDEX(RatingLookup!$B$2:$B$11,MATCH(A1814,RatingLookup!$A$2:$A$11,0))</f>
        <v>5</v>
      </c>
      <c r="AJ1814" s="5" t="str">
        <f>INDEX(RatingLookup!$C$2:$C$11,MATCH(A1814,RatingLookup!$A$2:$A$11,0))</f>
        <v>Speculative Grade</v>
      </c>
    </row>
    <row r="1815" spans="1:36" x14ac:dyDescent="0.3">
      <c r="A1815" s="3" t="s">
        <v>92</v>
      </c>
      <c r="B1815" s="3" t="s">
        <v>1881</v>
      </c>
      <c r="C1815" s="3" t="s">
        <v>1882</v>
      </c>
      <c r="D1815" s="3" t="s">
        <v>47</v>
      </c>
      <c r="E1815" s="3" t="s">
        <v>1883</v>
      </c>
      <c r="F1815" s="3" t="s">
        <v>66</v>
      </c>
      <c r="G1815" s="3">
        <v>2.8730547839999998</v>
      </c>
      <c r="H1815" s="3">
        <v>1.968446554</v>
      </c>
      <c r="I1815" s="3">
        <v>0.88061289399999998</v>
      </c>
      <c r="J1815" s="3">
        <v>77.341268150000005</v>
      </c>
      <c r="K1815" s="3">
        <v>5.8780381999999999E-2</v>
      </c>
      <c r="L1815" s="3">
        <v>7.8548118E-2</v>
      </c>
      <c r="M1815" s="3">
        <v>0.26412402099999999</v>
      </c>
      <c r="N1815" s="3">
        <v>9.0663395999999993E-2</v>
      </c>
      <c r="O1815" s="3">
        <v>6.1481479999999998E-2</v>
      </c>
      <c r="P1815" s="3">
        <v>0.10317883899999999</v>
      </c>
      <c r="Q1815" s="3">
        <v>0.134385386</v>
      </c>
      <c r="R1815" s="3">
        <v>1.0459523829999999</v>
      </c>
      <c r="S1815" s="3">
        <v>6.4806678059999996</v>
      </c>
      <c r="T1815" s="3">
        <v>1.1857864380000001</v>
      </c>
      <c r="U1815" s="3">
        <v>0.54249876299999999</v>
      </c>
      <c r="V1815" s="3">
        <v>0.27544149899999998</v>
      </c>
      <c r="W1815" s="3">
        <v>0.81831837200000002</v>
      </c>
      <c r="X1815" s="3">
        <v>5.6845005640000004</v>
      </c>
      <c r="Y1815" s="3">
        <v>8.9732722480000007</v>
      </c>
      <c r="Z1815" s="3">
        <v>2.1857864380000001</v>
      </c>
      <c r="AA1815" s="3">
        <v>7.8548118E-2</v>
      </c>
      <c r="AB1815" s="3">
        <v>10.392744950000001</v>
      </c>
      <c r="AC1815" s="3">
        <v>6.9465635360000002</v>
      </c>
      <c r="AD1815" s="3">
        <v>0.132788401</v>
      </c>
      <c r="AE1815" s="3">
        <v>7.4612899549999998</v>
      </c>
      <c r="AF1815" s="4">
        <v>42565</v>
      </c>
      <c r="AG1815" s="5">
        <f>YEAR(AF1815)</f>
        <v>2016</v>
      </c>
      <c r="AH1815" s="5" t="str">
        <f>"Q"&amp;ROUNDUP(MONTH(AF1815)/3,0)</f>
        <v>Q3</v>
      </c>
      <c r="AI1815" s="5">
        <f>INDEX(RatingLookup!$B$2:$B$11,MATCH(A1815,RatingLookup!$A$2:$A$11,0))</f>
        <v>6</v>
      </c>
      <c r="AJ1815" s="5" t="str">
        <f>INDEX(RatingLookup!$C$2:$C$11,MATCH(A1815,RatingLookup!$A$2:$A$11,0))</f>
        <v>Speculative Grade</v>
      </c>
    </row>
    <row r="1816" spans="1:36" x14ac:dyDescent="0.3">
      <c r="A1816" s="3" t="s">
        <v>92</v>
      </c>
      <c r="B1816" s="3" t="s">
        <v>1881</v>
      </c>
      <c r="C1816" s="3" t="s">
        <v>1882</v>
      </c>
      <c r="D1816" s="3" t="s">
        <v>60</v>
      </c>
      <c r="E1816" s="3" t="s">
        <v>1884</v>
      </c>
      <c r="F1816" s="3" t="s">
        <v>66</v>
      </c>
      <c r="G1816" s="3">
        <v>2.2371745590000001</v>
      </c>
      <c r="H1816" s="3">
        <v>1.3840434260000001</v>
      </c>
      <c r="I1816" s="3">
        <v>0.41297172500000001</v>
      </c>
      <c r="J1816" s="3">
        <v>83.280961739999995</v>
      </c>
      <c r="K1816" s="3">
        <v>6.0752503999999999E-2</v>
      </c>
      <c r="L1816" s="3">
        <v>6.9772347999999998E-2</v>
      </c>
      <c r="M1816" s="3">
        <v>0.25445021099999998</v>
      </c>
      <c r="N1816" s="3">
        <v>7.8607907000000005E-2</v>
      </c>
      <c r="O1816" s="3">
        <v>6.4744700000000002E-2</v>
      </c>
      <c r="P1816" s="3">
        <v>9.9196474000000007E-2</v>
      </c>
      <c r="Q1816" s="3">
        <v>0.120609563</v>
      </c>
      <c r="R1816" s="3">
        <v>1.0657124600000001</v>
      </c>
      <c r="S1816" s="3">
        <v>6.6846576940000002</v>
      </c>
      <c r="T1816" s="3">
        <v>0.86284842299999998</v>
      </c>
      <c r="U1816" s="3">
        <v>0.46318767100000002</v>
      </c>
      <c r="V1816" s="3">
        <v>9.8350969999999996E-2</v>
      </c>
      <c r="W1816" s="3">
        <v>0.67981262399999998</v>
      </c>
      <c r="X1816" s="3">
        <v>2.772609418</v>
      </c>
      <c r="Y1816" s="3">
        <v>5.0576013790000003</v>
      </c>
      <c r="Z1816" s="3">
        <v>1.862848423</v>
      </c>
      <c r="AA1816" s="3">
        <v>6.9772347999999998E-2</v>
      </c>
      <c r="AB1816" s="3">
        <v>12.655688789999999</v>
      </c>
      <c r="AC1816" s="3">
        <v>4.0784906330000004</v>
      </c>
      <c r="AD1816" s="3">
        <v>7.8248632999999998E-2</v>
      </c>
      <c r="AE1816" s="3">
        <v>7.109544326</v>
      </c>
      <c r="AF1816" s="4">
        <v>42100</v>
      </c>
      <c r="AG1816" s="5">
        <f>YEAR(AF1816)</f>
        <v>2015</v>
      </c>
      <c r="AH1816" s="5" t="str">
        <f>"Q"&amp;ROUNDUP(MONTH(AF1816)/3,0)</f>
        <v>Q2</v>
      </c>
      <c r="AI1816" s="5">
        <f>INDEX(RatingLookup!$B$2:$B$11,MATCH(A1816,RatingLookup!$A$2:$A$11,0))</f>
        <v>6</v>
      </c>
      <c r="AJ1816" s="5" t="str">
        <f>INDEX(RatingLookup!$C$2:$C$11,MATCH(A1816,RatingLookup!$A$2:$A$11,0))</f>
        <v>Speculative Grade</v>
      </c>
    </row>
    <row r="1817" spans="1:36" x14ac:dyDescent="0.3">
      <c r="A1817" s="3" t="s">
        <v>92</v>
      </c>
      <c r="B1817" s="3" t="s">
        <v>1881</v>
      </c>
      <c r="C1817" s="3" t="s">
        <v>1882</v>
      </c>
      <c r="D1817" s="3" t="s">
        <v>60</v>
      </c>
      <c r="E1817" s="3" t="s">
        <v>889</v>
      </c>
      <c r="F1817" s="3" t="s">
        <v>66</v>
      </c>
      <c r="G1817" s="3">
        <v>2.4659176700000001</v>
      </c>
      <c r="H1817" s="3">
        <v>1.4916106840000001</v>
      </c>
      <c r="I1817" s="3">
        <v>0.53329740199999998</v>
      </c>
      <c r="J1817" s="3">
        <v>71.807061860000005</v>
      </c>
      <c r="K1817" s="3">
        <v>7.3108094999999998E-2</v>
      </c>
      <c r="L1817" s="3">
        <v>5.7021573999999998E-2</v>
      </c>
      <c r="M1817" s="3">
        <v>0.249985182</v>
      </c>
      <c r="N1817" s="3">
        <v>0.109708684</v>
      </c>
      <c r="O1817" s="3">
        <v>8.3762142999999997E-2</v>
      </c>
      <c r="P1817" s="3">
        <v>8.5423479999999996E-2</v>
      </c>
      <c r="Q1817" s="3">
        <v>0.14238742700000001</v>
      </c>
      <c r="R1817" s="3">
        <v>1.145730071</v>
      </c>
      <c r="S1817" s="3">
        <v>6.5049696399999997</v>
      </c>
      <c r="T1817" s="3">
        <v>0.69990191599999996</v>
      </c>
      <c r="U1817" s="3">
        <v>0.411730765</v>
      </c>
      <c r="V1817" s="3">
        <v>0.50261800300000004</v>
      </c>
      <c r="W1817" s="3">
        <v>0.77378887100000004</v>
      </c>
      <c r="X1817" s="3">
        <v>3.9380696409999998</v>
      </c>
      <c r="Y1817" s="3">
        <v>5.1923696230000003</v>
      </c>
      <c r="Z1817" s="3">
        <v>1.699901916</v>
      </c>
      <c r="AA1817" s="3">
        <v>5.7021573999999998E-2</v>
      </c>
      <c r="AB1817" s="3">
        <v>6.8236452180000002</v>
      </c>
      <c r="AC1817" s="3">
        <v>5.0893335249999998</v>
      </c>
      <c r="AD1817" s="3">
        <v>0.107307868</v>
      </c>
      <c r="AE1817" s="3">
        <v>6.8503763649999998</v>
      </c>
      <c r="AF1817" s="4">
        <v>41502</v>
      </c>
      <c r="AG1817" s="5">
        <f>YEAR(AF1817)</f>
        <v>2013</v>
      </c>
      <c r="AH1817" s="5" t="str">
        <f>"Q"&amp;ROUNDUP(MONTH(AF1817)/3,0)</f>
        <v>Q3</v>
      </c>
      <c r="AI1817" s="5">
        <f>INDEX(RatingLookup!$B$2:$B$11,MATCH(A1817,RatingLookup!$A$2:$A$11,0))</f>
        <v>6</v>
      </c>
      <c r="AJ1817" s="5" t="str">
        <f>INDEX(RatingLookup!$C$2:$C$11,MATCH(A1817,RatingLookup!$A$2:$A$11,0))</f>
        <v>Speculative Grade</v>
      </c>
    </row>
    <row r="1818" spans="1:36" x14ac:dyDescent="0.3">
      <c r="A1818" s="3" t="s">
        <v>109</v>
      </c>
      <c r="B1818" s="3" t="s">
        <v>1885</v>
      </c>
      <c r="C1818" s="3" t="s">
        <v>1886</v>
      </c>
      <c r="D1818" s="3" t="s">
        <v>60</v>
      </c>
      <c r="E1818" s="3" t="s">
        <v>1069</v>
      </c>
      <c r="F1818" s="3" t="s">
        <v>53</v>
      </c>
      <c r="G1818" s="3">
        <v>1.101937398</v>
      </c>
      <c r="H1818" s="3">
        <v>0.35118739500000001</v>
      </c>
      <c r="I1818" s="3">
        <v>2.8208090000000001E-3</v>
      </c>
      <c r="J1818" s="3">
        <v>63.931375410000001</v>
      </c>
      <c r="K1818" s="3">
        <v>-0.114693462</v>
      </c>
      <c r="L1818" s="3">
        <v>-0.17904139899999999</v>
      </c>
      <c r="M1818" s="3">
        <v>1</v>
      </c>
      <c r="N1818" s="3">
        <v>-0.10720848700000001</v>
      </c>
      <c r="O1818" s="3">
        <v>-2.8803526999999999E-2</v>
      </c>
      <c r="P1818" s="3">
        <v>-5.1511422000000001E-2</v>
      </c>
      <c r="Q1818" s="3">
        <v>-5.3045492999999999E-2</v>
      </c>
      <c r="R1818" s="3">
        <v>0.25113486699999998</v>
      </c>
      <c r="S1818" s="3">
        <v>0.30723680599999997</v>
      </c>
      <c r="T1818" s="3">
        <v>0.84163185600000001</v>
      </c>
      <c r="U1818" s="3">
        <v>0.45700331100000002</v>
      </c>
      <c r="V1818" s="3">
        <v>0.35940255900000001</v>
      </c>
      <c r="W1818" s="3">
        <v>1</v>
      </c>
      <c r="X1818" s="3">
        <v>10.499144380000001</v>
      </c>
      <c r="Y1818" s="3">
        <v>3.9588282000000002E-2</v>
      </c>
      <c r="Z1818" s="3">
        <v>1.841631856</v>
      </c>
      <c r="AA1818" s="3">
        <v>-0.17904139899999999</v>
      </c>
      <c r="AB1818" s="3">
        <v>11.63675726</v>
      </c>
      <c r="AC1818" s="3">
        <v>10.499144380000001</v>
      </c>
      <c r="AD1818" s="3">
        <v>0.69050066700000001</v>
      </c>
      <c r="AE1818" s="3">
        <v>0.126515716</v>
      </c>
      <c r="AF1818" s="4">
        <v>42186</v>
      </c>
      <c r="AG1818" s="5">
        <f>YEAR(AF1818)</f>
        <v>2015</v>
      </c>
      <c r="AH1818" s="5" t="str">
        <f>"Q"&amp;ROUNDUP(MONTH(AF1818)/3,0)</f>
        <v>Q3</v>
      </c>
      <c r="AI1818" s="5">
        <f>INDEX(RatingLookup!$B$2:$B$11,MATCH(A1818,RatingLookup!$A$2:$A$11,0))</f>
        <v>5</v>
      </c>
      <c r="AJ1818" s="5" t="str">
        <f>INDEX(RatingLookup!$C$2:$C$11,MATCH(A1818,RatingLookup!$A$2:$A$11,0))</f>
        <v>Speculative Grade</v>
      </c>
    </row>
    <row r="1819" spans="1:36" x14ac:dyDescent="0.3">
      <c r="A1819" s="3" t="s">
        <v>109</v>
      </c>
      <c r="B1819" s="3" t="s">
        <v>1885</v>
      </c>
      <c r="C1819" s="3" t="s">
        <v>1886</v>
      </c>
      <c r="D1819" s="3" t="s">
        <v>60</v>
      </c>
      <c r="E1819" s="3" t="s">
        <v>1887</v>
      </c>
      <c r="F1819" s="3" t="s">
        <v>53</v>
      </c>
      <c r="G1819" s="3">
        <v>1.4776700250000001</v>
      </c>
      <c r="H1819" s="3">
        <v>1.4320898230000001</v>
      </c>
      <c r="I1819" s="3">
        <v>0.90214282000000001</v>
      </c>
      <c r="J1819" s="3">
        <v>136.6832848</v>
      </c>
      <c r="K1819" s="3">
        <v>-0.64225219700000002</v>
      </c>
      <c r="L1819" s="3">
        <v>-1.0266586579999999</v>
      </c>
      <c r="M1819" s="3">
        <v>1</v>
      </c>
      <c r="N1819" s="3">
        <v>-0.86733086999999998</v>
      </c>
      <c r="O1819" s="3">
        <v>-5.4823152E-2</v>
      </c>
      <c r="P1819" s="3">
        <v>-9.3261774000000006E-2</v>
      </c>
      <c r="Q1819" s="3">
        <v>-9.3767085999999999E-2</v>
      </c>
      <c r="R1819" s="3">
        <v>8.5360785999999994E-2</v>
      </c>
      <c r="S1819" s="3">
        <v>9.5531333999999996E-2</v>
      </c>
      <c r="T1819" s="3">
        <v>0.710355603</v>
      </c>
      <c r="U1819" s="3">
        <v>0.415326264</v>
      </c>
      <c r="V1819" s="3">
        <v>0.374424798</v>
      </c>
      <c r="W1819" s="3">
        <v>1</v>
      </c>
      <c r="X1819" s="3">
        <v>9.9132145479999991</v>
      </c>
      <c r="Y1819" s="3">
        <v>4.9763516269999997</v>
      </c>
      <c r="Z1819" s="3">
        <v>1.710355603</v>
      </c>
      <c r="AA1819" s="3">
        <v>-1.0266586579999999</v>
      </c>
      <c r="AB1819" s="3">
        <v>43.666591500000003</v>
      </c>
      <c r="AC1819" s="3">
        <v>9.9132145479999991</v>
      </c>
      <c r="AD1819" s="3">
        <v>1.269898019</v>
      </c>
      <c r="AE1819" s="3">
        <v>0.15368957499999999</v>
      </c>
      <c r="AF1819" s="4">
        <v>42622</v>
      </c>
      <c r="AG1819" s="5">
        <f>YEAR(AF1819)</f>
        <v>2016</v>
      </c>
      <c r="AH1819" s="5" t="str">
        <f>"Q"&amp;ROUNDUP(MONTH(AF1819)/3,0)</f>
        <v>Q3</v>
      </c>
      <c r="AI1819" s="5">
        <f>INDEX(RatingLookup!$B$2:$B$11,MATCH(A1819,RatingLookup!$A$2:$A$11,0))</f>
        <v>5</v>
      </c>
      <c r="AJ1819" s="5" t="str">
        <f>INDEX(RatingLookup!$C$2:$C$11,MATCH(A1819,RatingLookup!$A$2:$A$11,0))</f>
        <v>Speculative Grade</v>
      </c>
    </row>
    <row r="1820" spans="1:36" x14ac:dyDescent="0.3">
      <c r="A1820" s="3" t="s">
        <v>116</v>
      </c>
      <c r="B1820" s="3" t="s">
        <v>1888</v>
      </c>
      <c r="C1820" s="3" t="s">
        <v>1889</v>
      </c>
      <c r="D1820" s="3" t="s">
        <v>39</v>
      </c>
      <c r="E1820" s="3" t="s">
        <v>672</v>
      </c>
      <c r="F1820" s="3" t="s">
        <v>174</v>
      </c>
      <c r="G1820" s="3">
        <v>0.73740313700000004</v>
      </c>
      <c r="H1820" s="3">
        <v>0.53696159399999999</v>
      </c>
      <c r="I1820" s="3">
        <v>0.39183189600000001</v>
      </c>
      <c r="J1820" s="3">
        <v>8.2685084290000006</v>
      </c>
      <c r="K1820" s="3">
        <v>-2.7730425999999999E-2</v>
      </c>
      <c r="L1820" s="3">
        <v>-4.0074791999999998E-2</v>
      </c>
      <c r="M1820" s="3">
        <v>0.91705436399999996</v>
      </c>
      <c r="N1820" s="3">
        <v>9.6150271999999995E-2</v>
      </c>
      <c r="O1820" s="3">
        <v>-1.397906E-2</v>
      </c>
      <c r="P1820" s="3">
        <v>-2.1935873000000002E-2</v>
      </c>
      <c r="Q1820" s="3">
        <v>-0.170779192</v>
      </c>
      <c r="R1820" s="3">
        <v>0.50410546899999997</v>
      </c>
      <c r="S1820" s="3">
        <v>0.82565816599999997</v>
      </c>
      <c r="T1820" s="3">
        <v>11.21678685</v>
      </c>
      <c r="U1820" s="3">
        <v>0.91814541599999999</v>
      </c>
      <c r="V1820" s="3">
        <v>-2.8880804E-2</v>
      </c>
      <c r="W1820" s="3">
        <v>0.478333063</v>
      </c>
      <c r="X1820" s="3">
        <v>1.3627201959999999</v>
      </c>
      <c r="Y1820" s="3">
        <v>1.8318850710000001</v>
      </c>
      <c r="Z1820" s="3">
        <v>12.21678685</v>
      </c>
      <c r="AA1820" s="3">
        <v>-4.0074791999999998E-2</v>
      </c>
      <c r="AB1820" s="3">
        <v>8.6199426260000003</v>
      </c>
      <c r="AC1820" s="3">
        <v>2.8488940079999998</v>
      </c>
      <c r="AD1820" s="3">
        <v>9.5712881E-2</v>
      </c>
      <c r="AE1820" s="3">
        <v>3.180807653</v>
      </c>
      <c r="AF1820" s="4">
        <v>41620</v>
      </c>
      <c r="AG1820" s="5">
        <f>YEAR(AF1820)</f>
        <v>2013</v>
      </c>
      <c r="AH1820" s="5" t="str">
        <f>"Q"&amp;ROUNDUP(MONTH(AF1820)/3,0)</f>
        <v>Q4</v>
      </c>
      <c r="AI1820" s="5">
        <f>INDEX(RatingLookup!$B$2:$B$11,MATCH(A1820,RatingLookup!$A$2:$A$11,0))</f>
        <v>4</v>
      </c>
      <c r="AJ1820" s="5" t="str">
        <f>INDEX(RatingLookup!$C$2:$C$11,MATCH(A1820,RatingLookup!$A$2:$A$11,0))</f>
        <v>Speculative Grade</v>
      </c>
    </row>
    <row r="1821" spans="1:36" x14ac:dyDescent="0.3">
      <c r="A1821" s="3" t="s">
        <v>109</v>
      </c>
      <c r="B1821" s="3" t="s">
        <v>1888</v>
      </c>
      <c r="C1821" s="3" t="s">
        <v>1889</v>
      </c>
      <c r="D1821" s="3" t="s">
        <v>47</v>
      </c>
      <c r="E1821" s="3" t="s">
        <v>1890</v>
      </c>
      <c r="F1821" s="3" t="s">
        <v>174</v>
      </c>
      <c r="G1821" s="3">
        <v>0.84252703100000004</v>
      </c>
      <c r="H1821" s="3">
        <v>0.61458424499999997</v>
      </c>
      <c r="I1821" s="3">
        <v>0.530396384</v>
      </c>
      <c r="J1821" s="3">
        <v>5.0757952470000003</v>
      </c>
      <c r="K1821" s="3">
        <v>0.19139541800000001</v>
      </c>
      <c r="L1821" s="3">
        <v>3.6570909999999999E-3</v>
      </c>
      <c r="M1821" s="3">
        <v>0.92213604900000001</v>
      </c>
      <c r="N1821" s="3">
        <v>0.119336018</v>
      </c>
      <c r="O1821" s="3">
        <v>8.9493745E-2</v>
      </c>
      <c r="P1821" s="3">
        <v>1.8551780000000001E-3</v>
      </c>
      <c r="Q1821" s="3">
        <v>0.44750427199999998</v>
      </c>
      <c r="R1821" s="3">
        <v>0.46758561999999998</v>
      </c>
      <c r="S1821" s="3">
        <v>0.83832411600000001</v>
      </c>
      <c r="T1821" s="3">
        <v>4.0003971839999997</v>
      </c>
      <c r="U1821" s="3">
        <v>0.80001588599999995</v>
      </c>
      <c r="V1821" s="3">
        <v>-24.72592964</v>
      </c>
      <c r="W1821" s="3">
        <v>0.470557744</v>
      </c>
      <c r="X1821" s="3">
        <v>1.244666265</v>
      </c>
      <c r="Y1821" s="3">
        <v>1.6965076370000001</v>
      </c>
      <c r="Z1821" s="3">
        <v>5.0003971839999997</v>
      </c>
      <c r="AA1821" s="3">
        <v>3.6570909999999999E-3</v>
      </c>
      <c r="AB1821" s="3">
        <v>11.36763575</v>
      </c>
      <c r="AC1821" s="3">
        <v>2.6450871999999999</v>
      </c>
      <c r="AD1821" s="3">
        <v>0.13868330100000001</v>
      </c>
      <c r="AE1821" s="3">
        <v>2.0223699549999998</v>
      </c>
      <c r="AF1821" s="4">
        <v>42587</v>
      </c>
      <c r="AG1821" s="5">
        <f>YEAR(AF1821)</f>
        <v>2016</v>
      </c>
      <c r="AH1821" s="5" t="str">
        <f>"Q"&amp;ROUNDUP(MONTH(AF1821)/3,0)</f>
        <v>Q3</v>
      </c>
      <c r="AI1821" s="5">
        <f>INDEX(RatingLookup!$B$2:$B$11,MATCH(A1821,RatingLookup!$A$2:$A$11,0))</f>
        <v>5</v>
      </c>
      <c r="AJ1821" s="5" t="str">
        <f>INDEX(RatingLookup!$C$2:$C$11,MATCH(A1821,RatingLookup!$A$2:$A$11,0))</f>
        <v>Speculative Grade</v>
      </c>
    </row>
    <row r="1822" spans="1:36" x14ac:dyDescent="0.3">
      <c r="A1822" s="3" t="s">
        <v>109</v>
      </c>
      <c r="B1822" s="3" t="s">
        <v>1888</v>
      </c>
      <c r="C1822" s="3" t="s">
        <v>1889</v>
      </c>
      <c r="D1822" s="3" t="s">
        <v>47</v>
      </c>
      <c r="E1822" s="3" t="s">
        <v>542</v>
      </c>
      <c r="F1822" s="3" t="s">
        <v>174</v>
      </c>
      <c r="G1822" s="3">
        <v>0.72445229300000002</v>
      </c>
      <c r="H1822" s="3">
        <v>0.51964255000000004</v>
      </c>
      <c r="I1822" s="3">
        <v>0.44729363999999999</v>
      </c>
      <c r="J1822" s="3">
        <v>4.1967585270000001</v>
      </c>
      <c r="K1822" s="3">
        <v>2.1475544999999999E-2</v>
      </c>
      <c r="L1822" s="3">
        <v>1.8213792999999999E-2</v>
      </c>
      <c r="M1822" s="3">
        <v>0.92357299500000001</v>
      </c>
      <c r="N1822" s="3">
        <v>0.15668727199999999</v>
      </c>
      <c r="O1822" s="3">
        <v>1.0856144999999999E-2</v>
      </c>
      <c r="P1822" s="3">
        <v>1.0025454E-2</v>
      </c>
      <c r="Q1822" s="3">
        <v>9.2987453999999997E-2</v>
      </c>
      <c r="R1822" s="3">
        <v>0.50551196300000001</v>
      </c>
      <c r="S1822" s="3">
        <v>0.98835684599999996</v>
      </c>
      <c r="T1822" s="3">
        <v>7.5654213610000003</v>
      </c>
      <c r="U1822" s="3">
        <v>0.88325151099999999</v>
      </c>
      <c r="V1822" s="3">
        <v>-0.17908137800000001</v>
      </c>
      <c r="W1822" s="3">
        <v>0.61403106100000004</v>
      </c>
      <c r="X1822" s="3">
        <v>1.850144961</v>
      </c>
      <c r="Y1822" s="3">
        <v>1.4116713510000001</v>
      </c>
      <c r="Z1822" s="3">
        <v>8.5654213610000003</v>
      </c>
      <c r="AA1822" s="3">
        <v>1.8213792999999999E-2</v>
      </c>
      <c r="AB1822" s="3">
        <v>8.9337911590000001</v>
      </c>
      <c r="AC1822" s="3">
        <v>3.0131129809999999</v>
      </c>
      <c r="AD1822" s="3">
        <v>0.154515348</v>
      </c>
      <c r="AE1822" s="3">
        <v>2.2175375640000001</v>
      </c>
      <c r="AF1822" s="4">
        <v>42522</v>
      </c>
      <c r="AG1822" s="5">
        <f>YEAR(AF1822)</f>
        <v>2016</v>
      </c>
      <c r="AH1822" s="5" t="str">
        <f>"Q"&amp;ROUNDUP(MONTH(AF1822)/3,0)</f>
        <v>Q2</v>
      </c>
      <c r="AI1822" s="5">
        <f>INDEX(RatingLookup!$B$2:$B$11,MATCH(A1822,RatingLookup!$A$2:$A$11,0))</f>
        <v>5</v>
      </c>
      <c r="AJ1822" s="5" t="str">
        <f>INDEX(RatingLookup!$C$2:$C$11,MATCH(A1822,RatingLookup!$A$2:$A$11,0))</f>
        <v>Speculative Grade</v>
      </c>
    </row>
    <row r="1823" spans="1:36" x14ac:dyDescent="0.3">
      <c r="A1823" s="3" t="s">
        <v>116</v>
      </c>
      <c r="B1823" s="3" t="s">
        <v>1888</v>
      </c>
      <c r="C1823" s="3" t="s">
        <v>1889</v>
      </c>
      <c r="D1823" s="3" t="s">
        <v>44</v>
      </c>
      <c r="E1823" s="3" t="s">
        <v>46</v>
      </c>
      <c r="F1823" s="3" t="s">
        <v>174</v>
      </c>
      <c r="G1823" s="3">
        <v>0.72643955800000004</v>
      </c>
      <c r="H1823" s="3">
        <v>0.54809542</v>
      </c>
      <c r="I1823" s="3">
        <v>0.378704292</v>
      </c>
      <c r="J1823" s="3">
        <v>9.1535986489999992</v>
      </c>
      <c r="K1823" s="3">
        <v>-1.649661E-3</v>
      </c>
      <c r="L1823" s="3">
        <v>-2.687226E-3</v>
      </c>
      <c r="M1823" s="3">
        <v>0.91432165700000001</v>
      </c>
      <c r="N1823" s="3">
        <v>9.9777506000000002E-2</v>
      </c>
      <c r="O1823" s="3">
        <v>-6.5510199999999996E-4</v>
      </c>
      <c r="P1823" s="3">
        <v>-1.160222E-3</v>
      </c>
      <c r="Q1823" s="3">
        <v>-3.2060769999999999E-3</v>
      </c>
      <c r="R1823" s="3">
        <v>0.39711313199999998</v>
      </c>
      <c r="S1823" s="3">
        <v>0.65956148100000001</v>
      </c>
      <c r="T1823" s="3">
        <v>3.8940131039999999</v>
      </c>
      <c r="U1823" s="3">
        <v>0.795668712</v>
      </c>
      <c r="V1823" s="3">
        <v>-0.27413188900000002</v>
      </c>
      <c r="W1823" s="3">
        <v>0.55948877799999996</v>
      </c>
      <c r="X1823" s="3">
        <v>1.625385329</v>
      </c>
      <c r="Y1823" s="3">
        <v>2.2933316530000001</v>
      </c>
      <c r="Z1823" s="3">
        <v>4.8940131039999999</v>
      </c>
      <c r="AA1823" s="3">
        <v>-2.687226E-3</v>
      </c>
      <c r="AB1823" s="3">
        <v>8.9693578850000009</v>
      </c>
      <c r="AC1823" s="3">
        <v>2.9051258839999998</v>
      </c>
      <c r="AD1823" s="3">
        <v>0.10851206100000001</v>
      </c>
      <c r="AE1823" s="3">
        <v>2.0421874199999999</v>
      </c>
      <c r="AF1823" s="4">
        <v>41075</v>
      </c>
      <c r="AG1823" s="5">
        <f>YEAR(AF1823)</f>
        <v>2012</v>
      </c>
      <c r="AH1823" s="5" t="str">
        <f>"Q"&amp;ROUNDUP(MONTH(AF1823)/3,0)</f>
        <v>Q2</v>
      </c>
      <c r="AI1823" s="5">
        <f>INDEX(RatingLookup!$B$2:$B$11,MATCH(A1823,RatingLookup!$A$2:$A$11,0))</f>
        <v>4</v>
      </c>
      <c r="AJ1823" s="5" t="str">
        <f>INDEX(RatingLookup!$C$2:$C$11,MATCH(A1823,RatingLookup!$A$2:$A$11,0))</f>
        <v>Speculative Grade</v>
      </c>
    </row>
    <row r="1824" spans="1:36" x14ac:dyDescent="0.3">
      <c r="A1824" s="3" t="s">
        <v>92</v>
      </c>
      <c r="B1824" s="3" t="s">
        <v>1891</v>
      </c>
      <c r="C1824" s="3" t="s">
        <v>1892</v>
      </c>
      <c r="D1824" s="3" t="s">
        <v>47</v>
      </c>
      <c r="E1824" s="3" t="s">
        <v>1469</v>
      </c>
      <c r="F1824" s="3" t="s">
        <v>59</v>
      </c>
      <c r="G1824" s="3">
        <v>5.1711315989999997</v>
      </c>
      <c r="H1824" s="3">
        <v>3.7243085229999999</v>
      </c>
      <c r="I1824" s="3">
        <v>2.9008270239999998</v>
      </c>
      <c r="J1824" s="3">
        <v>48.40635082</v>
      </c>
      <c r="K1824" s="3">
        <v>0.15518288999999999</v>
      </c>
      <c r="L1824" s="3">
        <v>0.218628353</v>
      </c>
      <c r="M1824" s="3">
        <v>0.417221762</v>
      </c>
      <c r="N1824" s="3">
        <v>0.24099151799999999</v>
      </c>
      <c r="O1824" s="3">
        <v>5.9497906000000003E-2</v>
      </c>
      <c r="P1824" s="3">
        <v>9.9598821000000004E-2</v>
      </c>
      <c r="Q1824" s="3">
        <v>9.6774469000000002E-2</v>
      </c>
      <c r="R1824" s="3">
        <v>0.38340506200000002</v>
      </c>
      <c r="S1824" s="3">
        <v>0.58647737600000005</v>
      </c>
      <c r="T1824" s="3">
        <v>0.58730012899999995</v>
      </c>
      <c r="U1824" s="3">
        <v>0.36107795799999998</v>
      </c>
      <c r="V1824" s="3">
        <v>0.29019778200000002</v>
      </c>
      <c r="W1824" s="3">
        <v>-1.381299244</v>
      </c>
      <c r="X1824" s="3">
        <v>-0.78336759099999997</v>
      </c>
      <c r="Y1824" s="3">
        <v>1.369525525</v>
      </c>
      <c r="Z1824" s="3">
        <v>1.626518916</v>
      </c>
      <c r="AA1824" s="3">
        <v>0.24373420100000001</v>
      </c>
      <c r="AB1824" s="3">
        <v>10.49818934</v>
      </c>
      <c r="AC1824" s="3">
        <v>0.56712373800000004</v>
      </c>
      <c r="AD1824" s="3">
        <v>0.19345731699999999</v>
      </c>
      <c r="AE1824" s="3">
        <v>5.2638893940000004</v>
      </c>
      <c r="AF1824" s="4">
        <v>42059</v>
      </c>
      <c r="AG1824" s="5">
        <f>YEAR(AF1824)</f>
        <v>2015</v>
      </c>
      <c r="AH1824" s="5" t="str">
        <f>"Q"&amp;ROUNDUP(MONTH(AF1824)/3,0)</f>
        <v>Q1</v>
      </c>
      <c r="AI1824" s="5">
        <f>INDEX(RatingLookup!$B$2:$B$11,MATCH(A1824,RatingLookup!$A$2:$A$11,0))</f>
        <v>6</v>
      </c>
      <c r="AJ1824" s="5" t="str">
        <f>INDEX(RatingLookup!$C$2:$C$11,MATCH(A1824,RatingLookup!$A$2:$A$11,0))</f>
        <v>Speculative Grade</v>
      </c>
    </row>
    <row r="1825" spans="1:36" x14ac:dyDescent="0.3">
      <c r="A1825" s="3" t="s">
        <v>109</v>
      </c>
      <c r="B1825" s="3" t="s">
        <v>1893</v>
      </c>
      <c r="C1825" s="3" t="s">
        <v>1894</v>
      </c>
      <c r="D1825" s="3" t="s">
        <v>60</v>
      </c>
      <c r="E1825" s="3" t="s">
        <v>46</v>
      </c>
      <c r="F1825" s="3" t="s">
        <v>232</v>
      </c>
      <c r="G1825" s="3">
        <v>2.0395778359999999</v>
      </c>
      <c r="H1825" s="3">
        <v>2.0395778359999999</v>
      </c>
      <c r="I1825" s="3">
        <v>0.83509234799999998</v>
      </c>
      <c r="J1825" s="3">
        <v>-138.07642899999999</v>
      </c>
      <c r="K1825" s="3">
        <v>0.84714193999999998</v>
      </c>
      <c r="L1825" s="3">
        <v>1.438021837</v>
      </c>
      <c r="M1825" s="3">
        <v>1.0205523439999999</v>
      </c>
      <c r="N1825" s="3">
        <v>1.438021837</v>
      </c>
      <c r="O1825" s="3">
        <v>-4.9082722000000002E-2</v>
      </c>
      <c r="P1825" s="3">
        <v>-8.5736167000000002E-2</v>
      </c>
      <c r="Q1825" s="3">
        <v>-0.77588235299999997</v>
      </c>
      <c r="R1825" s="3">
        <v>-5.7939194999999999E-2</v>
      </c>
      <c r="S1825" s="3">
        <v>-22.565217390000001</v>
      </c>
      <c r="T1825" s="3">
        <v>14.807647060000001</v>
      </c>
      <c r="U1825" s="3">
        <v>0.93673947800000001</v>
      </c>
      <c r="V1825" s="3">
        <v>0.41089772200000002</v>
      </c>
      <c r="W1825" s="3">
        <v>1.001680108</v>
      </c>
      <c r="X1825" s="3">
        <v>-15.13044607</v>
      </c>
      <c r="Y1825" s="3">
        <v>4.8573756750000001</v>
      </c>
      <c r="Z1825" s="3">
        <v>15.807647060000001</v>
      </c>
      <c r="AA1825" s="3">
        <v>1.438021837</v>
      </c>
      <c r="AB1825" s="3">
        <v>-1.1772884189999999</v>
      </c>
      <c r="AC1825" s="3">
        <v>-15.105067930000001</v>
      </c>
      <c r="AD1825" s="3">
        <v>1.9113680150000001</v>
      </c>
      <c r="AE1825" s="3">
        <v>0.5</v>
      </c>
      <c r="AF1825" s="4">
        <v>41075</v>
      </c>
      <c r="AG1825" s="5">
        <f>YEAR(AF1825)</f>
        <v>2012</v>
      </c>
      <c r="AH1825" s="5" t="str">
        <f>"Q"&amp;ROUNDUP(MONTH(AF1825)/3,0)</f>
        <v>Q2</v>
      </c>
      <c r="AI1825" s="5">
        <f>INDEX(RatingLookup!$B$2:$B$11,MATCH(A1825,RatingLookup!$A$2:$A$11,0))</f>
        <v>5</v>
      </c>
      <c r="AJ1825" s="5" t="str">
        <f>INDEX(RatingLookup!$C$2:$C$11,MATCH(A1825,RatingLookup!$A$2:$A$11,0))</f>
        <v>Speculative Grade</v>
      </c>
    </row>
    <row r="1826" spans="1:36" x14ac:dyDescent="0.3">
      <c r="A1826" s="3" t="s">
        <v>116</v>
      </c>
      <c r="B1826" s="3" t="s">
        <v>1893</v>
      </c>
      <c r="C1826" s="3" t="s">
        <v>1894</v>
      </c>
      <c r="D1826" s="3" t="s">
        <v>60</v>
      </c>
      <c r="E1826" s="3" t="s">
        <v>1895</v>
      </c>
      <c r="F1826" s="3" t="s">
        <v>232</v>
      </c>
      <c r="G1826" s="3">
        <v>0.60282522999999999</v>
      </c>
      <c r="H1826" s="3">
        <v>0.60282522999999999</v>
      </c>
      <c r="I1826" s="3">
        <v>0.32522996100000001</v>
      </c>
      <c r="J1826" s="3">
        <v>0.29979466100000002</v>
      </c>
      <c r="K1826" s="3">
        <v>0.50677618099999999</v>
      </c>
      <c r="L1826" s="3">
        <v>-0.126899384</v>
      </c>
      <c r="M1826" s="3">
        <v>0.97946611900000002</v>
      </c>
      <c r="N1826" s="3">
        <v>0.50677618099999999</v>
      </c>
      <c r="O1826" s="3">
        <v>5.6803535000000002E-2</v>
      </c>
      <c r="P1826" s="3">
        <v>-1.6541756000000001E-2</v>
      </c>
      <c r="Q1826" s="3">
        <v>0.38890639799999999</v>
      </c>
      <c r="R1826" s="3">
        <v>0.112088013</v>
      </c>
      <c r="S1826" s="3">
        <v>35.289855070000002</v>
      </c>
      <c r="T1826" s="3">
        <v>5.8465174910000002</v>
      </c>
      <c r="U1826" s="3">
        <v>0.85394034200000002</v>
      </c>
      <c r="V1826" s="3">
        <v>-1.177993528</v>
      </c>
      <c r="W1826" s="3">
        <v>1.006815969</v>
      </c>
      <c r="X1826" s="3">
        <v>-5.3342293190000003</v>
      </c>
      <c r="Y1826" s="3">
        <v>9.4561337919999993</v>
      </c>
      <c r="Z1826" s="3">
        <v>6.8465174910000002</v>
      </c>
      <c r="AA1826" s="3">
        <v>-0.126899384</v>
      </c>
      <c r="AB1826" s="3">
        <v>1.1439833770000001</v>
      </c>
      <c r="AC1826" s="3">
        <v>-5.2981175150000004</v>
      </c>
      <c r="AD1826" s="3">
        <v>-0.42176591400000002</v>
      </c>
      <c r="AE1826" s="3">
        <v>0.84745762700000005</v>
      </c>
      <c r="AF1826" s="4">
        <v>41232</v>
      </c>
      <c r="AG1826" s="5">
        <f>YEAR(AF1826)</f>
        <v>2012</v>
      </c>
      <c r="AH1826" s="5" t="str">
        <f>"Q"&amp;ROUNDUP(MONTH(AF1826)/3,0)</f>
        <v>Q4</v>
      </c>
      <c r="AI1826" s="5">
        <f>INDEX(RatingLookup!$B$2:$B$11,MATCH(A1826,RatingLookup!$A$2:$A$11,0))</f>
        <v>4</v>
      </c>
      <c r="AJ1826" s="5" t="str">
        <f>INDEX(RatingLookup!$C$2:$C$11,MATCH(A1826,RatingLookup!$A$2:$A$11,0))</f>
        <v>Speculative Grade</v>
      </c>
    </row>
    <row r="1827" spans="1:36" x14ac:dyDescent="0.3">
      <c r="A1827" s="3" t="s">
        <v>92</v>
      </c>
      <c r="B1827" s="3" t="s">
        <v>1893</v>
      </c>
      <c r="C1827" s="3" t="s">
        <v>1894</v>
      </c>
      <c r="D1827" s="3" t="s">
        <v>60</v>
      </c>
      <c r="E1827" s="3" t="s">
        <v>996</v>
      </c>
      <c r="F1827" s="3" t="s">
        <v>232</v>
      </c>
      <c r="G1827" s="3">
        <v>4.3661971829999997</v>
      </c>
      <c r="H1827" s="3">
        <v>4.3661971829999997</v>
      </c>
      <c r="I1827" s="3">
        <v>2.2147887320000001</v>
      </c>
      <c r="J1827" s="3">
        <v>317.299421</v>
      </c>
      <c r="K1827" s="3">
        <v>0.206782465</v>
      </c>
      <c r="L1827" s="3">
        <v>0.34408602199999999</v>
      </c>
      <c r="M1827" s="3">
        <v>0.90322580600000002</v>
      </c>
      <c r="N1827" s="3">
        <v>0.34408602199999999</v>
      </c>
      <c r="O1827" s="3">
        <v>1.4746653E-2</v>
      </c>
      <c r="P1827" s="3">
        <v>2.5389075000000001E-2</v>
      </c>
      <c r="Q1827" s="3">
        <v>7.6266016000000006E-2</v>
      </c>
      <c r="R1827" s="3">
        <v>7.1314812000000005E-2</v>
      </c>
      <c r="S1827" s="3">
        <v>151.125</v>
      </c>
      <c r="T1827" s="3">
        <v>4.1717510679999998</v>
      </c>
      <c r="U1827" s="3">
        <v>0.80664189200000003</v>
      </c>
      <c r="V1827" s="3">
        <v>0.39903846199999998</v>
      </c>
      <c r="W1827" s="3">
        <v>0.99835975899999996</v>
      </c>
      <c r="X1827" s="3">
        <v>9.6577470569999999</v>
      </c>
      <c r="Y1827" s="3">
        <v>7.5580068699999998</v>
      </c>
      <c r="Z1827" s="3">
        <v>5.1717510679999998</v>
      </c>
      <c r="AA1827" s="3">
        <v>0.34408602199999999</v>
      </c>
      <c r="AB1827" s="3">
        <v>6.0758714930000002</v>
      </c>
      <c r="AC1827" s="3">
        <v>9.6736141109999991</v>
      </c>
      <c r="AD1827" s="3">
        <v>1.5128205130000001</v>
      </c>
      <c r="AE1827" s="3">
        <v>2.2941176470000002</v>
      </c>
      <c r="AF1827" s="4">
        <v>41780</v>
      </c>
      <c r="AG1827" s="5">
        <f>YEAR(AF1827)</f>
        <v>2014</v>
      </c>
      <c r="AH1827" s="5" t="str">
        <f>"Q"&amp;ROUNDUP(MONTH(AF1827)/3,0)</f>
        <v>Q2</v>
      </c>
      <c r="AI1827" s="5">
        <f>INDEX(RatingLookup!$B$2:$B$11,MATCH(A1827,RatingLookup!$A$2:$A$11,0))</f>
        <v>6</v>
      </c>
      <c r="AJ1827" s="5" t="str">
        <f>INDEX(RatingLookup!$C$2:$C$11,MATCH(A1827,RatingLookup!$A$2:$A$11,0))</f>
        <v>Speculative Grade</v>
      </c>
    </row>
    <row r="1828" spans="1:36" x14ac:dyDescent="0.3">
      <c r="A1828" s="3" t="s">
        <v>36</v>
      </c>
      <c r="B1828" s="3" t="s">
        <v>1896</v>
      </c>
      <c r="C1828" s="3" t="s">
        <v>1897</v>
      </c>
      <c r="D1828" s="3" t="s">
        <v>44</v>
      </c>
      <c r="E1828" s="3" t="s">
        <v>46</v>
      </c>
      <c r="F1828" s="3" t="s">
        <v>53</v>
      </c>
      <c r="G1828" s="3">
        <v>1.0757524919999999</v>
      </c>
      <c r="H1828" s="3">
        <v>0.76730253100000001</v>
      </c>
      <c r="I1828" s="3">
        <v>0.169873946</v>
      </c>
      <c r="J1828" s="3">
        <v>46.617320360000001</v>
      </c>
      <c r="K1828" s="3">
        <v>6.5279533000000001E-2</v>
      </c>
      <c r="L1828" s="3">
        <v>9.7952959000000006E-2</v>
      </c>
      <c r="M1828" s="3">
        <v>0.17772438199999999</v>
      </c>
      <c r="N1828" s="3">
        <v>0.102913913</v>
      </c>
      <c r="O1828" s="3">
        <v>8.6075102000000001E-2</v>
      </c>
      <c r="P1828" s="3">
        <v>0.186287007</v>
      </c>
      <c r="Q1828" s="3">
        <v>0.22597877499999999</v>
      </c>
      <c r="R1828" s="3">
        <v>1.3185618640000001</v>
      </c>
      <c r="S1828" s="3">
        <v>2.1250784079999998</v>
      </c>
      <c r="T1828" s="3">
        <v>1.6162519719999999</v>
      </c>
      <c r="U1828" s="3">
        <v>0.61562885099999998</v>
      </c>
      <c r="V1828" s="3">
        <v>0.33356242200000003</v>
      </c>
      <c r="W1828" s="3">
        <v>0.34854622400000002</v>
      </c>
      <c r="X1828" s="3">
        <v>0.41199244299999999</v>
      </c>
      <c r="Y1828" s="3">
        <v>0.78254091400000003</v>
      </c>
      <c r="Z1828" s="3">
        <v>2.6253674889999998</v>
      </c>
      <c r="AA1828" s="3">
        <v>0.101026369</v>
      </c>
      <c r="AB1828" s="3">
        <v>16.54748824</v>
      </c>
      <c r="AC1828" s="3">
        <v>1.1820310030000001</v>
      </c>
      <c r="AD1828" s="3">
        <v>5.7527394000000003E-2</v>
      </c>
      <c r="AE1828" s="3">
        <v>5.7517296340000001</v>
      </c>
      <c r="AF1828" s="4">
        <v>41075</v>
      </c>
      <c r="AG1828" s="5">
        <f>YEAR(AF1828)</f>
        <v>2012</v>
      </c>
      <c r="AH1828" s="5" t="str">
        <f>"Q"&amp;ROUNDUP(MONTH(AF1828)/3,0)</f>
        <v>Q2</v>
      </c>
      <c r="AI1828" s="5">
        <f>INDEX(RatingLookup!$B$2:$B$11,MATCH(A1828,RatingLookup!$A$2:$A$11,0))</f>
        <v>8</v>
      </c>
      <c r="AJ1828" s="5" t="str">
        <f>INDEX(RatingLookup!$C$2:$C$11,MATCH(A1828,RatingLookup!$A$2:$A$11,0))</f>
        <v>Investment Grade</v>
      </c>
    </row>
    <row r="1829" spans="1:36" x14ac:dyDescent="0.3">
      <c r="A1829" s="3" t="s">
        <v>92</v>
      </c>
      <c r="B1829" s="3" t="s">
        <v>1898</v>
      </c>
      <c r="C1829" s="3" t="s">
        <v>1899</v>
      </c>
      <c r="D1829" s="3" t="s">
        <v>39</v>
      </c>
      <c r="E1829" s="3" t="s">
        <v>1080</v>
      </c>
      <c r="F1829" s="3" t="s">
        <v>96</v>
      </c>
      <c r="G1829" s="3">
        <v>2.0030576359999999</v>
      </c>
      <c r="H1829" s="3">
        <v>1.5707078430000001</v>
      </c>
      <c r="I1829" s="3">
        <v>0.61320898899999998</v>
      </c>
      <c r="J1829" s="3">
        <v>66.35574579</v>
      </c>
      <c r="K1829" s="3">
        <v>-3.3053921E-2</v>
      </c>
      <c r="L1829" s="3">
        <v>-2.5919981000000002E-2</v>
      </c>
      <c r="M1829" s="3">
        <v>0.42209143300000002</v>
      </c>
      <c r="N1829" s="3">
        <v>-1.7299803999999998E-2</v>
      </c>
      <c r="O1829" s="3">
        <v>-2.9740572E-2</v>
      </c>
      <c r="P1829" s="3">
        <v>-3.5872964E-2</v>
      </c>
      <c r="Q1829" s="3">
        <v>-5.3523295999999998E-2</v>
      </c>
      <c r="R1829" s="3">
        <v>0.89975929399999999</v>
      </c>
      <c r="S1829" s="3">
        <v>6.6512455519999998</v>
      </c>
      <c r="T1829" s="3">
        <v>0.79967269900000004</v>
      </c>
      <c r="U1829" s="3">
        <v>0.44434340700000002</v>
      </c>
      <c r="V1829" s="3">
        <v>-0.27522935799999998</v>
      </c>
      <c r="W1829" s="3">
        <v>0.39378673400000003</v>
      </c>
      <c r="X1829" s="3">
        <v>0.20391304299999999</v>
      </c>
      <c r="Y1829" s="3">
        <v>3.1373913039999999</v>
      </c>
      <c r="Z1829" s="3">
        <v>1.799672699</v>
      </c>
      <c r="AA1829" s="3">
        <v>-2.5919981000000002E-2</v>
      </c>
      <c r="AB1829" s="3">
        <v>8.5733882030000004</v>
      </c>
      <c r="AC1829" s="3">
        <v>0.51782608699999999</v>
      </c>
      <c r="AD1829" s="3">
        <v>7.0804352000000001E-2</v>
      </c>
      <c r="AE1829" s="3">
        <v>7.7678571429999996</v>
      </c>
      <c r="AF1829" s="4">
        <v>41432</v>
      </c>
      <c r="AG1829" s="5">
        <f>YEAR(AF1829)</f>
        <v>2013</v>
      </c>
      <c r="AH1829" s="5" t="str">
        <f>"Q"&amp;ROUNDUP(MONTH(AF1829)/3,0)</f>
        <v>Q2</v>
      </c>
      <c r="AI1829" s="5">
        <f>INDEX(RatingLookup!$B$2:$B$11,MATCH(A1829,RatingLookup!$A$2:$A$11,0))</f>
        <v>6</v>
      </c>
      <c r="AJ1829" s="5" t="str">
        <f>INDEX(RatingLookup!$C$2:$C$11,MATCH(A1829,RatingLookup!$A$2:$A$11,0))</f>
        <v>Speculative Grade</v>
      </c>
    </row>
    <row r="1830" spans="1:36" x14ac:dyDescent="0.3">
      <c r="A1830" s="3" t="s">
        <v>92</v>
      </c>
      <c r="B1830" s="3" t="s">
        <v>1898</v>
      </c>
      <c r="C1830" s="3" t="s">
        <v>1899</v>
      </c>
      <c r="D1830" s="3" t="s">
        <v>39</v>
      </c>
      <c r="E1830" s="3" t="s">
        <v>1900</v>
      </c>
      <c r="F1830" s="3" t="s">
        <v>96</v>
      </c>
      <c r="G1830" s="3">
        <v>2.9631866549999999</v>
      </c>
      <c r="H1830" s="3">
        <v>2.184354328</v>
      </c>
      <c r="I1830" s="3">
        <v>0.80816796099999999</v>
      </c>
      <c r="J1830" s="3">
        <v>59.487447070000002</v>
      </c>
      <c r="K1830" s="3">
        <v>3.3991292999999999E-2</v>
      </c>
      <c r="L1830" s="3">
        <v>-2.7968275000000001E-2</v>
      </c>
      <c r="M1830" s="3">
        <v>0.41421670900000002</v>
      </c>
      <c r="N1830" s="3">
        <v>-1.4848828E-2</v>
      </c>
      <c r="O1830" s="3">
        <v>3.3232275999999998E-2</v>
      </c>
      <c r="P1830" s="3">
        <v>-3.4296160999999999E-2</v>
      </c>
      <c r="Q1830" s="3">
        <v>4.9082924E-2</v>
      </c>
      <c r="R1830" s="3">
        <v>0.97767024300000005</v>
      </c>
      <c r="S1830" s="3">
        <v>6.7890688260000003</v>
      </c>
      <c r="T1830" s="3">
        <v>0.47696547</v>
      </c>
      <c r="U1830" s="3">
        <v>0.32293610099999998</v>
      </c>
      <c r="V1830" s="3">
        <v>2.2153518120000002</v>
      </c>
      <c r="W1830" s="3">
        <v>0.65335463299999996</v>
      </c>
      <c r="X1830" s="3">
        <v>0.52212765999999999</v>
      </c>
      <c r="Y1830" s="3">
        <v>2.0689361700000002</v>
      </c>
      <c r="Z1830" s="3">
        <v>1.4769654699999999</v>
      </c>
      <c r="AA1830" s="3">
        <v>-2.7968275000000001E-2</v>
      </c>
      <c r="AB1830" s="3">
        <v>13.40648567</v>
      </c>
      <c r="AC1830" s="3">
        <v>0.79914893600000003</v>
      </c>
      <c r="AD1830" s="3">
        <v>0.111992367</v>
      </c>
      <c r="AE1830" s="3">
        <v>9.4063459569999992</v>
      </c>
      <c r="AF1830" s="4">
        <v>41550</v>
      </c>
      <c r="AG1830" s="5">
        <f>YEAR(AF1830)</f>
        <v>2013</v>
      </c>
      <c r="AH1830" s="5" t="str">
        <f>"Q"&amp;ROUNDUP(MONTH(AF1830)/3,0)</f>
        <v>Q4</v>
      </c>
      <c r="AI1830" s="5">
        <f>INDEX(RatingLookup!$B$2:$B$11,MATCH(A1830,RatingLookup!$A$2:$A$11,0))</f>
        <v>6</v>
      </c>
      <c r="AJ1830" s="5" t="str">
        <f>INDEX(RatingLookup!$C$2:$C$11,MATCH(A1830,RatingLookup!$A$2:$A$11,0))</f>
        <v>Speculative Grade</v>
      </c>
    </row>
    <row r="1831" spans="1:36" x14ac:dyDescent="0.3">
      <c r="A1831" s="3" t="s">
        <v>92</v>
      </c>
      <c r="B1831" s="3" t="s">
        <v>1901</v>
      </c>
      <c r="C1831" s="3" t="s">
        <v>1902</v>
      </c>
      <c r="D1831" s="3" t="s">
        <v>47</v>
      </c>
      <c r="E1831" s="3" t="s">
        <v>1819</v>
      </c>
      <c r="F1831" s="3" t="s">
        <v>219</v>
      </c>
      <c r="G1831" s="3">
        <v>1.475702479</v>
      </c>
      <c r="H1831" s="3">
        <v>0.99900826399999998</v>
      </c>
      <c r="I1831" s="3">
        <v>0.32595041299999999</v>
      </c>
      <c r="J1831" s="3">
        <v>68.028194799999994</v>
      </c>
      <c r="K1831" s="3">
        <v>3.6708166E-2</v>
      </c>
      <c r="L1831" s="3">
        <v>8.7971438999999998E-2</v>
      </c>
      <c r="M1831" s="3">
        <v>0.37294031500000002</v>
      </c>
      <c r="N1831" s="3">
        <v>0.104815086</v>
      </c>
      <c r="O1831" s="3">
        <v>4.8133477000000001E-2</v>
      </c>
      <c r="P1831" s="3">
        <v>0.18620429699999999</v>
      </c>
      <c r="Q1831" s="3">
        <v>8.5210369999999994E-2</v>
      </c>
      <c r="R1831" s="3">
        <v>1.3112471489999999</v>
      </c>
      <c r="S1831" s="3">
        <v>5.5423642820000003</v>
      </c>
      <c r="T1831" s="3">
        <v>0.76285592899999999</v>
      </c>
      <c r="U1831" s="3">
        <v>0.43092065800000001</v>
      </c>
      <c r="V1831" s="3">
        <v>0.58272632700000004</v>
      </c>
      <c r="W1831" s="3">
        <v>0.80171278000000001</v>
      </c>
      <c r="X1831" s="3">
        <v>1.723175984</v>
      </c>
      <c r="Y1831" s="3">
        <v>1.396098209</v>
      </c>
      <c r="Z1831" s="3">
        <v>1.770293243</v>
      </c>
      <c r="AA1831" s="3">
        <v>9.0443061000000005E-2</v>
      </c>
      <c r="AB1831" s="3">
        <v>10.98496089</v>
      </c>
      <c r="AC1831" s="3">
        <v>2.1493682359999999</v>
      </c>
      <c r="AD1831" s="3">
        <v>0.13896008800000001</v>
      </c>
      <c r="AE1831" s="3">
        <v>6.2844036699999997</v>
      </c>
      <c r="AF1831" s="4">
        <v>42381</v>
      </c>
      <c r="AG1831" s="5">
        <f>YEAR(AF1831)</f>
        <v>2016</v>
      </c>
      <c r="AH1831" s="5" t="str">
        <f>"Q"&amp;ROUNDUP(MONTH(AF1831)/3,0)</f>
        <v>Q1</v>
      </c>
      <c r="AI1831" s="5">
        <f>INDEX(RatingLookup!$B$2:$B$11,MATCH(A1831,RatingLookup!$A$2:$A$11,0))</f>
        <v>6</v>
      </c>
      <c r="AJ1831" s="5" t="str">
        <f>INDEX(RatingLookup!$C$2:$C$11,MATCH(A1831,RatingLookup!$A$2:$A$11,0))</f>
        <v>Speculative Grade</v>
      </c>
    </row>
    <row r="1832" spans="1:36" x14ac:dyDescent="0.3">
      <c r="A1832" s="3" t="s">
        <v>92</v>
      </c>
      <c r="B1832" s="3" t="s">
        <v>1903</v>
      </c>
      <c r="C1832" s="3" t="s">
        <v>1904</v>
      </c>
      <c r="D1832" s="3" t="s">
        <v>60</v>
      </c>
      <c r="E1832" s="3" t="s">
        <v>46</v>
      </c>
      <c r="F1832" s="3" t="s">
        <v>96</v>
      </c>
      <c r="G1832" s="3">
        <v>3.7697628559999998</v>
      </c>
      <c r="H1832" s="3">
        <v>2.4647588599999999</v>
      </c>
      <c r="I1832" s="3">
        <v>1.2685211830000001</v>
      </c>
      <c r="J1832" s="3">
        <v>0</v>
      </c>
      <c r="K1832" s="3">
        <v>0.15967366499999999</v>
      </c>
      <c r="L1832" s="3">
        <v>0.17454708699999999</v>
      </c>
      <c r="M1832" s="3">
        <v>0.59032963599999999</v>
      </c>
      <c r="N1832" s="3">
        <v>0.17328416599999999</v>
      </c>
      <c r="O1832" s="3">
        <v>0.109967073</v>
      </c>
      <c r="P1832" s="3">
        <v>0.140133329</v>
      </c>
      <c r="Q1832" s="3">
        <v>0.13728706099999999</v>
      </c>
      <c r="R1832" s="3">
        <v>0.68869887200000002</v>
      </c>
      <c r="S1832" s="3">
        <v>8.0048962629999991</v>
      </c>
      <c r="T1832" s="3">
        <v>0.24843789899999999</v>
      </c>
      <c r="U1832" s="3">
        <v>0.19899900400000001</v>
      </c>
      <c r="V1832" s="3">
        <v>8.5211516000000001E-2</v>
      </c>
      <c r="W1832" s="3">
        <v>1</v>
      </c>
      <c r="X1832" s="3">
        <v>1.504692087</v>
      </c>
      <c r="Y1832" s="3">
        <v>3.7096520640000001</v>
      </c>
      <c r="Z1832" s="3">
        <v>1.248437899</v>
      </c>
      <c r="AA1832" s="3">
        <v>0.17454708699999999</v>
      </c>
      <c r="AB1832" s="3">
        <v>14.02590036</v>
      </c>
      <c r="AC1832" s="3">
        <v>1.504692087</v>
      </c>
      <c r="AD1832" s="3">
        <v>0.20638192999999999</v>
      </c>
      <c r="AE1832" s="3">
        <v>6.2842485400000001</v>
      </c>
      <c r="AF1832" s="4">
        <v>41075</v>
      </c>
      <c r="AG1832" s="5">
        <f>YEAR(AF1832)</f>
        <v>2012</v>
      </c>
      <c r="AH1832" s="5" t="str">
        <f>"Q"&amp;ROUNDUP(MONTH(AF1832)/3,0)</f>
        <v>Q2</v>
      </c>
      <c r="AI1832" s="5">
        <f>INDEX(RatingLookup!$B$2:$B$11,MATCH(A1832,RatingLookup!$A$2:$A$11,0))</f>
        <v>6</v>
      </c>
      <c r="AJ1832" s="5" t="str">
        <f>INDEX(RatingLookup!$C$2:$C$11,MATCH(A1832,RatingLookup!$A$2:$A$11,0))</f>
        <v>Speculative Grade</v>
      </c>
    </row>
    <row r="1833" spans="1:36" x14ac:dyDescent="0.3">
      <c r="A1833" s="3" t="s">
        <v>92</v>
      </c>
      <c r="B1833" s="3" t="s">
        <v>1905</v>
      </c>
      <c r="C1833" s="3" t="s">
        <v>1906</v>
      </c>
      <c r="D1833" s="3" t="s">
        <v>47</v>
      </c>
      <c r="E1833" s="3" t="s">
        <v>1907</v>
      </c>
      <c r="F1833" s="3" t="s">
        <v>96</v>
      </c>
      <c r="G1833" s="3">
        <v>0.66093174700000001</v>
      </c>
      <c r="H1833" s="3">
        <v>0.54835740600000005</v>
      </c>
      <c r="I1833" s="3">
        <v>9.8343245999999995E-2</v>
      </c>
      <c r="J1833" s="3">
        <v>84.83033494</v>
      </c>
      <c r="K1833" s="3">
        <v>5.5872458999999999E-2</v>
      </c>
      <c r="L1833" s="3">
        <v>5.2033055000000002E-2</v>
      </c>
      <c r="M1833" s="3">
        <v>0.62055726200000005</v>
      </c>
      <c r="N1833" s="3">
        <v>9.5217201000000001E-2</v>
      </c>
      <c r="O1833" s="3">
        <v>1.0963937E-2</v>
      </c>
      <c r="P1833" s="3">
        <v>1.1362003000000001E-2</v>
      </c>
      <c r="Q1833" s="3">
        <v>1.8900599000000001E-2</v>
      </c>
      <c r="R1833" s="3">
        <v>0.196231506</v>
      </c>
      <c r="S1833" s="3">
        <v>6.5708793849999996</v>
      </c>
      <c r="T1833" s="3">
        <v>0.72388798200000004</v>
      </c>
      <c r="U1833" s="3">
        <v>0.41991590499999998</v>
      </c>
      <c r="V1833" s="3">
        <v>-3.5839774999999997E-2</v>
      </c>
      <c r="W1833" s="3">
        <v>0.76876077099999995</v>
      </c>
      <c r="X1833" s="3">
        <v>1.5880258899999999</v>
      </c>
      <c r="Y1833" s="3">
        <v>0.44951456299999998</v>
      </c>
      <c r="Z1833" s="3">
        <v>1.7238879819999999</v>
      </c>
      <c r="AA1833" s="3">
        <v>5.2033055000000002E-2</v>
      </c>
      <c r="AB1833" s="3">
        <v>23.79917799</v>
      </c>
      <c r="AC1833" s="3">
        <v>2.0656957930000002</v>
      </c>
      <c r="AD1833" s="3">
        <v>0.233399152</v>
      </c>
      <c r="AE1833" s="3">
        <v>17.617996600000001</v>
      </c>
      <c r="AF1833" s="4">
        <v>42577</v>
      </c>
      <c r="AG1833" s="5">
        <f>YEAR(AF1833)</f>
        <v>2016</v>
      </c>
      <c r="AH1833" s="5" t="str">
        <f>"Q"&amp;ROUNDUP(MONTH(AF1833)/3,0)</f>
        <v>Q3</v>
      </c>
      <c r="AI1833" s="5">
        <f>INDEX(RatingLookup!$B$2:$B$11,MATCH(A1833,RatingLookup!$A$2:$A$11,0))</f>
        <v>6</v>
      </c>
      <c r="AJ1833" s="5" t="str">
        <f>INDEX(RatingLookup!$C$2:$C$11,MATCH(A1833,RatingLookup!$A$2:$A$11,0))</f>
        <v>Speculative Grade</v>
      </c>
    </row>
    <row r="1834" spans="1:36" x14ac:dyDescent="0.3">
      <c r="A1834" s="3" t="s">
        <v>92</v>
      </c>
      <c r="B1834" s="3" t="s">
        <v>1905</v>
      </c>
      <c r="C1834" s="3" t="s">
        <v>1906</v>
      </c>
      <c r="D1834" s="3" t="s">
        <v>60</v>
      </c>
      <c r="E1834" s="3" t="s">
        <v>578</v>
      </c>
      <c r="F1834" s="3" t="s">
        <v>96</v>
      </c>
      <c r="G1834" s="3">
        <v>0.98958333300000001</v>
      </c>
      <c r="H1834" s="3">
        <v>104.846875</v>
      </c>
      <c r="I1834" s="3">
        <v>0.304166667</v>
      </c>
      <c r="J1834" s="3">
        <v>118.3447099</v>
      </c>
      <c r="K1834" s="3">
        <v>0.136967846</v>
      </c>
      <c r="L1834" s="3">
        <v>0.19983833300000001</v>
      </c>
      <c r="M1834" s="3">
        <v>1</v>
      </c>
      <c r="N1834" s="3">
        <v>0.22660319700000001</v>
      </c>
      <c r="O1834" s="3">
        <v>2.7373900999999999E-2</v>
      </c>
      <c r="P1834" s="3">
        <v>5.2353069000000002E-2</v>
      </c>
      <c r="Q1834" s="3">
        <v>6.9286687999999999E-2</v>
      </c>
      <c r="R1834" s="3">
        <v>0.19985639899999999</v>
      </c>
      <c r="S1834" s="3">
        <v>3.5458598729999999</v>
      </c>
      <c r="T1834" s="3">
        <v>1.5311222170000001</v>
      </c>
      <c r="U1834" s="3">
        <v>0.60491832700000003</v>
      </c>
      <c r="V1834" s="3">
        <v>0.31460674199999999</v>
      </c>
      <c r="W1834" s="3">
        <v>0.96509672000000002</v>
      </c>
      <c r="X1834" s="3">
        <v>2.5149649730000001</v>
      </c>
      <c r="Y1834" s="3">
        <v>549.52258619999998</v>
      </c>
      <c r="Z1834" s="3">
        <v>2.5311222170000001</v>
      </c>
      <c r="AA1834" s="3">
        <v>0.21681336400000001</v>
      </c>
      <c r="AB1834" s="3">
        <v>20.068636739999999</v>
      </c>
      <c r="AC1834" s="3">
        <v>2.6059201330000001</v>
      </c>
      <c r="AD1834" s="3">
        <v>0.42716005000000001</v>
      </c>
      <c r="AE1834" s="3">
        <v>0</v>
      </c>
      <c r="AF1834" s="4">
        <v>42549</v>
      </c>
      <c r="AG1834" s="5">
        <f>YEAR(AF1834)</f>
        <v>2016</v>
      </c>
      <c r="AH1834" s="5" t="str">
        <f>"Q"&amp;ROUNDUP(MONTH(AF1834)/3,0)</f>
        <v>Q2</v>
      </c>
      <c r="AI1834" s="5">
        <f>INDEX(RatingLookup!$B$2:$B$11,MATCH(A1834,RatingLookup!$A$2:$A$11,0))</f>
        <v>6</v>
      </c>
      <c r="AJ1834" s="5" t="str">
        <f>INDEX(RatingLookup!$C$2:$C$11,MATCH(A1834,RatingLookup!$A$2:$A$11,0))</f>
        <v>Speculative Grade</v>
      </c>
    </row>
    <row r="1835" spans="1:36" x14ac:dyDescent="0.3">
      <c r="A1835" s="3" t="s">
        <v>109</v>
      </c>
      <c r="B1835" s="3" t="s">
        <v>1908</v>
      </c>
      <c r="C1835" s="3" t="s">
        <v>1909</v>
      </c>
      <c r="D1835" s="3" t="s">
        <v>47</v>
      </c>
      <c r="E1835" s="3" t="s">
        <v>852</v>
      </c>
      <c r="F1835" s="3" t="s">
        <v>96</v>
      </c>
      <c r="G1835" s="3">
        <v>0.557453015</v>
      </c>
      <c r="H1835" s="3">
        <v>0.46981560900000002</v>
      </c>
      <c r="I1835" s="3">
        <v>6.7342081999999998E-2</v>
      </c>
      <c r="J1835" s="3">
        <v>99.363214940000006</v>
      </c>
      <c r="K1835" s="3">
        <v>-2.8167261999999998E-2</v>
      </c>
      <c r="L1835" s="3">
        <v>-1.3131703E-2</v>
      </c>
      <c r="M1835" s="3">
        <v>0.33669216200000002</v>
      </c>
      <c r="N1835" s="3">
        <v>5.4371101999999998E-2</v>
      </c>
      <c r="O1835" s="3">
        <v>-2.3491274999999999E-2</v>
      </c>
      <c r="P1835" s="3">
        <v>-2.5701492999999999E-2</v>
      </c>
      <c r="Q1835" s="3">
        <v>6.5984047000000004E-2</v>
      </c>
      <c r="R1835" s="3">
        <v>0.83399213999999999</v>
      </c>
      <c r="S1835" s="3">
        <v>20.86719008</v>
      </c>
      <c r="T1835" s="3">
        <v>-3.8088746489999998</v>
      </c>
      <c r="U1835" s="3">
        <v>1.3560144629999999</v>
      </c>
      <c r="V1835" s="3">
        <v>-0.32521819000000002</v>
      </c>
      <c r="W1835" s="3">
        <v>0.85519486499999997</v>
      </c>
      <c r="X1835" s="3">
        <v>2.7915631630000002</v>
      </c>
      <c r="Y1835" s="3">
        <v>1.3578068590000001</v>
      </c>
      <c r="Z1835" s="3">
        <v>-2.8088746489999998</v>
      </c>
      <c r="AA1835" s="3">
        <v>-1.3131703E-2</v>
      </c>
      <c r="AB1835" s="3">
        <v>13.069303339999999</v>
      </c>
      <c r="AC1835" s="3">
        <v>3.264242195</v>
      </c>
      <c r="AD1835" s="3">
        <v>0.12275533499999999</v>
      </c>
      <c r="AE1835" s="3">
        <v>2.446591465</v>
      </c>
      <c r="AF1835" s="4">
        <v>42446</v>
      </c>
      <c r="AG1835" s="5">
        <f>YEAR(AF1835)</f>
        <v>2016</v>
      </c>
      <c r="AH1835" s="5" t="str">
        <f>"Q"&amp;ROUNDUP(MONTH(AF1835)/3,0)</f>
        <v>Q1</v>
      </c>
      <c r="AI1835" s="5">
        <f>INDEX(RatingLookup!$B$2:$B$11,MATCH(A1835,RatingLookup!$A$2:$A$11,0))</f>
        <v>5</v>
      </c>
      <c r="AJ1835" s="5" t="str">
        <f>INDEX(RatingLookup!$C$2:$C$11,MATCH(A1835,RatingLookup!$A$2:$A$11,0))</f>
        <v>Speculative Grade</v>
      </c>
    </row>
    <row r="1836" spans="1:36" x14ac:dyDescent="0.3">
      <c r="A1836" s="3" t="s">
        <v>109</v>
      </c>
      <c r="B1836" s="3" t="s">
        <v>1908</v>
      </c>
      <c r="C1836" s="3" t="s">
        <v>1909</v>
      </c>
      <c r="D1836" s="3" t="s">
        <v>47</v>
      </c>
      <c r="E1836" s="3" t="s">
        <v>866</v>
      </c>
      <c r="F1836" s="3" t="s">
        <v>96</v>
      </c>
      <c r="G1836" s="3">
        <v>0.60982709700000004</v>
      </c>
      <c r="H1836" s="3">
        <v>0.525150687</v>
      </c>
      <c r="I1836" s="3">
        <v>3.4778612E-2</v>
      </c>
      <c r="J1836" s="3">
        <v>102.28433699999999</v>
      </c>
      <c r="K1836" s="3">
        <v>-3.4595554000000001E-2</v>
      </c>
      <c r="L1836" s="3">
        <v>-3.5875694999999999E-2</v>
      </c>
      <c r="M1836" s="3">
        <v>0.32447457600000001</v>
      </c>
      <c r="N1836" s="3">
        <v>3.4948422999999999E-2</v>
      </c>
      <c r="O1836" s="3">
        <v>-3.0393475999999999E-2</v>
      </c>
      <c r="P1836" s="3">
        <v>-6.4186366999999994E-2</v>
      </c>
      <c r="Q1836" s="3">
        <v>8.4376258999999995E-2</v>
      </c>
      <c r="R1836" s="3">
        <v>0.87853704099999996</v>
      </c>
      <c r="S1836" s="3">
        <v>17.681016110000002</v>
      </c>
      <c r="T1836" s="3">
        <v>-3.7761306459999999</v>
      </c>
      <c r="U1836" s="3">
        <v>1.3602135950000001</v>
      </c>
      <c r="V1836" s="3">
        <v>0.146854131</v>
      </c>
      <c r="W1836" s="3">
        <v>-4.426253687</v>
      </c>
      <c r="X1836" s="3">
        <v>-0.46757469400000001</v>
      </c>
      <c r="Y1836" s="3">
        <v>0.64780362700000005</v>
      </c>
      <c r="Z1836" s="3">
        <v>-2.7761306459999999</v>
      </c>
      <c r="AA1836" s="3">
        <v>-3.5875694999999999E-2</v>
      </c>
      <c r="AB1836" s="3">
        <v>11.918773359999999</v>
      </c>
      <c r="AC1836" s="3">
        <v>0.105636669</v>
      </c>
      <c r="AD1836" s="3">
        <v>3.9140269999999996E-3</v>
      </c>
      <c r="AE1836" s="3">
        <v>3.722850121</v>
      </c>
      <c r="AF1836" s="4">
        <v>42697</v>
      </c>
      <c r="AG1836" s="5">
        <f>YEAR(AF1836)</f>
        <v>2016</v>
      </c>
      <c r="AH1836" s="5" t="str">
        <f>"Q"&amp;ROUNDUP(MONTH(AF1836)/3,0)</f>
        <v>Q4</v>
      </c>
      <c r="AI1836" s="5">
        <f>INDEX(RatingLookup!$B$2:$B$11,MATCH(A1836,RatingLookup!$A$2:$A$11,0))</f>
        <v>5</v>
      </c>
      <c r="AJ1836" s="5" t="str">
        <f>INDEX(RatingLookup!$C$2:$C$11,MATCH(A1836,RatingLookup!$A$2:$A$11,0))</f>
        <v>Speculative Grade</v>
      </c>
    </row>
    <row r="1837" spans="1:36" x14ac:dyDescent="0.3">
      <c r="A1837" s="3" t="s">
        <v>92</v>
      </c>
      <c r="B1837" s="3" t="s">
        <v>1910</v>
      </c>
      <c r="C1837" s="3" t="s">
        <v>1911</v>
      </c>
      <c r="D1837" s="3" t="s">
        <v>47</v>
      </c>
      <c r="E1837" s="3" t="s">
        <v>169</v>
      </c>
      <c r="F1837" s="3" t="s">
        <v>219</v>
      </c>
      <c r="G1837" s="3">
        <v>1.909830736</v>
      </c>
      <c r="H1837" s="3">
        <v>1.3760376910000001</v>
      </c>
      <c r="I1837" s="3">
        <v>0.40389279</v>
      </c>
      <c r="J1837" s="3">
        <v>90.323448240000005</v>
      </c>
      <c r="K1837" s="3">
        <v>5.9268488000000001E-2</v>
      </c>
      <c r="L1837" s="3">
        <v>5.8379967999999997E-2</v>
      </c>
      <c r="M1837" s="3">
        <v>0.29584744899999998</v>
      </c>
      <c r="N1837" s="3">
        <v>9.2418876999999997E-2</v>
      </c>
      <c r="O1837" s="3">
        <v>3.3894556999999999E-2</v>
      </c>
      <c r="P1837" s="3">
        <v>3.9220033000000001E-2</v>
      </c>
      <c r="Q1837" s="3">
        <v>9.0549915999999994E-2</v>
      </c>
      <c r="R1837" s="3">
        <v>0.57188158499999997</v>
      </c>
      <c r="S1837" s="3">
        <v>1.4283593480000001</v>
      </c>
      <c r="T1837" s="3">
        <v>1.671517913</v>
      </c>
      <c r="U1837" s="3">
        <v>0.62568096799999995</v>
      </c>
      <c r="V1837" s="3">
        <v>-1.5219603999999999E-2</v>
      </c>
      <c r="W1837" s="3">
        <v>0.37896197199999998</v>
      </c>
      <c r="X1837" s="3">
        <v>2.2812337610000002</v>
      </c>
      <c r="Y1837" s="3">
        <v>4.4839655560000002</v>
      </c>
      <c r="Z1837" s="3">
        <v>2.6715179130000002</v>
      </c>
      <c r="AA1837" s="3">
        <v>5.8379967999999997E-2</v>
      </c>
      <c r="AB1837" s="3">
        <v>11.53902347</v>
      </c>
      <c r="AC1837" s="3">
        <v>6.0196904460000003</v>
      </c>
      <c r="AD1837" s="3">
        <v>0.14825349099999999</v>
      </c>
      <c r="AE1837" s="3">
        <v>6.0070691079999996</v>
      </c>
      <c r="AF1837" s="4">
        <v>41240</v>
      </c>
      <c r="AG1837" s="5">
        <f>YEAR(AF1837)</f>
        <v>2012</v>
      </c>
      <c r="AH1837" s="5" t="str">
        <f>"Q"&amp;ROUNDUP(MONTH(AF1837)/3,0)</f>
        <v>Q4</v>
      </c>
      <c r="AI1837" s="5">
        <f>INDEX(RatingLookup!$B$2:$B$11,MATCH(A1837,RatingLookup!$A$2:$A$11,0))</f>
        <v>6</v>
      </c>
      <c r="AJ1837" s="5" t="str">
        <f>INDEX(RatingLookup!$C$2:$C$11,MATCH(A1837,RatingLookup!$A$2:$A$11,0))</f>
        <v>Speculative Grade</v>
      </c>
    </row>
    <row r="1838" spans="1:36" x14ac:dyDescent="0.3">
      <c r="A1838" s="3" t="s">
        <v>109</v>
      </c>
      <c r="B1838" s="3" t="s">
        <v>1912</v>
      </c>
      <c r="C1838" s="3" t="s">
        <v>1913</v>
      </c>
      <c r="D1838" s="3" t="s">
        <v>39</v>
      </c>
      <c r="E1838" s="3" t="s">
        <v>181</v>
      </c>
      <c r="F1838" s="3" t="s">
        <v>174</v>
      </c>
      <c r="G1838" s="3">
        <v>1.110584104</v>
      </c>
      <c r="H1838" s="3">
        <v>0.68461322999999996</v>
      </c>
      <c r="I1838" s="3">
        <v>0.36087493500000001</v>
      </c>
      <c r="J1838" s="3">
        <v>19.452383130000001</v>
      </c>
      <c r="K1838" s="3">
        <v>2.2430986999999999E-2</v>
      </c>
      <c r="L1838" s="3">
        <v>4.2042272999999998E-2</v>
      </c>
      <c r="M1838" s="3">
        <v>0.28113571700000001</v>
      </c>
      <c r="N1838" s="3">
        <v>5.5912024999999997E-2</v>
      </c>
      <c r="O1838" s="3">
        <v>5.3117822000000002E-2</v>
      </c>
      <c r="P1838" s="3">
        <v>0.16426537899999999</v>
      </c>
      <c r="Q1838" s="3">
        <v>0.129554377</v>
      </c>
      <c r="R1838" s="3">
        <v>2.368055477</v>
      </c>
      <c r="S1838" s="3">
        <v>24.577470160000001</v>
      </c>
      <c r="T1838" s="3">
        <v>1.4390001589999999</v>
      </c>
      <c r="U1838" s="3">
        <v>0.58999592700000003</v>
      </c>
      <c r="V1838" s="3">
        <v>0.46646588300000003</v>
      </c>
      <c r="W1838" s="3">
        <v>0.93018055899999996</v>
      </c>
      <c r="X1838" s="3">
        <v>2.2221873090000002</v>
      </c>
      <c r="Y1838" s="3">
        <v>1.770847517</v>
      </c>
      <c r="Z1838" s="3">
        <v>2.4390001589999999</v>
      </c>
      <c r="AA1838" s="3">
        <v>4.2042272999999998E-2</v>
      </c>
      <c r="AB1838" s="3">
        <v>3.7271740850000001</v>
      </c>
      <c r="AC1838" s="3">
        <v>2.3889849000000001</v>
      </c>
      <c r="AD1838" s="3">
        <v>8.1737881999999998E-2</v>
      </c>
      <c r="AE1838" s="3">
        <v>38.607969349999998</v>
      </c>
      <c r="AF1838" s="4">
        <v>42360</v>
      </c>
      <c r="AG1838" s="5">
        <f>YEAR(AF1838)</f>
        <v>2015</v>
      </c>
      <c r="AH1838" s="5" t="str">
        <f>"Q"&amp;ROUNDUP(MONTH(AF1838)/3,0)</f>
        <v>Q4</v>
      </c>
      <c r="AI1838" s="5">
        <f>INDEX(RatingLookup!$B$2:$B$11,MATCH(A1838,RatingLookup!$A$2:$A$11,0))</f>
        <v>5</v>
      </c>
      <c r="AJ1838" s="5" t="str">
        <f>INDEX(RatingLookup!$C$2:$C$11,MATCH(A1838,RatingLookup!$A$2:$A$11,0))</f>
        <v>Speculative Grade</v>
      </c>
    </row>
    <row r="1839" spans="1:36" x14ac:dyDescent="0.3">
      <c r="A1839" s="3" t="s">
        <v>109</v>
      </c>
      <c r="B1839" s="3" t="s">
        <v>1912</v>
      </c>
      <c r="C1839" s="3" t="s">
        <v>1913</v>
      </c>
      <c r="D1839" s="3" t="s">
        <v>39</v>
      </c>
      <c r="E1839" s="3" t="s">
        <v>1053</v>
      </c>
      <c r="F1839" s="3" t="s">
        <v>174</v>
      </c>
      <c r="G1839" s="3">
        <v>1.169800972</v>
      </c>
      <c r="H1839" s="3">
        <v>0.691076896</v>
      </c>
      <c r="I1839" s="3">
        <v>0.19334180400000001</v>
      </c>
      <c r="J1839" s="3">
        <v>23.034331030000001</v>
      </c>
      <c r="K1839" s="3">
        <v>1.8394025000000001E-2</v>
      </c>
      <c r="L1839" s="3">
        <v>3.1298490999999998E-2</v>
      </c>
      <c r="M1839" s="3">
        <v>0.207176953</v>
      </c>
      <c r="N1839" s="3">
        <v>4.0706541999999998E-2</v>
      </c>
      <c r="O1839" s="3">
        <v>5.2669145000000001E-2</v>
      </c>
      <c r="P1839" s="3">
        <v>0.14223432</v>
      </c>
      <c r="Q1839" s="3">
        <v>0.13205731100000001</v>
      </c>
      <c r="R1839" s="3">
        <v>2.863383384</v>
      </c>
      <c r="S1839" s="3">
        <v>29.097494770000001</v>
      </c>
      <c r="T1839" s="3">
        <v>1.5072993100000001</v>
      </c>
      <c r="U1839" s="3">
        <v>0.60116449000000005</v>
      </c>
      <c r="V1839" s="3">
        <v>0.41230313200000002</v>
      </c>
      <c r="W1839" s="3">
        <v>0.90424044999999997</v>
      </c>
      <c r="X1839" s="3">
        <v>1.4970248450000001</v>
      </c>
      <c r="Y1839" s="3">
        <v>0.89325979499999997</v>
      </c>
      <c r="Z1839" s="3">
        <v>2.5072993100000001</v>
      </c>
      <c r="AA1839" s="3">
        <v>3.1298490999999998E-2</v>
      </c>
      <c r="AB1839" s="3">
        <v>4.1395196519999997</v>
      </c>
      <c r="AC1839" s="3">
        <v>1.6555605819999999</v>
      </c>
      <c r="AD1839" s="3">
        <v>4.8505804E-2</v>
      </c>
      <c r="AE1839" s="3">
        <v>62.346701160000002</v>
      </c>
      <c r="AF1839" s="4">
        <v>41885</v>
      </c>
      <c r="AG1839" s="5">
        <f>YEAR(AF1839)</f>
        <v>2014</v>
      </c>
      <c r="AH1839" s="5" t="str">
        <f>"Q"&amp;ROUNDUP(MONTH(AF1839)/3,0)</f>
        <v>Q3</v>
      </c>
      <c r="AI1839" s="5">
        <f>INDEX(RatingLookup!$B$2:$B$11,MATCH(A1839,RatingLookup!$A$2:$A$11,0))</f>
        <v>5</v>
      </c>
      <c r="AJ1839" s="5" t="str">
        <f>INDEX(RatingLookup!$C$2:$C$11,MATCH(A1839,RatingLookup!$A$2:$A$11,0))</f>
        <v>Speculative Grade</v>
      </c>
    </row>
    <row r="1840" spans="1:36" x14ac:dyDescent="0.3">
      <c r="A1840" s="3" t="s">
        <v>109</v>
      </c>
      <c r="B1840" s="3" t="s">
        <v>1912</v>
      </c>
      <c r="C1840" s="3" t="s">
        <v>1913</v>
      </c>
      <c r="D1840" s="3" t="s">
        <v>39</v>
      </c>
      <c r="E1840" s="3" t="s">
        <v>1914</v>
      </c>
      <c r="F1840" s="3" t="s">
        <v>174</v>
      </c>
      <c r="G1840" s="3">
        <v>1.386418645</v>
      </c>
      <c r="H1840" s="3">
        <v>0.82414130699999999</v>
      </c>
      <c r="I1840" s="3">
        <v>0.38552573099999998</v>
      </c>
      <c r="J1840" s="3">
        <v>20.14315109</v>
      </c>
      <c r="K1840" s="3">
        <v>1.7169634E-2</v>
      </c>
      <c r="L1840" s="3">
        <v>2.8606679999999999E-2</v>
      </c>
      <c r="M1840" s="3">
        <v>0.20273786399999999</v>
      </c>
      <c r="N1840" s="3">
        <v>3.7894794000000002E-2</v>
      </c>
      <c r="O1840" s="3">
        <v>4.7281914000000001E-2</v>
      </c>
      <c r="P1840" s="3">
        <v>0.12097514299999999</v>
      </c>
      <c r="Q1840" s="3">
        <v>0.11534204200000001</v>
      </c>
      <c r="R1840" s="3">
        <v>2.7538102530000002</v>
      </c>
      <c r="S1840" s="3">
        <v>33.937922569999998</v>
      </c>
      <c r="T1840" s="3">
        <v>1.4394537199999999</v>
      </c>
      <c r="U1840" s="3">
        <v>0.59007215800000001</v>
      </c>
      <c r="V1840" s="3">
        <v>0.39980331899999999</v>
      </c>
      <c r="W1840" s="3">
        <v>0.67585983100000002</v>
      </c>
      <c r="X1840" s="3">
        <v>0.210372166</v>
      </c>
      <c r="Y1840" s="3">
        <v>1.4425928729999999</v>
      </c>
      <c r="Z1840" s="3">
        <v>2.4394537199999999</v>
      </c>
      <c r="AA1840" s="3">
        <v>2.8606679999999999E-2</v>
      </c>
      <c r="AB1840" s="3">
        <v>4.256147651</v>
      </c>
      <c r="AC1840" s="3">
        <v>0.31126597</v>
      </c>
      <c r="AD1840" s="3">
        <v>1.0616627999999999E-2</v>
      </c>
      <c r="AE1840" s="3">
        <v>63.808629089999997</v>
      </c>
      <c r="AF1840" s="4">
        <v>41521</v>
      </c>
      <c r="AG1840" s="5">
        <f>YEAR(AF1840)</f>
        <v>2013</v>
      </c>
      <c r="AH1840" s="5" t="str">
        <f>"Q"&amp;ROUNDUP(MONTH(AF1840)/3,0)</f>
        <v>Q3</v>
      </c>
      <c r="AI1840" s="5">
        <f>INDEX(RatingLookup!$B$2:$B$11,MATCH(A1840,RatingLookup!$A$2:$A$11,0))</f>
        <v>5</v>
      </c>
      <c r="AJ1840" s="5" t="str">
        <f>INDEX(RatingLookup!$C$2:$C$11,MATCH(A1840,RatingLookup!$A$2:$A$11,0))</f>
        <v>Speculative Grade</v>
      </c>
    </row>
    <row r="1841" spans="1:36" x14ac:dyDescent="0.3">
      <c r="A1841" s="3" t="s">
        <v>42</v>
      </c>
      <c r="B1841" s="3" t="s">
        <v>1915</v>
      </c>
      <c r="C1841" s="3" t="s">
        <v>1916</v>
      </c>
      <c r="D1841" s="3" t="s">
        <v>60</v>
      </c>
      <c r="E1841" s="3" t="s">
        <v>700</v>
      </c>
      <c r="F1841" s="3" t="s">
        <v>79</v>
      </c>
      <c r="G1841" s="3">
        <v>0.99328449299999999</v>
      </c>
      <c r="H1841" s="3">
        <v>0.53327228299999996</v>
      </c>
      <c r="I1841" s="3">
        <v>0.12912087899999999</v>
      </c>
      <c r="J1841" s="3">
        <v>46.768016780000004</v>
      </c>
      <c r="K1841" s="3">
        <v>9.7892065E-2</v>
      </c>
      <c r="L1841" s="3">
        <v>0.143251297</v>
      </c>
      <c r="M1841" s="3">
        <v>1</v>
      </c>
      <c r="N1841" s="3">
        <v>0.17393223699999999</v>
      </c>
      <c r="O1841" s="3">
        <v>2.2136262E-2</v>
      </c>
      <c r="P1841" s="3">
        <v>3.5277491000000001E-2</v>
      </c>
      <c r="Q1841" s="3">
        <v>6.7555217000000001E-2</v>
      </c>
      <c r="R1841" s="3">
        <v>0.22612927399999999</v>
      </c>
      <c r="S1841" s="3">
        <v>0.230342934</v>
      </c>
      <c r="T1841" s="3">
        <v>2.0517897939999998</v>
      </c>
      <c r="U1841" s="3">
        <v>0.67232343400000005</v>
      </c>
      <c r="V1841" s="3">
        <v>0.31664098600000001</v>
      </c>
      <c r="W1841" s="3">
        <v>-0.29809725199999998</v>
      </c>
      <c r="X1841" s="3">
        <v>-1.9544554460000001</v>
      </c>
      <c r="Y1841" s="3">
        <v>1.16039604</v>
      </c>
      <c r="Z1841" s="3">
        <v>3.0517897939999998</v>
      </c>
      <c r="AA1841" s="3">
        <v>0.143251297</v>
      </c>
      <c r="AB1841" s="3">
        <v>9.7482312719999999</v>
      </c>
      <c r="AC1841" s="3">
        <v>6.5564356439999996</v>
      </c>
      <c r="AD1841" s="3">
        <v>0.36541220600000002</v>
      </c>
      <c r="AE1841" s="3">
        <v>0</v>
      </c>
      <c r="AF1841" s="4">
        <v>42676</v>
      </c>
      <c r="AG1841" s="5">
        <f>YEAR(AF1841)</f>
        <v>2016</v>
      </c>
      <c r="AH1841" s="5" t="str">
        <f>"Q"&amp;ROUNDUP(MONTH(AF1841)/3,0)</f>
        <v>Q4</v>
      </c>
      <c r="AI1841" s="5">
        <f>INDEX(RatingLookup!$B$2:$B$11,MATCH(A1841,RatingLookup!$A$2:$A$11,0))</f>
        <v>7</v>
      </c>
      <c r="AJ1841" s="5" t="str">
        <f>INDEX(RatingLookup!$C$2:$C$11,MATCH(A1841,RatingLookup!$A$2:$A$11,0))</f>
        <v>Investment Grade</v>
      </c>
    </row>
    <row r="1842" spans="1:36" x14ac:dyDescent="0.3">
      <c r="A1842" s="3" t="s">
        <v>42</v>
      </c>
      <c r="B1842" s="3" t="s">
        <v>1915</v>
      </c>
      <c r="C1842" s="3" t="s">
        <v>1916</v>
      </c>
      <c r="D1842" s="3" t="s">
        <v>44</v>
      </c>
      <c r="E1842" s="3" t="s">
        <v>46</v>
      </c>
      <c r="F1842" s="3" t="s">
        <v>79</v>
      </c>
      <c r="G1842" s="3">
        <v>1.322624281</v>
      </c>
      <c r="H1842" s="3">
        <v>0.66181941200000005</v>
      </c>
      <c r="I1842" s="3">
        <v>0.282042611</v>
      </c>
      <c r="J1842" s="3">
        <v>31.858019680000002</v>
      </c>
      <c r="K1842" s="3">
        <v>0.135662063</v>
      </c>
      <c r="L1842" s="3">
        <v>0.21518187599999999</v>
      </c>
      <c r="M1842" s="3">
        <v>1</v>
      </c>
      <c r="N1842" s="3">
        <v>0.24749526099999999</v>
      </c>
      <c r="O1842" s="3">
        <v>5.0400724000000001E-2</v>
      </c>
      <c r="P1842" s="3">
        <v>8.8743299999999997E-2</v>
      </c>
      <c r="Q1842" s="3">
        <v>0.146348588</v>
      </c>
      <c r="R1842" s="3">
        <v>0.37151671600000002</v>
      </c>
      <c r="S1842" s="3">
        <v>0.44174641100000001</v>
      </c>
      <c r="T1842" s="3">
        <v>1.903700097</v>
      </c>
      <c r="U1842" s="3">
        <v>0.65561181700000004</v>
      </c>
      <c r="V1842" s="3">
        <v>0.40981543599999998</v>
      </c>
      <c r="W1842" s="3">
        <v>0.41439415200000002</v>
      </c>
      <c r="X1842" s="3">
        <v>2.913337115</v>
      </c>
      <c r="Y1842" s="3">
        <v>1.956718958</v>
      </c>
      <c r="Z1842" s="3">
        <v>2.9037000970000002</v>
      </c>
      <c r="AA1842" s="3">
        <v>0.21518187599999999</v>
      </c>
      <c r="AB1842" s="3">
        <v>5.7592776089999997</v>
      </c>
      <c r="AC1842" s="3">
        <v>7.030352862</v>
      </c>
      <c r="AD1842" s="3">
        <v>0.321057857</v>
      </c>
      <c r="AE1842" s="3">
        <v>0</v>
      </c>
      <c r="AF1842" s="4">
        <v>41075</v>
      </c>
      <c r="AG1842" s="5">
        <f>YEAR(AF1842)</f>
        <v>2012</v>
      </c>
      <c r="AH1842" s="5" t="str">
        <f>"Q"&amp;ROUNDUP(MONTH(AF1842)/3,0)</f>
        <v>Q2</v>
      </c>
      <c r="AI1842" s="5">
        <f>INDEX(RatingLookup!$B$2:$B$11,MATCH(A1842,RatingLookup!$A$2:$A$11,0))</f>
        <v>7</v>
      </c>
      <c r="AJ1842" s="5" t="str">
        <f>INDEX(RatingLookup!$C$2:$C$11,MATCH(A1842,RatingLookup!$A$2:$A$11,0))</f>
        <v>Investment Grade</v>
      </c>
    </row>
    <row r="1843" spans="1:36" x14ac:dyDescent="0.3">
      <c r="A1843" s="3" t="s">
        <v>116</v>
      </c>
      <c r="B1843" s="3" t="s">
        <v>1917</v>
      </c>
      <c r="C1843" s="3" t="s">
        <v>1918</v>
      </c>
      <c r="D1843" s="3" t="s">
        <v>60</v>
      </c>
      <c r="E1843" s="3" t="s">
        <v>457</v>
      </c>
      <c r="F1843" s="3" t="s">
        <v>59</v>
      </c>
      <c r="G1843" s="3">
        <v>1.6617234569999999</v>
      </c>
      <c r="H1843" s="3">
        <v>1.32558686</v>
      </c>
      <c r="I1843" s="3">
        <v>0.53987650300000001</v>
      </c>
      <c r="J1843" s="3">
        <v>101.5308309</v>
      </c>
      <c r="K1843" s="3">
        <v>-2.6287907999999999E-2</v>
      </c>
      <c r="L1843" s="3">
        <v>-6.7989434000000001E-2</v>
      </c>
      <c r="M1843" s="3">
        <v>0.45833135400000002</v>
      </c>
      <c r="N1843" s="3">
        <v>-2.4853956E-2</v>
      </c>
      <c r="O1843" s="3">
        <v>-1.9987417E-2</v>
      </c>
      <c r="P1843" s="3">
        <v>-7.1577197999999995E-2</v>
      </c>
      <c r="Q1843" s="3">
        <v>-0.181734376</v>
      </c>
      <c r="R1843" s="3">
        <v>0.76032738799999999</v>
      </c>
      <c r="S1843" s="3">
        <v>2.3492974910000002</v>
      </c>
      <c r="T1843" s="3">
        <v>8.0924394159999995</v>
      </c>
      <c r="U1843" s="3">
        <v>0.89001851399999998</v>
      </c>
      <c r="V1843" s="3">
        <v>0.61442772700000003</v>
      </c>
      <c r="W1843" s="3">
        <v>-0.588588589</v>
      </c>
      <c r="X1843" s="3">
        <v>-0.10928075399999999</v>
      </c>
      <c r="Y1843" s="3">
        <v>5.7197526480000001</v>
      </c>
      <c r="Z1843" s="3">
        <v>9.0924394159999995</v>
      </c>
      <c r="AA1843" s="3">
        <v>-6.7989434000000001E-2</v>
      </c>
      <c r="AB1843" s="3">
        <v>-351.30517909999998</v>
      </c>
      <c r="AC1843" s="3">
        <v>0.18566577100000001</v>
      </c>
      <c r="AD1843" s="3">
        <v>6.6911690000000003E-3</v>
      </c>
      <c r="AE1843" s="3">
        <v>3.6981654470000001</v>
      </c>
      <c r="AF1843" s="4">
        <v>41949</v>
      </c>
      <c r="AG1843" s="5">
        <f>YEAR(AF1843)</f>
        <v>2014</v>
      </c>
      <c r="AH1843" s="5" t="str">
        <f>"Q"&amp;ROUNDUP(MONTH(AF1843)/3,0)</f>
        <v>Q4</v>
      </c>
      <c r="AI1843" s="5">
        <f>INDEX(RatingLookup!$B$2:$B$11,MATCH(A1843,RatingLookup!$A$2:$A$11,0))</f>
        <v>4</v>
      </c>
      <c r="AJ1843" s="5" t="str">
        <f>INDEX(RatingLookup!$C$2:$C$11,MATCH(A1843,RatingLookup!$A$2:$A$11,0))</f>
        <v>Speculative Grade</v>
      </c>
    </row>
    <row r="1844" spans="1:36" x14ac:dyDescent="0.3">
      <c r="A1844" s="3" t="s">
        <v>109</v>
      </c>
      <c r="B1844" s="3" t="s">
        <v>1917</v>
      </c>
      <c r="C1844" s="3" t="s">
        <v>1918</v>
      </c>
      <c r="D1844" s="3" t="s">
        <v>47</v>
      </c>
      <c r="E1844" s="3" t="s">
        <v>48</v>
      </c>
      <c r="F1844" s="3" t="s">
        <v>59</v>
      </c>
      <c r="G1844" s="3">
        <v>5.2216093890000002</v>
      </c>
      <c r="H1844" s="3">
        <v>5.1939372559999999</v>
      </c>
      <c r="I1844" s="3">
        <v>0.33090399100000001</v>
      </c>
      <c r="J1844" s="3">
        <v>62.686374530000002</v>
      </c>
      <c r="K1844" s="3">
        <v>-6.0681229000000003E-2</v>
      </c>
      <c r="L1844" s="3">
        <v>-2.9389793000000001E-2</v>
      </c>
      <c r="M1844" s="3">
        <v>0.73618051399999995</v>
      </c>
      <c r="N1844" s="3">
        <v>-9.1199300000000005E-4</v>
      </c>
      <c r="O1844" s="3">
        <v>-3.3347371000000001E-2</v>
      </c>
      <c r="P1844" s="3">
        <v>-1.8415746E-2</v>
      </c>
      <c r="Q1844" s="3">
        <v>-2.1383919480000002</v>
      </c>
      <c r="R1844" s="3">
        <v>0.54955002600000002</v>
      </c>
      <c r="S1844" s="3">
        <v>5.4392825480000004</v>
      </c>
      <c r="T1844" s="3">
        <v>63.124754039999999</v>
      </c>
      <c r="U1844" s="3">
        <v>0.98440539800000004</v>
      </c>
      <c r="V1844" s="3">
        <v>-1.1276395960000001</v>
      </c>
      <c r="W1844" s="3">
        <v>0.63299135799999995</v>
      </c>
      <c r="X1844" s="3">
        <v>1.344605475</v>
      </c>
      <c r="Y1844" s="3">
        <v>41.419457860000001</v>
      </c>
      <c r="Z1844" s="3">
        <v>64.124754039999999</v>
      </c>
      <c r="AA1844" s="3">
        <v>-2.9389793000000001E-2</v>
      </c>
      <c r="AB1844" s="3">
        <v>14.585951319999999</v>
      </c>
      <c r="AC1844" s="3">
        <v>2.1242082660000001</v>
      </c>
      <c r="AD1844" s="3">
        <v>5.0796919000000003E-2</v>
      </c>
      <c r="AE1844" s="3">
        <v>1.632936484</v>
      </c>
      <c r="AF1844" s="4">
        <v>42667</v>
      </c>
      <c r="AG1844" s="5">
        <f>YEAR(AF1844)</f>
        <v>2016</v>
      </c>
      <c r="AH1844" s="5" t="str">
        <f>"Q"&amp;ROUNDUP(MONTH(AF1844)/3,0)</f>
        <v>Q4</v>
      </c>
      <c r="AI1844" s="5">
        <f>INDEX(RatingLookup!$B$2:$B$11,MATCH(A1844,RatingLookup!$A$2:$A$11,0))</f>
        <v>5</v>
      </c>
      <c r="AJ1844" s="5" t="str">
        <f>INDEX(RatingLookup!$C$2:$C$11,MATCH(A1844,RatingLookup!$A$2:$A$11,0))</f>
        <v>Speculative Grade</v>
      </c>
    </row>
    <row r="1845" spans="1:36" x14ac:dyDescent="0.3">
      <c r="A1845" s="3" t="s">
        <v>109</v>
      </c>
      <c r="B1845" s="3" t="s">
        <v>1917</v>
      </c>
      <c r="C1845" s="3" t="s">
        <v>1918</v>
      </c>
      <c r="D1845" s="3" t="s">
        <v>47</v>
      </c>
      <c r="E1845" s="3" t="s">
        <v>1356</v>
      </c>
      <c r="F1845" s="3" t="s">
        <v>59</v>
      </c>
      <c r="G1845" s="3">
        <v>6.8952153599999999</v>
      </c>
      <c r="H1845" s="3">
        <v>6.8470750389999999</v>
      </c>
      <c r="I1845" s="3">
        <v>0.630050365</v>
      </c>
      <c r="J1845" s="3">
        <v>68.666071560000006</v>
      </c>
      <c r="K1845" s="3">
        <v>-3.1731628999999997E-2</v>
      </c>
      <c r="L1845" s="3">
        <v>-4.1597743E-2</v>
      </c>
      <c r="M1845" s="3">
        <v>0.60923835199999998</v>
      </c>
      <c r="N1845" s="3">
        <v>1.9887469999999999E-3</v>
      </c>
      <c r="O1845" s="3">
        <v>-1.2968037999999999E-2</v>
      </c>
      <c r="P1845" s="3">
        <v>-1.8718472999999999E-2</v>
      </c>
      <c r="Q1845" s="3">
        <v>-0.37823035199999999</v>
      </c>
      <c r="R1845" s="3">
        <v>0.40867861300000002</v>
      </c>
      <c r="S1845" s="3">
        <v>5.2260311660000003</v>
      </c>
      <c r="T1845" s="3">
        <v>28.166351160000001</v>
      </c>
      <c r="U1845" s="3">
        <v>0.96571391500000003</v>
      </c>
      <c r="V1845" s="3">
        <v>0.233404114</v>
      </c>
      <c r="W1845" s="3">
        <v>1.654893891</v>
      </c>
      <c r="X1845" s="3">
        <v>-2.0347783399999999</v>
      </c>
      <c r="Y1845" s="3">
        <v>57.132920470000002</v>
      </c>
      <c r="Z1845" s="3">
        <v>29.166351160000001</v>
      </c>
      <c r="AA1845" s="3">
        <v>-4.1597743E-2</v>
      </c>
      <c r="AB1845" s="3">
        <v>9.1084181260000001</v>
      </c>
      <c r="AC1845" s="3">
        <v>-1.2295521490000001</v>
      </c>
      <c r="AD1845" s="3">
        <v>-2.9051415000000001E-2</v>
      </c>
      <c r="AE1845" s="3">
        <v>1.9431649280000001</v>
      </c>
      <c r="AF1845" s="4">
        <v>42353</v>
      </c>
      <c r="AG1845" s="5">
        <f>YEAR(AF1845)</f>
        <v>2015</v>
      </c>
      <c r="AH1845" s="5" t="str">
        <f>"Q"&amp;ROUNDUP(MONTH(AF1845)/3,0)</f>
        <v>Q4</v>
      </c>
      <c r="AI1845" s="5">
        <f>INDEX(RatingLookup!$B$2:$B$11,MATCH(A1845,RatingLookup!$A$2:$A$11,0))</f>
        <v>5</v>
      </c>
      <c r="AJ1845" s="5" t="str">
        <f>INDEX(RatingLookup!$C$2:$C$11,MATCH(A1845,RatingLookup!$A$2:$A$11,0))</f>
        <v>Speculative Grade</v>
      </c>
    </row>
    <row r="1846" spans="1:36" x14ac:dyDescent="0.3">
      <c r="A1846" s="3" t="s">
        <v>92</v>
      </c>
      <c r="B1846" s="3" t="s">
        <v>1919</v>
      </c>
      <c r="C1846" s="3" t="s">
        <v>1920</v>
      </c>
      <c r="D1846" s="3" t="s">
        <v>60</v>
      </c>
      <c r="E1846" s="3" t="s">
        <v>46</v>
      </c>
      <c r="F1846" s="3" t="s">
        <v>219</v>
      </c>
      <c r="G1846" s="3">
        <v>1.9516245489999999</v>
      </c>
      <c r="H1846" s="3">
        <v>1.167509025</v>
      </c>
      <c r="I1846" s="3">
        <v>0.49241877299999998</v>
      </c>
      <c r="J1846" s="3">
        <v>47.007984620000002</v>
      </c>
      <c r="K1846" s="3">
        <v>8.9753068000000005E-2</v>
      </c>
      <c r="L1846" s="3">
        <v>0.111636848</v>
      </c>
      <c r="M1846" s="3">
        <v>0.21203607899999999</v>
      </c>
      <c r="N1846" s="3">
        <v>0.102025728</v>
      </c>
      <c r="O1846" s="3">
        <v>7.1260858999999996E-2</v>
      </c>
      <c r="P1846" s="3">
        <v>0.105846068</v>
      </c>
      <c r="Q1846" s="3">
        <v>0.45264727799999999</v>
      </c>
      <c r="R1846" s="3">
        <v>0.79396571999999999</v>
      </c>
      <c r="S1846" s="3">
        <v>2.068828388</v>
      </c>
      <c r="T1846" s="3">
        <v>5.3519761370000003</v>
      </c>
      <c r="U1846" s="3">
        <v>0.84256867800000002</v>
      </c>
      <c r="V1846" s="3">
        <v>0.197350993</v>
      </c>
      <c r="W1846" s="3">
        <v>0.45297805600000002</v>
      </c>
      <c r="X1846" s="3">
        <v>1.8501437709999999</v>
      </c>
      <c r="Y1846" s="3">
        <v>4.7758036429999997</v>
      </c>
      <c r="Z1846" s="3">
        <v>6.3519761370000003</v>
      </c>
      <c r="AA1846" s="3">
        <v>0.111636848</v>
      </c>
      <c r="AB1846" s="3">
        <v>10.02739564</v>
      </c>
      <c r="AC1846" s="3">
        <v>4.0844004350000001</v>
      </c>
      <c r="AD1846" s="3">
        <v>9.4336832999999995E-2</v>
      </c>
      <c r="AE1846" s="3">
        <v>7.9182763740000004</v>
      </c>
      <c r="AF1846" s="4">
        <v>41075</v>
      </c>
      <c r="AG1846" s="5">
        <f>YEAR(AF1846)</f>
        <v>2012</v>
      </c>
      <c r="AH1846" s="5" t="str">
        <f>"Q"&amp;ROUNDUP(MONTH(AF1846)/3,0)</f>
        <v>Q2</v>
      </c>
      <c r="AI1846" s="5">
        <f>INDEX(RatingLookup!$B$2:$B$11,MATCH(A1846,RatingLookup!$A$2:$A$11,0))</f>
        <v>6</v>
      </c>
      <c r="AJ1846" s="5" t="str">
        <f>INDEX(RatingLookup!$C$2:$C$11,MATCH(A1846,RatingLookup!$A$2:$A$11,0))</f>
        <v>Speculative Grade</v>
      </c>
    </row>
    <row r="1847" spans="1:36" x14ac:dyDescent="0.3">
      <c r="A1847" s="3" t="s">
        <v>109</v>
      </c>
      <c r="B1847" s="3" t="s">
        <v>1921</v>
      </c>
      <c r="C1847" s="3" t="s">
        <v>1922</v>
      </c>
      <c r="D1847" s="3" t="s">
        <v>47</v>
      </c>
      <c r="E1847" s="3" t="s">
        <v>696</v>
      </c>
      <c r="F1847" s="3" t="s">
        <v>174</v>
      </c>
      <c r="G1847" s="3">
        <v>1.829302438</v>
      </c>
      <c r="H1847" s="3">
        <v>1.3499315919999999</v>
      </c>
      <c r="I1847" s="3">
        <v>1.175738215</v>
      </c>
      <c r="J1847" s="3">
        <v>18.211332330000001</v>
      </c>
      <c r="K1847" s="3">
        <v>9.6051345999999996E-2</v>
      </c>
      <c r="L1847" s="3">
        <v>0.15280092300000001</v>
      </c>
      <c r="M1847" s="3">
        <v>0.90255166099999995</v>
      </c>
      <c r="N1847" s="3">
        <v>0.14648381299999999</v>
      </c>
      <c r="O1847" s="3">
        <v>5.1611166999999999E-2</v>
      </c>
      <c r="P1847" s="3">
        <v>9.7881365999999997E-2</v>
      </c>
      <c r="Q1847" s="3">
        <v>0.31266245300000001</v>
      </c>
      <c r="R1847" s="3">
        <v>0.53732892700000001</v>
      </c>
      <c r="S1847" s="3">
        <v>5.9023493560000002</v>
      </c>
      <c r="T1847" s="3">
        <v>5.0580388379999999</v>
      </c>
      <c r="U1847" s="3">
        <v>0.83493007799999996</v>
      </c>
      <c r="V1847" s="3">
        <v>0.362897215</v>
      </c>
      <c r="W1847" s="3">
        <v>0.78480075299999996</v>
      </c>
      <c r="X1847" s="3">
        <v>4.7312777129999999</v>
      </c>
      <c r="Y1847" s="3">
        <v>11.53025019</v>
      </c>
      <c r="Z1847" s="3">
        <v>6.0580388379999999</v>
      </c>
      <c r="AA1847" s="3">
        <v>0.15280092300000001</v>
      </c>
      <c r="AB1847" s="3">
        <v>12.242004</v>
      </c>
      <c r="AC1847" s="3">
        <v>6.0286355409999999</v>
      </c>
      <c r="AD1847" s="3">
        <v>0.185639835</v>
      </c>
      <c r="AE1847" s="3">
        <v>2.9070764800000002</v>
      </c>
      <c r="AF1847" s="4">
        <v>42584</v>
      </c>
      <c r="AG1847" s="5">
        <f>YEAR(AF1847)</f>
        <v>2016</v>
      </c>
      <c r="AH1847" s="5" t="str">
        <f>"Q"&amp;ROUNDUP(MONTH(AF1847)/3,0)</f>
        <v>Q3</v>
      </c>
      <c r="AI1847" s="5">
        <f>INDEX(RatingLookup!$B$2:$B$11,MATCH(A1847,RatingLookup!$A$2:$A$11,0))</f>
        <v>5</v>
      </c>
      <c r="AJ1847" s="5" t="str">
        <f>INDEX(RatingLookup!$C$2:$C$11,MATCH(A1847,RatingLookup!$A$2:$A$11,0))</f>
        <v>Speculative Grade</v>
      </c>
    </row>
    <row r="1848" spans="1:36" x14ac:dyDescent="0.3">
      <c r="A1848" s="3" t="s">
        <v>42</v>
      </c>
      <c r="B1848" s="3" t="s">
        <v>1923</v>
      </c>
      <c r="C1848" s="3" t="s">
        <v>1924</v>
      </c>
      <c r="D1848" s="3" t="s">
        <v>60</v>
      </c>
      <c r="E1848" s="3" t="s">
        <v>245</v>
      </c>
      <c r="F1848" s="3" t="s">
        <v>59</v>
      </c>
      <c r="G1848" s="3">
        <v>3.351281561</v>
      </c>
      <c r="H1848" s="3">
        <v>2.3463083400000002</v>
      </c>
      <c r="I1848" s="3">
        <v>0.92664498900000003</v>
      </c>
      <c r="J1848" s="3">
        <v>76.728182579999995</v>
      </c>
      <c r="K1848" s="3">
        <v>0.13265363399999999</v>
      </c>
      <c r="L1848" s="3">
        <v>0.18192872500000001</v>
      </c>
      <c r="M1848" s="3">
        <v>0.316864653</v>
      </c>
      <c r="N1848" s="3">
        <v>0.19354597300000001</v>
      </c>
      <c r="O1848" s="3">
        <v>0.100910773</v>
      </c>
      <c r="P1848" s="3">
        <v>0.16258735399999999</v>
      </c>
      <c r="Q1848" s="3">
        <v>0.243894889</v>
      </c>
      <c r="R1848" s="3">
        <v>0.76070869500000005</v>
      </c>
      <c r="S1848" s="3">
        <v>9.0494328759999991</v>
      </c>
      <c r="T1848" s="3">
        <v>1.416936094</v>
      </c>
      <c r="U1848" s="3">
        <v>0.58625302400000001</v>
      </c>
      <c r="V1848" s="3">
        <v>0.26457583499999998</v>
      </c>
      <c r="W1848" s="3">
        <v>0.76262912900000002</v>
      </c>
      <c r="X1848" s="3">
        <v>2.1453882750000002</v>
      </c>
      <c r="Y1848" s="3">
        <v>4.2460676550000001</v>
      </c>
      <c r="Z1848" s="3">
        <v>2.416936094</v>
      </c>
      <c r="AA1848" s="3">
        <v>0.18192872500000001</v>
      </c>
      <c r="AB1848" s="3">
        <v>15.401660469999999</v>
      </c>
      <c r="AC1848" s="3">
        <v>2.8131475610000001</v>
      </c>
      <c r="AD1848" s="3">
        <v>0.16479281600000001</v>
      </c>
      <c r="AE1848" s="3">
        <v>5.9050776200000001</v>
      </c>
      <c r="AF1848" s="4">
        <v>41891</v>
      </c>
      <c r="AG1848" s="5">
        <f>YEAR(AF1848)</f>
        <v>2014</v>
      </c>
      <c r="AH1848" s="5" t="str">
        <f>"Q"&amp;ROUNDUP(MONTH(AF1848)/3,0)</f>
        <v>Q3</v>
      </c>
      <c r="AI1848" s="5">
        <f>INDEX(RatingLookup!$B$2:$B$11,MATCH(A1848,RatingLookup!$A$2:$A$11,0))</f>
        <v>7</v>
      </c>
      <c r="AJ1848" s="5" t="str">
        <f>INDEX(RatingLookup!$C$2:$C$11,MATCH(A1848,RatingLookup!$A$2:$A$11,0))</f>
        <v>Investment Grade</v>
      </c>
    </row>
    <row r="1849" spans="1:36" x14ac:dyDescent="0.3">
      <c r="A1849" s="3" t="s">
        <v>42</v>
      </c>
      <c r="B1849" s="3" t="s">
        <v>1923</v>
      </c>
      <c r="C1849" s="3" t="s">
        <v>1924</v>
      </c>
      <c r="D1849" s="3" t="s">
        <v>60</v>
      </c>
      <c r="E1849" s="3" t="s">
        <v>46</v>
      </c>
      <c r="F1849" s="3" t="s">
        <v>59</v>
      </c>
      <c r="G1849" s="3">
        <v>3.3953705940000001</v>
      </c>
      <c r="H1849" s="3">
        <v>2.2043616670000001</v>
      </c>
      <c r="I1849" s="3">
        <v>0.80179634700000002</v>
      </c>
      <c r="J1849" s="3">
        <v>71.075196719999994</v>
      </c>
      <c r="K1849" s="3">
        <v>0.133050628</v>
      </c>
      <c r="L1849" s="3">
        <v>0.181926633</v>
      </c>
      <c r="M1849" s="3">
        <v>0.31566689199999998</v>
      </c>
      <c r="N1849" s="3">
        <v>0.19079158099999999</v>
      </c>
      <c r="O1849" s="3">
        <v>0.117922265</v>
      </c>
      <c r="P1849" s="3">
        <v>0.18847957200000001</v>
      </c>
      <c r="Q1849" s="3">
        <v>0.24136590999999999</v>
      </c>
      <c r="R1849" s="3">
        <v>0.88629619400000004</v>
      </c>
      <c r="S1849" s="3">
        <v>10.35420669</v>
      </c>
      <c r="T1849" s="3">
        <v>1.046822199</v>
      </c>
      <c r="U1849" s="3">
        <v>0.51143777899999998</v>
      </c>
      <c r="V1849" s="3">
        <v>0.26216878399999999</v>
      </c>
      <c r="W1849" s="3">
        <v>0.822680894</v>
      </c>
      <c r="X1849" s="3">
        <v>2.741008517</v>
      </c>
      <c r="Y1849" s="3">
        <v>3.8253569920000001</v>
      </c>
      <c r="Z1849" s="3">
        <v>2.0468221990000002</v>
      </c>
      <c r="AA1849" s="3">
        <v>0.181926633</v>
      </c>
      <c r="AB1849" s="3">
        <v>6.2650524729999999</v>
      </c>
      <c r="AC1849" s="3">
        <v>3.3318003819999999</v>
      </c>
      <c r="AD1849" s="3">
        <v>0.14346134499999999</v>
      </c>
      <c r="AE1849" s="3">
        <v>7.1351189699999997</v>
      </c>
      <c r="AF1849" s="4">
        <v>41075</v>
      </c>
      <c r="AG1849" s="5">
        <f>YEAR(AF1849)</f>
        <v>2012</v>
      </c>
      <c r="AH1849" s="5" t="str">
        <f>"Q"&amp;ROUNDUP(MONTH(AF1849)/3,0)</f>
        <v>Q2</v>
      </c>
      <c r="AI1849" s="5">
        <f>INDEX(RatingLookup!$B$2:$B$11,MATCH(A1849,RatingLookup!$A$2:$A$11,0))</f>
        <v>7</v>
      </c>
      <c r="AJ1849" s="5" t="str">
        <f>INDEX(RatingLookup!$C$2:$C$11,MATCH(A1849,RatingLookup!$A$2:$A$11,0))</f>
        <v>Investment Grade</v>
      </c>
    </row>
    <row r="1850" spans="1:36" x14ac:dyDescent="0.3">
      <c r="A1850" s="3" t="s">
        <v>42</v>
      </c>
      <c r="B1850" s="3" t="s">
        <v>1923</v>
      </c>
      <c r="C1850" s="3" t="s">
        <v>1924</v>
      </c>
      <c r="D1850" s="3" t="s">
        <v>60</v>
      </c>
      <c r="E1850" s="3" t="s">
        <v>1197</v>
      </c>
      <c r="F1850" s="3" t="s">
        <v>59</v>
      </c>
      <c r="G1850" s="3">
        <v>1.9613703650000001</v>
      </c>
      <c r="H1850" s="3">
        <v>1.362323108</v>
      </c>
      <c r="I1850" s="3">
        <v>0.55087279899999997</v>
      </c>
      <c r="J1850" s="3">
        <v>79.175641850000005</v>
      </c>
      <c r="K1850" s="3">
        <v>0.137750292</v>
      </c>
      <c r="L1850" s="3">
        <v>0.183468197</v>
      </c>
      <c r="M1850" s="3">
        <v>0.314396114</v>
      </c>
      <c r="N1850" s="3">
        <v>0.19433961599999999</v>
      </c>
      <c r="O1850" s="3">
        <v>0.10305919500000001</v>
      </c>
      <c r="P1850" s="3">
        <v>0.18574311900000001</v>
      </c>
      <c r="Q1850" s="3">
        <v>0.222301101</v>
      </c>
      <c r="R1850" s="3">
        <v>0.74815954100000004</v>
      </c>
      <c r="S1850" s="3">
        <v>8.6672658120000001</v>
      </c>
      <c r="T1850" s="3">
        <v>1.1570234610000001</v>
      </c>
      <c r="U1850" s="3">
        <v>0.53639818100000003</v>
      </c>
      <c r="V1850" s="3">
        <v>0.24555274099999999</v>
      </c>
      <c r="W1850" s="3">
        <v>0.79396918299999997</v>
      </c>
      <c r="X1850" s="3">
        <v>3.8380244100000001</v>
      </c>
      <c r="Y1850" s="3">
        <v>7.4935012609999996</v>
      </c>
      <c r="Z1850" s="3">
        <v>2.1570234610000001</v>
      </c>
      <c r="AA1850" s="3">
        <v>0.183468197</v>
      </c>
      <c r="AB1850" s="3">
        <v>7.8772533119999997</v>
      </c>
      <c r="AC1850" s="3">
        <v>4.8339715109999997</v>
      </c>
      <c r="AD1850" s="3">
        <v>0.16665334000000001</v>
      </c>
      <c r="AE1850" s="3">
        <v>5.7530339560000003</v>
      </c>
      <c r="AF1850" s="4">
        <v>41662</v>
      </c>
      <c r="AG1850" s="5">
        <f>YEAR(AF1850)</f>
        <v>2014</v>
      </c>
      <c r="AH1850" s="5" t="str">
        <f>"Q"&amp;ROUNDUP(MONTH(AF1850)/3,0)</f>
        <v>Q1</v>
      </c>
      <c r="AI1850" s="5">
        <f>INDEX(RatingLookup!$B$2:$B$11,MATCH(A1850,RatingLookup!$A$2:$A$11,0))</f>
        <v>7</v>
      </c>
      <c r="AJ1850" s="5" t="str">
        <f>INDEX(RatingLookup!$C$2:$C$11,MATCH(A1850,RatingLookup!$A$2:$A$11,0))</f>
        <v>Investment Grade</v>
      </c>
    </row>
    <row r="1851" spans="1:36" x14ac:dyDescent="0.3">
      <c r="A1851" s="3" t="s">
        <v>92</v>
      </c>
      <c r="B1851" s="3" t="s">
        <v>1925</v>
      </c>
      <c r="C1851" s="3" t="s">
        <v>1926</v>
      </c>
      <c r="D1851" s="3" t="s">
        <v>47</v>
      </c>
      <c r="E1851" s="3" t="s">
        <v>497</v>
      </c>
      <c r="F1851" s="3" t="s">
        <v>174</v>
      </c>
      <c r="G1851" s="3">
        <v>0.40877988500000001</v>
      </c>
      <c r="H1851" s="3">
        <v>0.17433511500000001</v>
      </c>
      <c r="I1851" s="3">
        <v>7.2717097999999994E-2</v>
      </c>
      <c r="J1851" s="3">
        <v>4.9239030430000001</v>
      </c>
      <c r="K1851" s="3">
        <v>6.1625687999999998E-2</v>
      </c>
      <c r="L1851" s="3">
        <v>8.791649E-2</v>
      </c>
      <c r="M1851" s="3">
        <v>0.74207004200000004</v>
      </c>
      <c r="N1851" s="3">
        <v>9.7460344000000004E-2</v>
      </c>
      <c r="O1851" s="3">
        <v>0.13630937700000001</v>
      </c>
      <c r="P1851" s="3">
        <v>0.27529984899999999</v>
      </c>
      <c r="Q1851" s="3">
        <v>-0.94202694499999995</v>
      </c>
      <c r="R1851" s="3">
        <v>2.2118921770000002</v>
      </c>
      <c r="S1851" s="3">
        <v>3.1227366669999999</v>
      </c>
      <c r="T1851" s="3">
        <v>-7.9109474940000002</v>
      </c>
      <c r="U1851" s="3">
        <v>1.1446979589999999</v>
      </c>
      <c r="V1851" s="3">
        <v>0.29904290300000003</v>
      </c>
      <c r="W1851" s="3">
        <v>0.71424372899999999</v>
      </c>
      <c r="X1851" s="3">
        <v>4.8693669570000004</v>
      </c>
      <c r="Y1851" s="3">
        <v>0.54315571299999998</v>
      </c>
      <c r="Z1851" s="3">
        <v>-6.9109474940000002</v>
      </c>
      <c r="AA1851" s="3">
        <v>8.791649E-2</v>
      </c>
      <c r="AB1851" s="3">
        <v>8.0516716469999992</v>
      </c>
      <c r="AC1851" s="3">
        <v>6.8175144660000004</v>
      </c>
      <c r="AD1851" s="3">
        <v>0.121166948</v>
      </c>
      <c r="AE1851" s="3">
        <v>8.8058775439999994</v>
      </c>
      <c r="AF1851" s="4">
        <v>42626</v>
      </c>
      <c r="AG1851" s="5">
        <f>YEAR(AF1851)</f>
        <v>2016</v>
      </c>
      <c r="AH1851" s="5" t="str">
        <f>"Q"&amp;ROUNDUP(MONTH(AF1851)/3,0)</f>
        <v>Q3</v>
      </c>
      <c r="AI1851" s="5">
        <f>INDEX(RatingLookup!$B$2:$B$11,MATCH(A1851,RatingLookup!$A$2:$A$11,0))</f>
        <v>6</v>
      </c>
      <c r="AJ1851" s="5" t="str">
        <f>INDEX(RatingLookup!$C$2:$C$11,MATCH(A1851,RatingLookup!$A$2:$A$11,0))</f>
        <v>Speculative Grade</v>
      </c>
    </row>
    <row r="1852" spans="1:36" x14ac:dyDescent="0.3">
      <c r="A1852" s="3" t="s">
        <v>42</v>
      </c>
      <c r="B1852" s="3" t="s">
        <v>1927</v>
      </c>
      <c r="C1852" s="3" t="s">
        <v>1928</v>
      </c>
      <c r="D1852" s="3" t="s">
        <v>47</v>
      </c>
      <c r="E1852" s="3" t="s">
        <v>1348</v>
      </c>
      <c r="F1852" s="3" t="s">
        <v>219</v>
      </c>
      <c r="G1852" s="3">
        <v>2.938285042</v>
      </c>
      <c r="H1852" s="3">
        <v>1.4464161099999999</v>
      </c>
      <c r="I1852" s="3">
        <v>0.35430825199999999</v>
      </c>
      <c r="J1852" s="3">
        <v>49.096824599999998</v>
      </c>
      <c r="K1852" s="3">
        <v>0.111453502</v>
      </c>
      <c r="L1852" s="3">
        <v>0.15833625300000001</v>
      </c>
      <c r="M1852" s="3">
        <v>0.31719286400000002</v>
      </c>
      <c r="N1852" s="3">
        <v>0.16662696199999999</v>
      </c>
      <c r="O1852" s="3">
        <v>0.18497575399999999</v>
      </c>
      <c r="P1852" s="3">
        <v>0.33030543699999998</v>
      </c>
      <c r="Q1852" s="3">
        <v>0.61564799599999998</v>
      </c>
      <c r="R1852" s="3">
        <v>1.659667497</v>
      </c>
      <c r="S1852" s="3">
        <v>5.3195459759999997</v>
      </c>
      <c r="T1852" s="3">
        <v>2.3282632030000001</v>
      </c>
      <c r="U1852" s="3">
        <v>0.699542993</v>
      </c>
      <c r="V1852" s="3">
        <v>0.29609612600000002</v>
      </c>
      <c r="W1852" s="3">
        <v>0.52803635500000001</v>
      </c>
      <c r="X1852" s="3">
        <v>11.561800509999999</v>
      </c>
      <c r="Y1852" s="3">
        <v>7.6320562049999996</v>
      </c>
      <c r="Z1852" s="3">
        <v>3.3282632030000001</v>
      </c>
      <c r="AA1852" s="3">
        <v>0.15833625300000001</v>
      </c>
      <c r="AB1852" s="3">
        <v>12.654267880000001</v>
      </c>
      <c r="AC1852" s="3">
        <v>21.895841839999999</v>
      </c>
      <c r="AD1852" s="3">
        <v>0.12519770399999999</v>
      </c>
      <c r="AE1852" s="3">
        <v>11.354025399999999</v>
      </c>
      <c r="AF1852" s="4">
        <v>42384</v>
      </c>
      <c r="AG1852" s="5">
        <f>YEAR(AF1852)</f>
        <v>2016</v>
      </c>
      <c r="AH1852" s="5" t="str">
        <f>"Q"&amp;ROUNDUP(MONTH(AF1852)/3,0)</f>
        <v>Q1</v>
      </c>
      <c r="AI1852" s="5">
        <f>INDEX(RatingLookup!$B$2:$B$11,MATCH(A1852,RatingLookup!$A$2:$A$11,0))</f>
        <v>7</v>
      </c>
      <c r="AJ1852" s="5" t="str">
        <f>INDEX(RatingLookup!$C$2:$C$11,MATCH(A1852,RatingLookup!$A$2:$A$11,0))</f>
        <v>Investment Grade</v>
      </c>
    </row>
    <row r="1853" spans="1:36" x14ac:dyDescent="0.3">
      <c r="A1853" s="3" t="s">
        <v>42</v>
      </c>
      <c r="B1853" s="3" t="s">
        <v>1927</v>
      </c>
      <c r="C1853" s="3" t="s">
        <v>1928</v>
      </c>
      <c r="D1853" s="3" t="s">
        <v>60</v>
      </c>
      <c r="E1853" s="3" t="s">
        <v>1929</v>
      </c>
      <c r="F1853" s="3" t="s">
        <v>219</v>
      </c>
      <c r="G1853" s="3">
        <v>3.394524417</v>
      </c>
      <c r="H1853" s="3">
        <v>1.7823520450000001</v>
      </c>
      <c r="I1853" s="3">
        <v>0.41135638800000002</v>
      </c>
      <c r="J1853" s="3">
        <v>48.767434039999998</v>
      </c>
      <c r="K1853" s="3">
        <v>0.107764148</v>
      </c>
      <c r="L1853" s="3">
        <v>0.15355085600000001</v>
      </c>
      <c r="M1853" s="3">
        <v>0.28674826599999997</v>
      </c>
      <c r="N1853" s="3">
        <v>0.16438380799999999</v>
      </c>
      <c r="O1853" s="3">
        <v>0.190529698</v>
      </c>
      <c r="P1853" s="3">
        <v>0.32799597200000002</v>
      </c>
      <c r="Q1853" s="3">
        <v>0.59569871100000005</v>
      </c>
      <c r="R1853" s="3">
        <v>1.768024906</v>
      </c>
      <c r="S1853" s="3">
        <v>6.2039311220000002</v>
      </c>
      <c r="T1853" s="3">
        <v>2.1265399490000001</v>
      </c>
      <c r="U1853" s="3">
        <v>0.68015761299999999</v>
      </c>
      <c r="V1853" s="3">
        <v>0.298185951</v>
      </c>
      <c r="W1853" s="3">
        <v>0.85794927600000004</v>
      </c>
      <c r="X1853" s="3">
        <v>17.460499810000002</v>
      </c>
      <c r="Y1853" s="3">
        <v>6.6489369639999998</v>
      </c>
      <c r="Z1853" s="3">
        <v>3.1265399490000001</v>
      </c>
      <c r="AA1853" s="3">
        <v>0.15355085600000001</v>
      </c>
      <c r="AB1853" s="3">
        <v>9.2373669790000008</v>
      </c>
      <c r="AC1853" s="3">
        <v>20.351436029999999</v>
      </c>
      <c r="AD1853" s="3">
        <v>0.122704941</v>
      </c>
      <c r="AE1853" s="3">
        <v>13.292586630000001</v>
      </c>
      <c r="AF1853" s="4">
        <v>41256</v>
      </c>
      <c r="AG1853" s="5">
        <f>YEAR(AF1853)</f>
        <v>2012</v>
      </c>
      <c r="AH1853" s="5" t="str">
        <f>"Q"&amp;ROUNDUP(MONTH(AF1853)/3,0)</f>
        <v>Q4</v>
      </c>
      <c r="AI1853" s="5">
        <f>INDEX(RatingLookup!$B$2:$B$11,MATCH(A1853,RatingLookup!$A$2:$A$11,0))</f>
        <v>7</v>
      </c>
      <c r="AJ1853" s="5" t="str">
        <f>INDEX(RatingLookup!$C$2:$C$11,MATCH(A1853,RatingLookup!$A$2:$A$11,0))</f>
        <v>Investment Grade</v>
      </c>
    </row>
    <row r="1854" spans="1:36" x14ac:dyDescent="0.3">
      <c r="A1854" s="3" t="s">
        <v>42</v>
      </c>
      <c r="B1854" s="3" t="s">
        <v>1927</v>
      </c>
      <c r="C1854" s="3" t="s">
        <v>1928</v>
      </c>
      <c r="D1854" s="3" t="s">
        <v>47</v>
      </c>
      <c r="E1854" s="3" t="s">
        <v>536</v>
      </c>
      <c r="F1854" s="3" t="s">
        <v>219</v>
      </c>
      <c r="G1854" s="3">
        <v>3.62386214</v>
      </c>
      <c r="H1854" s="3">
        <v>2.2153432359999998</v>
      </c>
      <c r="I1854" s="3">
        <v>0.96401253600000003</v>
      </c>
      <c r="J1854" s="3">
        <v>49.594977540000002</v>
      </c>
      <c r="K1854" s="3">
        <v>0.11609683599999999</v>
      </c>
      <c r="L1854" s="3">
        <v>0.14967450199999999</v>
      </c>
      <c r="M1854" s="3">
        <v>0.286488727</v>
      </c>
      <c r="N1854" s="3">
        <v>0.15429395900000001</v>
      </c>
      <c r="O1854" s="3">
        <v>0.199462959</v>
      </c>
      <c r="P1854" s="3">
        <v>0.31612822600000001</v>
      </c>
      <c r="Q1854" s="3">
        <v>0.46247344699999998</v>
      </c>
      <c r="R1854" s="3">
        <v>1.7180740370000001</v>
      </c>
      <c r="S1854" s="3">
        <v>8.0002350579999995</v>
      </c>
      <c r="T1854" s="3">
        <v>1.31859313</v>
      </c>
      <c r="U1854" s="3">
        <v>0.56870397500000003</v>
      </c>
      <c r="V1854" s="3">
        <v>0.289952565</v>
      </c>
      <c r="W1854" s="3">
        <v>0.78960472599999998</v>
      </c>
      <c r="X1854" s="3">
        <v>16.517988859999999</v>
      </c>
      <c r="Y1854" s="3">
        <v>17.9665061</v>
      </c>
      <c r="Z1854" s="3">
        <v>2.31859313</v>
      </c>
      <c r="AA1854" s="3">
        <v>0.14967450199999999</v>
      </c>
      <c r="AB1854" s="3">
        <v>10.938568650000001</v>
      </c>
      <c r="AC1854" s="3">
        <v>20.919313559999999</v>
      </c>
      <c r="AD1854" s="3">
        <v>0.1218819</v>
      </c>
      <c r="AE1854" s="3">
        <v>12.13028211</v>
      </c>
      <c r="AF1854" s="4">
        <v>41652</v>
      </c>
      <c r="AG1854" s="5">
        <f>YEAR(AF1854)</f>
        <v>2014</v>
      </c>
      <c r="AH1854" s="5" t="str">
        <f>"Q"&amp;ROUNDUP(MONTH(AF1854)/3,0)</f>
        <v>Q1</v>
      </c>
      <c r="AI1854" s="5">
        <f>INDEX(RatingLookup!$B$2:$B$11,MATCH(A1854,RatingLookup!$A$2:$A$11,0))</f>
        <v>7</v>
      </c>
      <c r="AJ1854" s="5" t="str">
        <f>INDEX(RatingLookup!$C$2:$C$11,MATCH(A1854,RatingLookup!$A$2:$A$11,0))</f>
        <v>Investment Grade</v>
      </c>
    </row>
    <row r="1855" spans="1:36" x14ac:dyDescent="0.3">
      <c r="A1855" s="3" t="s">
        <v>42</v>
      </c>
      <c r="B1855" s="3" t="s">
        <v>1927</v>
      </c>
      <c r="C1855" s="3" t="s">
        <v>1928</v>
      </c>
      <c r="D1855" s="3" t="s">
        <v>47</v>
      </c>
      <c r="E1855" s="3" t="s">
        <v>871</v>
      </c>
      <c r="F1855" s="3" t="s">
        <v>219</v>
      </c>
      <c r="G1855" s="3">
        <v>3.0699684989999998</v>
      </c>
      <c r="H1855" s="3">
        <v>1.5627517580000001</v>
      </c>
      <c r="I1855" s="3">
        <v>0.39666273899999999</v>
      </c>
      <c r="J1855" s="3">
        <v>47.325022850000003</v>
      </c>
      <c r="K1855" s="3">
        <v>9.9877751000000001E-2</v>
      </c>
      <c r="L1855" s="3">
        <v>0.14519922699999999</v>
      </c>
      <c r="M1855" s="3">
        <v>0.28492831000000002</v>
      </c>
      <c r="N1855" s="3">
        <v>0.155313532</v>
      </c>
      <c r="O1855" s="3">
        <v>0.18934188399999999</v>
      </c>
      <c r="P1855" s="3">
        <v>0.34877721900000003</v>
      </c>
      <c r="Q1855" s="3">
        <v>0.55399592900000005</v>
      </c>
      <c r="R1855" s="3">
        <v>1.895736348</v>
      </c>
      <c r="S1855" s="3">
        <v>7.5859565580000003</v>
      </c>
      <c r="T1855" s="3">
        <v>1.925902703</v>
      </c>
      <c r="U1855" s="3">
        <v>0.65822513500000002</v>
      </c>
      <c r="V1855" s="3">
        <v>0.312133035</v>
      </c>
      <c r="W1855" s="3">
        <v>0.74584393800000004</v>
      </c>
      <c r="X1855" s="3">
        <v>13.830163369999999</v>
      </c>
      <c r="Y1855" s="3">
        <v>8.1290348039999998</v>
      </c>
      <c r="Z1855" s="3">
        <v>2.9259027030000002</v>
      </c>
      <c r="AA1855" s="3">
        <v>0.14519922699999999</v>
      </c>
      <c r="AB1855" s="3">
        <v>14.77164477</v>
      </c>
      <c r="AC1855" s="3">
        <v>18.54297214</v>
      </c>
      <c r="AD1855" s="3">
        <v>0.10060696099999999</v>
      </c>
      <c r="AE1855" s="3">
        <v>12.12874034</v>
      </c>
      <c r="AF1855" s="4">
        <v>42012</v>
      </c>
      <c r="AG1855" s="5">
        <f>YEAR(AF1855)</f>
        <v>2015</v>
      </c>
      <c r="AH1855" s="5" t="str">
        <f>"Q"&amp;ROUNDUP(MONTH(AF1855)/3,0)</f>
        <v>Q1</v>
      </c>
      <c r="AI1855" s="5">
        <f>INDEX(RatingLookup!$B$2:$B$11,MATCH(A1855,RatingLookup!$A$2:$A$11,0))</f>
        <v>7</v>
      </c>
      <c r="AJ1855" s="5" t="str">
        <f>INDEX(RatingLookup!$C$2:$C$11,MATCH(A1855,RatingLookup!$A$2:$A$11,0))</f>
        <v>Investment Grade</v>
      </c>
    </row>
    <row r="1856" spans="1:36" x14ac:dyDescent="0.3">
      <c r="A1856" s="3" t="s">
        <v>92</v>
      </c>
      <c r="B1856" s="3" t="s">
        <v>1930</v>
      </c>
      <c r="C1856" s="3" t="s">
        <v>1931</v>
      </c>
      <c r="D1856" s="3" t="s">
        <v>47</v>
      </c>
      <c r="E1856" s="3" t="s">
        <v>1932</v>
      </c>
      <c r="F1856" s="3" t="s">
        <v>41</v>
      </c>
      <c r="G1856" s="3">
        <v>1.0801605320000001</v>
      </c>
      <c r="H1856" s="3">
        <v>8.3749699999999996E-2</v>
      </c>
      <c r="I1856" s="3">
        <v>6.3923469999999996E-3</v>
      </c>
      <c r="J1856" s="3">
        <v>5.4159692379999997</v>
      </c>
      <c r="K1856" s="3">
        <v>8.8407199999999998E-3</v>
      </c>
      <c r="L1856" s="3">
        <v>1.7133404000000001E-2</v>
      </c>
      <c r="M1856" s="3">
        <v>0.14427192799999999</v>
      </c>
      <c r="N1856" s="3">
        <v>2.6178027E-2</v>
      </c>
      <c r="O1856" s="3">
        <v>2.1291168999999999E-2</v>
      </c>
      <c r="P1856" s="3">
        <v>7.6688757999999996E-2</v>
      </c>
      <c r="Q1856" s="3">
        <v>0.102367324</v>
      </c>
      <c r="R1856" s="3">
        <v>2.408307132</v>
      </c>
      <c r="S1856" s="3">
        <v>10.283075800000001</v>
      </c>
      <c r="T1856" s="3">
        <v>3.807971014</v>
      </c>
      <c r="U1856" s="3">
        <v>0.79201205699999999</v>
      </c>
      <c r="V1856" s="3">
        <v>0.48400678499999999</v>
      </c>
      <c r="W1856" s="3">
        <v>0.147433125</v>
      </c>
      <c r="X1856" s="3">
        <v>0.89834974899999998</v>
      </c>
      <c r="Y1856" s="3">
        <v>0.56320200399999998</v>
      </c>
      <c r="Z1856" s="3">
        <v>4.8079710139999996</v>
      </c>
      <c r="AA1856" s="3">
        <v>1.7133404000000001E-2</v>
      </c>
      <c r="AB1856" s="3">
        <v>7.5554771909999996</v>
      </c>
      <c r="AC1856" s="3">
        <v>6.0932693970000003</v>
      </c>
      <c r="AD1856" s="3">
        <v>1.3265641999999999E-2</v>
      </c>
      <c r="AE1856" s="3">
        <v>32.44574446</v>
      </c>
      <c r="AF1856" s="4">
        <v>42341</v>
      </c>
      <c r="AG1856" s="5">
        <f>YEAR(AF1856)</f>
        <v>2015</v>
      </c>
      <c r="AH1856" s="5" t="str">
        <f>"Q"&amp;ROUNDUP(MONTH(AF1856)/3,0)</f>
        <v>Q4</v>
      </c>
      <c r="AI1856" s="5">
        <f>INDEX(RatingLookup!$B$2:$B$11,MATCH(A1856,RatingLookup!$A$2:$A$11,0))</f>
        <v>6</v>
      </c>
      <c r="AJ1856" s="5" t="str">
        <f>INDEX(RatingLookup!$C$2:$C$11,MATCH(A1856,RatingLookup!$A$2:$A$11,0))</f>
        <v>Speculative Grade</v>
      </c>
    </row>
    <row r="1857" spans="1:36" x14ac:dyDescent="0.3">
      <c r="A1857" s="3" t="s">
        <v>92</v>
      </c>
      <c r="B1857" s="3" t="s">
        <v>1930</v>
      </c>
      <c r="C1857" s="3" t="s">
        <v>1931</v>
      </c>
      <c r="D1857" s="3" t="s">
        <v>47</v>
      </c>
      <c r="E1857" s="3" t="s">
        <v>706</v>
      </c>
      <c r="F1857" s="3" t="s">
        <v>41</v>
      </c>
      <c r="G1857" s="3">
        <v>1.047474158</v>
      </c>
      <c r="H1857" s="3">
        <v>9.4663869999999997E-2</v>
      </c>
      <c r="I1857" s="3">
        <v>1.0224453999999999E-2</v>
      </c>
      <c r="J1857" s="3">
        <v>5.8119135770000003</v>
      </c>
      <c r="K1857" s="3">
        <v>1.3507553E-2</v>
      </c>
      <c r="L1857" s="3">
        <v>2.0883459E-2</v>
      </c>
      <c r="M1857" s="3">
        <v>0.14650310799999999</v>
      </c>
      <c r="N1857" s="3">
        <v>3.1249644E-2</v>
      </c>
      <c r="O1857" s="3">
        <v>3.2960152E-2</v>
      </c>
      <c r="P1857" s="3">
        <v>9.4392361999999994E-2</v>
      </c>
      <c r="Q1857" s="3">
        <v>0.158100409</v>
      </c>
      <c r="R1857" s="3">
        <v>2.440127452</v>
      </c>
      <c r="S1857" s="3">
        <v>9.6702872319999997</v>
      </c>
      <c r="T1857" s="3">
        <v>3.7967136099999998</v>
      </c>
      <c r="U1857" s="3">
        <v>0.79152392999999999</v>
      </c>
      <c r="V1857" s="3">
        <v>0.35319367899999998</v>
      </c>
      <c r="W1857" s="3">
        <v>0.59330088800000003</v>
      </c>
      <c r="X1857" s="3">
        <v>10.790416329999999</v>
      </c>
      <c r="Y1857" s="3">
        <v>0.99201360999999999</v>
      </c>
      <c r="Z1857" s="3">
        <v>4.7967136100000003</v>
      </c>
      <c r="AA1857" s="3">
        <v>2.0883459E-2</v>
      </c>
      <c r="AB1857" s="3">
        <v>7.4956170630000001</v>
      </c>
      <c r="AC1857" s="3">
        <v>18.187089459999999</v>
      </c>
      <c r="AD1857" s="3">
        <v>3.5348154999999999E-2</v>
      </c>
      <c r="AE1857" s="3">
        <v>26.095392010000001</v>
      </c>
      <c r="AF1857" s="4">
        <v>42664</v>
      </c>
      <c r="AG1857" s="5">
        <f>YEAR(AF1857)</f>
        <v>2016</v>
      </c>
      <c r="AH1857" s="5" t="str">
        <f>"Q"&amp;ROUNDUP(MONTH(AF1857)/3,0)</f>
        <v>Q4</v>
      </c>
      <c r="AI1857" s="5">
        <f>INDEX(RatingLookup!$B$2:$B$11,MATCH(A1857,RatingLookup!$A$2:$A$11,0))</f>
        <v>6</v>
      </c>
      <c r="AJ1857" s="5" t="str">
        <f>INDEX(RatingLookup!$C$2:$C$11,MATCH(A1857,RatingLookup!$A$2:$A$11,0))</f>
        <v>Speculative Grade</v>
      </c>
    </row>
    <row r="1858" spans="1:36" x14ac:dyDescent="0.3">
      <c r="A1858" s="3" t="s">
        <v>92</v>
      </c>
      <c r="B1858" s="3" t="s">
        <v>1930</v>
      </c>
      <c r="C1858" s="3" t="s">
        <v>1931</v>
      </c>
      <c r="D1858" s="3" t="s">
        <v>47</v>
      </c>
      <c r="E1858" s="3" t="s">
        <v>264</v>
      </c>
      <c r="F1858" s="3" t="s">
        <v>41</v>
      </c>
      <c r="G1858" s="3">
        <v>1.0550950690000001</v>
      </c>
      <c r="H1858" s="3">
        <v>8.3248444000000005E-2</v>
      </c>
      <c r="I1858" s="3">
        <v>1.0838119E-2</v>
      </c>
      <c r="J1858" s="3">
        <v>5.5273557530000001</v>
      </c>
      <c r="K1858" s="3">
        <v>1.2781404999999999E-2</v>
      </c>
      <c r="L1858" s="3">
        <v>1.0693629E-2</v>
      </c>
      <c r="M1858" s="3">
        <v>0.144927315</v>
      </c>
      <c r="N1858" s="3">
        <v>3.0646355E-2</v>
      </c>
      <c r="O1858" s="3">
        <v>2.9844915999999999E-2</v>
      </c>
      <c r="P1858" s="3">
        <v>4.8801055000000003E-2</v>
      </c>
      <c r="Q1858" s="3">
        <v>0.11011857899999999</v>
      </c>
      <c r="R1858" s="3">
        <v>2.3350261479999999</v>
      </c>
      <c r="S1858" s="3">
        <v>11.19923878</v>
      </c>
      <c r="T1858" s="3">
        <v>2.689693047</v>
      </c>
      <c r="U1858" s="3">
        <v>0.72897474500000004</v>
      </c>
      <c r="V1858" s="3">
        <v>0.81683303299999999</v>
      </c>
      <c r="W1858" s="3">
        <v>-0.963988391</v>
      </c>
      <c r="X1858" s="3">
        <v>-2.1859196399999998</v>
      </c>
      <c r="Y1858" s="3">
        <v>0.87525978500000001</v>
      </c>
      <c r="Z1858" s="3">
        <v>3.689693047</v>
      </c>
      <c r="AA1858" s="3">
        <v>1.0693629E-2</v>
      </c>
      <c r="AB1858" s="3">
        <v>6.5240212240000002</v>
      </c>
      <c r="AC1858" s="3">
        <v>2.2675788020000001</v>
      </c>
      <c r="AD1858" s="3">
        <v>5.872235E-3</v>
      </c>
      <c r="AE1858" s="3">
        <v>29.914231359999999</v>
      </c>
      <c r="AF1858" s="4">
        <v>41771</v>
      </c>
      <c r="AG1858" s="5">
        <f>YEAR(AF1858)</f>
        <v>2014</v>
      </c>
      <c r="AH1858" s="5" t="str">
        <f>"Q"&amp;ROUNDUP(MONTH(AF1858)/3,0)</f>
        <v>Q2</v>
      </c>
      <c r="AI1858" s="5">
        <f>INDEX(RatingLookup!$B$2:$B$11,MATCH(A1858,RatingLookup!$A$2:$A$11,0))</f>
        <v>6</v>
      </c>
      <c r="AJ1858" s="5" t="str">
        <f>INDEX(RatingLookup!$C$2:$C$11,MATCH(A1858,RatingLookup!$A$2:$A$11,0))</f>
        <v>Speculative Grade</v>
      </c>
    </row>
    <row r="1859" spans="1:36" x14ac:dyDescent="0.3">
      <c r="A1859" s="3" t="s">
        <v>92</v>
      </c>
      <c r="B1859" s="3" t="s">
        <v>1930</v>
      </c>
      <c r="C1859" s="3" t="s">
        <v>1931</v>
      </c>
      <c r="D1859" s="3" t="s">
        <v>47</v>
      </c>
      <c r="E1859" s="3" t="s">
        <v>97</v>
      </c>
      <c r="F1859" s="3" t="s">
        <v>41</v>
      </c>
      <c r="G1859" s="3">
        <v>1.058797242</v>
      </c>
      <c r="H1859" s="3">
        <v>0.100044272</v>
      </c>
      <c r="I1859" s="3">
        <v>2.1316732000000001E-2</v>
      </c>
      <c r="J1859" s="3">
        <v>5.5580667080000001</v>
      </c>
      <c r="K1859" s="3">
        <v>9.3585270000000002E-3</v>
      </c>
      <c r="L1859" s="3">
        <v>1.6542748999999999E-2</v>
      </c>
      <c r="M1859" s="3">
        <v>0.14569874999999999</v>
      </c>
      <c r="N1859" s="3">
        <v>3.0399816E-2</v>
      </c>
      <c r="O1859" s="3">
        <v>2.2456640999999999E-2</v>
      </c>
      <c r="P1859" s="3">
        <v>7.4077644999999998E-2</v>
      </c>
      <c r="Q1859" s="3">
        <v>9.5095141999999994E-2</v>
      </c>
      <c r="R1859" s="3">
        <v>2.3995915000000001</v>
      </c>
      <c r="S1859" s="3">
        <v>10.45666507</v>
      </c>
      <c r="T1859" s="3">
        <v>3.2346110979999998</v>
      </c>
      <c r="U1859" s="3">
        <v>0.76385080500000002</v>
      </c>
      <c r="V1859" s="3">
        <v>0.43428223799999999</v>
      </c>
      <c r="W1859" s="3">
        <v>0.241547648</v>
      </c>
      <c r="X1859" s="3">
        <v>2.0485885370000001</v>
      </c>
      <c r="Y1859" s="3">
        <v>1.7525662959999999</v>
      </c>
      <c r="Z1859" s="3">
        <v>4.2346110980000002</v>
      </c>
      <c r="AA1859" s="3">
        <v>1.6542748999999999E-2</v>
      </c>
      <c r="AB1859" s="3">
        <v>8.2250796449999992</v>
      </c>
      <c r="AC1859" s="3">
        <v>8.4810949529999995</v>
      </c>
      <c r="AD1859" s="3">
        <v>1.9952727999999999E-2</v>
      </c>
      <c r="AE1859" s="3">
        <v>29.44627844</v>
      </c>
      <c r="AF1859" s="4">
        <v>41969</v>
      </c>
      <c r="AG1859" s="5">
        <f>YEAR(AF1859)</f>
        <v>2014</v>
      </c>
      <c r="AH1859" s="5" t="str">
        <f>"Q"&amp;ROUNDUP(MONTH(AF1859)/3,0)</f>
        <v>Q4</v>
      </c>
      <c r="AI1859" s="5">
        <f>INDEX(RatingLookup!$B$2:$B$11,MATCH(A1859,RatingLookup!$A$2:$A$11,0))</f>
        <v>6</v>
      </c>
      <c r="AJ1859" s="5" t="str">
        <f>INDEX(RatingLookup!$C$2:$C$11,MATCH(A1859,RatingLookup!$A$2:$A$11,0))</f>
        <v>Speculative Grade</v>
      </c>
    </row>
    <row r="1860" spans="1:36" x14ac:dyDescent="0.3">
      <c r="A1860" s="3" t="s">
        <v>92</v>
      </c>
      <c r="B1860" s="3" t="s">
        <v>1933</v>
      </c>
      <c r="C1860" s="3" t="s">
        <v>1934</v>
      </c>
      <c r="D1860" s="3" t="s">
        <v>47</v>
      </c>
      <c r="E1860" s="3" t="s">
        <v>1605</v>
      </c>
      <c r="F1860" s="3" t="s">
        <v>96</v>
      </c>
      <c r="G1860" s="3">
        <v>1.891549345</v>
      </c>
      <c r="H1860" s="3">
        <v>2.4786480819999999</v>
      </c>
      <c r="I1860" s="3">
        <v>0.42526341200000001</v>
      </c>
      <c r="J1860" s="3">
        <v>81.546631840000003</v>
      </c>
      <c r="K1860" s="3">
        <v>-6.6581826999999996E-2</v>
      </c>
      <c r="L1860" s="3">
        <v>-5.1037526999999999E-2</v>
      </c>
      <c r="M1860" s="3">
        <v>0.93083897299999996</v>
      </c>
      <c r="N1860" s="3">
        <v>4.0620794000000002E-2</v>
      </c>
      <c r="O1860" s="3">
        <v>-2.8637236E-2</v>
      </c>
      <c r="P1860" s="3">
        <v>-2.4866347E-2</v>
      </c>
      <c r="Q1860" s="3">
        <v>-0.17167912599999999</v>
      </c>
      <c r="R1860" s="3">
        <v>0.43010588500000002</v>
      </c>
      <c r="S1860" s="3">
        <v>2.4957797899999998</v>
      </c>
      <c r="T1860" s="3">
        <v>4.9949614990000004</v>
      </c>
      <c r="U1860" s="3">
        <v>0.83319325700000002</v>
      </c>
      <c r="V1860" s="3">
        <v>-0.30456609600000001</v>
      </c>
      <c r="W1860" s="3">
        <v>0.71434768699999995</v>
      </c>
      <c r="X1860" s="3">
        <v>1.2440035110000001</v>
      </c>
      <c r="Y1860" s="3">
        <v>4.7244114609999999</v>
      </c>
      <c r="Z1860" s="3">
        <v>5.9949614990000004</v>
      </c>
      <c r="AA1860" s="3">
        <v>-5.1037526999999999E-2</v>
      </c>
      <c r="AB1860" s="3">
        <v>10.222940149999999</v>
      </c>
      <c r="AC1860" s="3">
        <v>1.741453822</v>
      </c>
      <c r="AD1860" s="3">
        <v>0.16664859300000001</v>
      </c>
      <c r="AE1860" s="3">
        <v>0.80439459899999999</v>
      </c>
      <c r="AF1860" s="4">
        <v>41305</v>
      </c>
      <c r="AG1860" s="5">
        <f>YEAR(AF1860)</f>
        <v>2013</v>
      </c>
      <c r="AH1860" s="5" t="str">
        <f>"Q"&amp;ROUNDUP(MONTH(AF1860)/3,0)</f>
        <v>Q1</v>
      </c>
      <c r="AI1860" s="5">
        <f>INDEX(RatingLookup!$B$2:$B$11,MATCH(A1860,RatingLookup!$A$2:$A$11,0))</f>
        <v>6</v>
      </c>
      <c r="AJ1860" s="5" t="str">
        <f>INDEX(RatingLookup!$C$2:$C$11,MATCH(A1860,RatingLookup!$A$2:$A$11,0))</f>
        <v>Speculative Grade</v>
      </c>
    </row>
    <row r="1861" spans="1:36" x14ac:dyDescent="0.3">
      <c r="A1861" s="3" t="s">
        <v>116</v>
      </c>
      <c r="B1861" s="3" t="s">
        <v>1933</v>
      </c>
      <c r="C1861" s="3" t="s">
        <v>1934</v>
      </c>
      <c r="D1861" s="3" t="s">
        <v>60</v>
      </c>
      <c r="E1861" s="3" t="s">
        <v>618</v>
      </c>
      <c r="F1861" s="3" t="s">
        <v>96</v>
      </c>
      <c r="G1861" s="3">
        <v>2.0869301830000002</v>
      </c>
      <c r="H1861" s="3">
        <v>1.405724671</v>
      </c>
      <c r="I1861" s="3">
        <v>0.26018476499999998</v>
      </c>
      <c r="J1861" s="3">
        <v>95.704209579999997</v>
      </c>
      <c r="K1861" s="3">
        <v>-0.13115763499999999</v>
      </c>
      <c r="L1861" s="3">
        <v>-0.27703761799999999</v>
      </c>
      <c r="M1861" s="3">
        <v>0.846450963</v>
      </c>
      <c r="N1861" s="3">
        <v>-9.6674877000000006E-2</v>
      </c>
      <c r="O1861" s="3">
        <v>-2.3441251999999999E-2</v>
      </c>
      <c r="P1861" s="3">
        <v>-5.3016101000000003E-2</v>
      </c>
      <c r="Q1861" s="3">
        <v>-60.07692308</v>
      </c>
      <c r="R1861" s="3">
        <v>0.178725788</v>
      </c>
      <c r="S1861" s="3">
        <v>1.763823065</v>
      </c>
      <c r="T1861" s="3">
        <v>2561.871795</v>
      </c>
      <c r="U1861" s="3">
        <v>0.99960981299999996</v>
      </c>
      <c r="V1861" s="3">
        <v>0.526571024</v>
      </c>
      <c r="W1861" s="3">
        <v>3.3906633999999998E-2</v>
      </c>
      <c r="X1861" s="3">
        <v>8.1560283999999997E-2</v>
      </c>
      <c r="Y1861" s="3">
        <v>5.4349881800000004</v>
      </c>
      <c r="Z1861" s="3">
        <v>2562.871795</v>
      </c>
      <c r="AA1861" s="3">
        <v>-0.27703761799999999</v>
      </c>
      <c r="AB1861" s="3">
        <v>33.17942472</v>
      </c>
      <c r="AC1861" s="3">
        <v>2.4054373519999999</v>
      </c>
      <c r="AD1861" s="3">
        <v>0.11391625599999999</v>
      </c>
      <c r="AE1861" s="3">
        <v>1.760590501</v>
      </c>
      <c r="AF1861" s="4">
        <v>41968</v>
      </c>
      <c r="AG1861" s="5">
        <f>YEAR(AF1861)</f>
        <v>2014</v>
      </c>
      <c r="AH1861" s="5" t="str">
        <f>"Q"&amp;ROUNDUP(MONTH(AF1861)/3,0)</f>
        <v>Q4</v>
      </c>
      <c r="AI1861" s="5">
        <f>INDEX(RatingLookup!$B$2:$B$11,MATCH(A1861,RatingLookup!$A$2:$A$11,0))</f>
        <v>4</v>
      </c>
      <c r="AJ1861" s="5" t="str">
        <f>INDEX(RatingLookup!$C$2:$C$11,MATCH(A1861,RatingLookup!$A$2:$A$11,0))</f>
        <v>Speculative Grade</v>
      </c>
    </row>
    <row r="1862" spans="1:36" x14ac:dyDescent="0.3">
      <c r="A1862" s="3" t="s">
        <v>109</v>
      </c>
      <c r="B1862" s="3" t="s">
        <v>1933</v>
      </c>
      <c r="C1862" s="3" t="s">
        <v>1934</v>
      </c>
      <c r="D1862" s="3" t="s">
        <v>60</v>
      </c>
      <c r="E1862" s="3" t="s">
        <v>46</v>
      </c>
      <c r="F1862" s="3" t="s">
        <v>96</v>
      </c>
      <c r="G1862" s="3">
        <v>1.725480106</v>
      </c>
      <c r="H1862" s="3">
        <v>2.6461745460000001</v>
      </c>
      <c r="I1862" s="3">
        <v>0.44036054899999999</v>
      </c>
      <c r="J1862" s="3">
        <v>75.792406470000003</v>
      </c>
      <c r="K1862" s="3">
        <v>-1.4304865E-2</v>
      </c>
      <c r="L1862" s="3">
        <v>3.88405E-3</v>
      </c>
      <c r="M1862" s="3">
        <v>0.95636845299999995</v>
      </c>
      <c r="N1862" s="3">
        <v>9.5389667999999997E-2</v>
      </c>
      <c r="O1862" s="3">
        <v>-5.8143270000000002E-3</v>
      </c>
      <c r="P1862" s="3">
        <v>1.773155E-3</v>
      </c>
      <c r="Q1862" s="3">
        <v>-2.8329059E-2</v>
      </c>
      <c r="R1862" s="3">
        <v>0.40645801999999998</v>
      </c>
      <c r="S1862" s="3">
        <v>2.0603674660000002</v>
      </c>
      <c r="T1862" s="3">
        <v>3.8722848499999998</v>
      </c>
      <c r="U1862" s="3">
        <v>0.79475748400000001</v>
      </c>
      <c r="V1862" s="3">
        <v>4.6829768530000004</v>
      </c>
      <c r="W1862" s="3">
        <v>0.745969675</v>
      </c>
      <c r="X1862" s="3">
        <v>1.386138506</v>
      </c>
      <c r="Y1862" s="3">
        <v>4.832254421</v>
      </c>
      <c r="Z1862" s="3">
        <v>4.8722848499999998</v>
      </c>
      <c r="AA1862" s="3">
        <v>3.88405E-3</v>
      </c>
      <c r="AB1862" s="3">
        <v>11.4938614</v>
      </c>
      <c r="AC1862" s="3">
        <v>1.8581700480000001</v>
      </c>
      <c r="AD1862" s="3">
        <v>0.19468956100000001</v>
      </c>
      <c r="AE1862" s="3">
        <v>0.57897041699999996</v>
      </c>
      <c r="AF1862" s="4">
        <v>41075</v>
      </c>
      <c r="AG1862" s="5">
        <f>YEAR(AF1862)</f>
        <v>2012</v>
      </c>
      <c r="AH1862" s="5" t="str">
        <f>"Q"&amp;ROUNDUP(MONTH(AF1862)/3,0)</f>
        <v>Q2</v>
      </c>
      <c r="AI1862" s="5">
        <f>INDEX(RatingLookup!$B$2:$B$11,MATCH(A1862,RatingLookup!$A$2:$A$11,0))</f>
        <v>5</v>
      </c>
      <c r="AJ1862" s="5" t="str">
        <f>INDEX(RatingLookup!$C$2:$C$11,MATCH(A1862,RatingLookup!$A$2:$A$11,0))</f>
        <v>Speculative Grade</v>
      </c>
    </row>
    <row r="1863" spans="1:36" x14ac:dyDescent="0.3">
      <c r="A1863" s="3" t="s">
        <v>109</v>
      </c>
      <c r="B1863" s="3" t="s">
        <v>1933</v>
      </c>
      <c r="C1863" s="3" t="s">
        <v>1934</v>
      </c>
      <c r="D1863" s="3" t="s">
        <v>47</v>
      </c>
      <c r="E1863" s="3" t="s">
        <v>561</v>
      </c>
      <c r="F1863" s="3" t="s">
        <v>96</v>
      </c>
      <c r="G1863" s="3">
        <v>2.103478451</v>
      </c>
      <c r="H1863" s="3">
        <v>1.8960840080000001</v>
      </c>
      <c r="I1863" s="3">
        <v>0.33625027299999999</v>
      </c>
      <c r="J1863" s="3">
        <v>115.7667981</v>
      </c>
      <c r="K1863" s="3">
        <v>-2.7683564000000001E-2</v>
      </c>
      <c r="L1863" s="3">
        <v>-0.131359428</v>
      </c>
      <c r="M1863" s="3">
        <v>0.90512420900000001</v>
      </c>
      <c r="N1863" s="3">
        <v>-1.6775140000000001E-2</v>
      </c>
      <c r="O1863" s="3">
        <v>-7.1194509999999997E-3</v>
      </c>
      <c r="P1863" s="3">
        <v>-3.7861974E-2</v>
      </c>
      <c r="Q1863" s="3">
        <v>-8.0533332999999999E-2</v>
      </c>
      <c r="R1863" s="3">
        <v>0.257172493</v>
      </c>
      <c r="S1863" s="3">
        <v>1.4119855029999999</v>
      </c>
      <c r="T1863" s="3">
        <v>10.311733329999999</v>
      </c>
      <c r="U1863" s="3">
        <v>0.91159621899999999</v>
      </c>
      <c r="V1863" s="3">
        <v>0.82135380300000005</v>
      </c>
      <c r="W1863" s="3">
        <v>0.20327102799999999</v>
      </c>
      <c r="X1863" s="3">
        <v>0.40941176499999998</v>
      </c>
      <c r="Y1863" s="3">
        <v>6.1258823529999997</v>
      </c>
      <c r="Z1863" s="3">
        <v>11.311733329999999</v>
      </c>
      <c r="AA1863" s="3">
        <v>-0.131359428</v>
      </c>
      <c r="AB1863" s="3">
        <v>23.038711419999998</v>
      </c>
      <c r="AC1863" s="3">
        <v>2.014117647</v>
      </c>
      <c r="AD1863" s="3">
        <v>0.15693464100000001</v>
      </c>
      <c r="AE1863" s="3">
        <v>0.73456352000000003</v>
      </c>
      <c r="AF1863" s="4">
        <v>41590</v>
      </c>
      <c r="AG1863" s="5">
        <f>YEAR(AF1863)</f>
        <v>2013</v>
      </c>
      <c r="AH1863" s="5" t="str">
        <f>"Q"&amp;ROUNDUP(MONTH(AF1863)/3,0)</f>
        <v>Q4</v>
      </c>
      <c r="AI1863" s="5">
        <f>INDEX(RatingLookup!$B$2:$B$11,MATCH(A1863,RatingLookup!$A$2:$A$11,0))</f>
        <v>5</v>
      </c>
      <c r="AJ1863" s="5" t="str">
        <f>INDEX(RatingLookup!$C$2:$C$11,MATCH(A1863,RatingLookup!$A$2:$A$11,0))</f>
        <v>Speculative Grade</v>
      </c>
    </row>
    <row r="1864" spans="1:36" x14ac:dyDescent="0.3">
      <c r="A1864" s="3" t="s">
        <v>109</v>
      </c>
      <c r="B1864" s="3" t="s">
        <v>1935</v>
      </c>
      <c r="C1864" s="3" t="s">
        <v>1936</v>
      </c>
      <c r="D1864" s="3" t="s">
        <v>47</v>
      </c>
      <c r="E1864" s="3" t="s">
        <v>1298</v>
      </c>
      <c r="F1864" s="3" t="s">
        <v>174</v>
      </c>
      <c r="G1864" s="3">
        <v>1.6060977910000001</v>
      </c>
      <c r="H1864" s="3">
        <v>1.185954314</v>
      </c>
      <c r="I1864" s="3">
        <v>2.0451829999999999E-3</v>
      </c>
      <c r="J1864" s="3">
        <v>57.964897399999998</v>
      </c>
      <c r="K1864" s="3">
        <v>-1.154752E-2</v>
      </c>
      <c r="L1864" s="3">
        <v>-2.9084049000000001E-2</v>
      </c>
      <c r="M1864" s="3">
        <v>1</v>
      </c>
      <c r="N1864" s="3">
        <v>0.145749449</v>
      </c>
      <c r="O1864" s="3">
        <v>-4.7573260000000001E-3</v>
      </c>
      <c r="P1864" s="3">
        <v>-1.2682877E-2</v>
      </c>
      <c r="Q1864" s="3">
        <v>-1.3558986E-2</v>
      </c>
      <c r="R1864" s="3">
        <v>0.41197816799999998</v>
      </c>
      <c r="S1864" s="3">
        <v>2.395014556</v>
      </c>
      <c r="T1864" s="3">
        <v>1.850127611</v>
      </c>
      <c r="U1864" s="3">
        <v>0.64913851700000003</v>
      </c>
      <c r="V1864" s="3">
        <v>0.60832970500000005</v>
      </c>
      <c r="W1864" s="3">
        <v>0.62975465500000005</v>
      </c>
      <c r="X1864" s="3">
        <v>7.2563700000000001E-4</v>
      </c>
      <c r="Y1864" s="3">
        <v>2.61E-6</v>
      </c>
      <c r="Z1864" s="3">
        <v>2.850127611</v>
      </c>
      <c r="AA1864" s="3">
        <v>-2.9084049000000001E-2</v>
      </c>
      <c r="AB1864" s="3">
        <v>4250.0579390000003</v>
      </c>
      <c r="AC1864" s="3">
        <v>1.1522539999999999E-3</v>
      </c>
      <c r="AD1864" s="3">
        <v>0.121278499</v>
      </c>
      <c r="AE1864" s="3">
        <v>0</v>
      </c>
      <c r="AF1864" s="4">
        <v>41507</v>
      </c>
      <c r="AG1864" s="5">
        <f>YEAR(AF1864)</f>
        <v>2013</v>
      </c>
      <c r="AH1864" s="5" t="str">
        <f>"Q"&amp;ROUNDUP(MONTH(AF1864)/3,0)</f>
        <v>Q3</v>
      </c>
      <c r="AI1864" s="5">
        <f>INDEX(RatingLookup!$B$2:$B$11,MATCH(A1864,RatingLookup!$A$2:$A$11,0))</f>
        <v>5</v>
      </c>
      <c r="AJ1864" s="5" t="str">
        <f>INDEX(RatingLookup!$C$2:$C$11,MATCH(A1864,RatingLookup!$A$2:$A$11,0))</f>
        <v>Speculative Grade</v>
      </c>
    </row>
    <row r="1865" spans="1:36" x14ac:dyDescent="0.3">
      <c r="A1865" s="3" t="s">
        <v>109</v>
      </c>
      <c r="B1865" s="3" t="s">
        <v>1935</v>
      </c>
      <c r="C1865" s="3" t="s">
        <v>1936</v>
      </c>
      <c r="D1865" s="3" t="s">
        <v>47</v>
      </c>
      <c r="E1865" s="3" t="s">
        <v>361</v>
      </c>
      <c r="F1865" s="3" t="s">
        <v>174</v>
      </c>
      <c r="G1865" s="3">
        <v>1.418216658</v>
      </c>
      <c r="H1865" s="3">
        <v>0.95528870700000001</v>
      </c>
      <c r="I1865" s="3">
        <v>3.3214099999999999E-3</v>
      </c>
      <c r="J1865" s="3">
        <v>49.576590930000002</v>
      </c>
      <c r="K1865" s="3">
        <v>3.2345317999999998E-2</v>
      </c>
      <c r="L1865" s="3">
        <v>4.9011923999999998E-2</v>
      </c>
      <c r="M1865" s="3">
        <v>1</v>
      </c>
      <c r="N1865" s="3">
        <v>0.10235454099999999</v>
      </c>
      <c r="O1865" s="3">
        <v>1.5032155E-2</v>
      </c>
      <c r="P1865" s="3">
        <v>2.4395422E-2</v>
      </c>
      <c r="Q1865" s="3">
        <v>4.1492476E-2</v>
      </c>
      <c r="R1865" s="3">
        <v>0.46473974499999998</v>
      </c>
      <c r="S1865" s="3">
        <v>2.6687518240000001</v>
      </c>
      <c r="T1865" s="3">
        <v>1.760248029</v>
      </c>
      <c r="U1865" s="3">
        <v>0.63771371600000004</v>
      </c>
      <c r="V1865" s="3">
        <v>0.34005206399999999</v>
      </c>
      <c r="W1865" s="3">
        <v>1</v>
      </c>
      <c r="X1865" s="3">
        <v>1.5140900000000001E-3</v>
      </c>
      <c r="Y1865" s="3">
        <v>5.0599999999999998E-6</v>
      </c>
      <c r="Z1865" s="3">
        <v>2.760248029</v>
      </c>
      <c r="AA1865" s="3">
        <v>4.9011923999999998E-2</v>
      </c>
      <c r="AB1865" s="3">
        <v>3689.9096399999999</v>
      </c>
      <c r="AC1865" s="3">
        <v>1.5140900000000001E-3</v>
      </c>
      <c r="AD1865" s="3">
        <v>0.141680732</v>
      </c>
      <c r="AE1865" s="3">
        <v>0</v>
      </c>
      <c r="AF1865" s="4">
        <v>42597</v>
      </c>
      <c r="AG1865" s="5">
        <f>YEAR(AF1865)</f>
        <v>2016</v>
      </c>
      <c r="AH1865" s="5" t="str">
        <f>"Q"&amp;ROUNDUP(MONTH(AF1865)/3,0)</f>
        <v>Q3</v>
      </c>
      <c r="AI1865" s="5">
        <f>INDEX(RatingLookup!$B$2:$B$11,MATCH(A1865,RatingLookup!$A$2:$A$11,0))</f>
        <v>5</v>
      </c>
      <c r="AJ1865" s="5" t="str">
        <f>INDEX(RatingLookup!$C$2:$C$11,MATCH(A1865,RatingLookup!$A$2:$A$11,0))</f>
        <v>Speculative Grade</v>
      </c>
    </row>
    <row r="1866" spans="1:36" x14ac:dyDescent="0.3">
      <c r="A1866" s="3" t="s">
        <v>109</v>
      </c>
      <c r="B1866" s="3" t="s">
        <v>1935</v>
      </c>
      <c r="C1866" s="3" t="s">
        <v>1936</v>
      </c>
      <c r="D1866" s="3" t="s">
        <v>47</v>
      </c>
      <c r="E1866" s="3" t="s">
        <v>599</v>
      </c>
      <c r="F1866" s="3" t="s">
        <v>174</v>
      </c>
      <c r="G1866" s="3">
        <v>1.3676729560000001</v>
      </c>
      <c r="H1866" s="3">
        <v>0.87582389900000002</v>
      </c>
      <c r="I1866" s="3">
        <v>8.3018899999999995E-4</v>
      </c>
      <c r="J1866" s="3">
        <v>47.629832370000003</v>
      </c>
      <c r="K1866" s="3">
        <v>2.0541315000000001E-2</v>
      </c>
      <c r="L1866" s="3">
        <v>3.8418824999999997E-2</v>
      </c>
      <c r="M1866" s="3">
        <v>1</v>
      </c>
      <c r="N1866" s="3">
        <v>0.107362608</v>
      </c>
      <c r="O1866" s="3">
        <v>9.3885199999999992E-3</v>
      </c>
      <c r="P1866" s="3">
        <v>1.8844000999999999E-2</v>
      </c>
      <c r="Q1866" s="3">
        <v>2.6839024999999999E-2</v>
      </c>
      <c r="R1866" s="3">
        <v>0.457055451</v>
      </c>
      <c r="S1866" s="3">
        <v>2.6861237359999999</v>
      </c>
      <c r="T1866" s="3">
        <v>1.8587066290000001</v>
      </c>
      <c r="U1866" s="3">
        <v>0.65019145700000003</v>
      </c>
      <c r="V1866" s="3">
        <v>0.46533203099999998</v>
      </c>
      <c r="W1866" s="3">
        <v>1</v>
      </c>
      <c r="X1866" s="3">
        <v>1.6547070000000001E-3</v>
      </c>
      <c r="Y1866" s="3">
        <v>1.3E-6</v>
      </c>
      <c r="Z1866" s="3">
        <v>2.8587066289999998</v>
      </c>
      <c r="AA1866" s="3">
        <v>3.8418824999999997E-2</v>
      </c>
      <c r="AB1866" s="3">
        <v>3722.7741350000001</v>
      </c>
      <c r="AC1866" s="3">
        <v>1.6547070000000001E-3</v>
      </c>
      <c r="AD1866" s="3">
        <v>0.157295825</v>
      </c>
      <c r="AE1866" s="3">
        <v>0</v>
      </c>
      <c r="AF1866" s="4">
        <v>41856</v>
      </c>
      <c r="AG1866" s="5">
        <f>YEAR(AF1866)</f>
        <v>2014</v>
      </c>
      <c r="AH1866" s="5" t="str">
        <f>"Q"&amp;ROUNDUP(MONTH(AF1866)/3,0)</f>
        <v>Q3</v>
      </c>
      <c r="AI1866" s="5">
        <f>INDEX(RatingLookup!$B$2:$B$11,MATCH(A1866,RatingLookup!$A$2:$A$11,0))</f>
        <v>5</v>
      </c>
      <c r="AJ1866" s="5" t="str">
        <f>INDEX(RatingLookup!$C$2:$C$11,MATCH(A1866,RatingLookup!$A$2:$A$11,0))</f>
        <v>Speculative Grade</v>
      </c>
    </row>
    <row r="1867" spans="1:36" x14ac:dyDescent="0.3">
      <c r="A1867" s="3" t="s">
        <v>109</v>
      </c>
      <c r="B1867" s="3" t="s">
        <v>1935</v>
      </c>
      <c r="C1867" s="3" t="s">
        <v>1936</v>
      </c>
      <c r="D1867" s="3" t="s">
        <v>47</v>
      </c>
      <c r="E1867" s="3" t="s">
        <v>283</v>
      </c>
      <c r="F1867" s="3" t="s">
        <v>174</v>
      </c>
      <c r="G1867" s="3">
        <v>0.93479515300000005</v>
      </c>
      <c r="H1867" s="3">
        <v>0.68531036199999995</v>
      </c>
      <c r="I1867" s="3">
        <v>7.8311760000000005E-3</v>
      </c>
      <c r="J1867" s="3">
        <v>52.356498629999997</v>
      </c>
      <c r="K1867" s="3">
        <v>1.9321141999999999E-2</v>
      </c>
      <c r="L1867" s="3">
        <v>2.0403266E-2</v>
      </c>
      <c r="M1867" s="3">
        <v>1</v>
      </c>
      <c r="N1867" s="3">
        <v>0.13304011299999999</v>
      </c>
      <c r="O1867" s="3">
        <v>7.9180729999999994E-3</v>
      </c>
      <c r="P1867" s="3">
        <v>9.1560070000000007E-3</v>
      </c>
      <c r="Q1867" s="3">
        <v>2.1487948E-2</v>
      </c>
      <c r="R1867" s="3">
        <v>0.40981390400000001</v>
      </c>
      <c r="S1867" s="3">
        <v>2.3040706969999998</v>
      </c>
      <c r="T1867" s="3">
        <v>1.7137851879999999</v>
      </c>
      <c r="U1867" s="3">
        <v>0.63151099600000005</v>
      </c>
      <c r="V1867" s="3">
        <v>3.2720274000000001E-2</v>
      </c>
      <c r="W1867" s="3">
        <v>0.72287594399999999</v>
      </c>
      <c r="X1867" s="3">
        <v>9.0733000000000003E-4</v>
      </c>
      <c r="Y1867" s="3">
        <v>1.5500000000000001E-5</v>
      </c>
      <c r="Z1867" s="3">
        <v>2.7137851880000001</v>
      </c>
      <c r="AA1867" s="3">
        <v>2.0403266E-2</v>
      </c>
      <c r="AB1867" s="3">
        <v>3151.4848229999998</v>
      </c>
      <c r="AC1867" s="3">
        <v>1.255167E-3</v>
      </c>
      <c r="AD1867" s="3">
        <v>0.13460657400000001</v>
      </c>
      <c r="AE1867" s="3">
        <v>0</v>
      </c>
      <c r="AF1867" s="4">
        <v>41337</v>
      </c>
      <c r="AG1867" s="5">
        <f>YEAR(AF1867)</f>
        <v>2013</v>
      </c>
      <c r="AH1867" s="5" t="str">
        <f>"Q"&amp;ROUNDUP(MONTH(AF1867)/3,0)</f>
        <v>Q1</v>
      </c>
      <c r="AI1867" s="5">
        <f>INDEX(RatingLookup!$B$2:$B$11,MATCH(A1867,RatingLookup!$A$2:$A$11,0))</f>
        <v>5</v>
      </c>
      <c r="AJ1867" s="5" t="str">
        <f>INDEX(RatingLookup!$C$2:$C$11,MATCH(A1867,RatingLookup!$A$2:$A$11,0))</f>
        <v>Speculative Grade</v>
      </c>
    </row>
    <row r="1868" spans="1:36" x14ac:dyDescent="0.3">
      <c r="A1868" s="3" t="s">
        <v>109</v>
      </c>
      <c r="B1868" s="3" t="s">
        <v>1935</v>
      </c>
      <c r="C1868" s="3" t="s">
        <v>1936</v>
      </c>
      <c r="D1868" s="3" t="s">
        <v>47</v>
      </c>
      <c r="E1868" s="3" t="s">
        <v>812</v>
      </c>
      <c r="F1868" s="3" t="s">
        <v>174</v>
      </c>
      <c r="G1868" s="3">
        <v>1.301117882</v>
      </c>
      <c r="H1868" s="3">
        <v>0.82757593799999996</v>
      </c>
      <c r="I1868" s="3">
        <v>2.244926E-3</v>
      </c>
      <c r="J1868" s="3">
        <v>49.477908999999997</v>
      </c>
      <c r="K1868" s="3">
        <v>4.1950885E-2</v>
      </c>
      <c r="L1868" s="3">
        <v>6.7140228999999996E-2</v>
      </c>
      <c r="M1868" s="3">
        <v>1</v>
      </c>
      <c r="N1868" s="3">
        <v>0.124242344</v>
      </c>
      <c r="O1868" s="3">
        <v>1.8664993000000001E-2</v>
      </c>
      <c r="P1868" s="3">
        <v>3.2227420999999999E-2</v>
      </c>
      <c r="Q1868" s="3">
        <v>5.3140534000000003E-2</v>
      </c>
      <c r="R1868" s="3">
        <v>0.44492488000000002</v>
      </c>
      <c r="S1868" s="3">
        <v>2.5197140770000002</v>
      </c>
      <c r="T1868" s="3">
        <v>1.8470696449999999</v>
      </c>
      <c r="U1868" s="3">
        <v>0.64876166599999996</v>
      </c>
      <c r="V1868" s="3">
        <v>0.375175119</v>
      </c>
      <c r="W1868" s="3">
        <v>1</v>
      </c>
      <c r="X1868" s="3">
        <v>1.4209450000000001E-3</v>
      </c>
      <c r="Y1868" s="3">
        <v>3.8500000000000004E-6</v>
      </c>
      <c r="Z1868" s="3">
        <v>2.8470696449999999</v>
      </c>
      <c r="AA1868" s="3">
        <v>6.7140228999999996E-2</v>
      </c>
      <c r="AB1868" s="3">
        <v>1930.0462239999999</v>
      </c>
      <c r="AC1868" s="3">
        <v>1.4209450000000001E-3</v>
      </c>
      <c r="AD1868" s="3">
        <v>0.13593591899999999</v>
      </c>
      <c r="AE1868" s="3">
        <v>0</v>
      </c>
      <c r="AF1868" s="4">
        <v>42408</v>
      </c>
      <c r="AG1868" s="5">
        <f>YEAR(AF1868)</f>
        <v>2016</v>
      </c>
      <c r="AH1868" s="5" t="str">
        <f>"Q"&amp;ROUNDUP(MONTH(AF1868)/3,0)</f>
        <v>Q1</v>
      </c>
      <c r="AI1868" s="5">
        <f>INDEX(RatingLookup!$B$2:$B$11,MATCH(A1868,RatingLookup!$A$2:$A$11,0))</f>
        <v>5</v>
      </c>
      <c r="AJ1868" s="5" t="str">
        <f>INDEX(RatingLookup!$C$2:$C$11,MATCH(A1868,RatingLookup!$A$2:$A$11,0))</f>
        <v>Speculative Grade</v>
      </c>
    </row>
    <row r="1869" spans="1:36" x14ac:dyDescent="0.3">
      <c r="A1869" s="3" t="s">
        <v>109</v>
      </c>
      <c r="B1869" s="3" t="s">
        <v>1937</v>
      </c>
      <c r="C1869" s="3" t="s">
        <v>1938</v>
      </c>
      <c r="D1869" s="3" t="s">
        <v>47</v>
      </c>
      <c r="E1869" s="3" t="s">
        <v>200</v>
      </c>
      <c r="F1869" s="3" t="s">
        <v>219</v>
      </c>
      <c r="G1869" s="3">
        <v>83.064795020000005</v>
      </c>
      <c r="H1869" s="3">
        <v>13.73886358</v>
      </c>
      <c r="I1869" s="3">
        <v>12.21732703</v>
      </c>
      <c r="J1869" s="3">
        <v>7.6438236140000004</v>
      </c>
      <c r="K1869" s="3">
        <v>5.0884620999999998E-2</v>
      </c>
      <c r="L1869" s="3">
        <v>0.10611420000000001</v>
      </c>
      <c r="M1869" s="3">
        <v>0.22924094</v>
      </c>
      <c r="N1869" s="3">
        <v>0.114854079</v>
      </c>
      <c r="O1869" s="3">
        <v>1.8756923000000002E-2</v>
      </c>
      <c r="P1869" s="3">
        <v>3.9557410000000001E-2</v>
      </c>
      <c r="Q1869" s="3">
        <v>8.8266321999999994E-2</v>
      </c>
      <c r="R1869" s="3">
        <v>0.36861674999999999</v>
      </c>
      <c r="S1869" s="3">
        <v>45.808750230000001</v>
      </c>
      <c r="T1869" s="3">
        <v>0.66681072699999999</v>
      </c>
      <c r="U1869" s="3">
        <v>0.141699773</v>
      </c>
      <c r="V1869" s="3">
        <v>0</v>
      </c>
      <c r="W1869" s="3">
        <v>1</v>
      </c>
      <c r="X1869" s="3">
        <v>0.26414975600000001</v>
      </c>
      <c r="Y1869" s="3">
        <v>-2.522774327</v>
      </c>
      <c r="Z1869" s="3">
        <v>4.705799549</v>
      </c>
      <c r="AA1869" s="3">
        <v>0.10611420000000001</v>
      </c>
      <c r="AB1869" s="3">
        <v>-4.7202749559999999</v>
      </c>
      <c r="AC1869" s="3">
        <v>0.26414975600000001</v>
      </c>
      <c r="AD1869" s="3">
        <v>-4.1406713999999997E-2</v>
      </c>
      <c r="AE1869" s="3">
        <v>2.2920144439999999</v>
      </c>
      <c r="AF1869" s="4">
        <v>42606</v>
      </c>
      <c r="AG1869" s="5">
        <f>YEAR(AF1869)</f>
        <v>2016</v>
      </c>
      <c r="AH1869" s="5" t="str">
        <f>"Q"&amp;ROUNDUP(MONTH(AF1869)/3,0)</f>
        <v>Q3</v>
      </c>
      <c r="AI1869" s="5">
        <f>INDEX(RatingLookup!$B$2:$B$11,MATCH(A1869,RatingLookup!$A$2:$A$11,0))</f>
        <v>5</v>
      </c>
      <c r="AJ1869" s="5" t="str">
        <f>INDEX(RatingLookup!$C$2:$C$11,MATCH(A1869,RatingLookup!$A$2:$A$11,0))</f>
        <v>Speculative Grade</v>
      </c>
    </row>
    <row r="1870" spans="1:36" x14ac:dyDescent="0.3">
      <c r="A1870" s="3" t="s">
        <v>109</v>
      </c>
      <c r="B1870" s="3" t="s">
        <v>1937</v>
      </c>
      <c r="C1870" s="3" t="s">
        <v>1938</v>
      </c>
      <c r="D1870" s="3" t="s">
        <v>47</v>
      </c>
      <c r="E1870" s="3" t="s">
        <v>319</v>
      </c>
      <c r="F1870" s="3" t="s">
        <v>219</v>
      </c>
      <c r="G1870" s="3">
        <v>1.927913725</v>
      </c>
      <c r="H1870" s="3">
        <v>0.10169307800000001</v>
      </c>
      <c r="I1870" s="3">
        <v>8.8215407999999995E-2</v>
      </c>
      <c r="J1870" s="3">
        <v>6.1338814929999996</v>
      </c>
      <c r="K1870" s="3">
        <v>5.2727902E-2</v>
      </c>
      <c r="L1870" s="3">
        <v>8.5951816E-2</v>
      </c>
      <c r="M1870" s="3">
        <v>0.263295644</v>
      </c>
      <c r="N1870" s="3">
        <v>0.105517522</v>
      </c>
      <c r="O1870" s="3">
        <v>1.5007263E-2</v>
      </c>
      <c r="P1870" s="3">
        <v>4.8236195000000003E-2</v>
      </c>
      <c r="Q1870" s="3">
        <v>5.0483857E-2</v>
      </c>
      <c r="R1870" s="3">
        <v>0.28461711499999998</v>
      </c>
      <c r="S1870" s="3">
        <v>19.789850999999999</v>
      </c>
      <c r="T1870" s="3">
        <v>2.3639818269999999</v>
      </c>
      <c r="U1870" s="3">
        <v>0.70273746100000001</v>
      </c>
      <c r="V1870" s="3">
        <v>0</v>
      </c>
      <c r="W1870" s="3">
        <v>1</v>
      </c>
      <c r="X1870" s="3">
        <v>-0.37830641799999998</v>
      </c>
      <c r="Y1870" s="3">
        <v>0.96424453499999996</v>
      </c>
      <c r="Z1870" s="3">
        <v>3.3639615900000002</v>
      </c>
      <c r="AA1870" s="3">
        <v>8.5951816E-2</v>
      </c>
      <c r="AB1870" s="3">
        <v>10.592734439999999</v>
      </c>
      <c r="AC1870" s="3">
        <v>-0.37830641799999998</v>
      </c>
      <c r="AD1870" s="3">
        <v>-6.2493526000000001E-2</v>
      </c>
      <c r="AE1870" s="3">
        <v>1.859845118</v>
      </c>
      <c r="AF1870" s="4">
        <v>41960</v>
      </c>
      <c r="AG1870" s="5">
        <f>YEAR(AF1870)</f>
        <v>2014</v>
      </c>
      <c r="AH1870" s="5" t="str">
        <f>"Q"&amp;ROUNDUP(MONTH(AF1870)/3,0)</f>
        <v>Q4</v>
      </c>
      <c r="AI1870" s="5">
        <f>INDEX(RatingLookup!$B$2:$B$11,MATCH(A1870,RatingLookup!$A$2:$A$11,0))</f>
        <v>5</v>
      </c>
      <c r="AJ1870" s="5" t="str">
        <f>INDEX(RatingLookup!$C$2:$C$11,MATCH(A1870,RatingLookup!$A$2:$A$11,0))</f>
        <v>Speculative Grade</v>
      </c>
    </row>
    <row r="1871" spans="1:36" x14ac:dyDescent="0.3">
      <c r="A1871" s="3" t="s">
        <v>109</v>
      </c>
      <c r="B1871" s="3" t="s">
        <v>1937</v>
      </c>
      <c r="C1871" s="3" t="s">
        <v>1938</v>
      </c>
      <c r="D1871" s="3" t="s">
        <v>47</v>
      </c>
      <c r="E1871" s="3" t="s">
        <v>976</v>
      </c>
      <c r="F1871" s="3" t="s">
        <v>219</v>
      </c>
      <c r="G1871" s="3">
        <v>2.0763311660000001</v>
      </c>
      <c r="H1871" s="3">
        <v>0.67951598300000005</v>
      </c>
      <c r="I1871" s="3">
        <v>0.67500272400000005</v>
      </c>
      <c r="J1871" s="3">
        <v>1.2273555389999999</v>
      </c>
      <c r="K1871" s="3">
        <v>0.17283352599999999</v>
      </c>
      <c r="L1871" s="3">
        <v>0.25391654299999999</v>
      </c>
      <c r="M1871" s="3">
        <v>0.30611688399999998</v>
      </c>
      <c r="N1871" s="3">
        <v>0.244057951</v>
      </c>
      <c r="O1871" s="3">
        <v>0.100938341</v>
      </c>
      <c r="P1871" s="3">
        <v>0.27943241499999999</v>
      </c>
      <c r="Q1871" s="3">
        <v>0.20230335299999999</v>
      </c>
      <c r="R1871" s="3">
        <v>0.58402060700000002</v>
      </c>
      <c r="S1871" s="3">
        <v>580.40216580000003</v>
      </c>
      <c r="T1871" s="3">
        <v>1.0042270600000001</v>
      </c>
      <c r="U1871" s="3">
        <v>0.50105453600000005</v>
      </c>
      <c r="V1871" s="3">
        <v>0</v>
      </c>
      <c r="W1871" s="3">
        <v>1</v>
      </c>
      <c r="X1871" s="3">
        <v>-8.1674677000000001E-2</v>
      </c>
      <c r="Y1871" s="3">
        <v>3.4413583829999999</v>
      </c>
      <c r="Z1871" s="3">
        <v>2.0042270599999998</v>
      </c>
      <c r="AA1871" s="3">
        <v>0.25391654299999999</v>
      </c>
      <c r="AB1871" s="3">
        <v>1.470193265</v>
      </c>
      <c r="AC1871" s="3">
        <v>-8.1674677000000001E-2</v>
      </c>
      <c r="AD1871" s="3">
        <v>-1.2879662E-2</v>
      </c>
      <c r="AE1871" s="3">
        <v>5.1587673509999998</v>
      </c>
      <c r="AF1871" s="4">
        <v>41381</v>
      </c>
      <c r="AG1871" s="5">
        <f>YEAR(AF1871)</f>
        <v>2013</v>
      </c>
      <c r="AH1871" s="5" t="str">
        <f>"Q"&amp;ROUNDUP(MONTH(AF1871)/3,0)</f>
        <v>Q2</v>
      </c>
      <c r="AI1871" s="5">
        <f>INDEX(RatingLookup!$B$2:$B$11,MATCH(A1871,RatingLookup!$A$2:$A$11,0))</f>
        <v>5</v>
      </c>
      <c r="AJ1871" s="5" t="str">
        <f>INDEX(RatingLookup!$C$2:$C$11,MATCH(A1871,RatingLookup!$A$2:$A$11,0))</f>
        <v>Speculative Grade</v>
      </c>
    </row>
    <row r="1872" spans="1:36" x14ac:dyDescent="0.3">
      <c r="A1872" s="3" t="s">
        <v>109</v>
      </c>
      <c r="B1872" s="3" t="s">
        <v>1937</v>
      </c>
      <c r="C1872" s="3" t="s">
        <v>1938</v>
      </c>
      <c r="D1872" s="3" t="s">
        <v>47</v>
      </c>
      <c r="E1872" s="3" t="s">
        <v>389</v>
      </c>
      <c r="F1872" s="3" t="s">
        <v>219</v>
      </c>
      <c r="G1872" s="3">
        <v>2.7800373380000001</v>
      </c>
      <c r="H1872" s="3">
        <v>0.73805875899999995</v>
      </c>
      <c r="I1872" s="3">
        <v>0.727196599</v>
      </c>
      <c r="J1872" s="3">
        <v>3.467361141</v>
      </c>
      <c r="K1872" s="3">
        <v>0.14074959100000001</v>
      </c>
      <c r="L1872" s="3">
        <v>0.23393918999999999</v>
      </c>
      <c r="M1872" s="3">
        <v>0.33305691300000001</v>
      </c>
      <c r="N1872" s="3">
        <v>0.23812667600000001</v>
      </c>
      <c r="O1872" s="3">
        <v>5.3044072999999997E-2</v>
      </c>
      <c r="P1872" s="3">
        <v>0.13336674200000001</v>
      </c>
      <c r="Q1872" s="3">
        <v>0.13263862000000001</v>
      </c>
      <c r="R1872" s="3">
        <v>0.37686839799999999</v>
      </c>
      <c r="S1872" s="3">
        <v>19.221043460000001</v>
      </c>
      <c r="T1872" s="3">
        <v>1.500536128</v>
      </c>
      <c r="U1872" s="3">
        <v>0.60008576199999997</v>
      </c>
      <c r="V1872" s="3">
        <v>0</v>
      </c>
      <c r="W1872" s="3">
        <v>1</v>
      </c>
      <c r="X1872" s="3">
        <v>-276.42468250000002</v>
      </c>
      <c r="Y1872" s="3">
        <v>4030.3888700000002</v>
      </c>
      <c r="Z1872" s="3">
        <v>2.5005361279999998</v>
      </c>
      <c r="AA1872" s="3">
        <v>0.23393918999999999</v>
      </c>
      <c r="AB1872" s="3">
        <v>-1.6097908299999999</v>
      </c>
      <c r="AC1872" s="3">
        <v>-276.42468250000002</v>
      </c>
      <c r="AD1872" s="3">
        <v>-4.4873006999999999E-2</v>
      </c>
      <c r="AE1872" s="3">
        <v>3.0479530339999998</v>
      </c>
      <c r="AF1872" s="4">
        <v>41806</v>
      </c>
      <c r="AG1872" s="5">
        <f>YEAR(AF1872)</f>
        <v>2014</v>
      </c>
      <c r="AH1872" s="5" t="str">
        <f>"Q"&amp;ROUNDUP(MONTH(AF1872)/3,0)</f>
        <v>Q2</v>
      </c>
      <c r="AI1872" s="5">
        <f>INDEX(RatingLookup!$B$2:$B$11,MATCH(A1872,RatingLookup!$A$2:$A$11,0))</f>
        <v>5</v>
      </c>
      <c r="AJ1872" s="5" t="str">
        <f>INDEX(RatingLookup!$C$2:$C$11,MATCH(A1872,RatingLookup!$A$2:$A$11,0))</f>
        <v>Speculative Grade</v>
      </c>
    </row>
    <row r="1873" spans="1:36" x14ac:dyDescent="0.3">
      <c r="A1873" s="3" t="s">
        <v>92</v>
      </c>
      <c r="B1873" s="3" t="s">
        <v>1939</v>
      </c>
      <c r="C1873" s="3" t="s">
        <v>1940</v>
      </c>
      <c r="D1873" s="3" t="s">
        <v>47</v>
      </c>
      <c r="E1873" s="3" t="s">
        <v>664</v>
      </c>
      <c r="F1873" s="3" t="s">
        <v>96</v>
      </c>
      <c r="G1873" s="3">
        <v>1.6213314240000001</v>
      </c>
      <c r="H1873" s="3">
        <v>1.168217609</v>
      </c>
      <c r="I1873" s="3">
        <v>0.39298496799999999</v>
      </c>
      <c r="J1873" s="3">
        <v>42.410549609999997</v>
      </c>
      <c r="K1873" s="3">
        <v>-0.21818517200000001</v>
      </c>
      <c r="L1873" s="3">
        <v>-0.22445592</v>
      </c>
      <c r="M1873" s="3">
        <v>0.22777572900000001</v>
      </c>
      <c r="N1873" s="3">
        <v>-0.19476208</v>
      </c>
      <c r="O1873" s="3">
        <v>-0.29575000000000001</v>
      </c>
      <c r="P1873" s="3">
        <v>-0.46753745699999999</v>
      </c>
      <c r="Q1873" s="3">
        <v>-2.1988847580000002</v>
      </c>
      <c r="R1873" s="3">
        <v>1.3554999999999999</v>
      </c>
      <c r="S1873" s="3">
        <v>8.2401215810000004</v>
      </c>
      <c r="T1873" s="3">
        <v>6.4349442379999999</v>
      </c>
      <c r="U1873" s="3">
        <v>0.86550000000000005</v>
      </c>
      <c r="V1873" s="3">
        <v>2.7937551000000001E-2</v>
      </c>
      <c r="W1873" s="3">
        <v>1.3934911240000001</v>
      </c>
      <c r="X1873" s="3">
        <v>-0.63562753000000005</v>
      </c>
      <c r="Y1873" s="3">
        <v>1.3522267210000001</v>
      </c>
      <c r="Z1873" s="3">
        <v>7.4349442379999999</v>
      </c>
      <c r="AA1873" s="3">
        <v>-0.22445592</v>
      </c>
      <c r="AB1873" s="3">
        <v>-4.63469599</v>
      </c>
      <c r="AC1873" s="3">
        <v>-0.456140351</v>
      </c>
      <c r="AD1873" s="3">
        <v>-6.2338619999999997E-2</v>
      </c>
      <c r="AE1873" s="3">
        <v>15.06115108</v>
      </c>
      <c r="AF1873" s="4">
        <v>41194</v>
      </c>
      <c r="AG1873" s="5">
        <f>YEAR(AF1873)</f>
        <v>2012</v>
      </c>
      <c r="AH1873" s="5" t="str">
        <f>"Q"&amp;ROUNDUP(MONTH(AF1873)/3,0)</f>
        <v>Q4</v>
      </c>
      <c r="AI1873" s="5">
        <f>INDEX(RatingLookup!$B$2:$B$11,MATCH(A1873,RatingLookup!$A$2:$A$11,0))</f>
        <v>6</v>
      </c>
      <c r="AJ1873" s="5" t="str">
        <f>INDEX(RatingLookup!$C$2:$C$11,MATCH(A1873,RatingLookup!$A$2:$A$11,0))</f>
        <v>Speculative Grade</v>
      </c>
    </row>
    <row r="1874" spans="1:36" x14ac:dyDescent="0.3">
      <c r="A1874" s="3" t="s">
        <v>116</v>
      </c>
      <c r="B1874" s="3" t="s">
        <v>1941</v>
      </c>
      <c r="C1874" s="3" t="s">
        <v>1942</v>
      </c>
      <c r="D1874" s="3" t="s">
        <v>60</v>
      </c>
      <c r="E1874" s="3" t="s">
        <v>46</v>
      </c>
      <c r="F1874" s="3" t="s">
        <v>232</v>
      </c>
      <c r="G1874" s="3">
        <v>11.29242917</v>
      </c>
      <c r="H1874" s="3">
        <v>11.29242917</v>
      </c>
      <c r="I1874" s="3">
        <v>1.632601902</v>
      </c>
      <c r="J1874" s="3">
        <v>17.245235090000001</v>
      </c>
      <c r="K1874" s="3">
        <v>-0.32300656999999999</v>
      </c>
      <c r="L1874" s="3">
        <v>-0.32194759099999998</v>
      </c>
      <c r="M1874" s="3">
        <v>1</v>
      </c>
      <c r="N1874" s="3">
        <v>-0.32194759099999998</v>
      </c>
      <c r="O1874" s="3">
        <v>-6.7333219999999999E-2</v>
      </c>
      <c r="P1874" s="3">
        <v>-7.3308837000000002E-2</v>
      </c>
      <c r="Q1874" s="3">
        <v>-0.405987559</v>
      </c>
      <c r="R1874" s="3">
        <v>0.20845774</v>
      </c>
      <c r="S1874" s="3">
        <v>53.447468469999997</v>
      </c>
      <c r="T1874" s="3">
        <v>5.0295283729999998</v>
      </c>
      <c r="U1874" s="3">
        <v>0.83414954900000005</v>
      </c>
      <c r="V1874" s="3">
        <v>-3.2892899999999998E-3</v>
      </c>
      <c r="W1874" s="3">
        <v>1</v>
      </c>
      <c r="X1874" s="3">
        <v>-9.3715071709999993</v>
      </c>
      <c r="Y1874" s="3">
        <v>33.910719880000002</v>
      </c>
      <c r="Z1874" s="3">
        <v>6.0295283729999998</v>
      </c>
      <c r="AA1874" s="3">
        <v>-0.32194759099999998</v>
      </c>
      <c r="AB1874" s="3">
        <v>-0.78539130499999998</v>
      </c>
      <c r="AC1874" s="3">
        <v>-9.3715071709999993</v>
      </c>
      <c r="AD1874" s="3">
        <v>-1.252328192</v>
      </c>
      <c r="AE1874" s="3">
        <v>0</v>
      </c>
      <c r="AF1874" s="4">
        <v>41075</v>
      </c>
      <c r="AG1874" s="5">
        <f>YEAR(AF1874)</f>
        <v>2012</v>
      </c>
      <c r="AH1874" s="5" t="str">
        <f>"Q"&amp;ROUNDUP(MONTH(AF1874)/3,0)</f>
        <v>Q2</v>
      </c>
      <c r="AI1874" s="5">
        <f>INDEX(RatingLookup!$B$2:$B$11,MATCH(A1874,RatingLookup!$A$2:$A$11,0))</f>
        <v>4</v>
      </c>
      <c r="AJ1874" s="5" t="str">
        <f>INDEX(RatingLookup!$C$2:$C$11,MATCH(A1874,RatingLookup!$A$2:$A$11,0))</f>
        <v>Speculative Grade</v>
      </c>
    </row>
    <row r="1875" spans="1:36" x14ac:dyDescent="0.3">
      <c r="A1875" s="3" t="s">
        <v>42</v>
      </c>
      <c r="B1875" s="3" t="s">
        <v>1943</v>
      </c>
      <c r="C1875" s="3" t="s">
        <v>1944</v>
      </c>
      <c r="D1875" s="3" t="s">
        <v>47</v>
      </c>
      <c r="E1875" s="3" t="s">
        <v>1810</v>
      </c>
      <c r="F1875" s="3" t="s">
        <v>113</v>
      </c>
      <c r="G1875" s="3">
        <v>1.7937907559999999</v>
      </c>
      <c r="H1875" s="3">
        <v>1.2446393229999999</v>
      </c>
      <c r="I1875" s="3">
        <v>0.37832506300000002</v>
      </c>
      <c r="J1875" s="3">
        <v>72.305930750000002</v>
      </c>
      <c r="K1875" s="3">
        <v>0.10952305499999999</v>
      </c>
      <c r="L1875" s="3">
        <v>0.143349016</v>
      </c>
      <c r="M1875" s="3">
        <v>0.80636498700000003</v>
      </c>
      <c r="N1875" s="3">
        <v>0.15143306500000001</v>
      </c>
      <c r="O1875" s="3">
        <v>7.2184295999999995E-2</v>
      </c>
      <c r="P1875" s="3">
        <v>0.111244945</v>
      </c>
      <c r="Q1875" s="3">
        <v>0.20368260999999999</v>
      </c>
      <c r="R1875" s="3">
        <v>0.65907854799999999</v>
      </c>
      <c r="S1875" s="3">
        <v>2.0108915139999999</v>
      </c>
      <c r="T1875" s="3">
        <v>1.8217025179999999</v>
      </c>
      <c r="U1875" s="3">
        <v>0.64560403</v>
      </c>
      <c r="V1875" s="3">
        <v>0.22203062000000001</v>
      </c>
      <c r="W1875" s="3">
        <v>0.78055330000000001</v>
      </c>
      <c r="X1875" s="3">
        <v>4.8387388160000002</v>
      </c>
      <c r="Y1875" s="3">
        <v>2.5370354439999998</v>
      </c>
      <c r="Z1875" s="3">
        <v>2.8217025179999999</v>
      </c>
      <c r="AA1875" s="3">
        <v>0.143349016</v>
      </c>
      <c r="AB1875" s="3">
        <v>14.0485662</v>
      </c>
      <c r="AC1875" s="3">
        <v>6.1991139019999997</v>
      </c>
      <c r="AD1875" s="3">
        <v>0.21142344099999999</v>
      </c>
      <c r="AE1875" s="3">
        <v>7.1979004770000001</v>
      </c>
      <c r="AF1875" s="4">
        <v>42460</v>
      </c>
      <c r="AG1875" s="5">
        <f>YEAR(AF1875)</f>
        <v>2016</v>
      </c>
      <c r="AH1875" s="5" t="str">
        <f>"Q"&amp;ROUNDUP(MONTH(AF1875)/3,0)</f>
        <v>Q1</v>
      </c>
      <c r="AI1875" s="5">
        <f>INDEX(RatingLookup!$B$2:$B$11,MATCH(A1875,RatingLookup!$A$2:$A$11,0))</f>
        <v>7</v>
      </c>
      <c r="AJ1875" s="5" t="str">
        <f>INDEX(RatingLookup!$C$2:$C$11,MATCH(A1875,RatingLookup!$A$2:$A$11,0))</f>
        <v>Investment Grade</v>
      </c>
    </row>
    <row r="1876" spans="1:36" x14ac:dyDescent="0.3">
      <c r="A1876" s="3" t="s">
        <v>42</v>
      </c>
      <c r="B1876" s="3" t="s">
        <v>1943</v>
      </c>
      <c r="C1876" s="3" t="s">
        <v>1944</v>
      </c>
      <c r="D1876" s="3" t="s">
        <v>47</v>
      </c>
      <c r="E1876" s="3" t="s">
        <v>1945</v>
      </c>
      <c r="F1876" s="3" t="s">
        <v>113</v>
      </c>
      <c r="G1876" s="3">
        <v>2.049154202</v>
      </c>
      <c r="H1876" s="3">
        <v>1.4179288919999999</v>
      </c>
      <c r="I1876" s="3">
        <v>0.54030793099999996</v>
      </c>
      <c r="J1876" s="3">
        <v>72.566442570000007</v>
      </c>
      <c r="K1876" s="3">
        <v>3.6291423000000003E-2</v>
      </c>
      <c r="L1876" s="3">
        <v>0.13685767200000001</v>
      </c>
      <c r="M1876" s="3">
        <v>0.101411616</v>
      </c>
      <c r="N1876" s="3">
        <v>0.13691546800000001</v>
      </c>
      <c r="O1876" s="3">
        <v>2.4981010000000001E-2</v>
      </c>
      <c r="P1876" s="3">
        <v>0.111763714</v>
      </c>
      <c r="Q1876" s="3">
        <v>7.0059193000000006E-2</v>
      </c>
      <c r="R1876" s="3">
        <v>0.68834474199999995</v>
      </c>
      <c r="S1876" s="3">
        <v>1.9173577900000001</v>
      </c>
      <c r="T1876" s="3">
        <v>1.804498046</v>
      </c>
      <c r="U1876" s="3">
        <v>0.64342995300000005</v>
      </c>
      <c r="V1876" s="3">
        <v>0.26842535000000001</v>
      </c>
      <c r="W1876" s="3">
        <v>0.774225406</v>
      </c>
      <c r="X1876" s="3">
        <v>4.1865659930000003</v>
      </c>
      <c r="Y1876" s="3">
        <v>3.4734598069999998</v>
      </c>
      <c r="Z1876" s="3">
        <v>2.804498046</v>
      </c>
      <c r="AA1876" s="3">
        <v>0.13685767200000001</v>
      </c>
      <c r="AB1876" s="3">
        <v>14.172124119999999</v>
      </c>
      <c r="AC1876" s="3">
        <v>5.4074252300000003</v>
      </c>
      <c r="AD1876" s="3">
        <v>0.19429712800000001</v>
      </c>
      <c r="AE1876" s="3">
        <v>7.8788703240000002</v>
      </c>
      <c r="AF1876" s="4">
        <v>42118</v>
      </c>
      <c r="AG1876" s="5">
        <f>YEAR(AF1876)</f>
        <v>2015</v>
      </c>
      <c r="AH1876" s="5" t="str">
        <f>"Q"&amp;ROUNDUP(MONTH(AF1876)/3,0)</f>
        <v>Q2</v>
      </c>
      <c r="AI1876" s="5">
        <f>INDEX(RatingLookup!$B$2:$B$11,MATCH(A1876,RatingLookup!$A$2:$A$11,0))</f>
        <v>7</v>
      </c>
      <c r="AJ1876" s="5" t="str">
        <f>INDEX(RatingLookup!$C$2:$C$11,MATCH(A1876,RatingLookup!$A$2:$A$11,0))</f>
        <v>Investment Grade</v>
      </c>
    </row>
    <row r="1877" spans="1:36" x14ac:dyDescent="0.3">
      <c r="A1877" s="3" t="s">
        <v>92</v>
      </c>
      <c r="B1877" s="3" t="s">
        <v>1946</v>
      </c>
      <c r="C1877" s="3" t="s">
        <v>1947</v>
      </c>
      <c r="D1877" s="3" t="s">
        <v>60</v>
      </c>
      <c r="E1877" s="3" t="s">
        <v>181</v>
      </c>
      <c r="F1877" s="3" t="s">
        <v>174</v>
      </c>
      <c r="G1877" s="3">
        <v>1.4647127689999999</v>
      </c>
      <c r="H1877" s="3">
        <v>1.39900533</v>
      </c>
      <c r="I1877" s="3">
        <v>0.88448481899999998</v>
      </c>
      <c r="J1877" s="3">
        <v>39.591569839999998</v>
      </c>
      <c r="K1877" s="3">
        <v>0.16822026400000001</v>
      </c>
      <c r="L1877" s="3">
        <v>0.224313706</v>
      </c>
      <c r="M1877" s="3">
        <v>0.96555064000000002</v>
      </c>
      <c r="N1877" s="3">
        <v>0.243100867</v>
      </c>
      <c r="O1877" s="3">
        <v>9.3686404000000001E-2</v>
      </c>
      <c r="P1877" s="3">
        <v>0.14154518799999999</v>
      </c>
      <c r="Q1877" s="3">
        <v>0.28844223400000002</v>
      </c>
      <c r="R1877" s="3">
        <v>0.55692697999999996</v>
      </c>
      <c r="S1877" s="3">
        <v>0.74299071699999997</v>
      </c>
      <c r="T1877" s="3">
        <v>2.0788056930000001</v>
      </c>
      <c r="U1877" s="3">
        <v>0.67519872999999997</v>
      </c>
      <c r="V1877" s="3">
        <v>9.0082238999999995E-2</v>
      </c>
      <c r="W1877" s="3">
        <v>0.55691163799999999</v>
      </c>
      <c r="X1877" s="3">
        <v>2.4113491470000001</v>
      </c>
      <c r="Y1877" s="3">
        <v>2.7353521189999999</v>
      </c>
      <c r="Z1877" s="3">
        <v>3.0788056930000001</v>
      </c>
      <c r="AA1877" s="3">
        <v>0.224313706</v>
      </c>
      <c r="AB1877" s="3">
        <v>11.005139570000001</v>
      </c>
      <c r="AC1877" s="3">
        <v>4.3298595019999997</v>
      </c>
      <c r="AD1877" s="3">
        <v>0.29516041500000001</v>
      </c>
      <c r="AE1877" s="3">
        <v>3.647018332</v>
      </c>
      <c r="AF1877" s="4">
        <v>42360</v>
      </c>
      <c r="AG1877" s="5">
        <f>YEAR(AF1877)</f>
        <v>2015</v>
      </c>
      <c r="AH1877" s="5" t="str">
        <f>"Q"&amp;ROUNDUP(MONTH(AF1877)/3,0)</f>
        <v>Q4</v>
      </c>
      <c r="AI1877" s="5">
        <f>INDEX(RatingLookup!$B$2:$B$11,MATCH(A1877,RatingLookup!$A$2:$A$11,0))</f>
        <v>6</v>
      </c>
      <c r="AJ1877" s="5" t="str">
        <f>INDEX(RatingLookup!$C$2:$C$11,MATCH(A1877,RatingLookup!$A$2:$A$11,0))</f>
        <v>Speculative Grade</v>
      </c>
    </row>
    <row r="1878" spans="1:36" x14ac:dyDescent="0.3">
      <c r="A1878" s="3" t="s">
        <v>109</v>
      </c>
      <c r="B1878" s="3" t="s">
        <v>1948</v>
      </c>
      <c r="C1878" s="3" t="s">
        <v>1949</v>
      </c>
      <c r="D1878" s="3" t="s">
        <v>47</v>
      </c>
      <c r="E1878" s="3" t="s">
        <v>981</v>
      </c>
      <c r="F1878" s="3" t="s">
        <v>113</v>
      </c>
      <c r="G1878" s="3">
        <v>1.337758351</v>
      </c>
      <c r="H1878" s="3">
        <v>1.1348776949999999</v>
      </c>
      <c r="I1878" s="3">
        <v>8.5035389999999992E-3</v>
      </c>
      <c r="J1878" s="3">
        <v>52.906129069999999</v>
      </c>
      <c r="K1878" s="3">
        <v>3.9356061999999997E-2</v>
      </c>
      <c r="L1878" s="3">
        <v>6.6491310999999997E-2</v>
      </c>
      <c r="M1878" s="3">
        <v>0.157479388</v>
      </c>
      <c r="N1878" s="3">
        <v>9.2813840999999994E-2</v>
      </c>
      <c r="O1878" s="3">
        <v>4.1242692999999997E-2</v>
      </c>
      <c r="P1878" s="3">
        <v>8.0539918000000002E-2</v>
      </c>
      <c r="Q1878" s="3">
        <v>0.16311636700000001</v>
      </c>
      <c r="R1878" s="3">
        <v>1.0479374889999999</v>
      </c>
      <c r="S1878" s="3">
        <v>5.6517803469999999</v>
      </c>
      <c r="T1878" s="3">
        <v>2.9550367469999999</v>
      </c>
      <c r="U1878" s="3">
        <v>0.74715784900000004</v>
      </c>
      <c r="V1878" s="3">
        <v>0.371065325</v>
      </c>
      <c r="W1878" s="3">
        <v>0.44183729700000002</v>
      </c>
      <c r="X1878" s="3">
        <v>0.58434734099999996</v>
      </c>
      <c r="Y1878" s="3">
        <v>2.5994761000000002E-2</v>
      </c>
      <c r="Z1878" s="3">
        <v>3.9550367469999999</v>
      </c>
      <c r="AA1878" s="3">
        <v>6.6491310999999997E-2</v>
      </c>
      <c r="AB1878" s="3">
        <v>9.1404242710000005</v>
      </c>
      <c r="AC1878" s="3">
        <v>1.322539643</v>
      </c>
      <c r="AD1878" s="3">
        <v>5.5674079000000001E-2</v>
      </c>
      <c r="AE1878" s="3">
        <v>23.793351269999999</v>
      </c>
      <c r="AF1878" s="4">
        <v>41962</v>
      </c>
      <c r="AG1878" s="5">
        <f>YEAR(AF1878)</f>
        <v>2014</v>
      </c>
      <c r="AH1878" s="5" t="str">
        <f>"Q"&amp;ROUNDUP(MONTH(AF1878)/3,0)</f>
        <v>Q4</v>
      </c>
      <c r="AI1878" s="5">
        <f>INDEX(RatingLookup!$B$2:$B$11,MATCH(A1878,RatingLookup!$A$2:$A$11,0))</f>
        <v>5</v>
      </c>
      <c r="AJ1878" s="5" t="str">
        <f>INDEX(RatingLookup!$C$2:$C$11,MATCH(A1878,RatingLookup!$A$2:$A$11,0))</f>
        <v>Speculative Grade</v>
      </c>
    </row>
    <row r="1879" spans="1:36" x14ac:dyDescent="0.3">
      <c r="A1879" s="3" t="s">
        <v>109</v>
      </c>
      <c r="B1879" s="3" t="s">
        <v>1948</v>
      </c>
      <c r="C1879" s="3" t="s">
        <v>1949</v>
      </c>
      <c r="D1879" s="3" t="s">
        <v>60</v>
      </c>
      <c r="E1879" s="3" t="s">
        <v>74</v>
      </c>
      <c r="F1879" s="3" t="s">
        <v>113</v>
      </c>
      <c r="G1879" s="3">
        <v>1.167840953</v>
      </c>
      <c r="H1879" s="3">
        <v>1.029887016</v>
      </c>
      <c r="I1879" s="3">
        <v>0.103340601</v>
      </c>
      <c r="J1879" s="3">
        <v>44.549157690000001</v>
      </c>
      <c r="K1879" s="3">
        <v>5.0265024999999998E-2</v>
      </c>
      <c r="L1879" s="3">
        <v>8.2588185999999994E-2</v>
      </c>
      <c r="M1879" s="3">
        <v>0.17138837300000001</v>
      </c>
      <c r="N1879" s="3">
        <v>0.114229414</v>
      </c>
      <c r="O1879" s="3">
        <v>5.3680050999999999E-2</v>
      </c>
      <c r="P1879" s="3">
        <v>0.10263820899999999</v>
      </c>
      <c r="Q1879" s="3">
        <v>0.206722563</v>
      </c>
      <c r="R1879" s="3">
        <v>1.0679404109999999</v>
      </c>
      <c r="S1879" s="3">
        <v>5.8796874499999996</v>
      </c>
      <c r="T1879" s="3">
        <v>2.8510127629999999</v>
      </c>
      <c r="U1879" s="3">
        <v>0.74032804799999996</v>
      </c>
      <c r="V1879" s="3">
        <v>0.36812564199999998</v>
      </c>
      <c r="W1879" s="3">
        <v>0.77171372900000001</v>
      </c>
      <c r="X1879" s="3">
        <v>1.6610361250000001</v>
      </c>
      <c r="Y1879" s="3">
        <v>0.28929068200000002</v>
      </c>
      <c r="Z1879" s="3">
        <v>3.8510127629999999</v>
      </c>
      <c r="AA1879" s="3">
        <v>8.2588185999999994E-2</v>
      </c>
      <c r="AB1879" s="3">
        <v>6.7440038900000001</v>
      </c>
      <c r="AC1879" s="3">
        <v>2.1523993460000002</v>
      </c>
      <c r="AD1879" s="3">
        <v>0.101283533</v>
      </c>
      <c r="AE1879" s="3">
        <v>27.28790468</v>
      </c>
      <c r="AF1879" s="4">
        <v>41317</v>
      </c>
      <c r="AG1879" s="5">
        <f>YEAR(AF1879)</f>
        <v>2013</v>
      </c>
      <c r="AH1879" s="5" t="str">
        <f>"Q"&amp;ROUNDUP(MONTH(AF1879)/3,0)</f>
        <v>Q1</v>
      </c>
      <c r="AI1879" s="5">
        <f>INDEX(RatingLookup!$B$2:$B$11,MATCH(A1879,RatingLookup!$A$2:$A$11,0))</f>
        <v>5</v>
      </c>
      <c r="AJ1879" s="5" t="str">
        <f>INDEX(RatingLookup!$C$2:$C$11,MATCH(A1879,RatingLookup!$A$2:$A$11,0))</f>
        <v>Speculative Grade</v>
      </c>
    </row>
    <row r="1880" spans="1:36" x14ac:dyDescent="0.3">
      <c r="A1880" s="3" t="s">
        <v>109</v>
      </c>
      <c r="B1880" s="3" t="s">
        <v>1948</v>
      </c>
      <c r="C1880" s="3" t="s">
        <v>1949</v>
      </c>
      <c r="D1880" s="3" t="s">
        <v>47</v>
      </c>
      <c r="E1880" s="3" t="s">
        <v>166</v>
      </c>
      <c r="F1880" s="3" t="s">
        <v>113</v>
      </c>
      <c r="G1880" s="3">
        <v>1.0155417799999999</v>
      </c>
      <c r="H1880" s="3">
        <v>0.837741921</v>
      </c>
      <c r="I1880" s="3">
        <v>1.9567866999999999E-2</v>
      </c>
      <c r="J1880" s="3">
        <v>58.860328379999999</v>
      </c>
      <c r="K1880" s="3">
        <v>3.4930596000000001E-2</v>
      </c>
      <c r="L1880" s="3">
        <v>5.5689741000000001E-2</v>
      </c>
      <c r="M1880" s="3">
        <v>0.14192692200000001</v>
      </c>
      <c r="N1880" s="3">
        <v>7.3419551999999999E-2</v>
      </c>
      <c r="O1880" s="3">
        <v>2.9533739E-2</v>
      </c>
      <c r="P1880" s="3">
        <v>5.6501300999999997E-2</v>
      </c>
      <c r="Q1880" s="3">
        <v>0.15215076399999999</v>
      </c>
      <c r="R1880" s="3">
        <v>0.84549771799999995</v>
      </c>
      <c r="S1880" s="3">
        <v>4.3312487559999999</v>
      </c>
      <c r="T1880" s="3">
        <v>4.1517608900000003</v>
      </c>
      <c r="U1880" s="3">
        <v>0.80589161200000003</v>
      </c>
      <c r="V1880" s="3">
        <v>0.34752821099999998</v>
      </c>
      <c r="W1880" s="3">
        <v>0.12366192500000001</v>
      </c>
      <c r="X1880" s="3">
        <v>0.20217606199999999</v>
      </c>
      <c r="Y1880" s="3">
        <v>0.11323522499999999</v>
      </c>
      <c r="Z1880" s="3">
        <v>5.1517608900000003</v>
      </c>
      <c r="AA1880" s="3">
        <v>5.5689741000000001E-2</v>
      </c>
      <c r="AB1880" s="3">
        <v>9.3094888440000005</v>
      </c>
      <c r="AC1880" s="3">
        <v>1.634909553</v>
      </c>
      <c r="AD1880" s="3">
        <v>5.5685198999999998E-2</v>
      </c>
      <c r="AE1880" s="3">
        <v>23.372129919999999</v>
      </c>
      <c r="AF1880" s="4">
        <v>42324</v>
      </c>
      <c r="AG1880" s="5">
        <f>YEAR(AF1880)</f>
        <v>2015</v>
      </c>
      <c r="AH1880" s="5" t="str">
        <f>"Q"&amp;ROUNDUP(MONTH(AF1880)/3,0)</f>
        <v>Q4</v>
      </c>
      <c r="AI1880" s="5">
        <f>INDEX(RatingLookup!$B$2:$B$11,MATCH(A1880,RatingLookup!$A$2:$A$11,0))</f>
        <v>5</v>
      </c>
      <c r="AJ1880" s="5" t="str">
        <f>INDEX(RatingLookup!$C$2:$C$11,MATCH(A1880,RatingLookup!$A$2:$A$11,0))</f>
        <v>Speculative Grade</v>
      </c>
    </row>
    <row r="1881" spans="1:36" x14ac:dyDescent="0.3">
      <c r="A1881" s="3" t="s">
        <v>109</v>
      </c>
      <c r="B1881" s="3" t="s">
        <v>1948</v>
      </c>
      <c r="C1881" s="3" t="s">
        <v>1949</v>
      </c>
      <c r="D1881" s="3" t="s">
        <v>47</v>
      </c>
      <c r="E1881" s="3" t="s">
        <v>1365</v>
      </c>
      <c r="F1881" s="3" t="s">
        <v>113</v>
      </c>
      <c r="G1881" s="3">
        <v>1.4136083340000001</v>
      </c>
      <c r="H1881" s="3">
        <v>1.17694158</v>
      </c>
      <c r="I1881" s="3">
        <v>0.173238168</v>
      </c>
      <c r="J1881" s="3">
        <v>48.861048510000003</v>
      </c>
      <c r="K1881" s="3">
        <v>2.6927306000000002E-2</v>
      </c>
      <c r="L1881" s="3">
        <v>4.2168248999999998E-2</v>
      </c>
      <c r="M1881" s="3">
        <v>0.144931161</v>
      </c>
      <c r="N1881" s="3">
        <v>6.9959293000000006E-2</v>
      </c>
      <c r="O1881" s="3">
        <v>2.3341784000000001E-2</v>
      </c>
      <c r="P1881" s="3">
        <v>4.133179E-2</v>
      </c>
      <c r="Q1881" s="3">
        <v>0.14148273</v>
      </c>
      <c r="R1881" s="3">
        <v>0.86684437599999997</v>
      </c>
      <c r="S1881" s="3">
        <v>4.8037876439999998</v>
      </c>
      <c r="T1881" s="3">
        <v>5.061350333</v>
      </c>
      <c r="U1881" s="3">
        <v>0.83502025999999996</v>
      </c>
      <c r="V1881" s="3">
        <v>0.30688193699999999</v>
      </c>
      <c r="W1881" s="3">
        <v>0.53366531699999997</v>
      </c>
      <c r="X1881" s="3">
        <v>1.447192383</v>
      </c>
      <c r="Y1881" s="3">
        <v>0.77479599099999996</v>
      </c>
      <c r="Z1881" s="3">
        <v>6.061350333</v>
      </c>
      <c r="AA1881" s="3">
        <v>4.2168248999999998E-2</v>
      </c>
      <c r="AB1881" s="3">
        <v>9.0952788980000001</v>
      </c>
      <c r="AC1881" s="3">
        <v>2.7117977039999999</v>
      </c>
      <c r="AD1881" s="3">
        <v>8.0868246000000005E-2</v>
      </c>
      <c r="AE1881" s="3">
        <v>28.957813810000001</v>
      </c>
      <c r="AF1881" s="4">
        <v>42691</v>
      </c>
      <c r="AG1881" s="5">
        <f>YEAR(AF1881)</f>
        <v>2016</v>
      </c>
      <c r="AH1881" s="5" t="str">
        <f>"Q"&amp;ROUNDUP(MONTH(AF1881)/3,0)</f>
        <v>Q4</v>
      </c>
      <c r="AI1881" s="5">
        <f>INDEX(RatingLookup!$B$2:$B$11,MATCH(A1881,RatingLookup!$A$2:$A$11,0))</f>
        <v>5</v>
      </c>
      <c r="AJ1881" s="5" t="str">
        <f>INDEX(RatingLookup!$C$2:$C$11,MATCH(A1881,RatingLookup!$A$2:$A$11,0))</f>
        <v>Speculative Grade</v>
      </c>
    </row>
    <row r="1882" spans="1:36" x14ac:dyDescent="0.3">
      <c r="A1882" s="3" t="s">
        <v>109</v>
      </c>
      <c r="B1882" s="3" t="s">
        <v>1948</v>
      </c>
      <c r="C1882" s="3" t="s">
        <v>1949</v>
      </c>
      <c r="D1882" s="3" t="s">
        <v>47</v>
      </c>
      <c r="E1882" s="3" t="s">
        <v>1950</v>
      </c>
      <c r="F1882" s="3" t="s">
        <v>113</v>
      </c>
      <c r="G1882" s="3">
        <v>1.2230757640000001</v>
      </c>
      <c r="H1882" s="3">
        <v>1.0649056320000001</v>
      </c>
      <c r="I1882" s="3">
        <v>1.1625089999999999E-2</v>
      </c>
      <c r="J1882" s="3">
        <v>48.000111240000003</v>
      </c>
      <c r="K1882" s="3">
        <v>3.8442047E-2</v>
      </c>
      <c r="L1882" s="3">
        <v>6.6473251999999997E-2</v>
      </c>
      <c r="M1882" s="3">
        <v>0.16136720500000001</v>
      </c>
      <c r="N1882" s="3">
        <v>0.10130096</v>
      </c>
      <c r="O1882" s="3">
        <v>4.0598065000000003E-2</v>
      </c>
      <c r="P1882" s="3">
        <v>8.0863889999999994E-2</v>
      </c>
      <c r="Q1882" s="3">
        <v>0.14549103699999999</v>
      </c>
      <c r="R1882" s="3">
        <v>1.056084883</v>
      </c>
      <c r="S1882" s="3">
        <v>5.8448955219999998</v>
      </c>
      <c r="T1882" s="3">
        <v>2.5836939129999998</v>
      </c>
      <c r="U1882" s="3">
        <v>0.72095831200000005</v>
      </c>
      <c r="V1882" s="3">
        <v>0.37811740100000002</v>
      </c>
      <c r="W1882" s="3">
        <v>0.617396363</v>
      </c>
      <c r="X1882" s="3">
        <v>0.86838010200000004</v>
      </c>
      <c r="Y1882" s="3">
        <v>3.1553416000000001E-2</v>
      </c>
      <c r="Z1882" s="3">
        <v>3.5836939129999998</v>
      </c>
      <c r="AA1882" s="3">
        <v>6.6473251999999997E-2</v>
      </c>
      <c r="AB1882" s="3">
        <v>7.8695247699999999</v>
      </c>
      <c r="AC1882" s="3">
        <v>1.406519627</v>
      </c>
      <c r="AD1882" s="3">
        <v>6.4699520999999996E-2</v>
      </c>
      <c r="AE1882" s="3">
        <v>28.266138080000001</v>
      </c>
      <c r="AF1882" s="4">
        <v>41563</v>
      </c>
      <c r="AG1882" s="5">
        <f>YEAR(AF1882)</f>
        <v>2013</v>
      </c>
      <c r="AH1882" s="5" t="str">
        <f>"Q"&amp;ROUNDUP(MONTH(AF1882)/3,0)</f>
        <v>Q4</v>
      </c>
      <c r="AI1882" s="5">
        <f>INDEX(RatingLookup!$B$2:$B$11,MATCH(A1882,RatingLookup!$A$2:$A$11,0))</f>
        <v>5</v>
      </c>
      <c r="AJ1882" s="5" t="str">
        <f>INDEX(RatingLookup!$C$2:$C$11,MATCH(A1882,RatingLookup!$A$2:$A$11,0))</f>
        <v>Speculative Grade</v>
      </c>
    </row>
    <row r="1883" spans="1:36" x14ac:dyDescent="0.3">
      <c r="A1883" s="3" t="s">
        <v>109</v>
      </c>
      <c r="B1883" s="3" t="s">
        <v>1951</v>
      </c>
      <c r="C1883" s="3" t="s">
        <v>1952</v>
      </c>
      <c r="D1883" s="3" t="s">
        <v>60</v>
      </c>
      <c r="E1883" s="3" t="s">
        <v>521</v>
      </c>
      <c r="F1883" s="3" t="s">
        <v>96</v>
      </c>
      <c r="G1883" s="3">
        <v>6.5588186879999997</v>
      </c>
      <c r="H1883" s="3">
        <v>5.2220063870000004</v>
      </c>
      <c r="I1883" s="3">
        <v>1.903187041</v>
      </c>
      <c r="J1883" s="3">
        <v>62.180008579999999</v>
      </c>
      <c r="K1883" s="3">
        <v>0.132686199</v>
      </c>
      <c r="L1883" s="3">
        <v>0.11728444</v>
      </c>
      <c r="M1883" s="3">
        <v>0.56315704700000002</v>
      </c>
      <c r="N1883" s="3">
        <v>0.113665477</v>
      </c>
      <c r="O1883" s="3">
        <v>9.5156013999999997E-2</v>
      </c>
      <c r="P1883" s="3">
        <v>9.5470269999999996E-2</v>
      </c>
      <c r="Q1883" s="3">
        <v>0.110164975</v>
      </c>
      <c r="R1883" s="3">
        <v>0.71715080399999998</v>
      </c>
      <c r="S1883" s="3">
        <v>13.17193121</v>
      </c>
      <c r="T1883" s="3">
        <v>0.15773002999999999</v>
      </c>
      <c r="U1883" s="3">
        <v>0.13624076900000001</v>
      </c>
      <c r="V1883" s="3">
        <v>-0.131319718</v>
      </c>
      <c r="W1883" s="3">
        <v>0.74410547800000004</v>
      </c>
      <c r="X1883" s="3">
        <v>0.25363611600000002</v>
      </c>
      <c r="Y1883" s="3">
        <v>2.1650525030000001</v>
      </c>
      <c r="Z1883" s="3">
        <v>1.15773003</v>
      </c>
      <c r="AA1883" s="3">
        <v>0.11728444</v>
      </c>
      <c r="AB1883" s="3">
        <v>11.220477259999999</v>
      </c>
      <c r="AC1883" s="3">
        <v>0.34086043399999999</v>
      </c>
      <c r="AD1883" s="3">
        <v>0.109584925</v>
      </c>
      <c r="AE1883" s="3">
        <v>4.9715582359999999</v>
      </c>
      <c r="AF1883" s="4">
        <v>42276</v>
      </c>
      <c r="AG1883" s="5">
        <f>YEAR(AF1883)</f>
        <v>2015</v>
      </c>
      <c r="AH1883" s="5" t="str">
        <f>"Q"&amp;ROUNDUP(MONTH(AF1883)/3,0)</f>
        <v>Q3</v>
      </c>
      <c r="AI1883" s="5">
        <f>INDEX(RatingLookup!$B$2:$B$11,MATCH(A1883,RatingLookup!$A$2:$A$11,0))</f>
        <v>5</v>
      </c>
      <c r="AJ1883" s="5" t="str">
        <f>INDEX(RatingLookup!$C$2:$C$11,MATCH(A1883,RatingLookup!$A$2:$A$11,0))</f>
        <v>Speculative Grade</v>
      </c>
    </row>
    <row r="1884" spans="1:36" x14ac:dyDescent="0.3">
      <c r="A1884" s="3" t="s">
        <v>109</v>
      </c>
      <c r="B1884" s="3" t="s">
        <v>1951</v>
      </c>
      <c r="C1884" s="3" t="s">
        <v>1952</v>
      </c>
      <c r="D1884" s="3" t="s">
        <v>47</v>
      </c>
      <c r="E1884" s="3" t="s">
        <v>1831</v>
      </c>
      <c r="F1884" s="3" t="s">
        <v>96</v>
      </c>
      <c r="G1884" s="3">
        <v>1.9974611229999999</v>
      </c>
      <c r="H1884" s="3">
        <v>1.3741478899999999</v>
      </c>
      <c r="I1884" s="3">
        <v>0.67630593500000002</v>
      </c>
      <c r="J1884" s="3">
        <v>85.159031409999997</v>
      </c>
      <c r="K1884" s="3">
        <v>-0.12667953000000001</v>
      </c>
      <c r="L1884" s="3">
        <v>-0.100041213</v>
      </c>
      <c r="M1884" s="3">
        <v>0.57854744400000002</v>
      </c>
      <c r="N1884" s="3">
        <v>-6.2519026000000005E-2</v>
      </c>
      <c r="O1884" s="3">
        <v>-7.0544007000000006E-2</v>
      </c>
      <c r="P1884" s="3">
        <v>-7.0114370999999995E-2</v>
      </c>
      <c r="Q1884" s="3">
        <v>-0.20004807199999999</v>
      </c>
      <c r="R1884" s="3">
        <v>0.55686982200000001</v>
      </c>
      <c r="S1884" s="3">
        <v>8.6306663159999992</v>
      </c>
      <c r="T1884" s="3">
        <v>1.8357911469999999</v>
      </c>
      <c r="U1884" s="3">
        <v>0.64736472199999995</v>
      </c>
      <c r="V1884" s="3">
        <v>-0.232123212</v>
      </c>
      <c r="W1884" s="3">
        <v>0.59943930599999995</v>
      </c>
      <c r="X1884" s="3">
        <v>0.208485424</v>
      </c>
      <c r="Y1884" s="3">
        <v>0.97388202700000004</v>
      </c>
      <c r="Z1884" s="3">
        <v>2.8357911470000001</v>
      </c>
      <c r="AA1884" s="3">
        <v>-0.100041213</v>
      </c>
      <c r="AB1884" s="3">
        <v>29.953830539999998</v>
      </c>
      <c r="AC1884" s="3">
        <v>0.34780072299999998</v>
      </c>
      <c r="AD1884" s="3">
        <v>9.7725346000000005E-2</v>
      </c>
      <c r="AE1884" s="3">
        <v>2.2238518279999999</v>
      </c>
      <c r="AF1884" s="4">
        <v>42681</v>
      </c>
      <c r="AG1884" s="5">
        <f>YEAR(AF1884)</f>
        <v>2016</v>
      </c>
      <c r="AH1884" s="5" t="str">
        <f>"Q"&amp;ROUNDUP(MONTH(AF1884)/3,0)</f>
        <v>Q4</v>
      </c>
      <c r="AI1884" s="5">
        <f>INDEX(RatingLookup!$B$2:$B$11,MATCH(A1884,RatingLookup!$A$2:$A$11,0))</f>
        <v>5</v>
      </c>
      <c r="AJ1884" s="5" t="str">
        <f>INDEX(RatingLookup!$C$2:$C$11,MATCH(A1884,RatingLookup!$A$2:$A$11,0))</f>
        <v>Speculative Grade</v>
      </c>
    </row>
    <row r="1885" spans="1:36" x14ac:dyDescent="0.3">
      <c r="A1885" s="3" t="s">
        <v>42</v>
      </c>
      <c r="B1885" s="3" t="s">
        <v>1953</v>
      </c>
      <c r="C1885" s="3" t="s">
        <v>1954</v>
      </c>
      <c r="D1885" s="3" t="s">
        <v>47</v>
      </c>
      <c r="E1885" s="3" t="s">
        <v>563</v>
      </c>
      <c r="F1885" s="3" t="s">
        <v>174</v>
      </c>
      <c r="G1885" s="3">
        <v>1.42659</v>
      </c>
      <c r="H1885" s="3">
        <v>1.116103413</v>
      </c>
      <c r="I1885" s="3">
        <v>0.72759758699999999</v>
      </c>
      <c r="J1885" s="3">
        <v>40.04149099</v>
      </c>
      <c r="K1885" s="3">
        <v>3.5105312E-2</v>
      </c>
      <c r="L1885" s="3">
        <v>4.4257887000000003E-2</v>
      </c>
      <c r="M1885" s="3">
        <v>0.49588163200000002</v>
      </c>
      <c r="N1885" s="3">
        <v>0.17130146299999999</v>
      </c>
      <c r="O1885" s="3">
        <v>1.0056811000000001E-2</v>
      </c>
      <c r="P1885" s="3">
        <v>1.3805136000000001E-2</v>
      </c>
      <c r="Q1885" s="3">
        <v>2.9043738999999999E-2</v>
      </c>
      <c r="R1885" s="3">
        <v>0.28647546899999998</v>
      </c>
      <c r="S1885" s="3">
        <v>0.50172018900000004</v>
      </c>
      <c r="T1885" s="3">
        <v>1.8879672110000001</v>
      </c>
      <c r="U1885" s="3">
        <v>0.65373568100000001</v>
      </c>
      <c r="V1885" s="3">
        <v>0.28431930599999999</v>
      </c>
      <c r="W1885" s="3">
        <v>-9.5206476999999998E-2</v>
      </c>
      <c r="X1885" s="3">
        <v>-1.3803357249999999</v>
      </c>
      <c r="Y1885" s="3">
        <v>10.72329107</v>
      </c>
      <c r="Z1885" s="3">
        <v>2.8879672109999999</v>
      </c>
      <c r="AA1885" s="3">
        <v>4.4257887000000003E-2</v>
      </c>
      <c r="AB1885" s="3">
        <v>18.88328812</v>
      </c>
      <c r="AC1885" s="3">
        <v>14.49833849</v>
      </c>
      <c r="AD1885" s="3">
        <v>0.28144604000000001</v>
      </c>
      <c r="AE1885" s="3">
        <v>3.1300462919999998</v>
      </c>
      <c r="AF1885" s="4">
        <v>42576</v>
      </c>
      <c r="AG1885" s="5">
        <f>YEAR(AF1885)</f>
        <v>2016</v>
      </c>
      <c r="AH1885" s="5" t="str">
        <f>"Q"&amp;ROUNDUP(MONTH(AF1885)/3,0)</f>
        <v>Q3</v>
      </c>
      <c r="AI1885" s="5">
        <f>INDEX(RatingLookup!$B$2:$B$11,MATCH(A1885,RatingLookup!$A$2:$A$11,0))</f>
        <v>7</v>
      </c>
      <c r="AJ1885" s="5" t="str">
        <f>INDEX(RatingLookup!$C$2:$C$11,MATCH(A1885,RatingLookup!$A$2:$A$11,0))</f>
        <v>Investment Grade</v>
      </c>
    </row>
    <row r="1886" spans="1:36" x14ac:dyDescent="0.3">
      <c r="A1886" s="3" t="s">
        <v>92</v>
      </c>
      <c r="B1886" s="3" t="s">
        <v>1955</v>
      </c>
      <c r="C1886" s="3" t="s">
        <v>1956</v>
      </c>
      <c r="D1886" s="3" t="s">
        <v>60</v>
      </c>
      <c r="E1886" s="3" t="s">
        <v>1241</v>
      </c>
      <c r="F1886" s="3" t="s">
        <v>113</v>
      </c>
      <c r="G1886" s="3">
        <v>0.993386608</v>
      </c>
      <c r="H1886" s="3">
        <v>0.53348029799999996</v>
      </c>
      <c r="I1886" s="3">
        <v>0.48498208900000001</v>
      </c>
      <c r="J1886" s="3">
        <v>0</v>
      </c>
      <c r="K1886" s="3">
        <v>1.559754E-2</v>
      </c>
      <c r="L1886" s="3">
        <v>3.0623902000000001E-2</v>
      </c>
      <c r="M1886" s="3">
        <v>0.92877855899999995</v>
      </c>
      <c r="N1886" s="3">
        <v>3.0975394999999999E-2</v>
      </c>
      <c r="O1886" s="3">
        <v>4.8371712999999997E-2</v>
      </c>
      <c r="P1886" s="3">
        <v>0.18787061999999999</v>
      </c>
      <c r="Q1886" s="3">
        <v>0.164580436</v>
      </c>
      <c r="R1886" s="3">
        <v>3.1012399510000002</v>
      </c>
      <c r="S1886" s="3">
        <v>43.93822394</v>
      </c>
      <c r="T1886" s="3">
        <v>2.4024107560000001</v>
      </c>
      <c r="U1886" s="3">
        <v>0.70609074800000005</v>
      </c>
      <c r="V1886" s="3">
        <v>0.486370158</v>
      </c>
      <c r="W1886" s="3">
        <v>0.77203647399999997</v>
      </c>
      <c r="X1886" s="3">
        <v>4.2652966130000003</v>
      </c>
      <c r="Y1886" s="3">
        <v>16.255146150000002</v>
      </c>
      <c r="Z1886" s="3">
        <v>3.4024107560000001</v>
      </c>
      <c r="AA1886" s="3">
        <v>3.0623902000000001E-2</v>
      </c>
      <c r="AB1886" s="3">
        <v>3.8685001059999999</v>
      </c>
      <c r="AC1886" s="3">
        <v>5.5247345890000004</v>
      </c>
      <c r="AD1886" s="3">
        <v>2.8910369000000002E-2</v>
      </c>
      <c r="AE1886" s="3">
        <v>1.6608606560000001</v>
      </c>
      <c r="AF1886" s="4">
        <v>42395</v>
      </c>
      <c r="AG1886" s="5">
        <f>YEAR(AF1886)</f>
        <v>2016</v>
      </c>
      <c r="AH1886" s="5" t="str">
        <f>"Q"&amp;ROUNDUP(MONTH(AF1886)/3,0)</f>
        <v>Q1</v>
      </c>
      <c r="AI1886" s="5">
        <f>INDEX(RatingLookup!$B$2:$B$11,MATCH(A1886,RatingLookup!$A$2:$A$11,0))</f>
        <v>6</v>
      </c>
      <c r="AJ1886" s="5" t="str">
        <f>INDEX(RatingLookup!$C$2:$C$11,MATCH(A1886,RatingLookup!$A$2:$A$11,0))</f>
        <v>Speculative Grade</v>
      </c>
    </row>
    <row r="1887" spans="1:36" x14ac:dyDescent="0.3">
      <c r="A1887" s="3" t="s">
        <v>92</v>
      </c>
      <c r="B1887" s="3" t="s">
        <v>1955</v>
      </c>
      <c r="C1887" s="3" t="s">
        <v>1956</v>
      </c>
      <c r="D1887" s="3" t="s">
        <v>60</v>
      </c>
      <c r="E1887" s="3" t="s">
        <v>1957</v>
      </c>
      <c r="F1887" s="3" t="s">
        <v>113</v>
      </c>
      <c r="G1887" s="3">
        <v>1.1546076279999999</v>
      </c>
      <c r="H1887" s="3">
        <v>0.69040824899999997</v>
      </c>
      <c r="I1887" s="3">
        <v>0.62490595699999996</v>
      </c>
      <c r="J1887" s="3">
        <v>0</v>
      </c>
      <c r="K1887" s="3">
        <v>1.5197827000000001E-2</v>
      </c>
      <c r="L1887" s="3">
        <v>1.4897551E-2</v>
      </c>
      <c r="M1887" s="3">
        <v>0.96990572600000002</v>
      </c>
      <c r="N1887" s="3">
        <v>2.5537015E-2</v>
      </c>
      <c r="O1887" s="3">
        <v>4.6779530999999999E-2</v>
      </c>
      <c r="P1887" s="3">
        <v>8.2143298000000003E-2</v>
      </c>
      <c r="Q1887" s="3">
        <v>0.133787289</v>
      </c>
      <c r="R1887" s="3">
        <v>3.0780406880000002</v>
      </c>
      <c r="S1887" s="3">
        <v>27.473790300000001</v>
      </c>
      <c r="T1887" s="3">
        <v>1.8599536000000001</v>
      </c>
      <c r="U1887" s="3">
        <v>0.65034397799999999</v>
      </c>
      <c r="V1887" s="3">
        <v>0.66165339199999995</v>
      </c>
      <c r="W1887" s="3">
        <v>0.82266564900000005</v>
      </c>
      <c r="X1887" s="3">
        <v>5.8139864640000001</v>
      </c>
      <c r="Y1887" s="3">
        <v>19.887284510000001</v>
      </c>
      <c r="Z1887" s="3">
        <v>2.8599535999999999</v>
      </c>
      <c r="AA1887" s="3">
        <v>1.4897551E-2</v>
      </c>
      <c r="AB1887" s="3">
        <v>1.5044942400000001</v>
      </c>
      <c r="AC1887" s="3">
        <v>7.0672532300000004</v>
      </c>
      <c r="AD1887" s="3">
        <v>3.5212594999999999E-2</v>
      </c>
      <c r="AE1887" s="3">
        <v>0.86979795800000004</v>
      </c>
      <c r="AF1887" s="4">
        <v>41753</v>
      </c>
      <c r="AG1887" s="5">
        <f>YEAR(AF1887)</f>
        <v>2014</v>
      </c>
      <c r="AH1887" s="5" t="str">
        <f>"Q"&amp;ROUNDUP(MONTH(AF1887)/3,0)</f>
        <v>Q2</v>
      </c>
      <c r="AI1887" s="5">
        <f>INDEX(RatingLookup!$B$2:$B$11,MATCH(A1887,RatingLookup!$A$2:$A$11,0))</f>
        <v>6</v>
      </c>
      <c r="AJ1887" s="5" t="str">
        <f>INDEX(RatingLookup!$C$2:$C$11,MATCH(A1887,RatingLookup!$A$2:$A$11,0))</f>
        <v>Speculative Grade</v>
      </c>
    </row>
    <row r="1888" spans="1:36" x14ac:dyDescent="0.3">
      <c r="A1888" s="3" t="s">
        <v>92</v>
      </c>
      <c r="B1888" s="3" t="s">
        <v>1955</v>
      </c>
      <c r="C1888" s="3" t="s">
        <v>1956</v>
      </c>
      <c r="D1888" s="3" t="s">
        <v>60</v>
      </c>
      <c r="E1888" s="3" t="s">
        <v>46</v>
      </c>
      <c r="F1888" s="3" t="s">
        <v>113</v>
      </c>
      <c r="G1888" s="3">
        <v>1.1222485799999999</v>
      </c>
      <c r="H1888" s="3">
        <v>1.028693442</v>
      </c>
      <c r="I1888" s="3">
        <v>0.68492012400000002</v>
      </c>
      <c r="J1888" s="3">
        <v>10.76085902</v>
      </c>
      <c r="K1888" s="3">
        <v>2.0825071000000001E-2</v>
      </c>
      <c r="L1888" s="3">
        <v>3.2746430999999999E-2</v>
      </c>
      <c r="M1888" s="3">
        <v>0.98537350400000001</v>
      </c>
      <c r="N1888" s="3">
        <v>3.5637314000000003E-2</v>
      </c>
      <c r="O1888" s="3">
        <v>5.0776684000000002E-2</v>
      </c>
      <c r="P1888" s="3">
        <v>0.12928367399999999</v>
      </c>
      <c r="Q1888" s="3">
        <v>0.11886913</v>
      </c>
      <c r="R1888" s="3">
        <v>2.4382478299999999</v>
      </c>
      <c r="S1888" s="3">
        <v>15.275303040000001</v>
      </c>
      <c r="T1888" s="3">
        <v>1.341017962</v>
      </c>
      <c r="U1888" s="3">
        <v>0.57283540099999997</v>
      </c>
      <c r="V1888" s="3">
        <v>0.38037567500000002</v>
      </c>
      <c r="W1888" s="3">
        <v>0.736362038</v>
      </c>
      <c r="X1888" s="3">
        <v>3.8387851670000002</v>
      </c>
      <c r="Y1888" s="3">
        <v>14.028120980000001</v>
      </c>
      <c r="Z1888" s="3">
        <v>2.341017962</v>
      </c>
      <c r="AA1888" s="3">
        <v>3.2746430999999999E-2</v>
      </c>
      <c r="AB1888" s="3">
        <v>1.315323714</v>
      </c>
      <c r="AC1888" s="3">
        <v>5.2131763539999998</v>
      </c>
      <c r="AD1888" s="3">
        <v>4.9001401E-2</v>
      </c>
      <c r="AE1888" s="3">
        <v>0.36079702899999999</v>
      </c>
      <c r="AF1888" s="4">
        <v>41075</v>
      </c>
      <c r="AG1888" s="5">
        <f>YEAR(AF1888)</f>
        <v>2012</v>
      </c>
      <c r="AH1888" s="5" t="str">
        <f>"Q"&amp;ROUNDUP(MONTH(AF1888)/3,0)</f>
        <v>Q2</v>
      </c>
      <c r="AI1888" s="5">
        <f>INDEX(RatingLookup!$B$2:$B$11,MATCH(A1888,RatingLookup!$A$2:$A$11,0))</f>
        <v>6</v>
      </c>
      <c r="AJ1888" s="5" t="str">
        <f>INDEX(RatingLookup!$C$2:$C$11,MATCH(A1888,RatingLookup!$A$2:$A$11,0))</f>
        <v>Speculative Grade</v>
      </c>
    </row>
    <row r="1889" spans="1:36" x14ac:dyDescent="0.3">
      <c r="A1889" s="3" t="s">
        <v>92</v>
      </c>
      <c r="B1889" s="3" t="s">
        <v>1955</v>
      </c>
      <c r="C1889" s="3" t="s">
        <v>1956</v>
      </c>
      <c r="D1889" s="3" t="s">
        <v>60</v>
      </c>
      <c r="E1889" s="3" t="s">
        <v>1958</v>
      </c>
      <c r="F1889" s="3" t="s">
        <v>113</v>
      </c>
      <c r="G1889" s="3">
        <v>1.1474509020000001</v>
      </c>
      <c r="H1889" s="3">
        <v>0.82121644999999999</v>
      </c>
      <c r="I1889" s="3">
        <v>0.70500296600000001</v>
      </c>
      <c r="J1889" s="3">
        <v>0</v>
      </c>
      <c r="K1889" s="3">
        <v>2.14477E-4</v>
      </c>
      <c r="L1889" s="3">
        <v>-1.341084E-3</v>
      </c>
      <c r="M1889" s="3">
        <v>0.98988129599999997</v>
      </c>
      <c r="N1889" s="3">
        <v>-3.1290049999999998E-3</v>
      </c>
      <c r="O1889" s="3">
        <v>6.7805100000000004E-4</v>
      </c>
      <c r="P1889" s="3">
        <v>-7.5256120000000001E-3</v>
      </c>
      <c r="Q1889" s="3">
        <v>1.9505670000000001E-3</v>
      </c>
      <c r="R1889" s="3">
        <v>3.161421346</v>
      </c>
      <c r="S1889" s="3">
        <v>22.946823890000001</v>
      </c>
      <c r="T1889" s="3">
        <v>1.8767270760000001</v>
      </c>
      <c r="U1889" s="3">
        <v>0.65238273400000002</v>
      </c>
      <c r="V1889" s="3">
        <v>2.830351E-2</v>
      </c>
      <c r="W1889" s="3">
        <v>0.705250618</v>
      </c>
      <c r="X1889" s="3">
        <v>3.8157526540000002</v>
      </c>
      <c r="Y1889" s="3">
        <v>19.08526694</v>
      </c>
      <c r="Z1889" s="3">
        <v>2.8767270759999999</v>
      </c>
      <c r="AA1889" s="3">
        <v>-1.341084E-3</v>
      </c>
      <c r="AB1889" s="3">
        <v>6.6563265039999999</v>
      </c>
      <c r="AC1889" s="3">
        <v>5.4104917539999997</v>
      </c>
      <c r="AD1889" s="3">
        <v>3.2153147E-2</v>
      </c>
      <c r="AE1889" s="3">
        <v>0.45836534400000001</v>
      </c>
      <c r="AF1889" s="4">
        <v>41215</v>
      </c>
      <c r="AG1889" s="5">
        <f>YEAR(AF1889)</f>
        <v>2012</v>
      </c>
      <c r="AH1889" s="5" t="str">
        <f>"Q"&amp;ROUNDUP(MONTH(AF1889)/3,0)</f>
        <v>Q4</v>
      </c>
      <c r="AI1889" s="5">
        <f>INDEX(RatingLookup!$B$2:$B$11,MATCH(A1889,RatingLookup!$A$2:$A$11,0))</f>
        <v>6</v>
      </c>
      <c r="AJ1889" s="5" t="str">
        <f>INDEX(RatingLookup!$C$2:$C$11,MATCH(A1889,RatingLookup!$A$2:$A$11,0))</f>
        <v>Speculative Grade</v>
      </c>
    </row>
    <row r="1890" spans="1:36" x14ac:dyDescent="0.3">
      <c r="A1890" s="3" t="s">
        <v>92</v>
      </c>
      <c r="B1890" s="3" t="s">
        <v>1955</v>
      </c>
      <c r="C1890" s="3" t="s">
        <v>1956</v>
      </c>
      <c r="D1890" s="3" t="s">
        <v>60</v>
      </c>
      <c r="E1890" s="3" t="s">
        <v>443</v>
      </c>
      <c r="F1890" s="3" t="s">
        <v>113</v>
      </c>
      <c r="G1890" s="3">
        <v>0.97008001899999996</v>
      </c>
      <c r="H1890" s="3">
        <v>0.51432216200000003</v>
      </c>
      <c r="I1890" s="3">
        <v>0.45575785699999999</v>
      </c>
      <c r="J1890" s="3">
        <v>0</v>
      </c>
      <c r="K1890" s="3">
        <v>1.3839977999999999E-2</v>
      </c>
      <c r="L1890" s="3">
        <v>2.8492624000000001E-2</v>
      </c>
      <c r="M1890" s="3">
        <v>0.95409658399999997</v>
      </c>
      <c r="N1890" s="3">
        <v>3.1029133E-2</v>
      </c>
      <c r="O1890" s="3">
        <v>2.7825915E-2</v>
      </c>
      <c r="P1890" s="3">
        <v>9.9965440000000003E-2</v>
      </c>
      <c r="Q1890" s="3">
        <v>9.5335030000000001E-2</v>
      </c>
      <c r="R1890" s="3">
        <v>2.010546121</v>
      </c>
      <c r="S1890" s="3">
        <v>50.949811789999998</v>
      </c>
      <c r="T1890" s="3">
        <v>2.4261238340000002</v>
      </c>
      <c r="U1890" s="3">
        <v>0.70812496899999999</v>
      </c>
      <c r="V1890" s="3">
        <v>0.51771823699999997</v>
      </c>
      <c r="W1890" s="3">
        <v>0.83468395500000003</v>
      </c>
      <c r="X1890" s="3">
        <v>9.6824163060000004</v>
      </c>
      <c r="Y1890" s="3">
        <v>27.793861700000001</v>
      </c>
      <c r="Z1890" s="3">
        <v>3.4261238340000002</v>
      </c>
      <c r="AA1890" s="3">
        <v>2.8492624000000001E-2</v>
      </c>
      <c r="AB1890" s="3">
        <v>3.727068601</v>
      </c>
      <c r="AC1890" s="3">
        <v>11.60009876</v>
      </c>
      <c r="AD1890" s="3">
        <v>4.5583274E-2</v>
      </c>
      <c r="AE1890" s="3">
        <v>0.49534945499999999</v>
      </c>
      <c r="AF1890" s="4">
        <v>42669</v>
      </c>
      <c r="AG1890" s="5">
        <f>YEAR(AF1890)</f>
        <v>2016</v>
      </c>
      <c r="AH1890" s="5" t="str">
        <f>"Q"&amp;ROUNDUP(MONTH(AF1890)/3,0)</f>
        <v>Q4</v>
      </c>
      <c r="AI1890" s="5">
        <f>INDEX(RatingLookup!$B$2:$B$11,MATCH(A1890,RatingLookup!$A$2:$A$11,0))</f>
        <v>6</v>
      </c>
      <c r="AJ1890" s="5" t="str">
        <f>INDEX(RatingLookup!$C$2:$C$11,MATCH(A1890,RatingLookup!$A$2:$A$11,0))</f>
        <v>Speculative Grade</v>
      </c>
    </row>
    <row r="1891" spans="1:36" x14ac:dyDescent="0.3">
      <c r="A1891" s="3" t="s">
        <v>92</v>
      </c>
      <c r="B1891" s="3" t="s">
        <v>1959</v>
      </c>
      <c r="C1891" s="3" t="s">
        <v>1960</v>
      </c>
      <c r="D1891" s="3" t="s">
        <v>47</v>
      </c>
      <c r="E1891" s="3" t="s">
        <v>620</v>
      </c>
      <c r="F1891" s="3" t="s">
        <v>246</v>
      </c>
      <c r="G1891" s="3">
        <v>1.0742075550000001</v>
      </c>
      <c r="H1891" s="3">
        <v>0.95354773999999998</v>
      </c>
      <c r="I1891" s="3">
        <v>0.16470177999999999</v>
      </c>
      <c r="J1891" s="3">
        <v>10.89163293</v>
      </c>
      <c r="K1891" s="3">
        <v>0.161127829</v>
      </c>
      <c r="L1891" s="3">
        <v>0.25385245899999997</v>
      </c>
      <c r="M1891" s="3">
        <v>1</v>
      </c>
      <c r="N1891" s="3">
        <v>0.27190311900000003</v>
      </c>
      <c r="O1891" s="3">
        <v>0.13136704499999999</v>
      </c>
      <c r="P1891" s="3">
        <v>0.27055912399999998</v>
      </c>
      <c r="Q1891" s="3">
        <v>0.46363978</v>
      </c>
      <c r="R1891" s="3">
        <v>0.81529706099999999</v>
      </c>
      <c r="S1891" s="3">
        <v>1.2442377250000001</v>
      </c>
      <c r="T1891" s="3">
        <v>2.5293461869999998</v>
      </c>
      <c r="U1891" s="3">
        <v>0.71666140199999995</v>
      </c>
      <c r="V1891" s="3">
        <v>0.36526977300000002</v>
      </c>
      <c r="W1891" s="3">
        <v>0.424141082</v>
      </c>
      <c r="X1891" s="3">
        <v>8.9351958699999994</v>
      </c>
      <c r="Y1891" s="3">
        <v>20.284239299999999</v>
      </c>
      <c r="Z1891" s="3">
        <v>3.5293461869999998</v>
      </c>
      <c r="AA1891" s="3">
        <v>0.25385245899999997</v>
      </c>
      <c r="AB1891" s="3">
        <v>7.5196801000000004</v>
      </c>
      <c r="AC1891" s="3">
        <v>21.066565440000002</v>
      </c>
      <c r="AD1891" s="3">
        <v>0.25451505000000002</v>
      </c>
      <c r="AE1891" s="3">
        <v>16.07320425</v>
      </c>
      <c r="AF1891" s="4">
        <v>42627</v>
      </c>
      <c r="AG1891" s="5">
        <f>YEAR(AF1891)</f>
        <v>2016</v>
      </c>
      <c r="AH1891" s="5" t="str">
        <f>"Q"&amp;ROUNDUP(MONTH(AF1891)/3,0)</f>
        <v>Q3</v>
      </c>
      <c r="AI1891" s="5">
        <f>INDEX(RatingLookup!$B$2:$B$11,MATCH(A1891,RatingLookup!$A$2:$A$11,0))</f>
        <v>6</v>
      </c>
      <c r="AJ1891" s="5" t="str">
        <f>INDEX(RatingLookup!$C$2:$C$11,MATCH(A1891,RatingLookup!$A$2:$A$11,0))</f>
        <v>Speculative Grade</v>
      </c>
    </row>
    <row r="1892" spans="1:36" x14ac:dyDescent="0.3">
      <c r="A1892" s="3" t="s">
        <v>92</v>
      </c>
      <c r="B1892" s="3" t="s">
        <v>1959</v>
      </c>
      <c r="C1892" s="3" t="s">
        <v>1960</v>
      </c>
      <c r="D1892" s="3" t="s">
        <v>47</v>
      </c>
      <c r="E1892" s="3" t="s">
        <v>1701</v>
      </c>
      <c r="F1892" s="3" t="s">
        <v>246</v>
      </c>
      <c r="G1892" s="3">
        <v>1.017440304</v>
      </c>
      <c r="H1892" s="3">
        <v>0.89541738299999996</v>
      </c>
      <c r="I1892" s="3">
        <v>0.22424498300000001</v>
      </c>
      <c r="J1892" s="3">
        <v>4.3799259700000004</v>
      </c>
      <c r="K1892" s="3">
        <v>0.17459681099999999</v>
      </c>
      <c r="L1892" s="3">
        <v>0.27469679600000002</v>
      </c>
      <c r="M1892" s="3">
        <v>1</v>
      </c>
      <c r="N1892" s="3">
        <v>0.29449020300000001</v>
      </c>
      <c r="O1892" s="3">
        <v>0.16303928100000001</v>
      </c>
      <c r="P1892" s="3">
        <v>0.35996798200000002</v>
      </c>
      <c r="Q1892" s="3">
        <v>0.62963100500000002</v>
      </c>
      <c r="R1892" s="3">
        <v>0.93380445700000003</v>
      </c>
      <c r="S1892" s="3">
        <v>1.424684686</v>
      </c>
      <c r="T1892" s="3">
        <v>2.8618362589999999</v>
      </c>
      <c r="U1892" s="3">
        <v>0.74105582599999997</v>
      </c>
      <c r="V1892" s="3">
        <v>0.36452862400000002</v>
      </c>
      <c r="W1892" s="3">
        <v>0.308404974</v>
      </c>
      <c r="X1892" s="3">
        <v>6.658452993</v>
      </c>
      <c r="Y1892" s="3">
        <v>19.659339360000001</v>
      </c>
      <c r="Z1892" s="3">
        <v>3.8618362589999999</v>
      </c>
      <c r="AA1892" s="3">
        <v>0.27469679600000002</v>
      </c>
      <c r="AB1892" s="3">
        <v>6.9446033109999998</v>
      </c>
      <c r="AC1892" s="3">
        <v>21.589966319999998</v>
      </c>
      <c r="AD1892" s="3">
        <v>0.28947114099999999</v>
      </c>
      <c r="AE1892" s="3">
        <v>40.934274369999997</v>
      </c>
      <c r="AF1892" s="4">
        <v>42545</v>
      </c>
      <c r="AG1892" s="5">
        <f>YEAR(AF1892)</f>
        <v>2016</v>
      </c>
      <c r="AH1892" s="5" t="str">
        <f>"Q"&amp;ROUNDUP(MONTH(AF1892)/3,0)</f>
        <v>Q2</v>
      </c>
      <c r="AI1892" s="5">
        <f>INDEX(RatingLookup!$B$2:$B$11,MATCH(A1892,RatingLookup!$A$2:$A$11,0))</f>
        <v>6</v>
      </c>
      <c r="AJ1892" s="5" t="str">
        <f>INDEX(RatingLookup!$C$2:$C$11,MATCH(A1892,RatingLookup!$A$2:$A$11,0))</f>
        <v>Speculative Grade</v>
      </c>
    </row>
    <row r="1893" spans="1:36" x14ac:dyDescent="0.3">
      <c r="A1893" s="3" t="s">
        <v>92</v>
      </c>
      <c r="B1893" s="3" t="s">
        <v>1959</v>
      </c>
      <c r="C1893" s="3" t="s">
        <v>1960</v>
      </c>
      <c r="D1893" s="3" t="s">
        <v>47</v>
      </c>
      <c r="E1893" s="3" t="s">
        <v>389</v>
      </c>
      <c r="F1893" s="3" t="s">
        <v>246</v>
      </c>
      <c r="G1893" s="3">
        <v>1.479165735</v>
      </c>
      <c r="H1893" s="3">
        <v>1.2659374990000001</v>
      </c>
      <c r="I1893" s="3">
        <v>0.33617981699999999</v>
      </c>
      <c r="J1893" s="3">
        <v>6.1765848520000004</v>
      </c>
      <c r="K1893" s="3">
        <v>9.2629623999999994E-2</v>
      </c>
      <c r="L1893" s="3">
        <v>0.14724690100000001</v>
      </c>
      <c r="M1893" s="3">
        <v>1</v>
      </c>
      <c r="N1893" s="3">
        <v>0.15533504000000001</v>
      </c>
      <c r="O1893" s="3">
        <v>9.9197907000000002E-2</v>
      </c>
      <c r="P1893" s="3">
        <v>0.22935234700000001</v>
      </c>
      <c r="Q1893" s="3">
        <v>0.245574768</v>
      </c>
      <c r="R1893" s="3">
        <v>1.070909093</v>
      </c>
      <c r="S1893" s="3">
        <v>2.205901892</v>
      </c>
      <c r="T1893" s="3">
        <v>1.475604336</v>
      </c>
      <c r="U1893" s="3">
        <v>0.59605822900000005</v>
      </c>
      <c r="V1893" s="3">
        <v>0.374290974</v>
      </c>
      <c r="W1893" s="3">
        <v>9.8390962999999998E-2</v>
      </c>
      <c r="X1893" s="3">
        <v>1.0230249259999999</v>
      </c>
      <c r="Y1893" s="3">
        <v>18.54082172</v>
      </c>
      <c r="Z1893" s="3">
        <v>2.475604336</v>
      </c>
      <c r="AA1893" s="3">
        <v>0.14724690100000001</v>
      </c>
      <c r="AB1893" s="3">
        <v>8.2798635879999996</v>
      </c>
      <c r="AC1893" s="3">
        <v>10.397549639999999</v>
      </c>
      <c r="AD1893" s="3">
        <v>0.19764894799999999</v>
      </c>
      <c r="AE1893" s="3">
        <v>24.36693421</v>
      </c>
      <c r="AF1893" s="4">
        <v>41806</v>
      </c>
      <c r="AG1893" s="5">
        <f>YEAR(AF1893)</f>
        <v>2014</v>
      </c>
      <c r="AH1893" s="5" t="str">
        <f>"Q"&amp;ROUNDUP(MONTH(AF1893)/3,0)</f>
        <v>Q2</v>
      </c>
      <c r="AI1893" s="5">
        <f>INDEX(RatingLookup!$B$2:$B$11,MATCH(A1893,RatingLookup!$A$2:$A$11,0))</f>
        <v>6</v>
      </c>
      <c r="AJ1893" s="5" t="str">
        <f>INDEX(RatingLookup!$C$2:$C$11,MATCH(A1893,RatingLookup!$A$2:$A$11,0))</f>
        <v>Speculative Grade</v>
      </c>
    </row>
    <row r="1894" spans="1:36" x14ac:dyDescent="0.3">
      <c r="A1894" s="3" t="s">
        <v>92</v>
      </c>
      <c r="B1894" s="3" t="s">
        <v>1959</v>
      </c>
      <c r="C1894" s="3" t="s">
        <v>1960</v>
      </c>
      <c r="D1894" s="3" t="s">
        <v>47</v>
      </c>
      <c r="E1894" s="3" t="s">
        <v>474</v>
      </c>
      <c r="F1894" s="3" t="s">
        <v>246</v>
      </c>
      <c r="G1894" s="3">
        <v>1.1940121379999999</v>
      </c>
      <c r="H1894" s="3">
        <v>1.0288434</v>
      </c>
      <c r="I1894" s="3">
        <v>0.246745308</v>
      </c>
      <c r="J1894" s="3">
        <v>4.5634389459999998</v>
      </c>
      <c r="K1894" s="3">
        <v>7.6240538999999996E-2</v>
      </c>
      <c r="L1894" s="3">
        <v>0.12060286000000001</v>
      </c>
      <c r="M1894" s="3">
        <v>1</v>
      </c>
      <c r="N1894" s="3">
        <v>0.13838050499999999</v>
      </c>
      <c r="O1894" s="3">
        <v>6.9945173999999999E-2</v>
      </c>
      <c r="P1894" s="3">
        <v>0.15650346900000001</v>
      </c>
      <c r="Q1894" s="3">
        <v>0.29599114999999998</v>
      </c>
      <c r="R1894" s="3">
        <v>0.91742759500000004</v>
      </c>
      <c r="S1894" s="3">
        <v>1.5390798109999999</v>
      </c>
      <c r="T1894" s="3">
        <v>3.2317594079999998</v>
      </c>
      <c r="U1894" s="3">
        <v>0.76369167000000004</v>
      </c>
      <c r="V1894" s="3">
        <v>0.37065287899999999</v>
      </c>
      <c r="W1894" s="3">
        <v>-3.5721567000000003E-2</v>
      </c>
      <c r="X1894" s="3">
        <v>-0.54357267799999998</v>
      </c>
      <c r="Y1894" s="3">
        <v>20.27339387</v>
      </c>
      <c r="Z1894" s="3">
        <v>4.2317594080000003</v>
      </c>
      <c r="AA1894" s="3">
        <v>0.12060286000000001</v>
      </c>
      <c r="AB1894" s="3">
        <v>15.299173270000001</v>
      </c>
      <c r="AC1894" s="3">
        <v>15.21693271</v>
      </c>
      <c r="AD1894" s="3">
        <v>0.23726480699999999</v>
      </c>
      <c r="AE1894" s="3">
        <v>29.339177750000001</v>
      </c>
      <c r="AF1894" s="4">
        <v>42180</v>
      </c>
      <c r="AG1894" s="5">
        <f>YEAR(AF1894)</f>
        <v>2015</v>
      </c>
      <c r="AH1894" s="5" t="str">
        <f>"Q"&amp;ROUNDUP(MONTH(AF1894)/3,0)</f>
        <v>Q2</v>
      </c>
      <c r="AI1894" s="5">
        <f>INDEX(RatingLookup!$B$2:$B$11,MATCH(A1894,RatingLookup!$A$2:$A$11,0))</f>
        <v>6</v>
      </c>
      <c r="AJ1894" s="5" t="str">
        <f>INDEX(RatingLookup!$C$2:$C$11,MATCH(A1894,RatingLookup!$A$2:$A$11,0))</f>
        <v>Speculative Grade</v>
      </c>
    </row>
    <row r="1895" spans="1:36" x14ac:dyDescent="0.3">
      <c r="A1895" s="3" t="s">
        <v>42</v>
      </c>
      <c r="B1895" s="3" t="s">
        <v>1961</v>
      </c>
      <c r="C1895" s="3" t="s">
        <v>1962</v>
      </c>
      <c r="D1895" s="3" t="s">
        <v>60</v>
      </c>
      <c r="E1895" s="3" t="s">
        <v>46</v>
      </c>
      <c r="F1895" s="3" t="s">
        <v>59</v>
      </c>
      <c r="G1895" s="3">
        <v>1.4840202739999999</v>
      </c>
      <c r="H1895" s="3">
        <v>0.62182800500000002</v>
      </c>
      <c r="I1895" s="3">
        <v>0.22525899499999999</v>
      </c>
      <c r="J1895" s="3">
        <v>27.588798659999998</v>
      </c>
      <c r="K1895" s="3">
        <v>6.2452726E-2</v>
      </c>
      <c r="L1895" s="3">
        <v>9.2797431999999999E-2</v>
      </c>
      <c r="M1895" s="3">
        <v>0.33793146600000001</v>
      </c>
      <c r="N1895" s="3">
        <v>9.7925478999999996E-2</v>
      </c>
      <c r="O1895" s="3">
        <v>0.13513609700000001</v>
      </c>
      <c r="P1895" s="3">
        <v>0.34173535900000002</v>
      </c>
      <c r="Q1895" s="3">
        <v>0.44105155400000001</v>
      </c>
      <c r="R1895" s="3">
        <v>2.163814243</v>
      </c>
      <c r="S1895" s="3">
        <v>9.8564036829999999</v>
      </c>
      <c r="T1895" s="3">
        <v>2.263758261</v>
      </c>
      <c r="U1895" s="3">
        <v>0.69360475899999996</v>
      </c>
      <c r="V1895" s="3">
        <v>0.32699941700000001</v>
      </c>
      <c r="W1895" s="3">
        <v>0.49553465600000002</v>
      </c>
      <c r="X1895" s="3">
        <v>1.804778201</v>
      </c>
      <c r="Y1895" s="3">
        <v>2.5869447019999998</v>
      </c>
      <c r="Z1895" s="3">
        <v>3.263758261</v>
      </c>
      <c r="AA1895" s="3">
        <v>9.2797431999999999E-2</v>
      </c>
      <c r="AB1895" s="3">
        <v>2.522651067</v>
      </c>
      <c r="AC1895" s="3">
        <v>3.6420827070000001</v>
      </c>
      <c r="AD1895" s="3">
        <v>6.0445775E-2</v>
      </c>
      <c r="AE1895" s="3">
        <v>10.56716595</v>
      </c>
      <c r="AF1895" s="4">
        <v>41075</v>
      </c>
      <c r="AG1895" s="5">
        <f>YEAR(AF1895)</f>
        <v>2012</v>
      </c>
      <c r="AH1895" s="5" t="str">
        <f>"Q"&amp;ROUNDUP(MONTH(AF1895)/3,0)</f>
        <v>Q2</v>
      </c>
      <c r="AI1895" s="5">
        <f>INDEX(RatingLookup!$B$2:$B$11,MATCH(A1895,RatingLookup!$A$2:$A$11,0))</f>
        <v>7</v>
      </c>
      <c r="AJ1895" s="5" t="str">
        <f>INDEX(RatingLookup!$C$2:$C$11,MATCH(A1895,RatingLookup!$A$2:$A$11,0))</f>
        <v>Investment Grade</v>
      </c>
    </row>
    <row r="1896" spans="1:36" x14ac:dyDescent="0.3">
      <c r="A1896" s="3" t="s">
        <v>42</v>
      </c>
      <c r="B1896" s="3" t="s">
        <v>1963</v>
      </c>
      <c r="C1896" s="3" t="s">
        <v>1964</v>
      </c>
      <c r="D1896" s="3" t="s">
        <v>47</v>
      </c>
      <c r="E1896" s="3" t="s">
        <v>1401</v>
      </c>
      <c r="F1896" s="3" t="s">
        <v>96</v>
      </c>
      <c r="G1896" s="3">
        <v>1.480443701</v>
      </c>
      <c r="H1896" s="3">
        <v>0.89666931599999999</v>
      </c>
      <c r="I1896" s="3">
        <v>0.135066568</v>
      </c>
      <c r="J1896" s="3">
        <v>41.441455750000003</v>
      </c>
      <c r="K1896" s="3">
        <v>1.0073472E-2</v>
      </c>
      <c r="L1896" s="3">
        <v>1.4496632000000001E-2</v>
      </c>
      <c r="M1896" s="3">
        <v>4.877451E-2</v>
      </c>
      <c r="N1896" s="3">
        <v>1.5217259E-2</v>
      </c>
      <c r="O1896" s="3">
        <v>4.179364E-2</v>
      </c>
      <c r="P1896" s="3">
        <v>0.157656406</v>
      </c>
      <c r="Q1896" s="3">
        <v>0.132486769</v>
      </c>
      <c r="R1896" s="3">
        <v>4.1488814280000001</v>
      </c>
      <c r="S1896" s="3">
        <v>399.52418669999997</v>
      </c>
      <c r="T1896" s="3">
        <v>2.1700222610000002</v>
      </c>
      <c r="U1896" s="3">
        <v>0.68454480200000001</v>
      </c>
      <c r="V1896" s="3">
        <v>0.30511639099999999</v>
      </c>
      <c r="W1896" s="3">
        <v>0.88932394299999995</v>
      </c>
      <c r="X1896" s="3">
        <v>4.6820435680000001</v>
      </c>
      <c r="Y1896" s="3">
        <v>14.796618199999999</v>
      </c>
      <c r="Z1896" s="3">
        <v>3.1700222610000002</v>
      </c>
      <c r="AA1896" s="3">
        <v>1.4496632000000001E-2</v>
      </c>
      <c r="AB1896" s="3">
        <v>5.2737395979999997</v>
      </c>
      <c r="AC1896" s="3">
        <v>5.264722269</v>
      </c>
      <c r="AD1896" s="3">
        <v>7.1643119999999999E-3</v>
      </c>
      <c r="AE1896" s="3">
        <v>7.3209442229999997</v>
      </c>
      <c r="AF1896" s="4">
        <v>42635</v>
      </c>
      <c r="AG1896" s="5">
        <f>YEAR(AF1896)</f>
        <v>2016</v>
      </c>
      <c r="AH1896" s="5" t="str">
        <f>"Q"&amp;ROUNDUP(MONTH(AF1896)/3,0)</f>
        <v>Q3</v>
      </c>
      <c r="AI1896" s="5">
        <f>INDEX(RatingLookup!$B$2:$B$11,MATCH(A1896,RatingLookup!$A$2:$A$11,0))</f>
        <v>7</v>
      </c>
      <c r="AJ1896" s="5" t="str">
        <f>INDEX(RatingLookup!$C$2:$C$11,MATCH(A1896,RatingLookup!$A$2:$A$11,0))</f>
        <v>Investment Grade</v>
      </c>
    </row>
    <row r="1897" spans="1:36" x14ac:dyDescent="0.3">
      <c r="A1897" s="3" t="s">
        <v>42</v>
      </c>
      <c r="B1897" s="3" t="s">
        <v>1963</v>
      </c>
      <c r="C1897" s="3" t="s">
        <v>1964</v>
      </c>
      <c r="D1897" s="3" t="s">
        <v>60</v>
      </c>
      <c r="E1897" s="3" t="s">
        <v>1774</v>
      </c>
      <c r="F1897" s="3" t="s">
        <v>96</v>
      </c>
      <c r="G1897" s="3">
        <v>1.4774976740000001</v>
      </c>
      <c r="H1897" s="3">
        <v>0.92693144100000002</v>
      </c>
      <c r="I1897" s="3">
        <v>0.138686903</v>
      </c>
      <c r="J1897" s="3">
        <v>39.565040359999998</v>
      </c>
      <c r="K1897" s="3">
        <v>7.7920200000000002E-3</v>
      </c>
      <c r="L1897" s="3">
        <v>1.1149223E-2</v>
      </c>
      <c r="M1897" s="3">
        <v>5.2627018999999997E-2</v>
      </c>
      <c r="N1897" s="3">
        <v>1.2377546999999999E-2</v>
      </c>
      <c r="O1897" s="3">
        <v>3.5675209999999999E-2</v>
      </c>
      <c r="P1897" s="3">
        <v>0.1378181</v>
      </c>
      <c r="Q1897" s="3">
        <v>0.10456662</v>
      </c>
      <c r="R1897" s="3">
        <v>4.5784287319999999</v>
      </c>
      <c r="S1897" s="3">
        <v>298.9798973</v>
      </c>
      <c r="T1897" s="3">
        <v>1.9310723400000001</v>
      </c>
      <c r="U1897" s="3">
        <v>0.658827936</v>
      </c>
      <c r="V1897" s="3">
        <v>0.26572351500000002</v>
      </c>
      <c r="W1897" s="3">
        <v>0.97341144000000002</v>
      </c>
      <c r="X1897" s="3">
        <v>11.20087316</v>
      </c>
      <c r="Y1897" s="3">
        <v>11.54718965</v>
      </c>
      <c r="Z1897" s="3">
        <v>2.9310723400000001</v>
      </c>
      <c r="AA1897" s="3">
        <v>1.1149223E-2</v>
      </c>
      <c r="AB1897" s="3">
        <v>5.0054626009999996</v>
      </c>
      <c r="AC1897" s="3">
        <v>11.50682301</v>
      </c>
      <c r="AD1897" s="3">
        <v>1.9005195999999999E-2</v>
      </c>
      <c r="AE1897" s="3">
        <v>8.2470286500000007</v>
      </c>
      <c r="AF1897" s="4">
        <v>41166</v>
      </c>
      <c r="AG1897" s="5">
        <f>YEAR(AF1897)</f>
        <v>2012</v>
      </c>
      <c r="AH1897" s="5" t="str">
        <f>"Q"&amp;ROUNDUP(MONTH(AF1897)/3,0)</f>
        <v>Q3</v>
      </c>
      <c r="AI1897" s="5">
        <f>INDEX(RatingLookup!$B$2:$B$11,MATCH(A1897,RatingLookup!$A$2:$A$11,0))</f>
        <v>7</v>
      </c>
      <c r="AJ1897" s="5" t="str">
        <f>INDEX(RatingLookup!$C$2:$C$11,MATCH(A1897,RatingLookup!$A$2:$A$11,0))</f>
        <v>Investment Grade</v>
      </c>
    </row>
    <row r="1898" spans="1:36" x14ac:dyDescent="0.3">
      <c r="A1898" s="3" t="s">
        <v>92</v>
      </c>
      <c r="B1898" s="3" t="s">
        <v>1965</v>
      </c>
      <c r="C1898" s="3" t="s">
        <v>1966</v>
      </c>
      <c r="D1898" s="3" t="s">
        <v>47</v>
      </c>
      <c r="E1898" s="3" t="s">
        <v>102</v>
      </c>
      <c r="F1898" s="3" t="s">
        <v>219</v>
      </c>
      <c r="G1898" s="3">
        <v>3.4961532219999998</v>
      </c>
      <c r="H1898" s="3">
        <v>1.45735273</v>
      </c>
      <c r="I1898" s="3">
        <v>0.424842049</v>
      </c>
      <c r="J1898" s="3">
        <v>35.843021409999999</v>
      </c>
      <c r="K1898" s="3">
        <v>1.7933401000000002E-2</v>
      </c>
      <c r="L1898" s="3">
        <v>1.8821825E-2</v>
      </c>
      <c r="M1898" s="3">
        <v>0.110349052</v>
      </c>
      <c r="N1898" s="3">
        <v>3.6583114999999999E-2</v>
      </c>
      <c r="O1898" s="3">
        <v>2.1477693999999999E-2</v>
      </c>
      <c r="P1898" s="3">
        <v>2.5509542999999999E-2</v>
      </c>
      <c r="Q1898" s="3">
        <v>5.6169731000000001E-2</v>
      </c>
      <c r="R1898" s="3">
        <v>1.1976363919999999</v>
      </c>
      <c r="S1898" s="3">
        <v>2.8028858740000002</v>
      </c>
      <c r="T1898" s="3">
        <v>1.6152589479999999</v>
      </c>
      <c r="U1898" s="3">
        <v>0.61762868599999998</v>
      </c>
      <c r="V1898" s="3">
        <v>0.44388148300000002</v>
      </c>
      <c r="W1898" s="3">
        <v>0.81899276499999996</v>
      </c>
      <c r="X1898" s="3">
        <v>2.1749882820000002</v>
      </c>
      <c r="Y1898" s="3">
        <v>1.6330591240000001</v>
      </c>
      <c r="Z1898" s="3">
        <v>2.6152589480000001</v>
      </c>
      <c r="AA1898" s="3">
        <v>1.8821825E-2</v>
      </c>
      <c r="AB1898" s="3">
        <v>11.35177013</v>
      </c>
      <c r="AC1898" s="3">
        <v>2.6556868069999999</v>
      </c>
      <c r="AD1898" s="3">
        <v>7.0531679E-2</v>
      </c>
      <c r="AE1898" s="3">
        <v>15.904214250000001</v>
      </c>
      <c r="AF1898" s="4">
        <v>41886</v>
      </c>
      <c r="AG1898" s="5">
        <f>YEAR(AF1898)</f>
        <v>2014</v>
      </c>
      <c r="AH1898" s="5" t="str">
        <f>"Q"&amp;ROUNDUP(MONTH(AF1898)/3,0)</f>
        <v>Q3</v>
      </c>
      <c r="AI1898" s="5">
        <f>INDEX(RatingLookup!$B$2:$B$11,MATCH(A1898,RatingLookup!$A$2:$A$11,0))</f>
        <v>6</v>
      </c>
      <c r="AJ1898" s="5" t="str">
        <f>INDEX(RatingLookup!$C$2:$C$11,MATCH(A1898,RatingLookup!$A$2:$A$11,0))</f>
        <v>Speculative Grade</v>
      </c>
    </row>
    <row r="1899" spans="1:36" x14ac:dyDescent="0.3">
      <c r="A1899" s="3" t="s">
        <v>49</v>
      </c>
      <c r="B1899" s="3" t="s">
        <v>1967</v>
      </c>
      <c r="C1899" s="3" t="s">
        <v>1968</v>
      </c>
      <c r="D1899" s="3" t="s">
        <v>60</v>
      </c>
      <c r="E1899" s="3" t="s">
        <v>696</v>
      </c>
      <c r="F1899" s="3" t="s">
        <v>96</v>
      </c>
      <c r="G1899" s="3">
        <v>6.2907615180000001</v>
      </c>
      <c r="H1899" s="3">
        <v>5.9960611119999996</v>
      </c>
      <c r="I1899" s="3">
        <v>0.77094772</v>
      </c>
      <c r="J1899" s="3">
        <v>57.160636740000001</v>
      </c>
      <c r="K1899" s="3">
        <v>0.21577011700000001</v>
      </c>
      <c r="L1899" s="3">
        <v>0.267524814</v>
      </c>
      <c r="M1899" s="3">
        <v>0.61075416500000002</v>
      </c>
      <c r="N1899" s="3">
        <v>0.26271712200000003</v>
      </c>
      <c r="O1899" s="3">
        <v>0.11628864999999999</v>
      </c>
      <c r="P1899" s="3">
        <v>0.16020856999999999</v>
      </c>
      <c r="Q1899" s="3">
        <v>0.14009321299999999</v>
      </c>
      <c r="R1899" s="3">
        <v>0.53894696600000003</v>
      </c>
      <c r="S1899" s="3">
        <v>2.6369106740000001</v>
      </c>
      <c r="T1899" s="3">
        <v>0.20470237899999999</v>
      </c>
      <c r="U1899" s="3">
        <v>0.16991946099999999</v>
      </c>
      <c r="V1899" s="3">
        <v>0.193457557</v>
      </c>
      <c r="W1899" s="3">
        <v>0.71661671699999996</v>
      </c>
      <c r="X1899" s="3">
        <v>74.916884730000007</v>
      </c>
      <c r="Y1899" s="3">
        <v>250.45691640000001</v>
      </c>
      <c r="Z1899" s="3">
        <v>1.204702379</v>
      </c>
      <c r="AA1899" s="3">
        <v>0.267524814</v>
      </c>
      <c r="AB1899" s="3">
        <v>8.9610953999999996</v>
      </c>
      <c r="AC1899" s="3">
        <v>104.5424744</v>
      </c>
      <c r="AD1899" s="3">
        <v>0.39919354800000001</v>
      </c>
      <c r="AE1899" s="3">
        <v>17.216070550000001</v>
      </c>
      <c r="AF1899" s="4">
        <v>42584</v>
      </c>
      <c r="AG1899" s="5">
        <f>YEAR(AF1899)</f>
        <v>2016</v>
      </c>
      <c r="AH1899" s="5" t="str">
        <f>"Q"&amp;ROUNDUP(MONTH(AF1899)/3,0)</f>
        <v>Q3</v>
      </c>
      <c r="AI1899" s="5">
        <f>INDEX(RatingLookup!$B$2:$B$11,MATCH(A1899,RatingLookup!$A$2:$A$11,0))</f>
        <v>9</v>
      </c>
      <c r="AJ1899" s="5" t="str">
        <f>INDEX(RatingLookup!$C$2:$C$11,MATCH(A1899,RatingLookup!$A$2:$A$11,0))</f>
        <v>Investment Grade</v>
      </c>
    </row>
    <row r="1900" spans="1:36" x14ac:dyDescent="0.3">
      <c r="A1900" s="3" t="s">
        <v>49</v>
      </c>
      <c r="B1900" s="3" t="s">
        <v>1967</v>
      </c>
      <c r="C1900" s="3" t="s">
        <v>1968</v>
      </c>
      <c r="D1900" s="3" t="s">
        <v>60</v>
      </c>
      <c r="E1900" s="3" t="s">
        <v>1606</v>
      </c>
      <c r="F1900" s="3" t="s">
        <v>96</v>
      </c>
      <c r="G1900" s="3">
        <v>4.6667011909999996</v>
      </c>
      <c r="H1900" s="3">
        <v>4.3822889690000002</v>
      </c>
      <c r="I1900" s="3">
        <v>0.85701709000000004</v>
      </c>
      <c r="J1900" s="3">
        <v>56.247449629999998</v>
      </c>
      <c r="K1900" s="3">
        <v>0.21800530700000001</v>
      </c>
      <c r="L1900" s="3">
        <v>0.26205176800000002</v>
      </c>
      <c r="M1900" s="3">
        <v>0.62442491600000005</v>
      </c>
      <c r="N1900" s="3">
        <v>0.25817119799999999</v>
      </c>
      <c r="O1900" s="3">
        <v>0.110863211</v>
      </c>
      <c r="P1900" s="3">
        <v>0.153342541</v>
      </c>
      <c r="Q1900" s="3">
        <v>0.13585859</v>
      </c>
      <c r="R1900" s="3">
        <v>0.50853446000000002</v>
      </c>
      <c r="S1900" s="3">
        <v>2.5844017090000002</v>
      </c>
      <c r="T1900" s="3">
        <v>0.22546143599999999</v>
      </c>
      <c r="U1900" s="3">
        <v>0.183980849</v>
      </c>
      <c r="V1900" s="3">
        <v>0.16808304900000001</v>
      </c>
      <c r="W1900" s="3">
        <v>0.61900553300000005</v>
      </c>
      <c r="X1900" s="3">
        <v>46.932039000000003</v>
      </c>
      <c r="Y1900" s="3">
        <v>212.87083999999999</v>
      </c>
      <c r="Z1900" s="3">
        <v>1.225461436</v>
      </c>
      <c r="AA1900" s="3">
        <v>0.26205176800000002</v>
      </c>
      <c r="AB1900" s="3">
        <v>9.9775580779999995</v>
      </c>
      <c r="AC1900" s="3">
        <v>75.818448259999997</v>
      </c>
      <c r="AD1900" s="3">
        <v>0.34703756600000002</v>
      </c>
      <c r="AE1900" s="3">
        <v>14.58518902</v>
      </c>
      <c r="AF1900" s="4">
        <v>42412</v>
      </c>
      <c r="AG1900" s="5">
        <f>YEAR(AF1900)</f>
        <v>2016</v>
      </c>
      <c r="AH1900" s="5" t="str">
        <f>"Q"&amp;ROUNDUP(MONTH(AF1900)/3,0)</f>
        <v>Q1</v>
      </c>
      <c r="AI1900" s="5">
        <f>INDEX(RatingLookup!$B$2:$B$11,MATCH(A1900,RatingLookup!$A$2:$A$11,0))</f>
        <v>9</v>
      </c>
      <c r="AJ1900" s="5" t="str">
        <f>INDEX(RatingLookup!$C$2:$C$11,MATCH(A1900,RatingLookup!$A$2:$A$11,0))</f>
        <v>Investment Grade</v>
      </c>
    </row>
    <row r="1901" spans="1:36" x14ac:dyDescent="0.3">
      <c r="A1901" s="3" t="s">
        <v>36</v>
      </c>
      <c r="B1901" s="3" t="s">
        <v>1969</v>
      </c>
      <c r="C1901" s="3" t="s">
        <v>1970</v>
      </c>
      <c r="D1901" s="3" t="s">
        <v>60</v>
      </c>
      <c r="E1901" s="3" t="s">
        <v>1971</v>
      </c>
      <c r="F1901" s="3" t="s">
        <v>215</v>
      </c>
      <c r="G1901" s="3">
        <v>2.026795683</v>
      </c>
      <c r="H1901" s="3">
        <v>1.2646073689999999</v>
      </c>
      <c r="I1901" s="3">
        <v>0.65463342000000002</v>
      </c>
      <c r="J1901" s="3">
        <v>22.273414989999999</v>
      </c>
      <c r="K1901" s="3">
        <v>0.45590778100000001</v>
      </c>
      <c r="L1901" s="3">
        <v>0.45180115300000001</v>
      </c>
      <c r="M1901" s="3">
        <v>1</v>
      </c>
      <c r="N1901" s="3">
        <v>0.653025937</v>
      </c>
      <c r="O1901" s="3">
        <v>0.157272095</v>
      </c>
      <c r="P1901" s="3">
        <v>0.17988067199999999</v>
      </c>
      <c r="Q1901" s="3">
        <v>0.212050131</v>
      </c>
      <c r="R1901" s="3">
        <v>0.34496470800000001</v>
      </c>
      <c r="S1901" s="3">
        <v>7.3516949150000004</v>
      </c>
      <c r="T1901" s="3">
        <v>0.348301052</v>
      </c>
      <c r="U1901" s="3">
        <v>0.25832587699999998</v>
      </c>
      <c r="V1901" s="3">
        <v>0.42529102200000002</v>
      </c>
      <c r="W1901" s="3">
        <v>0.93712029200000002</v>
      </c>
      <c r="X1901" s="3">
        <v>3.1576253840000001</v>
      </c>
      <c r="Y1901" s="3">
        <v>3.044524053</v>
      </c>
      <c r="Z1901" s="3">
        <v>1.3483010520000001</v>
      </c>
      <c r="AA1901" s="3">
        <v>0.45180115300000001</v>
      </c>
      <c r="AB1901" s="3">
        <v>11.923127470000001</v>
      </c>
      <c r="AC1901" s="3">
        <v>3.3694984649999999</v>
      </c>
      <c r="AD1901" s="3">
        <v>0.47435158500000002</v>
      </c>
      <c r="AE1901" s="3">
        <v>0</v>
      </c>
      <c r="AF1901" s="4">
        <v>42347</v>
      </c>
      <c r="AG1901" s="5">
        <f>YEAR(AF1901)</f>
        <v>2015</v>
      </c>
      <c r="AH1901" s="5" t="str">
        <f>"Q"&amp;ROUNDUP(MONTH(AF1901)/3,0)</f>
        <v>Q4</v>
      </c>
      <c r="AI1901" s="5">
        <f>INDEX(RatingLookup!$B$2:$B$11,MATCH(A1901,RatingLookup!$A$2:$A$11,0))</f>
        <v>8</v>
      </c>
      <c r="AJ1901" s="5" t="str">
        <f>INDEX(RatingLookup!$C$2:$C$11,MATCH(A1901,RatingLookup!$A$2:$A$11,0))</f>
        <v>Investment Grade</v>
      </c>
    </row>
    <row r="1902" spans="1:36" x14ac:dyDescent="0.3">
      <c r="A1902" s="3" t="s">
        <v>92</v>
      </c>
      <c r="B1902" s="3" t="s">
        <v>1972</v>
      </c>
      <c r="C1902" s="3" t="s">
        <v>1973</v>
      </c>
      <c r="D1902" s="3" t="s">
        <v>60</v>
      </c>
      <c r="E1902" s="3" t="s">
        <v>1974</v>
      </c>
      <c r="F1902" s="3" t="s">
        <v>66</v>
      </c>
      <c r="G1902" s="3">
        <v>1.0448469170000001</v>
      </c>
      <c r="H1902" s="3">
        <v>0.56883354900000005</v>
      </c>
      <c r="I1902" s="3">
        <v>0.20073307500000001</v>
      </c>
      <c r="J1902" s="3">
        <v>57.31266239</v>
      </c>
      <c r="K1902" s="3">
        <v>3.607643E-2</v>
      </c>
      <c r="L1902" s="3">
        <v>3.1914649000000003E-2</v>
      </c>
      <c r="M1902" s="3">
        <v>0.59853762799999999</v>
      </c>
      <c r="N1902" s="3">
        <v>5.8448873999999998E-2</v>
      </c>
      <c r="O1902" s="3">
        <v>2.2097968999999999E-2</v>
      </c>
      <c r="P1902" s="3">
        <v>2.6463298E-2</v>
      </c>
      <c r="Q1902" s="3">
        <v>0.43559133799999999</v>
      </c>
      <c r="R1902" s="3">
        <v>0.61253204100000003</v>
      </c>
      <c r="S1902" s="3">
        <v>6.8103664269999999</v>
      </c>
      <c r="T1902" s="3">
        <v>18.711826760000001</v>
      </c>
      <c r="U1902" s="3">
        <v>0.94926903500000004</v>
      </c>
      <c r="V1902" s="3">
        <v>-0.29106628200000001</v>
      </c>
      <c r="W1902" s="3">
        <v>0.70063821299999995</v>
      </c>
      <c r="X1902" s="3">
        <v>1.0167872650000001</v>
      </c>
      <c r="Y1902" s="3">
        <v>1.077858177</v>
      </c>
      <c r="Z1902" s="3">
        <v>19.711826760000001</v>
      </c>
      <c r="AA1902" s="3">
        <v>3.1914649000000003E-2</v>
      </c>
      <c r="AB1902" s="3">
        <v>26.890137800000002</v>
      </c>
      <c r="AC1902" s="3">
        <v>1.4512301009999999</v>
      </c>
      <c r="AD1902" s="3">
        <v>0.115288221</v>
      </c>
      <c r="AE1902" s="3">
        <v>1.894942479</v>
      </c>
      <c r="AF1902" s="4">
        <v>42646</v>
      </c>
      <c r="AG1902" s="5">
        <f>YEAR(AF1902)</f>
        <v>2016</v>
      </c>
      <c r="AH1902" s="5" t="str">
        <f>"Q"&amp;ROUNDUP(MONTH(AF1902)/3,0)</f>
        <v>Q4</v>
      </c>
      <c r="AI1902" s="5">
        <f>INDEX(RatingLookup!$B$2:$B$11,MATCH(A1902,RatingLookup!$A$2:$A$11,0))</f>
        <v>6</v>
      </c>
      <c r="AJ1902" s="5" t="str">
        <f>INDEX(RatingLookup!$C$2:$C$11,MATCH(A1902,RatingLookup!$A$2:$A$11,0))</f>
        <v>Speculative Grade</v>
      </c>
    </row>
    <row r="1903" spans="1:36" x14ac:dyDescent="0.3">
      <c r="A1903" s="3" t="s">
        <v>109</v>
      </c>
      <c r="B1903" s="3" t="s">
        <v>1975</v>
      </c>
      <c r="C1903" s="3" t="s">
        <v>1976</v>
      </c>
      <c r="D1903" s="3" t="s">
        <v>47</v>
      </c>
      <c r="E1903" s="3" t="s">
        <v>742</v>
      </c>
      <c r="F1903" s="3" t="s">
        <v>53</v>
      </c>
      <c r="G1903" s="3">
        <v>4.1806665040000004</v>
      </c>
      <c r="H1903" s="3">
        <v>3.6800220370000001</v>
      </c>
      <c r="I1903" s="3">
        <v>3.3155628429999999</v>
      </c>
      <c r="J1903" s="3">
        <v>129.3507942</v>
      </c>
      <c r="K1903" s="3">
        <v>-2.5386981419999999</v>
      </c>
      <c r="L1903" s="3">
        <v>-2.5462465339999998</v>
      </c>
      <c r="M1903" s="3">
        <v>1</v>
      </c>
      <c r="N1903" s="3">
        <v>-2.249617787</v>
      </c>
      <c r="O1903" s="3">
        <v>-0.23198564099999999</v>
      </c>
      <c r="P1903" s="3">
        <v>-0.25600241400000001</v>
      </c>
      <c r="Q1903" s="3">
        <v>-0.44860689100000001</v>
      </c>
      <c r="R1903" s="3">
        <v>9.1379766000000001E-2</v>
      </c>
      <c r="S1903" s="3">
        <v>0.164138375</v>
      </c>
      <c r="T1903" s="3">
        <v>0.93377007700000003</v>
      </c>
      <c r="U1903" s="3">
        <v>0.48287543999999999</v>
      </c>
      <c r="V1903" s="3">
        <v>2.9645169999999998E-3</v>
      </c>
      <c r="W1903" s="3">
        <v>1</v>
      </c>
      <c r="X1903" s="3">
        <v>2.7973840679999999</v>
      </c>
      <c r="Y1903" s="3">
        <v>10.59329237</v>
      </c>
      <c r="Z1903" s="3">
        <v>1.9337700769999999</v>
      </c>
      <c r="AA1903" s="3">
        <v>-2.5462465339999998</v>
      </c>
      <c r="AB1903" s="3">
        <v>-4.611549417</v>
      </c>
      <c r="AC1903" s="3">
        <v>2.7973840679999999</v>
      </c>
      <c r="AD1903" s="3">
        <v>0.875445052</v>
      </c>
      <c r="AE1903" s="3">
        <v>0</v>
      </c>
      <c r="AF1903" s="4">
        <v>42649</v>
      </c>
      <c r="AG1903" s="5">
        <f>YEAR(AF1903)</f>
        <v>2016</v>
      </c>
      <c r="AH1903" s="5" t="str">
        <f>"Q"&amp;ROUNDUP(MONTH(AF1903)/3,0)</f>
        <v>Q4</v>
      </c>
      <c r="AI1903" s="5">
        <f>INDEX(RatingLookup!$B$2:$B$11,MATCH(A1903,RatingLookup!$A$2:$A$11,0))</f>
        <v>5</v>
      </c>
      <c r="AJ1903" s="5" t="str">
        <f>INDEX(RatingLookup!$C$2:$C$11,MATCH(A1903,RatingLookup!$A$2:$A$11,0))</f>
        <v>Speculative Grade</v>
      </c>
    </row>
    <row r="1904" spans="1:36" x14ac:dyDescent="0.3">
      <c r="A1904" s="3" t="s">
        <v>42</v>
      </c>
      <c r="B1904" s="3" t="s">
        <v>1977</v>
      </c>
      <c r="C1904" s="3" t="s">
        <v>1978</v>
      </c>
      <c r="D1904" s="3" t="s">
        <v>39</v>
      </c>
      <c r="E1904" s="3" t="s">
        <v>151</v>
      </c>
      <c r="F1904" s="3" t="s">
        <v>113</v>
      </c>
      <c r="G1904" s="3">
        <v>1.365489628</v>
      </c>
      <c r="H1904" s="3">
        <v>1.1115776020000001</v>
      </c>
      <c r="I1904" s="3">
        <v>2.7112164000000001E-2</v>
      </c>
      <c r="J1904" s="3">
        <v>58.050756409999998</v>
      </c>
      <c r="K1904" s="3">
        <v>6.7615742000000006E-2</v>
      </c>
      <c r="L1904" s="3">
        <v>6.9075075E-2</v>
      </c>
      <c r="M1904" s="3">
        <v>1</v>
      </c>
      <c r="N1904" s="3">
        <v>0.13183658000000001</v>
      </c>
      <c r="O1904" s="3">
        <v>6.0766222000000002E-2</v>
      </c>
      <c r="P1904" s="3">
        <v>7.1501598999999999E-2</v>
      </c>
      <c r="Q1904" s="3">
        <v>0.14597186400000001</v>
      </c>
      <c r="R1904" s="3">
        <v>0.89869933999999996</v>
      </c>
      <c r="S1904" s="3">
        <v>2.1918499090000001</v>
      </c>
      <c r="T1904" s="3">
        <v>1.4021875580000001</v>
      </c>
      <c r="U1904" s="3">
        <v>0.58371277200000005</v>
      </c>
      <c r="V1904" s="3">
        <v>0.58277405100000002</v>
      </c>
      <c r="W1904" s="3">
        <v>0.62239688900000001</v>
      </c>
      <c r="X1904" s="3">
        <v>6.5238499990000003</v>
      </c>
      <c r="Y1904" s="3">
        <v>0.32449962599999999</v>
      </c>
      <c r="Z1904" s="3">
        <v>2.4021875580000001</v>
      </c>
      <c r="AA1904" s="3">
        <v>6.9075075E-2</v>
      </c>
      <c r="AB1904" s="3">
        <v>9.2979533950000004</v>
      </c>
      <c r="AC1904" s="3">
        <v>10.48181653</v>
      </c>
      <c r="AD1904" s="3">
        <v>0.128435726</v>
      </c>
      <c r="AE1904" s="3">
        <v>0</v>
      </c>
      <c r="AF1904" s="4">
        <v>42123</v>
      </c>
      <c r="AG1904" s="5">
        <f>YEAR(AF1904)</f>
        <v>2015</v>
      </c>
      <c r="AH1904" s="5" t="str">
        <f>"Q"&amp;ROUNDUP(MONTH(AF1904)/3,0)</f>
        <v>Q2</v>
      </c>
      <c r="AI1904" s="5">
        <f>INDEX(RatingLookup!$B$2:$B$11,MATCH(A1904,RatingLookup!$A$2:$A$11,0))</f>
        <v>7</v>
      </c>
      <c r="AJ1904" s="5" t="str">
        <f>INDEX(RatingLookup!$C$2:$C$11,MATCH(A1904,RatingLookup!$A$2:$A$11,0))</f>
        <v>Investment Grade</v>
      </c>
    </row>
    <row r="1905" spans="1:36" x14ac:dyDescent="0.3">
      <c r="A1905" s="3" t="s">
        <v>42</v>
      </c>
      <c r="B1905" s="3" t="s">
        <v>1977</v>
      </c>
      <c r="C1905" s="3" t="s">
        <v>1978</v>
      </c>
      <c r="D1905" s="3" t="s">
        <v>39</v>
      </c>
      <c r="E1905" s="3" t="s">
        <v>146</v>
      </c>
      <c r="F1905" s="3" t="s">
        <v>113</v>
      </c>
      <c r="G1905" s="3">
        <v>1.351396563</v>
      </c>
      <c r="H1905" s="3">
        <v>1.0701121250000001</v>
      </c>
      <c r="I1905" s="3">
        <v>1.6263982999999999E-2</v>
      </c>
      <c r="J1905" s="3">
        <v>55.972093360000002</v>
      </c>
      <c r="K1905" s="3">
        <v>7.0118818999999999E-2</v>
      </c>
      <c r="L1905" s="3">
        <v>7.4311672999999995E-2</v>
      </c>
      <c r="M1905" s="3">
        <v>1</v>
      </c>
      <c r="N1905" s="3">
        <v>0.139413484</v>
      </c>
      <c r="O1905" s="3">
        <v>6.1447307999999999E-2</v>
      </c>
      <c r="P1905" s="3">
        <v>7.4639452999999994E-2</v>
      </c>
      <c r="Q1905" s="3">
        <v>0.15714963100000001</v>
      </c>
      <c r="R1905" s="3">
        <v>0.87633117699999996</v>
      </c>
      <c r="S1905" s="3">
        <v>2.116055894</v>
      </c>
      <c r="T1905" s="3">
        <v>1.5574697559999999</v>
      </c>
      <c r="U1905" s="3">
        <v>0.608988533</v>
      </c>
      <c r="V1905" s="3">
        <v>0.58253228999999995</v>
      </c>
      <c r="W1905" s="3">
        <v>0.59457546100000003</v>
      </c>
      <c r="X1905" s="3">
        <v>5.3629696119999997</v>
      </c>
      <c r="Y1905" s="3">
        <v>0.17583874799999999</v>
      </c>
      <c r="Z1905" s="3">
        <v>2.5574697560000001</v>
      </c>
      <c r="AA1905" s="3">
        <v>7.4311672999999995E-2</v>
      </c>
      <c r="AB1905" s="3">
        <v>8.2957924900000002</v>
      </c>
      <c r="AC1905" s="3">
        <v>9.0198300570000001</v>
      </c>
      <c r="AD1905" s="3">
        <v>0.12139794199999999</v>
      </c>
      <c r="AE1905" s="3">
        <v>0</v>
      </c>
      <c r="AF1905" s="4">
        <v>41773</v>
      </c>
      <c r="AG1905" s="5">
        <f>YEAR(AF1905)</f>
        <v>2014</v>
      </c>
      <c r="AH1905" s="5" t="str">
        <f>"Q"&amp;ROUNDUP(MONTH(AF1905)/3,0)</f>
        <v>Q2</v>
      </c>
      <c r="AI1905" s="5">
        <f>INDEX(RatingLookup!$B$2:$B$11,MATCH(A1905,RatingLookup!$A$2:$A$11,0))</f>
        <v>7</v>
      </c>
      <c r="AJ1905" s="5" t="str">
        <f>INDEX(RatingLookup!$C$2:$C$11,MATCH(A1905,RatingLookup!$A$2:$A$11,0))</f>
        <v>Investment Grade</v>
      </c>
    </row>
    <row r="1906" spans="1:36" x14ac:dyDescent="0.3">
      <c r="A1906" s="3" t="s">
        <v>42</v>
      </c>
      <c r="B1906" s="3" t="s">
        <v>1977</v>
      </c>
      <c r="C1906" s="3" t="s">
        <v>1978</v>
      </c>
      <c r="D1906" s="3" t="s">
        <v>39</v>
      </c>
      <c r="E1906" s="3" t="s">
        <v>1546</v>
      </c>
      <c r="F1906" s="3" t="s">
        <v>113</v>
      </c>
      <c r="G1906" s="3">
        <v>1.5615182030000001</v>
      </c>
      <c r="H1906" s="3">
        <v>1.2392307929999999</v>
      </c>
      <c r="I1906" s="3">
        <v>5.5641281000000001E-2</v>
      </c>
      <c r="J1906" s="3">
        <v>52.566944300000003</v>
      </c>
      <c r="K1906" s="3">
        <v>7.5250918999999999E-2</v>
      </c>
      <c r="L1906" s="3">
        <v>0.12671058900000001</v>
      </c>
      <c r="M1906" s="3">
        <v>1</v>
      </c>
      <c r="N1906" s="3">
        <v>0.13926044400000001</v>
      </c>
      <c r="O1906" s="3">
        <v>7.0637327999999999E-2</v>
      </c>
      <c r="P1906" s="3">
        <v>0.134279393</v>
      </c>
      <c r="Q1906" s="3">
        <v>0.160137536</v>
      </c>
      <c r="R1906" s="3">
        <v>0.93869056799999995</v>
      </c>
      <c r="S1906" s="3">
        <v>2.3575346370000001</v>
      </c>
      <c r="T1906" s="3">
        <v>1.267038415</v>
      </c>
      <c r="U1906" s="3">
        <v>0.55889587299999999</v>
      </c>
      <c r="V1906" s="3">
        <v>0.34488406900000002</v>
      </c>
      <c r="W1906" s="3">
        <v>1</v>
      </c>
      <c r="X1906" s="3">
        <v>10.33328947</v>
      </c>
      <c r="Y1906" s="3">
        <v>0.61973541700000001</v>
      </c>
      <c r="Z1906" s="3">
        <v>2.267038415</v>
      </c>
      <c r="AA1906" s="3">
        <v>0.12671058900000001</v>
      </c>
      <c r="AB1906" s="3">
        <v>8.7558367029999999</v>
      </c>
      <c r="AC1906" s="3">
        <v>10.33328947</v>
      </c>
      <c r="AD1906" s="3">
        <v>0.11288810000000001</v>
      </c>
      <c r="AE1906" s="3">
        <v>0</v>
      </c>
      <c r="AF1906" s="4">
        <v>42326</v>
      </c>
      <c r="AG1906" s="5">
        <f>YEAR(AF1906)</f>
        <v>2015</v>
      </c>
      <c r="AH1906" s="5" t="str">
        <f>"Q"&amp;ROUNDUP(MONTH(AF1906)/3,0)</f>
        <v>Q4</v>
      </c>
      <c r="AI1906" s="5">
        <f>INDEX(RatingLookup!$B$2:$B$11,MATCH(A1906,RatingLookup!$A$2:$A$11,0))</f>
        <v>7</v>
      </c>
      <c r="AJ1906" s="5" t="str">
        <f>INDEX(RatingLookup!$C$2:$C$11,MATCH(A1906,RatingLookup!$A$2:$A$11,0))</f>
        <v>Investment Grade</v>
      </c>
    </row>
    <row r="1907" spans="1:36" x14ac:dyDescent="0.3">
      <c r="A1907" s="3" t="s">
        <v>42</v>
      </c>
      <c r="B1907" s="3" t="s">
        <v>1979</v>
      </c>
      <c r="C1907" s="3" t="s">
        <v>1980</v>
      </c>
      <c r="D1907" s="3" t="s">
        <v>47</v>
      </c>
      <c r="E1907" s="3" t="s">
        <v>224</v>
      </c>
      <c r="F1907" s="3" t="s">
        <v>59</v>
      </c>
      <c r="G1907" s="3">
        <v>1.697033754</v>
      </c>
      <c r="H1907" s="3">
        <v>1.192362768</v>
      </c>
      <c r="I1907" s="3">
        <v>0.54769860199999998</v>
      </c>
      <c r="J1907" s="3">
        <v>55.439326510000001</v>
      </c>
      <c r="K1907" s="3">
        <v>0.14014427300000001</v>
      </c>
      <c r="L1907" s="3">
        <v>0.19231078200000001</v>
      </c>
      <c r="M1907" s="3">
        <v>0.48725157800000002</v>
      </c>
      <c r="N1907" s="3">
        <v>0.200183153</v>
      </c>
      <c r="O1907" s="3">
        <v>0.106510537</v>
      </c>
      <c r="P1907" s="3">
        <v>0.17803757100000001</v>
      </c>
      <c r="Q1907" s="3">
        <v>0.32452844199999997</v>
      </c>
      <c r="R1907" s="3">
        <v>0.76000634899999997</v>
      </c>
      <c r="S1907" s="3">
        <v>11.366508400000001</v>
      </c>
      <c r="T1907" s="3">
        <v>2.0469139479999998</v>
      </c>
      <c r="U1907" s="3">
        <v>0.67179906700000003</v>
      </c>
      <c r="V1907" s="3">
        <v>0.27126148700000002</v>
      </c>
      <c r="W1907" s="3">
        <v>0.88600580500000004</v>
      </c>
      <c r="X1907" s="3">
        <v>2.9137980909999999</v>
      </c>
      <c r="Y1907" s="3">
        <v>2.3234017929999999</v>
      </c>
      <c r="Z1907" s="3">
        <v>3.0469139479999998</v>
      </c>
      <c r="AA1907" s="3">
        <v>0.19231078200000001</v>
      </c>
      <c r="AB1907" s="3">
        <v>15.26703311</v>
      </c>
      <c r="AC1907" s="3">
        <v>3.288689615</v>
      </c>
      <c r="AD1907" s="3">
        <v>0.182655078</v>
      </c>
      <c r="AE1907" s="3">
        <v>4.7906034220000002</v>
      </c>
      <c r="AF1907" s="4">
        <v>42619</v>
      </c>
      <c r="AG1907" s="5">
        <f>YEAR(AF1907)</f>
        <v>2016</v>
      </c>
      <c r="AH1907" s="5" t="str">
        <f>"Q"&amp;ROUNDUP(MONTH(AF1907)/3,0)</f>
        <v>Q3</v>
      </c>
      <c r="AI1907" s="5">
        <f>INDEX(RatingLookup!$B$2:$B$11,MATCH(A1907,RatingLookup!$A$2:$A$11,0))</f>
        <v>7</v>
      </c>
      <c r="AJ1907" s="5" t="str">
        <f>INDEX(RatingLookup!$C$2:$C$11,MATCH(A1907,RatingLookup!$A$2:$A$11,0))</f>
        <v>Investment Grade</v>
      </c>
    </row>
    <row r="1908" spans="1:36" x14ac:dyDescent="0.3">
      <c r="A1908" s="3" t="s">
        <v>116</v>
      </c>
      <c r="B1908" s="3" t="s">
        <v>1981</v>
      </c>
      <c r="C1908" s="3" t="s">
        <v>1982</v>
      </c>
      <c r="D1908" s="3" t="s">
        <v>47</v>
      </c>
      <c r="E1908" s="3" t="s">
        <v>846</v>
      </c>
      <c r="F1908" s="3" t="s">
        <v>174</v>
      </c>
      <c r="G1908" s="3">
        <v>2.368720202</v>
      </c>
      <c r="H1908" s="3">
        <v>2.2074826139999999</v>
      </c>
      <c r="I1908" s="3">
        <v>1.8566490200000001</v>
      </c>
      <c r="J1908" s="3">
        <v>50.511701219999999</v>
      </c>
      <c r="K1908" s="3">
        <v>-0.214844436</v>
      </c>
      <c r="L1908" s="3">
        <v>-0.21237282599999999</v>
      </c>
      <c r="M1908" s="3">
        <v>1</v>
      </c>
      <c r="N1908" s="3">
        <v>-8.9525004000000005E-2</v>
      </c>
      <c r="O1908" s="3">
        <v>-0.107146591</v>
      </c>
      <c r="P1908" s="3">
        <v>-0.13185212700000001</v>
      </c>
      <c r="Q1908" s="3">
        <v>-1.625696805</v>
      </c>
      <c r="R1908" s="3">
        <v>0.498717085</v>
      </c>
      <c r="S1908" s="3">
        <v>1.1528182469999999</v>
      </c>
      <c r="T1908" s="3">
        <v>14.17264144</v>
      </c>
      <c r="U1908" s="3">
        <v>0.93409189800000003</v>
      </c>
      <c r="V1908" s="3">
        <v>-1.1638073000000001E-2</v>
      </c>
      <c r="W1908" s="3">
        <v>-0.28939688699999999</v>
      </c>
      <c r="X1908" s="3">
        <v>-0.38073549899999998</v>
      </c>
      <c r="Y1908" s="3">
        <v>4.602614773</v>
      </c>
      <c r="Z1908" s="3">
        <v>15.17264144</v>
      </c>
      <c r="AA1908" s="3">
        <v>-0.21237282599999999</v>
      </c>
      <c r="AB1908" s="3">
        <v>29.261837029999999</v>
      </c>
      <c r="AC1908" s="3">
        <v>1.3156171189999999</v>
      </c>
      <c r="AD1908" s="3">
        <v>0.209340212</v>
      </c>
      <c r="AE1908" s="3">
        <v>8.1010677920000003</v>
      </c>
      <c r="AF1908" s="4">
        <v>42508</v>
      </c>
      <c r="AG1908" s="5">
        <f>YEAR(AF1908)</f>
        <v>2016</v>
      </c>
      <c r="AH1908" s="5" t="str">
        <f>"Q"&amp;ROUNDUP(MONTH(AF1908)/3,0)</f>
        <v>Q2</v>
      </c>
      <c r="AI1908" s="5">
        <f>INDEX(RatingLookup!$B$2:$B$11,MATCH(A1908,RatingLookup!$A$2:$A$11,0))</f>
        <v>4</v>
      </c>
      <c r="AJ1908" s="5" t="str">
        <f>INDEX(RatingLookup!$C$2:$C$11,MATCH(A1908,RatingLookup!$A$2:$A$11,0))</f>
        <v>Speculative Grade</v>
      </c>
    </row>
    <row r="1909" spans="1:36" x14ac:dyDescent="0.3">
      <c r="A1909" s="3" t="s">
        <v>42</v>
      </c>
      <c r="B1909" s="3" t="s">
        <v>1983</v>
      </c>
      <c r="C1909" s="3" t="s">
        <v>1984</v>
      </c>
      <c r="D1909" s="3" t="s">
        <v>47</v>
      </c>
      <c r="E1909" s="3" t="s">
        <v>142</v>
      </c>
      <c r="F1909" s="3" t="s">
        <v>59</v>
      </c>
      <c r="G1909" s="3">
        <v>1.9822713199999999</v>
      </c>
      <c r="H1909" s="3">
        <v>1.4417833339999999</v>
      </c>
      <c r="I1909" s="3">
        <v>0.27545503799999999</v>
      </c>
      <c r="J1909" s="3">
        <v>83.130983069999999</v>
      </c>
      <c r="K1909" s="3">
        <v>0.10401482300000001</v>
      </c>
      <c r="L1909" s="3">
        <v>0.140842894</v>
      </c>
      <c r="M1909" s="3">
        <v>0.31531208500000002</v>
      </c>
      <c r="N1909" s="3">
        <v>0.15637379800000001</v>
      </c>
      <c r="O1909" s="3">
        <v>4.6328242999999998E-2</v>
      </c>
      <c r="P1909" s="3">
        <v>8.0406412999999996E-2</v>
      </c>
      <c r="Q1909" s="3">
        <v>0.13820951000000001</v>
      </c>
      <c r="R1909" s="3">
        <v>0.44540039199999998</v>
      </c>
      <c r="S1909" s="3">
        <v>5.6545596250000001</v>
      </c>
      <c r="T1909" s="3">
        <v>1.9832668250000001</v>
      </c>
      <c r="U1909" s="3">
        <v>0.66479699599999997</v>
      </c>
      <c r="V1909" s="3">
        <v>0.24085292699999999</v>
      </c>
      <c r="W1909" s="3">
        <v>0.88823677400000001</v>
      </c>
      <c r="X1909" s="3">
        <v>4.4167266129999998</v>
      </c>
      <c r="Y1909" s="3">
        <v>15.694551730000001</v>
      </c>
      <c r="Z1909" s="3">
        <v>2.9832668249999998</v>
      </c>
      <c r="AA1909" s="3">
        <v>0.140842894</v>
      </c>
      <c r="AB1909" s="3">
        <v>17.665660299999999</v>
      </c>
      <c r="AC1909" s="3">
        <v>4.9724653879999998</v>
      </c>
      <c r="AD1909" s="3">
        <v>0.153284948</v>
      </c>
      <c r="AE1909" s="3">
        <v>3.7851892930000002</v>
      </c>
      <c r="AF1909" s="4">
        <v>42674</v>
      </c>
      <c r="AG1909" s="5">
        <f>YEAR(AF1909)</f>
        <v>2016</v>
      </c>
      <c r="AH1909" s="5" t="str">
        <f>"Q"&amp;ROUNDUP(MONTH(AF1909)/3,0)</f>
        <v>Q4</v>
      </c>
      <c r="AI1909" s="5">
        <f>INDEX(RatingLookup!$B$2:$B$11,MATCH(A1909,RatingLookup!$A$2:$A$11,0))</f>
        <v>7</v>
      </c>
      <c r="AJ1909" s="5" t="str">
        <f>INDEX(RatingLookup!$C$2:$C$11,MATCH(A1909,RatingLookup!$A$2:$A$11,0))</f>
        <v>Investment Grade</v>
      </c>
    </row>
    <row r="1910" spans="1:36" x14ac:dyDescent="0.3">
      <c r="A1910" s="3" t="s">
        <v>92</v>
      </c>
      <c r="B1910" s="3" t="s">
        <v>1983</v>
      </c>
      <c r="C1910" s="3" t="s">
        <v>1984</v>
      </c>
      <c r="D1910" s="3" t="s">
        <v>60</v>
      </c>
      <c r="E1910" s="3" t="s">
        <v>46</v>
      </c>
      <c r="F1910" s="3" t="s">
        <v>59</v>
      </c>
      <c r="G1910" s="3">
        <v>1.9501500780000001</v>
      </c>
      <c r="H1910" s="3">
        <v>1.2730958560000001</v>
      </c>
      <c r="I1910" s="3">
        <v>0.52756356400000004</v>
      </c>
      <c r="J1910" s="3">
        <v>64.235712680000006</v>
      </c>
      <c r="K1910" s="3">
        <v>8.6473775000000003E-2</v>
      </c>
      <c r="L1910" s="3">
        <v>0.129756657</v>
      </c>
      <c r="M1910" s="3">
        <v>0.28990306599999999</v>
      </c>
      <c r="N1910" s="3">
        <v>0.137576697</v>
      </c>
      <c r="O1910" s="3">
        <v>7.8810886999999996E-2</v>
      </c>
      <c r="P1910" s="3">
        <v>0.15783818699999999</v>
      </c>
      <c r="Q1910" s="3">
        <v>0.162792567</v>
      </c>
      <c r="R1910" s="3">
        <v>0.91138482399999998</v>
      </c>
      <c r="S1910" s="3">
        <v>8.8623514790000009</v>
      </c>
      <c r="T1910" s="3">
        <v>1.065610143</v>
      </c>
      <c r="U1910" s="3">
        <v>0.51588154100000005</v>
      </c>
      <c r="V1910" s="3">
        <v>0.333569644</v>
      </c>
      <c r="W1910" s="3">
        <v>0.84727663200000003</v>
      </c>
      <c r="X1910" s="3">
        <v>4.4051652030000001</v>
      </c>
      <c r="Y1910" s="3">
        <v>7.1717691339999998</v>
      </c>
      <c r="Z1910" s="3">
        <v>2.0656101429999998</v>
      </c>
      <c r="AA1910" s="3">
        <v>0.129756657</v>
      </c>
      <c r="AB1910" s="3">
        <v>5.589838694</v>
      </c>
      <c r="AC1910" s="3">
        <v>5.199205353</v>
      </c>
      <c r="AD1910" s="3">
        <v>0.12635765600000001</v>
      </c>
      <c r="AE1910" s="3">
        <v>5.7110922180000001</v>
      </c>
      <c r="AF1910" s="4">
        <v>41075</v>
      </c>
      <c r="AG1910" s="5">
        <f>YEAR(AF1910)</f>
        <v>2012</v>
      </c>
      <c r="AH1910" s="5" t="str">
        <f>"Q"&amp;ROUNDUP(MONTH(AF1910)/3,0)</f>
        <v>Q2</v>
      </c>
      <c r="AI1910" s="5">
        <f>INDEX(RatingLookup!$B$2:$B$11,MATCH(A1910,RatingLookup!$A$2:$A$11,0))</f>
        <v>6</v>
      </c>
      <c r="AJ1910" s="5" t="str">
        <f>INDEX(RatingLookup!$C$2:$C$11,MATCH(A1910,RatingLookup!$A$2:$A$11,0))</f>
        <v>Speculative Grade</v>
      </c>
    </row>
    <row r="1911" spans="1:36" x14ac:dyDescent="0.3">
      <c r="A1911" s="3" t="s">
        <v>42</v>
      </c>
      <c r="B1911" s="3" t="s">
        <v>1983</v>
      </c>
      <c r="C1911" s="3" t="s">
        <v>1984</v>
      </c>
      <c r="D1911" s="3" t="s">
        <v>60</v>
      </c>
      <c r="E1911" s="3" t="s">
        <v>1985</v>
      </c>
      <c r="F1911" s="3" t="s">
        <v>59</v>
      </c>
      <c r="G1911" s="3">
        <v>1.976168908</v>
      </c>
      <c r="H1911" s="3">
        <v>1.205251158</v>
      </c>
      <c r="I1911" s="3">
        <v>0.39013197500000002</v>
      </c>
      <c r="J1911" s="3">
        <v>59.519746380000001</v>
      </c>
      <c r="K1911" s="3">
        <v>0.10527777300000001</v>
      </c>
      <c r="L1911" s="3">
        <v>0.157816289</v>
      </c>
      <c r="M1911" s="3">
        <v>0.290477441</v>
      </c>
      <c r="N1911" s="3">
        <v>0.16405645599999999</v>
      </c>
      <c r="O1911" s="3">
        <v>0.107049757</v>
      </c>
      <c r="P1911" s="3">
        <v>0.209820165</v>
      </c>
      <c r="Q1911" s="3">
        <v>0.197153889</v>
      </c>
      <c r="R1911" s="3">
        <v>1.016831509</v>
      </c>
      <c r="S1911" s="3">
        <v>9.7961472910000005</v>
      </c>
      <c r="T1911" s="3">
        <v>0.84170328100000003</v>
      </c>
      <c r="U1911" s="3">
        <v>0.45702437000000001</v>
      </c>
      <c r="V1911" s="3">
        <v>0.33290933299999997</v>
      </c>
      <c r="W1911" s="3">
        <v>0.84837726099999999</v>
      </c>
      <c r="X1911" s="3">
        <v>4.2199899439999999</v>
      </c>
      <c r="Y1911" s="3">
        <v>5.7958687729999996</v>
      </c>
      <c r="Z1911" s="3">
        <v>1.841703281</v>
      </c>
      <c r="AA1911" s="3">
        <v>0.157816289</v>
      </c>
      <c r="AB1911" s="3">
        <v>5.2511682229999996</v>
      </c>
      <c r="AC1911" s="3">
        <v>4.9741903049999996</v>
      </c>
      <c r="AD1911" s="3">
        <v>9.9299826999999993E-2</v>
      </c>
      <c r="AE1911" s="3">
        <v>6.8246290119999999</v>
      </c>
      <c r="AF1911" s="4">
        <v>41430</v>
      </c>
      <c r="AG1911" s="5">
        <f>YEAR(AF1911)</f>
        <v>2013</v>
      </c>
      <c r="AH1911" s="5" t="str">
        <f>"Q"&amp;ROUNDUP(MONTH(AF1911)/3,0)</f>
        <v>Q2</v>
      </c>
      <c r="AI1911" s="5">
        <f>INDEX(RatingLookup!$B$2:$B$11,MATCH(A1911,RatingLookup!$A$2:$A$11,0))</f>
        <v>7</v>
      </c>
      <c r="AJ1911" s="5" t="str">
        <f>INDEX(RatingLookup!$C$2:$C$11,MATCH(A1911,RatingLookup!$A$2:$A$11,0))</f>
        <v>Investment Grade</v>
      </c>
    </row>
    <row r="1912" spans="1:36" x14ac:dyDescent="0.3">
      <c r="A1912" s="3" t="s">
        <v>42</v>
      </c>
      <c r="B1912" s="3" t="s">
        <v>1983</v>
      </c>
      <c r="C1912" s="3" t="s">
        <v>1984</v>
      </c>
      <c r="D1912" s="3" t="s">
        <v>60</v>
      </c>
      <c r="E1912" s="3" t="s">
        <v>549</v>
      </c>
      <c r="F1912" s="3" t="s">
        <v>59</v>
      </c>
      <c r="G1912" s="3">
        <v>2.3007369689999999</v>
      </c>
      <c r="H1912" s="3">
        <v>1.5375992409999999</v>
      </c>
      <c r="I1912" s="3">
        <v>0.49319986199999999</v>
      </c>
      <c r="J1912" s="3">
        <v>49.700969299999997</v>
      </c>
      <c r="K1912" s="3">
        <v>0.113869978</v>
      </c>
      <c r="L1912" s="3">
        <v>0.164077429</v>
      </c>
      <c r="M1912" s="3">
        <v>0.29770471500000001</v>
      </c>
      <c r="N1912" s="3">
        <v>0.17039875400000001</v>
      </c>
      <c r="O1912" s="3">
        <v>0.103556099</v>
      </c>
      <c r="P1912" s="3">
        <v>0.18776757499999999</v>
      </c>
      <c r="Q1912" s="3">
        <v>0.184345271</v>
      </c>
      <c r="R1912" s="3">
        <v>0.909424071</v>
      </c>
      <c r="S1912" s="3">
        <v>9.295894638</v>
      </c>
      <c r="T1912" s="3">
        <v>0.78014885899999997</v>
      </c>
      <c r="U1912" s="3">
        <v>0.43824922599999999</v>
      </c>
      <c r="V1912" s="3">
        <v>0.30599852300000002</v>
      </c>
      <c r="W1912" s="3">
        <v>0.82500541000000005</v>
      </c>
      <c r="X1912" s="3">
        <v>2.0365481910000001</v>
      </c>
      <c r="Y1912" s="3">
        <v>5.6715900399999999</v>
      </c>
      <c r="Z1912" s="3">
        <v>1.7801488590000001</v>
      </c>
      <c r="AA1912" s="3">
        <v>0.164077429</v>
      </c>
      <c r="AB1912" s="3">
        <v>14.722489789999999</v>
      </c>
      <c r="AC1912" s="3">
        <v>2.4685270730000002</v>
      </c>
      <c r="AD1912" s="3">
        <v>9.1822683000000002E-2</v>
      </c>
      <c r="AE1912" s="3">
        <v>5.5174551379999999</v>
      </c>
      <c r="AF1912" s="4">
        <v>41491</v>
      </c>
      <c r="AG1912" s="5">
        <f>YEAR(AF1912)</f>
        <v>2013</v>
      </c>
      <c r="AH1912" s="5" t="str">
        <f>"Q"&amp;ROUNDUP(MONTH(AF1912)/3,0)</f>
        <v>Q3</v>
      </c>
      <c r="AI1912" s="5">
        <f>INDEX(RatingLookup!$B$2:$B$11,MATCH(A1912,RatingLookup!$A$2:$A$11,0))</f>
        <v>7</v>
      </c>
      <c r="AJ1912" s="5" t="str">
        <f>INDEX(RatingLookup!$C$2:$C$11,MATCH(A1912,RatingLookup!$A$2:$A$11,0))</f>
        <v>Investment Grade</v>
      </c>
    </row>
    <row r="1913" spans="1:36" x14ac:dyDescent="0.3">
      <c r="A1913" s="3" t="s">
        <v>42</v>
      </c>
      <c r="B1913" s="3" t="s">
        <v>1986</v>
      </c>
      <c r="C1913" s="3" t="s">
        <v>1987</v>
      </c>
      <c r="D1913" s="3" t="s">
        <v>60</v>
      </c>
      <c r="E1913" s="3" t="s">
        <v>1420</v>
      </c>
      <c r="F1913" s="3" t="s">
        <v>59</v>
      </c>
      <c r="G1913" s="3">
        <v>1.4854604199999999</v>
      </c>
      <c r="H1913" s="3">
        <v>0.92972536299999997</v>
      </c>
      <c r="I1913" s="3">
        <v>0.24878836800000001</v>
      </c>
      <c r="J1913" s="3">
        <v>81.595067619999995</v>
      </c>
      <c r="K1913" s="3">
        <v>6.8947228999999999E-2</v>
      </c>
      <c r="L1913" s="3">
        <v>2.1214532000000001E-2</v>
      </c>
      <c r="M1913" s="3">
        <v>0.38743039000000001</v>
      </c>
      <c r="N1913" s="3">
        <v>0.10766375</v>
      </c>
      <c r="O1913" s="3">
        <v>4.0160643000000003E-2</v>
      </c>
      <c r="P1913" s="3">
        <v>1.5278839000000001E-2</v>
      </c>
      <c r="Q1913" s="3">
        <v>0.118721461</v>
      </c>
      <c r="R1913" s="3">
        <v>0.58248378099999998</v>
      </c>
      <c r="S1913" s="3">
        <v>6.121753247</v>
      </c>
      <c r="T1913" s="3">
        <v>1.956164384</v>
      </c>
      <c r="U1913" s="3">
        <v>0.66172381800000002</v>
      </c>
      <c r="V1913" s="3">
        <v>1</v>
      </c>
      <c r="W1913" s="3">
        <v>0.75050301799999997</v>
      </c>
      <c r="X1913" s="3">
        <v>2.0825656320000001</v>
      </c>
      <c r="Y1913" s="3">
        <v>1.7196520500000001</v>
      </c>
      <c r="Z1913" s="3">
        <v>2.956164384</v>
      </c>
      <c r="AA1913" s="3">
        <v>2.1214532000000001E-2</v>
      </c>
      <c r="AB1913" s="3">
        <v>19.615344700000001</v>
      </c>
      <c r="AC1913" s="3">
        <v>2.77489308</v>
      </c>
      <c r="AD1913" s="3">
        <v>0.13179527999999999</v>
      </c>
      <c r="AE1913" s="3">
        <v>5.0547045949999996</v>
      </c>
      <c r="AF1913" s="4">
        <v>42647</v>
      </c>
      <c r="AG1913" s="5">
        <f>YEAR(AF1913)</f>
        <v>2016</v>
      </c>
      <c r="AH1913" s="5" t="str">
        <f>"Q"&amp;ROUNDUP(MONTH(AF1913)/3,0)</f>
        <v>Q4</v>
      </c>
      <c r="AI1913" s="5">
        <f>INDEX(RatingLookup!$B$2:$B$11,MATCH(A1913,RatingLookup!$A$2:$A$11,0))</f>
        <v>7</v>
      </c>
      <c r="AJ1913" s="5" t="str">
        <f>INDEX(RatingLookup!$C$2:$C$11,MATCH(A1913,RatingLookup!$A$2:$A$11,0))</f>
        <v>Investment Grade</v>
      </c>
    </row>
    <row r="1914" spans="1:36" x14ac:dyDescent="0.3">
      <c r="A1914" s="3" t="s">
        <v>42</v>
      </c>
      <c r="B1914" s="3" t="s">
        <v>1986</v>
      </c>
      <c r="C1914" s="3" t="s">
        <v>1987</v>
      </c>
      <c r="D1914" s="3" t="s">
        <v>60</v>
      </c>
      <c r="E1914" s="3" t="s">
        <v>1279</v>
      </c>
      <c r="F1914" s="3" t="s">
        <v>59</v>
      </c>
      <c r="G1914" s="3">
        <v>2.436208991</v>
      </c>
      <c r="H1914" s="3">
        <v>1.7363304980000001</v>
      </c>
      <c r="I1914" s="3">
        <v>0.82624544300000002</v>
      </c>
      <c r="J1914" s="3">
        <v>74.838488909999995</v>
      </c>
      <c r="K1914" s="3">
        <v>9.3074186000000003E-2</v>
      </c>
      <c r="L1914" s="3">
        <v>0.110320285</v>
      </c>
      <c r="M1914" s="3">
        <v>0.38434163700000001</v>
      </c>
      <c r="N1914" s="3">
        <v>0.122912675</v>
      </c>
      <c r="O1914" s="3">
        <v>7.3008374000000001E-2</v>
      </c>
      <c r="P1914" s="3">
        <v>0.105112154</v>
      </c>
      <c r="Q1914" s="3">
        <v>0.16314779300000001</v>
      </c>
      <c r="R1914" s="3">
        <v>0.78441056499999995</v>
      </c>
      <c r="S1914" s="3">
        <v>8.3211845100000001</v>
      </c>
      <c r="T1914" s="3">
        <v>1.234644914</v>
      </c>
      <c r="U1914" s="3">
        <v>0.55250160999999998</v>
      </c>
      <c r="V1914" s="3">
        <v>0.15632754300000001</v>
      </c>
      <c r="W1914" s="3">
        <v>0.74784482799999996</v>
      </c>
      <c r="X1914" s="3">
        <v>1.9182610710000001</v>
      </c>
      <c r="Y1914" s="3">
        <v>3.7591283240000002</v>
      </c>
      <c r="Z1914" s="3">
        <v>2.234644914</v>
      </c>
      <c r="AA1914" s="3">
        <v>0.110320285</v>
      </c>
      <c r="AB1914" s="3">
        <v>12.194335649999999</v>
      </c>
      <c r="AC1914" s="3">
        <v>2.5650522680000001</v>
      </c>
      <c r="AD1914" s="3">
        <v>0.127018889</v>
      </c>
      <c r="AE1914" s="3">
        <v>6.653846154</v>
      </c>
      <c r="AF1914" s="4">
        <v>42440</v>
      </c>
      <c r="AG1914" s="5">
        <f>YEAR(AF1914)</f>
        <v>2016</v>
      </c>
      <c r="AH1914" s="5" t="str">
        <f>"Q"&amp;ROUNDUP(MONTH(AF1914)/3,0)</f>
        <v>Q1</v>
      </c>
      <c r="AI1914" s="5">
        <f>INDEX(RatingLookup!$B$2:$B$11,MATCH(A1914,RatingLookup!$A$2:$A$11,0))</f>
        <v>7</v>
      </c>
      <c r="AJ1914" s="5" t="str">
        <f>INDEX(RatingLookup!$C$2:$C$11,MATCH(A1914,RatingLookup!$A$2:$A$11,0))</f>
        <v>Investment Grade</v>
      </c>
    </row>
    <row r="1915" spans="1:36" x14ac:dyDescent="0.3">
      <c r="A1915" s="3" t="s">
        <v>42</v>
      </c>
      <c r="B1915" s="3" t="s">
        <v>1988</v>
      </c>
      <c r="C1915" s="3" t="s">
        <v>1989</v>
      </c>
      <c r="D1915" s="3" t="s">
        <v>60</v>
      </c>
      <c r="E1915" s="3" t="s">
        <v>1036</v>
      </c>
      <c r="F1915" s="3" t="s">
        <v>66</v>
      </c>
      <c r="G1915" s="3">
        <v>1.7273849610000001</v>
      </c>
      <c r="H1915" s="3">
        <v>-1.893265993</v>
      </c>
      <c r="I1915" s="3">
        <v>0.172278339</v>
      </c>
      <c r="J1915" s="3">
        <v>20.128150290000001</v>
      </c>
      <c r="K1915" s="3">
        <v>0.100737889</v>
      </c>
      <c r="L1915" s="3">
        <v>0.15144547799999999</v>
      </c>
      <c r="M1915" s="3">
        <v>0.36199336999999998</v>
      </c>
      <c r="N1915" s="3">
        <v>0.163797098</v>
      </c>
      <c r="O1915" s="3">
        <v>6.2300900999999999E-2</v>
      </c>
      <c r="P1915" s="3">
        <v>0.103861339</v>
      </c>
      <c r="Q1915" s="3">
        <v>0.112374742</v>
      </c>
      <c r="R1915" s="3">
        <v>0.61844556399999995</v>
      </c>
      <c r="S1915" s="3">
        <v>4.4331542349999999</v>
      </c>
      <c r="T1915" s="3">
        <v>0.80374184800000004</v>
      </c>
      <c r="U1915" s="3">
        <v>0.44559694</v>
      </c>
      <c r="V1915" s="3">
        <v>0.33482405599999998</v>
      </c>
      <c r="W1915" s="3">
        <v>0.674065421</v>
      </c>
      <c r="X1915" s="3">
        <v>5.5351150669999996</v>
      </c>
      <c r="Y1915" s="3">
        <v>-19.150346979999998</v>
      </c>
      <c r="Z1915" s="3">
        <v>1.803741848</v>
      </c>
      <c r="AA1915" s="3">
        <v>0.15144547799999999</v>
      </c>
      <c r="AB1915" s="3">
        <v>13.62533994</v>
      </c>
      <c r="AC1915" s="3">
        <v>8.211539857</v>
      </c>
      <c r="AD1915" s="3">
        <v>0.15256835299999999</v>
      </c>
      <c r="AE1915" s="3">
        <v>12.377593360000001</v>
      </c>
      <c r="AF1915" s="4">
        <v>42073</v>
      </c>
      <c r="AG1915" s="5">
        <f>YEAR(AF1915)</f>
        <v>2015</v>
      </c>
      <c r="AH1915" s="5" t="str">
        <f>"Q"&amp;ROUNDUP(MONTH(AF1915)/3,0)</f>
        <v>Q1</v>
      </c>
      <c r="AI1915" s="5">
        <f>INDEX(RatingLookup!$B$2:$B$11,MATCH(A1915,RatingLookup!$A$2:$A$11,0))</f>
        <v>7</v>
      </c>
      <c r="AJ1915" s="5" t="str">
        <f>INDEX(RatingLookup!$C$2:$C$11,MATCH(A1915,RatingLookup!$A$2:$A$11,0))</f>
        <v>Investment Grade</v>
      </c>
    </row>
    <row r="1916" spans="1:36" x14ac:dyDescent="0.3">
      <c r="A1916" s="3" t="s">
        <v>36</v>
      </c>
      <c r="B1916" s="3" t="s">
        <v>1988</v>
      </c>
      <c r="C1916" s="3" t="s">
        <v>1989</v>
      </c>
      <c r="D1916" s="3" t="s">
        <v>60</v>
      </c>
      <c r="E1916" s="3" t="s">
        <v>46</v>
      </c>
      <c r="F1916" s="3" t="s">
        <v>66</v>
      </c>
      <c r="G1916" s="3">
        <v>-0.56198360800000002</v>
      </c>
      <c r="H1916" s="3">
        <v>-0.13901043299999999</v>
      </c>
      <c r="I1916" s="3">
        <v>1.7693028E-2</v>
      </c>
      <c r="J1916" s="3">
        <v>0</v>
      </c>
      <c r="K1916" s="3">
        <v>9.9359207000000005E-2</v>
      </c>
      <c r="L1916" s="3">
        <v>0.148612141</v>
      </c>
      <c r="M1916" s="3">
        <v>0.37269224699999998</v>
      </c>
      <c r="N1916" s="3">
        <v>1.2972099999999999E-4</v>
      </c>
      <c r="O1916" s="3">
        <v>-0.90987963299999997</v>
      </c>
      <c r="P1916" s="3">
        <v>-0.71031021699999997</v>
      </c>
      <c r="Q1916" s="3">
        <v>9.0598849999999995E-2</v>
      </c>
      <c r="R1916" s="3">
        <v>-9.1574767589999997</v>
      </c>
      <c r="S1916" s="3">
        <v>-26.797773209999999</v>
      </c>
      <c r="T1916" s="3">
        <v>0</v>
      </c>
      <c r="U1916" s="3">
        <v>0</v>
      </c>
      <c r="V1916" s="3">
        <v>0</v>
      </c>
      <c r="W1916" s="3">
        <v>0.54009837500000002</v>
      </c>
      <c r="X1916" s="3">
        <v>1.7907177329999999</v>
      </c>
      <c r="Y1916" s="3">
        <v>-0.568141911</v>
      </c>
      <c r="Z1916" s="3">
        <v>-9.9572346000000006E-2</v>
      </c>
      <c r="AA1916" s="3">
        <v>0.148612141</v>
      </c>
      <c r="AB1916" s="3">
        <v>81.734385709999998</v>
      </c>
      <c r="AC1916" s="3">
        <v>3.315539937</v>
      </c>
      <c r="AD1916" s="3">
        <v>8.1140250999999997E-2</v>
      </c>
      <c r="AE1916" s="3">
        <v>35.768860850000003</v>
      </c>
      <c r="AF1916" s="4">
        <v>41075</v>
      </c>
      <c r="AG1916" s="5">
        <f>YEAR(AF1916)</f>
        <v>2012</v>
      </c>
      <c r="AH1916" s="5" t="str">
        <f>"Q"&amp;ROUNDUP(MONTH(AF1916)/3,0)</f>
        <v>Q2</v>
      </c>
      <c r="AI1916" s="5">
        <f>INDEX(RatingLookup!$B$2:$B$11,MATCH(A1916,RatingLookup!$A$2:$A$11,0))</f>
        <v>8</v>
      </c>
      <c r="AJ1916" s="5" t="str">
        <f>INDEX(RatingLookup!$C$2:$C$11,MATCH(A1916,RatingLookup!$A$2:$A$11,0))</f>
        <v>Investment Grade</v>
      </c>
    </row>
    <row r="1917" spans="1:36" x14ac:dyDescent="0.3">
      <c r="A1917" s="3" t="s">
        <v>92</v>
      </c>
      <c r="B1917" s="3" t="s">
        <v>1990</v>
      </c>
      <c r="C1917" s="3" t="s">
        <v>1991</v>
      </c>
      <c r="D1917" s="3" t="s">
        <v>47</v>
      </c>
      <c r="E1917" s="3" t="s">
        <v>1914</v>
      </c>
      <c r="F1917" s="3" t="s">
        <v>219</v>
      </c>
      <c r="G1917" s="3">
        <v>2.754850088</v>
      </c>
      <c r="H1917" s="3">
        <v>1.5132275129999999</v>
      </c>
      <c r="I1917" s="3">
        <v>0.567901235</v>
      </c>
      <c r="J1917" s="3">
        <v>43.85563775</v>
      </c>
      <c r="K1917" s="3">
        <v>-0.14324142600000001</v>
      </c>
      <c r="L1917" s="3">
        <v>-2.5778973E-2</v>
      </c>
      <c r="M1917" s="3">
        <v>0.22752745999999999</v>
      </c>
      <c r="N1917" s="3">
        <v>-4.4832999999999999E-4</v>
      </c>
      <c r="O1917" s="3">
        <v>-0.118662953</v>
      </c>
      <c r="P1917" s="3">
        <v>-2.3868825E-2</v>
      </c>
      <c r="Q1917" s="3">
        <v>-0.226034666</v>
      </c>
      <c r="R1917" s="3">
        <v>0.82841225600000001</v>
      </c>
      <c r="S1917" s="3">
        <v>1.9488859759999999</v>
      </c>
      <c r="T1917" s="3">
        <v>0.904846127</v>
      </c>
      <c r="U1917" s="3">
        <v>0.475023213</v>
      </c>
      <c r="V1917" s="3">
        <v>-4.5565217389999999</v>
      </c>
      <c r="W1917" s="3">
        <v>0.21844660199999999</v>
      </c>
      <c r="X1917" s="3">
        <v>0.47518479400000002</v>
      </c>
      <c r="Y1917" s="3">
        <v>3.4002111930000001</v>
      </c>
      <c r="Z1917" s="3">
        <v>1.9048461269999999</v>
      </c>
      <c r="AA1917" s="3">
        <v>-2.5778973E-2</v>
      </c>
      <c r="AB1917" s="3">
        <v>8.6775826449999993</v>
      </c>
      <c r="AC1917" s="3">
        <v>2.1752903909999999</v>
      </c>
      <c r="AD1917" s="3">
        <v>4.6177986999999997E-2</v>
      </c>
      <c r="AE1917" s="3">
        <v>6.4652908069999997</v>
      </c>
      <c r="AF1917" s="4">
        <v>41521</v>
      </c>
      <c r="AG1917" s="5">
        <f>YEAR(AF1917)</f>
        <v>2013</v>
      </c>
      <c r="AH1917" s="5" t="str">
        <f>"Q"&amp;ROUNDUP(MONTH(AF1917)/3,0)</f>
        <v>Q3</v>
      </c>
      <c r="AI1917" s="5">
        <f>INDEX(RatingLookup!$B$2:$B$11,MATCH(A1917,RatingLookup!$A$2:$A$11,0))</f>
        <v>6</v>
      </c>
      <c r="AJ1917" s="5" t="str">
        <f>INDEX(RatingLookup!$C$2:$C$11,MATCH(A1917,RatingLookup!$A$2:$A$11,0))</f>
        <v>Speculative Grade</v>
      </c>
    </row>
    <row r="1918" spans="1:36" x14ac:dyDescent="0.3">
      <c r="A1918" s="3" t="s">
        <v>92</v>
      </c>
      <c r="B1918" s="3" t="s">
        <v>1990</v>
      </c>
      <c r="C1918" s="3" t="s">
        <v>1991</v>
      </c>
      <c r="D1918" s="3" t="s">
        <v>47</v>
      </c>
      <c r="E1918" s="3" t="s">
        <v>1079</v>
      </c>
      <c r="F1918" s="3" t="s">
        <v>219</v>
      </c>
      <c r="G1918" s="3">
        <v>2.955684008</v>
      </c>
      <c r="H1918" s="3">
        <v>1.5144508670000001</v>
      </c>
      <c r="I1918" s="3">
        <v>0.64932562599999999</v>
      </c>
      <c r="J1918" s="3">
        <v>38.488727099999998</v>
      </c>
      <c r="K1918" s="3">
        <v>-6.5054016000000006E-2</v>
      </c>
      <c r="L1918" s="3">
        <v>-7.1395021000000003E-2</v>
      </c>
      <c r="M1918" s="3">
        <v>0.23907938000000001</v>
      </c>
      <c r="N1918" s="3">
        <v>-4.0864256000000002E-2</v>
      </c>
      <c r="O1918" s="3">
        <v>-5.6289371999999997E-2</v>
      </c>
      <c r="P1918" s="3">
        <v>-6.9059518E-2</v>
      </c>
      <c r="Q1918" s="3">
        <v>-0.131528965</v>
      </c>
      <c r="R1918" s="3">
        <v>0.86527128600000003</v>
      </c>
      <c r="S1918" s="3">
        <v>2.1450881609999999</v>
      </c>
      <c r="T1918" s="3">
        <v>1.3366571700000001</v>
      </c>
      <c r="U1918" s="3">
        <v>0.57203820400000005</v>
      </c>
      <c r="V1918" s="3">
        <v>9.8684210999999994E-2</v>
      </c>
      <c r="W1918" s="3">
        <v>-3.7634409000000001E-2</v>
      </c>
      <c r="X1918" s="3">
        <v>-7.3995772000000001E-2</v>
      </c>
      <c r="Y1918" s="3">
        <v>3.5623678650000001</v>
      </c>
      <c r="Z1918" s="3">
        <v>2.3366571700000001</v>
      </c>
      <c r="AA1918" s="3">
        <v>-7.1395021000000003E-2</v>
      </c>
      <c r="AB1918" s="3">
        <v>27.07536232</v>
      </c>
      <c r="AC1918" s="3">
        <v>1.9661733619999999</v>
      </c>
      <c r="AD1918" s="3">
        <v>4.3682480000000003E-2</v>
      </c>
      <c r="AE1918" s="3">
        <v>6.2548262550000002</v>
      </c>
      <c r="AF1918" s="4">
        <v>42153</v>
      </c>
      <c r="AG1918" s="5">
        <f>YEAR(AF1918)</f>
        <v>2015</v>
      </c>
      <c r="AH1918" s="5" t="str">
        <f>"Q"&amp;ROUNDUP(MONTH(AF1918)/3,0)</f>
        <v>Q2</v>
      </c>
      <c r="AI1918" s="5">
        <f>INDEX(RatingLookup!$B$2:$B$11,MATCH(A1918,RatingLookup!$A$2:$A$11,0))</f>
        <v>6</v>
      </c>
      <c r="AJ1918" s="5" t="str">
        <f>INDEX(RatingLookup!$C$2:$C$11,MATCH(A1918,RatingLookup!$A$2:$A$11,0))</f>
        <v>Speculative Grade</v>
      </c>
    </row>
    <row r="1919" spans="1:36" x14ac:dyDescent="0.3">
      <c r="A1919" s="3" t="s">
        <v>92</v>
      </c>
      <c r="B1919" s="3" t="s">
        <v>1990</v>
      </c>
      <c r="C1919" s="3" t="s">
        <v>1991</v>
      </c>
      <c r="D1919" s="3" t="s">
        <v>47</v>
      </c>
      <c r="E1919" s="3" t="s">
        <v>1992</v>
      </c>
      <c r="F1919" s="3" t="s">
        <v>219</v>
      </c>
      <c r="G1919" s="3">
        <v>2.5423340959999998</v>
      </c>
      <c r="H1919" s="3">
        <v>0.99542334099999996</v>
      </c>
      <c r="I1919" s="3">
        <v>0.132723112</v>
      </c>
      <c r="J1919" s="3">
        <v>37.751714679999999</v>
      </c>
      <c r="K1919" s="3">
        <v>-7.0507545000000005E-2</v>
      </c>
      <c r="L1919" s="3">
        <v>-7.0233195999999998E-2</v>
      </c>
      <c r="M1919" s="3">
        <v>0.22469135800000001</v>
      </c>
      <c r="N1919" s="3">
        <v>-6.0082305000000003E-2</v>
      </c>
      <c r="O1919" s="3">
        <v>-6.0900474000000003E-2</v>
      </c>
      <c r="P1919" s="3">
        <v>-6.7671159999999994E-2</v>
      </c>
      <c r="Q1919" s="3">
        <v>-0.13302277400000001</v>
      </c>
      <c r="R1919" s="3">
        <v>0.86374407600000003</v>
      </c>
      <c r="S1919" s="3">
        <v>2.0138121550000001</v>
      </c>
      <c r="T1919" s="3">
        <v>1.1842650100000001</v>
      </c>
      <c r="U1919" s="3">
        <v>0.54218009499999997</v>
      </c>
      <c r="V1919" s="3">
        <v>3.90625E-3</v>
      </c>
      <c r="W1919" s="3">
        <v>-0.34057970999999998</v>
      </c>
      <c r="X1919" s="3">
        <v>-0.50865800900000002</v>
      </c>
      <c r="Y1919" s="3">
        <v>0.62770562799999996</v>
      </c>
      <c r="Z1919" s="3">
        <v>2.1842650099999998</v>
      </c>
      <c r="AA1919" s="3">
        <v>-7.0233195999999998E-2</v>
      </c>
      <c r="AB1919" s="3">
        <v>58.563111110000001</v>
      </c>
      <c r="AC1919" s="3">
        <v>1.493506494</v>
      </c>
      <c r="AD1919" s="3">
        <v>3.7860082000000003E-2</v>
      </c>
      <c r="AE1919" s="3">
        <v>6.4816513760000003</v>
      </c>
      <c r="AF1919" s="4">
        <v>42516</v>
      </c>
      <c r="AG1919" s="5">
        <f>YEAR(AF1919)</f>
        <v>2016</v>
      </c>
      <c r="AH1919" s="5" t="str">
        <f>"Q"&amp;ROUNDUP(MONTH(AF1919)/3,0)</f>
        <v>Q2</v>
      </c>
      <c r="AI1919" s="5">
        <f>INDEX(RatingLookup!$B$2:$B$11,MATCH(A1919,RatingLookup!$A$2:$A$11,0))</f>
        <v>6</v>
      </c>
      <c r="AJ1919" s="5" t="str">
        <f>INDEX(RatingLookup!$C$2:$C$11,MATCH(A1919,RatingLookup!$A$2:$A$11,0))</f>
        <v>Speculative Grade</v>
      </c>
    </row>
    <row r="1920" spans="1:36" x14ac:dyDescent="0.3">
      <c r="A1920" s="3" t="s">
        <v>109</v>
      </c>
      <c r="B1920" s="3" t="s">
        <v>1990</v>
      </c>
      <c r="C1920" s="3" t="s">
        <v>1991</v>
      </c>
      <c r="D1920" s="3" t="s">
        <v>47</v>
      </c>
      <c r="E1920" s="3" t="s">
        <v>788</v>
      </c>
      <c r="F1920" s="3" t="s">
        <v>219</v>
      </c>
      <c r="G1920" s="3">
        <v>2.314775161</v>
      </c>
      <c r="H1920" s="3">
        <v>0.84154175600000003</v>
      </c>
      <c r="I1920" s="3">
        <v>7.4946467000000003E-2</v>
      </c>
      <c r="J1920" s="3">
        <v>36.860366710000001</v>
      </c>
      <c r="K1920" s="3">
        <v>-2.2849082999999999E-2</v>
      </c>
      <c r="L1920" s="3">
        <v>-1.6078984000000001E-2</v>
      </c>
      <c r="M1920" s="3">
        <v>0.23385049399999999</v>
      </c>
      <c r="N1920" s="3">
        <v>-7.334274E-3</v>
      </c>
      <c r="O1920" s="3">
        <v>-1.8938508E-2</v>
      </c>
      <c r="P1920" s="3">
        <v>-1.4960630000000001E-2</v>
      </c>
      <c r="Q1920" s="3">
        <v>-4.7844063999999999E-2</v>
      </c>
      <c r="R1920" s="3">
        <v>0.82885199899999995</v>
      </c>
      <c r="S1920" s="3">
        <v>1.9245385450000001</v>
      </c>
      <c r="T1920" s="3">
        <v>1.5262847020000001</v>
      </c>
      <c r="U1920" s="3">
        <v>0.60416179599999997</v>
      </c>
      <c r="V1920" s="3">
        <v>-0.33333333300000001</v>
      </c>
      <c r="W1920" s="3">
        <v>-2.0740740739999999</v>
      </c>
      <c r="X1920" s="3">
        <v>-1.868743048</v>
      </c>
      <c r="Y1920" s="3">
        <v>0.389321468</v>
      </c>
      <c r="Z1920" s="3">
        <v>2.5262847019999999</v>
      </c>
      <c r="AA1920" s="3">
        <v>-1.6078984000000001E-2</v>
      </c>
      <c r="AB1920" s="3">
        <v>6.6009016389999999</v>
      </c>
      <c r="AC1920" s="3">
        <v>0.90100111199999999</v>
      </c>
      <c r="AD1920" s="3">
        <v>2.2849082999999999E-2</v>
      </c>
      <c r="AE1920" s="3">
        <v>5.8283261800000004</v>
      </c>
      <c r="AF1920" s="4">
        <v>42621</v>
      </c>
      <c r="AG1920" s="5">
        <f>YEAR(AF1920)</f>
        <v>2016</v>
      </c>
      <c r="AH1920" s="5" t="str">
        <f>"Q"&amp;ROUNDUP(MONTH(AF1920)/3,0)</f>
        <v>Q3</v>
      </c>
      <c r="AI1920" s="5">
        <f>INDEX(RatingLookup!$B$2:$B$11,MATCH(A1920,RatingLookup!$A$2:$A$11,0))</f>
        <v>5</v>
      </c>
      <c r="AJ1920" s="5" t="str">
        <f>INDEX(RatingLookup!$C$2:$C$11,MATCH(A1920,RatingLookup!$A$2:$A$11,0))</f>
        <v>Speculative Grade</v>
      </c>
    </row>
    <row r="1921" spans="1:36" x14ac:dyDescent="0.3">
      <c r="A1921" s="3" t="s">
        <v>92</v>
      </c>
      <c r="B1921" s="3" t="s">
        <v>1990</v>
      </c>
      <c r="C1921" s="3" t="s">
        <v>1991</v>
      </c>
      <c r="D1921" s="3" t="s">
        <v>47</v>
      </c>
      <c r="E1921" s="3" t="s">
        <v>1993</v>
      </c>
      <c r="F1921" s="3" t="s">
        <v>219</v>
      </c>
      <c r="G1921" s="3">
        <v>2.7770154370000002</v>
      </c>
      <c r="H1921" s="3">
        <v>1.4391080620000001</v>
      </c>
      <c r="I1921" s="3">
        <v>0.451114923</v>
      </c>
      <c r="J1921" s="3">
        <v>46.688874079999998</v>
      </c>
      <c r="K1921" s="3">
        <v>-4.44148E-4</v>
      </c>
      <c r="L1921" s="3">
        <v>-1.6433488999999999E-2</v>
      </c>
      <c r="M1921" s="3">
        <v>0.224516989</v>
      </c>
      <c r="N1921" s="3">
        <v>-6.6622249999999999E-3</v>
      </c>
      <c r="O1921" s="3">
        <v>-3.16256E-4</v>
      </c>
      <c r="P1921" s="3">
        <v>-1.288974E-2</v>
      </c>
      <c r="Q1921" s="3">
        <v>-6.46621E-4</v>
      </c>
      <c r="R1921" s="3">
        <v>0.71204933599999998</v>
      </c>
      <c r="S1921" s="3">
        <v>1.845491803</v>
      </c>
      <c r="T1921" s="3">
        <v>1.0446168769999999</v>
      </c>
      <c r="U1921" s="3">
        <v>0.51091081599999999</v>
      </c>
      <c r="V1921" s="3">
        <v>-0.513513514</v>
      </c>
      <c r="W1921" s="3">
        <v>0.364661654</v>
      </c>
      <c r="X1921" s="3">
        <v>0.99589322400000002</v>
      </c>
      <c r="Y1921" s="3">
        <v>2.700205339</v>
      </c>
      <c r="Z1921" s="3">
        <v>2.0446168770000002</v>
      </c>
      <c r="AA1921" s="3">
        <v>-1.6433488999999999E-2</v>
      </c>
      <c r="AB1921" s="3">
        <v>7.7499408870000002</v>
      </c>
      <c r="AC1921" s="3">
        <v>2.7310061600000002</v>
      </c>
      <c r="AD1921" s="3">
        <v>5.9071730000000003E-2</v>
      </c>
      <c r="AE1921" s="3">
        <v>6.0103270220000002</v>
      </c>
      <c r="AF1921" s="4">
        <v>41388</v>
      </c>
      <c r="AG1921" s="5">
        <f>YEAR(AF1921)</f>
        <v>2013</v>
      </c>
      <c r="AH1921" s="5" t="str">
        <f>"Q"&amp;ROUNDUP(MONTH(AF1921)/3,0)</f>
        <v>Q2</v>
      </c>
      <c r="AI1921" s="5">
        <f>INDEX(RatingLookup!$B$2:$B$11,MATCH(A1921,RatingLookup!$A$2:$A$11,0))</f>
        <v>6</v>
      </c>
      <c r="AJ1921" s="5" t="str">
        <f>INDEX(RatingLookup!$C$2:$C$11,MATCH(A1921,RatingLookup!$A$2:$A$11,0))</f>
        <v>Speculative Grade</v>
      </c>
    </row>
    <row r="1922" spans="1:36" x14ac:dyDescent="0.3">
      <c r="A1922" s="3" t="s">
        <v>36</v>
      </c>
      <c r="B1922" s="3" t="s">
        <v>1994</v>
      </c>
      <c r="C1922" s="3" t="s">
        <v>1995</v>
      </c>
      <c r="D1922" s="3" t="s">
        <v>47</v>
      </c>
      <c r="E1922" s="3" t="s">
        <v>48</v>
      </c>
      <c r="F1922" s="3" t="s">
        <v>59</v>
      </c>
      <c r="G1922" s="3">
        <v>1.594125346</v>
      </c>
      <c r="H1922" s="3">
        <v>1.293039729</v>
      </c>
      <c r="I1922" s="3">
        <v>0.47224360900000001</v>
      </c>
      <c r="J1922" s="3">
        <v>71.303555829999993</v>
      </c>
      <c r="K1922" s="3">
        <v>5.6295664000000002E-2</v>
      </c>
      <c r="L1922" s="3">
        <v>7.9792725999999994E-2</v>
      </c>
      <c r="M1922" s="3">
        <v>0.20419710899999999</v>
      </c>
      <c r="N1922" s="3">
        <v>8.4150651000000007E-2</v>
      </c>
      <c r="O1922" s="3">
        <v>6.8869620000000006E-2</v>
      </c>
      <c r="P1922" s="3">
        <v>0.142598638</v>
      </c>
      <c r="Q1922" s="3">
        <v>0.15422060300000001</v>
      </c>
      <c r="R1922" s="3">
        <v>1.223355679</v>
      </c>
      <c r="S1922" s="3">
        <v>6.0753874919999999</v>
      </c>
      <c r="T1922" s="3">
        <v>1.2393125199999999</v>
      </c>
      <c r="U1922" s="3">
        <v>0.55343437299999998</v>
      </c>
      <c r="V1922" s="3">
        <v>0.30131873599999998</v>
      </c>
      <c r="W1922" s="3">
        <v>0.41513127599999999</v>
      </c>
      <c r="X1922" s="3">
        <v>4.0873015869999998</v>
      </c>
      <c r="Y1922" s="3">
        <v>15.769841270000001</v>
      </c>
      <c r="Z1922" s="3">
        <v>2.2393125199999999</v>
      </c>
      <c r="AA1922" s="3">
        <v>7.9792725999999994E-2</v>
      </c>
      <c r="AB1922" s="3">
        <v>6.1375721130000001</v>
      </c>
      <c r="AC1922" s="3">
        <v>9.8458049889999995</v>
      </c>
      <c r="AD1922" s="3">
        <v>8.6205527000000004E-2</v>
      </c>
      <c r="AE1922" s="3">
        <v>6.7000417890000001</v>
      </c>
      <c r="AF1922" s="4">
        <v>42667</v>
      </c>
      <c r="AG1922" s="5">
        <f>YEAR(AF1922)</f>
        <v>2016</v>
      </c>
      <c r="AH1922" s="5" t="str">
        <f>"Q"&amp;ROUNDUP(MONTH(AF1922)/3,0)</f>
        <v>Q4</v>
      </c>
      <c r="AI1922" s="5">
        <f>INDEX(RatingLookup!$B$2:$B$11,MATCH(A1922,RatingLookup!$A$2:$A$11,0))</f>
        <v>8</v>
      </c>
      <c r="AJ1922" s="5" t="str">
        <f>INDEX(RatingLookup!$C$2:$C$11,MATCH(A1922,RatingLookup!$A$2:$A$11,0))</f>
        <v>Investment Grade</v>
      </c>
    </row>
    <row r="1923" spans="1:36" x14ac:dyDescent="0.3">
      <c r="A1923" s="3" t="s">
        <v>42</v>
      </c>
      <c r="B1923" s="3" t="s">
        <v>1996</v>
      </c>
      <c r="C1923" s="3" t="s">
        <v>1997</v>
      </c>
      <c r="D1923" s="3" t="s">
        <v>47</v>
      </c>
      <c r="E1923" s="3" t="s">
        <v>795</v>
      </c>
      <c r="F1923" s="3" t="s">
        <v>215</v>
      </c>
      <c r="G1923" s="3">
        <v>0.85889044699999995</v>
      </c>
      <c r="H1923" s="3">
        <v>0.502485501</v>
      </c>
      <c r="I1923" s="3">
        <v>0.23431903600000001</v>
      </c>
      <c r="J1923" s="3">
        <v>24.275180899999999</v>
      </c>
      <c r="K1923" s="3">
        <v>6.9538092999999995E-2</v>
      </c>
      <c r="L1923" s="3">
        <v>9.0513086000000006E-2</v>
      </c>
      <c r="M1923" s="3">
        <v>0.35663809000000002</v>
      </c>
      <c r="N1923" s="3">
        <v>0.11568133799999999</v>
      </c>
      <c r="O1923" s="3">
        <v>6.4476631000000006E-2</v>
      </c>
      <c r="P1923" s="3">
        <v>0.10898716899999999</v>
      </c>
      <c r="Q1923" s="3">
        <v>0.19253416200000001</v>
      </c>
      <c r="R1923" s="3">
        <v>0.92721309399999996</v>
      </c>
      <c r="S1923" s="3">
        <v>3.221928272</v>
      </c>
      <c r="T1923" s="3">
        <v>1.9861076769999999</v>
      </c>
      <c r="U1923" s="3">
        <v>0.66511589400000004</v>
      </c>
      <c r="V1923" s="3">
        <v>0.232441588</v>
      </c>
      <c r="W1923" s="3">
        <v>0.53424475100000002</v>
      </c>
      <c r="X1923" s="3">
        <v>3.194102993</v>
      </c>
      <c r="Y1923" s="3">
        <v>1.6266381990000001</v>
      </c>
      <c r="Z1923" s="3">
        <v>2.9861076770000001</v>
      </c>
      <c r="AA1923" s="3">
        <v>9.0513086000000006E-2</v>
      </c>
      <c r="AB1923" s="3">
        <v>10.25776392</v>
      </c>
      <c r="AC1923" s="3">
        <v>5.978726022</v>
      </c>
      <c r="AD1923" s="3">
        <v>0.21359466499999999</v>
      </c>
      <c r="AE1923" s="3">
        <v>18.10490381</v>
      </c>
      <c r="AF1923" s="4">
        <v>42570</v>
      </c>
      <c r="AG1923" s="5">
        <f>YEAR(AF1923)</f>
        <v>2016</v>
      </c>
      <c r="AH1923" s="5" t="str">
        <f>"Q"&amp;ROUNDUP(MONTH(AF1923)/3,0)</f>
        <v>Q3</v>
      </c>
      <c r="AI1923" s="5">
        <f>INDEX(RatingLookup!$B$2:$B$11,MATCH(A1923,RatingLookup!$A$2:$A$11,0))</f>
        <v>7</v>
      </c>
      <c r="AJ1923" s="5" t="str">
        <f>INDEX(RatingLookup!$C$2:$C$11,MATCH(A1923,RatingLookup!$A$2:$A$11,0))</f>
        <v>Investment Grade</v>
      </c>
    </row>
    <row r="1924" spans="1:36" x14ac:dyDescent="0.3">
      <c r="A1924" s="3" t="s">
        <v>42</v>
      </c>
      <c r="B1924" s="3" t="s">
        <v>1996</v>
      </c>
      <c r="C1924" s="3" t="s">
        <v>1997</v>
      </c>
      <c r="D1924" s="3" t="s">
        <v>47</v>
      </c>
      <c r="E1924" s="3" t="s">
        <v>1820</v>
      </c>
      <c r="F1924" s="3" t="s">
        <v>215</v>
      </c>
      <c r="G1924" s="3">
        <v>0.786718582</v>
      </c>
      <c r="H1924" s="3">
        <v>0.52854273399999996</v>
      </c>
      <c r="I1924" s="3">
        <v>0.20843927600000001</v>
      </c>
      <c r="J1924" s="3">
        <v>27.79349766</v>
      </c>
      <c r="K1924" s="3">
        <v>3.5209764999999997E-2</v>
      </c>
      <c r="L1924" s="3">
        <v>6.1919511000000003E-2</v>
      </c>
      <c r="M1924" s="3">
        <v>0.33254267799999998</v>
      </c>
      <c r="N1924" s="3">
        <v>9.9200716999999994E-2</v>
      </c>
      <c r="O1924" s="3">
        <v>2.9575008999999999E-2</v>
      </c>
      <c r="P1924" s="3">
        <v>8.5672944000000001E-2</v>
      </c>
      <c r="Q1924" s="3">
        <v>0.12800452200000001</v>
      </c>
      <c r="R1924" s="3">
        <v>0.83996607700000003</v>
      </c>
      <c r="S1924" s="3">
        <v>3.1412647599999999</v>
      </c>
      <c r="T1924" s="3">
        <v>3.3405768130000002</v>
      </c>
      <c r="U1924" s="3">
        <v>0.77182888900000002</v>
      </c>
      <c r="V1924" s="3">
        <v>0.43136234200000001</v>
      </c>
      <c r="W1924" s="3">
        <v>0.41709227599999998</v>
      </c>
      <c r="X1924" s="3">
        <v>1.7663459260000001</v>
      </c>
      <c r="Y1924" s="3">
        <v>1.174704041</v>
      </c>
      <c r="Z1924" s="3">
        <v>4.328131355</v>
      </c>
      <c r="AA1924" s="3">
        <v>8.1615743000000004E-2</v>
      </c>
      <c r="AB1924" s="3">
        <v>11.461520050000001</v>
      </c>
      <c r="AC1924" s="3">
        <v>4.2349044229999997</v>
      </c>
      <c r="AD1924" s="3">
        <v>0.17875355200000001</v>
      </c>
      <c r="AE1924" s="3">
        <v>19.565584699999999</v>
      </c>
      <c r="AF1924" s="4">
        <v>41834</v>
      </c>
      <c r="AG1924" s="5">
        <f>YEAR(AF1924)</f>
        <v>2014</v>
      </c>
      <c r="AH1924" s="5" t="str">
        <f>"Q"&amp;ROUNDUP(MONTH(AF1924)/3,0)</f>
        <v>Q3</v>
      </c>
      <c r="AI1924" s="5">
        <f>INDEX(RatingLookup!$B$2:$B$11,MATCH(A1924,RatingLookup!$A$2:$A$11,0))</f>
        <v>7</v>
      </c>
      <c r="AJ1924" s="5" t="str">
        <f>INDEX(RatingLookup!$C$2:$C$11,MATCH(A1924,RatingLookup!$A$2:$A$11,0))</f>
        <v>Investment Grade</v>
      </c>
    </row>
    <row r="1925" spans="1:36" x14ac:dyDescent="0.3">
      <c r="A1925" s="3" t="s">
        <v>42</v>
      </c>
      <c r="B1925" s="3" t="s">
        <v>1996</v>
      </c>
      <c r="C1925" s="3" t="s">
        <v>1997</v>
      </c>
      <c r="D1925" s="3" t="s">
        <v>47</v>
      </c>
      <c r="E1925" s="3" t="s">
        <v>757</v>
      </c>
      <c r="F1925" s="3" t="s">
        <v>215</v>
      </c>
      <c r="G1925" s="3">
        <v>0.76906785799999999</v>
      </c>
      <c r="H1925" s="3">
        <v>0.46776761300000003</v>
      </c>
      <c r="I1925" s="3">
        <v>0.20840657000000001</v>
      </c>
      <c r="J1925" s="3">
        <v>21.89724494</v>
      </c>
      <c r="K1925" s="3">
        <v>5.5885982000000001E-2</v>
      </c>
      <c r="L1925" s="3">
        <v>8.8662759999999993E-2</v>
      </c>
      <c r="M1925" s="3">
        <v>0.34771611499999999</v>
      </c>
      <c r="N1925" s="3">
        <v>0.11656826100000001</v>
      </c>
      <c r="O1925" s="3">
        <v>5.0820683999999998E-2</v>
      </c>
      <c r="P1925" s="3">
        <v>0.120765234</v>
      </c>
      <c r="Q1925" s="3">
        <v>0.18140810299999999</v>
      </c>
      <c r="R1925" s="3">
        <v>0.90936371900000001</v>
      </c>
      <c r="S1925" s="3">
        <v>3.1966427689999999</v>
      </c>
      <c r="T1925" s="3">
        <v>2.5695208420000002</v>
      </c>
      <c r="U1925" s="3">
        <v>0.71983999200000004</v>
      </c>
      <c r="V1925" s="3">
        <v>0.36967920199999998</v>
      </c>
      <c r="W1925" s="3">
        <v>0.44514778599999999</v>
      </c>
      <c r="X1925" s="3">
        <v>2.5428635060000002</v>
      </c>
      <c r="Y1925" s="3">
        <v>1.288353895</v>
      </c>
      <c r="Z1925" s="3">
        <v>3.5695722249999999</v>
      </c>
      <c r="AA1925" s="3">
        <v>0.10486786200000001</v>
      </c>
      <c r="AB1925" s="3">
        <v>8.7009568070000007</v>
      </c>
      <c r="AC1925" s="3">
        <v>5.7124029030000001</v>
      </c>
      <c r="AD1925" s="3">
        <v>0.213740553</v>
      </c>
      <c r="AE1925" s="3">
        <v>30.287698259999999</v>
      </c>
      <c r="AF1925" s="4">
        <v>42216</v>
      </c>
      <c r="AG1925" s="5">
        <f>YEAR(AF1925)</f>
        <v>2015</v>
      </c>
      <c r="AH1925" s="5" t="str">
        <f>"Q"&amp;ROUNDUP(MONTH(AF1925)/3,0)</f>
        <v>Q3</v>
      </c>
      <c r="AI1925" s="5">
        <f>INDEX(RatingLookup!$B$2:$B$11,MATCH(A1925,RatingLookup!$A$2:$A$11,0))</f>
        <v>7</v>
      </c>
      <c r="AJ1925" s="5" t="str">
        <f>INDEX(RatingLookup!$C$2:$C$11,MATCH(A1925,RatingLookup!$A$2:$A$11,0))</f>
        <v>Investment Grade</v>
      </c>
    </row>
    <row r="1926" spans="1:36" x14ac:dyDescent="0.3">
      <c r="A1926" s="3" t="s">
        <v>109</v>
      </c>
      <c r="B1926" s="3" t="s">
        <v>1998</v>
      </c>
      <c r="C1926" s="3" t="s">
        <v>1999</v>
      </c>
      <c r="D1926" s="3" t="s">
        <v>60</v>
      </c>
      <c r="E1926" s="3" t="s">
        <v>2000</v>
      </c>
      <c r="F1926" s="3" t="s">
        <v>59</v>
      </c>
      <c r="G1926" s="3">
        <v>1.855133256</v>
      </c>
      <c r="H1926" s="3">
        <v>0.73187396699999996</v>
      </c>
      <c r="I1926" s="3">
        <v>0.29305074399999997</v>
      </c>
      <c r="J1926" s="3">
        <v>50.173309289999999</v>
      </c>
      <c r="K1926" s="3">
        <v>8.0615817000000006E-2</v>
      </c>
      <c r="L1926" s="3">
        <v>0.104927172</v>
      </c>
      <c r="M1926" s="3">
        <v>0.38943032300000002</v>
      </c>
      <c r="N1926" s="3">
        <v>0.109048222</v>
      </c>
      <c r="O1926" s="3">
        <v>9.8652217E-2</v>
      </c>
      <c r="P1926" s="3">
        <v>0.208220875</v>
      </c>
      <c r="Q1926" s="3">
        <v>0.17611237199999999</v>
      </c>
      <c r="R1926" s="3">
        <v>1.223732778</v>
      </c>
      <c r="S1926" s="3">
        <v>7.0093966740000004</v>
      </c>
      <c r="T1926" s="3">
        <v>0.78518412299999996</v>
      </c>
      <c r="U1926" s="3">
        <v>0.439833692</v>
      </c>
      <c r="V1926" s="3">
        <v>0.23169742400000001</v>
      </c>
      <c r="W1926" s="3">
        <v>0.81635071100000001</v>
      </c>
      <c r="X1926" s="3">
        <v>5.4719033640000001</v>
      </c>
      <c r="Y1926" s="3">
        <v>3.4548852110000001</v>
      </c>
      <c r="Z1926" s="3">
        <v>1.7851841230000001</v>
      </c>
      <c r="AA1926" s="3">
        <v>0.104927172</v>
      </c>
      <c r="AB1926" s="3">
        <v>11.580360280000001</v>
      </c>
      <c r="AC1926" s="3">
        <v>6.7028830749999999</v>
      </c>
      <c r="AD1926" s="3">
        <v>0.178098856</v>
      </c>
      <c r="AE1926" s="3">
        <v>10.43586713</v>
      </c>
      <c r="AF1926" s="4">
        <v>42535</v>
      </c>
      <c r="AG1926" s="5">
        <f>YEAR(AF1926)</f>
        <v>2016</v>
      </c>
      <c r="AH1926" s="5" t="str">
        <f>"Q"&amp;ROUNDUP(MONTH(AF1926)/3,0)</f>
        <v>Q2</v>
      </c>
      <c r="AI1926" s="5">
        <f>INDEX(RatingLookup!$B$2:$B$11,MATCH(A1926,RatingLookup!$A$2:$A$11,0))</f>
        <v>5</v>
      </c>
      <c r="AJ1926" s="5" t="str">
        <f>INDEX(RatingLookup!$C$2:$C$11,MATCH(A1926,RatingLookup!$A$2:$A$11,0))</f>
        <v>Speculative Grade</v>
      </c>
    </row>
    <row r="1927" spans="1:36" x14ac:dyDescent="0.3">
      <c r="A1927" s="3" t="s">
        <v>109</v>
      </c>
      <c r="B1927" s="3" t="s">
        <v>2001</v>
      </c>
      <c r="C1927" s="3" t="s">
        <v>2002</v>
      </c>
      <c r="D1927" s="3" t="s">
        <v>60</v>
      </c>
      <c r="E1927" s="3" t="s">
        <v>1392</v>
      </c>
      <c r="F1927" s="3" t="s">
        <v>219</v>
      </c>
      <c r="G1927" s="3">
        <v>2.3092386610000002</v>
      </c>
      <c r="H1927" s="3">
        <v>1.445205772</v>
      </c>
      <c r="I1927" s="3">
        <v>0.37615843199999999</v>
      </c>
      <c r="J1927" s="3">
        <v>55.227886249999997</v>
      </c>
      <c r="K1927" s="3">
        <v>-4.2429491999999999E-2</v>
      </c>
      <c r="L1927" s="3">
        <v>-2.9213462999999999E-2</v>
      </c>
      <c r="M1927" s="3">
        <v>0.22835044600000001</v>
      </c>
      <c r="N1927" s="3">
        <v>7.9124757000000004E-2</v>
      </c>
      <c r="O1927" s="3">
        <v>-7.1774730999999994E-2</v>
      </c>
      <c r="P1927" s="3">
        <v>0.243616843</v>
      </c>
      <c r="Q1927" s="3">
        <v>-1.012195784</v>
      </c>
      <c r="R1927" s="3">
        <v>1.691623608</v>
      </c>
      <c r="S1927" s="3">
        <v>3.6804581590000001</v>
      </c>
      <c r="T1927" s="3">
        <v>17.495829189999998</v>
      </c>
      <c r="U1927" s="3">
        <v>1.2406279950000001</v>
      </c>
      <c r="V1927" s="3">
        <v>-0.45239517099999998</v>
      </c>
      <c r="W1927" s="3">
        <v>0.626173753</v>
      </c>
      <c r="X1927" s="3">
        <v>1.810392754</v>
      </c>
      <c r="Y1927" s="3">
        <v>1.199712398</v>
      </c>
      <c r="Z1927" s="3">
        <v>14.10239754</v>
      </c>
      <c r="AA1927" s="3">
        <v>0.109359913</v>
      </c>
      <c r="AB1927" s="3">
        <v>4.1630901810000003</v>
      </c>
      <c r="AC1927" s="3">
        <v>2.8911987209999999</v>
      </c>
      <c r="AD1927" s="3">
        <v>0.13077755699999999</v>
      </c>
      <c r="AE1927" s="3">
        <v>9.6821478200000008</v>
      </c>
      <c r="AF1927" s="4">
        <v>41862</v>
      </c>
      <c r="AG1927" s="5">
        <f>YEAR(AF1927)</f>
        <v>2014</v>
      </c>
      <c r="AH1927" s="5" t="str">
        <f>"Q"&amp;ROUNDUP(MONTH(AF1927)/3,0)</f>
        <v>Q3</v>
      </c>
      <c r="AI1927" s="5">
        <f>INDEX(RatingLookup!$B$2:$B$11,MATCH(A1927,RatingLookup!$A$2:$A$11,0))</f>
        <v>5</v>
      </c>
      <c r="AJ1927" s="5" t="str">
        <f>INDEX(RatingLookup!$C$2:$C$11,MATCH(A1927,RatingLookup!$A$2:$A$11,0))</f>
        <v>Speculative Grade</v>
      </c>
    </row>
    <row r="1928" spans="1:36" x14ac:dyDescent="0.3">
      <c r="A1928" s="3" t="s">
        <v>42</v>
      </c>
      <c r="B1928" s="3" t="s">
        <v>2003</v>
      </c>
      <c r="C1928" s="3" t="s">
        <v>2004</v>
      </c>
      <c r="D1928" s="3" t="s">
        <v>47</v>
      </c>
      <c r="E1928" s="3" t="s">
        <v>932</v>
      </c>
      <c r="F1928" s="3" t="s">
        <v>59</v>
      </c>
      <c r="G1928" s="3">
        <v>1.79277865</v>
      </c>
      <c r="H1928" s="3">
        <v>1.5447409729999999</v>
      </c>
      <c r="I1928" s="3">
        <v>0.70172684500000004</v>
      </c>
      <c r="J1928" s="3">
        <v>55.841880340000003</v>
      </c>
      <c r="K1928" s="3">
        <v>5.7549858000000002E-2</v>
      </c>
      <c r="L1928" s="3">
        <v>9.0028490000000003E-2</v>
      </c>
      <c r="M1928" s="3">
        <v>0.38475783499999999</v>
      </c>
      <c r="N1928" s="3">
        <v>0.10954416</v>
      </c>
      <c r="O1928" s="3">
        <v>6.7065073000000003E-2</v>
      </c>
      <c r="P1928" s="3">
        <v>0.133052632</v>
      </c>
      <c r="Q1928" s="3">
        <v>0.27114094</v>
      </c>
      <c r="R1928" s="3">
        <v>1.1653386450000001</v>
      </c>
      <c r="S1928" s="3">
        <v>3.8423645319999999</v>
      </c>
      <c r="T1928" s="3">
        <v>3.0429530200000001</v>
      </c>
      <c r="U1928" s="3">
        <v>0.75265604200000003</v>
      </c>
      <c r="V1928" s="3">
        <v>0.36075949400000001</v>
      </c>
      <c r="W1928" s="3">
        <v>0.77294686000000001</v>
      </c>
      <c r="X1928" s="3">
        <v>13.3611691</v>
      </c>
      <c r="Y1928" s="3">
        <v>18.663883089999999</v>
      </c>
      <c r="Z1928" s="3">
        <v>4.0429530199999997</v>
      </c>
      <c r="AA1928" s="3">
        <v>9.0028490000000003E-2</v>
      </c>
      <c r="AB1928" s="3">
        <v>6.7967105539999997</v>
      </c>
      <c r="AC1928" s="3">
        <v>17.286012530000001</v>
      </c>
      <c r="AD1928" s="3">
        <v>0.11794871799999999</v>
      </c>
      <c r="AE1928" s="3">
        <v>13.62460568</v>
      </c>
      <c r="AF1928" s="4">
        <v>42417</v>
      </c>
      <c r="AG1928" s="5">
        <f>YEAR(AF1928)</f>
        <v>2016</v>
      </c>
      <c r="AH1928" s="5" t="str">
        <f>"Q"&amp;ROUNDUP(MONTH(AF1928)/3,0)</f>
        <v>Q1</v>
      </c>
      <c r="AI1928" s="5">
        <f>INDEX(RatingLookup!$B$2:$B$11,MATCH(A1928,RatingLookup!$A$2:$A$11,0))</f>
        <v>7</v>
      </c>
      <c r="AJ1928" s="5" t="str">
        <f>INDEX(RatingLookup!$C$2:$C$11,MATCH(A1928,RatingLookup!$A$2:$A$11,0))</f>
        <v>Investment Grade</v>
      </c>
    </row>
    <row r="1929" spans="1:36" x14ac:dyDescent="0.3">
      <c r="A1929" s="3" t="s">
        <v>92</v>
      </c>
      <c r="B1929" s="3" t="s">
        <v>2003</v>
      </c>
      <c r="C1929" s="3" t="s">
        <v>2004</v>
      </c>
      <c r="D1929" s="3" t="s">
        <v>47</v>
      </c>
      <c r="E1929" s="3" t="s">
        <v>319</v>
      </c>
      <c r="F1929" s="3" t="s">
        <v>59</v>
      </c>
      <c r="G1929" s="3">
        <v>1.9405487800000001</v>
      </c>
      <c r="H1929" s="3">
        <v>1.5457317070000001</v>
      </c>
      <c r="I1929" s="3">
        <v>0.75457317099999999</v>
      </c>
      <c r="J1929" s="3">
        <v>54.458818460000003</v>
      </c>
      <c r="K1929" s="3">
        <v>4.8584160000000001E-2</v>
      </c>
      <c r="L1929" s="3">
        <v>7.2876239999999995E-2</v>
      </c>
      <c r="M1929" s="3">
        <v>0.35475061099999999</v>
      </c>
      <c r="N1929" s="3">
        <v>9.4149777000000004E-2</v>
      </c>
      <c r="O1929" s="3">
        <v>5.3916094999999997E-2</v>
      </c>
      <c r="P1929" s="3">
        <v>0.102279605</v>
      </c>
      <c r="Q1929" s="3">
        <v>0.24761904800000001</v>
      </c>
      <c r="R1929" s="3">
        <v>1.109746371</v>
      </c>
      <c r="S1929" s="3">
        <v>3.8822544639999998</v>
      </c>
      <c r="T1929" s="3">
        <v>3.592673993</v>
      </c>
      <c r="U1929" s="3">
        <v>0.78226192400000005</v>
      </c>
      <c r="V1929" s="3">
        <v>0.33333333300000001</v>
      </c>
      <c r="W1929" s="3">
        <v>0.76955307299999998</v>
      </c>
      <c r="X1929" s="3">
        <v>11.29098361</v>
      </c>
      <c r="Y1929" s="3">
        <v>20.286885250000001</v>
      </c>
      <c r="Z1929" s="3">
        <v>4.592673993</v>
      </c>
      <c r="AA1929" s="3">
        <v>7.2876239999999995E-2</v>
      </c>
      <c r="AB1929" s="3">
        <v>7.4419534880000002</v>
      </c>
      <c r="AC1929" s="3">
        <v>14.67213115</v>
      </c>
      <c r="AD1929" s="3">
        <v>0.10291792399999999</v>
      </c>
      <c r="AE1929" s="3">
        <v>16.68773234</v>
      </c>
      <c r="AF1929" s="4">
        <v>41960</v>
      </c>
      <c r="AG1929" s="5">
        <f>YEAR(AF1929)</f>
        <v>2014</v>
      </c>
      <c r="AH1929" s="5" t="str">
        <f>"Q"&amp;ROUNDUP(MONTH(AF1929)/3,0)</f>
        <v>Q4</v>
      </c>
      <c r="AI1929" s="5">
        <f>INDEX(RatingLookup!$B$2:$B$11,MATCH(A1929,RatingLookup!$A$2:$A$11,0))</f>
        <v>6</v>
      </c>
      <c r="AJ1929" s="5" t="str">
        <f>INDEX(RatingLookup!$C$2:$C$11,MATCH(A1929,RatingLookup!$A$2:$A$11,0))</f>
        <v>Speculative Grade</v>
      </c>
    </row>
    <row r="1930" spans="1:36" x14ac:dyDescent="0.3">
      <c r="A1930" s="3" t="s">
        <v>42</v>
      </c>
      <c r="B1930" s="3" t="s">
        <v>2003</v>
      </c>
      <c r="C1930" s="3" t="s">
        <v>2004</v>
      </c>
      <c r="D1930" s="3" t="s">
        <v>47</v>
      </c>
      <c r="E1930" s="3" t="s">
        <v>845</v>
      </c>
      <c r="F1930" s="3" t="s">
        <v>59</v>
      </c>
      <c r="G1930" s="3">
        <v>1.594936709</v>
      </c>
      <c r="H1930" s="3">
        <v>1.4028294859999999</v>
      </c>
      <c r="I1930" s="3">
        <v>0.536113179</v>
      </c>
      <c r="J1930" s="3">
        <v>60.110356539999998</v>
      </c>
      <c r="K1930" s="3">
        <v>8.106961E-2</v>
      </c>
      <c r="L1930" s="3">
        <v>0.110922467</v>
      </c>
      <c r="M1930" s="3">
        <v>0.38030560299999999</v>
      </c>
      <c r="N1930" s="3">
        <v>0.12139219</v>
      </c>
      <c r="O1930" s="3">
        <v>9.0207809E-2</v>
      </c>
      <c r="P1930" s="3">
        <v>0.15651826699999999</v>
      </c>
      <c r="Q1930" s="3">
        <v>0.34664246799999998</v>
      </c>
      <c r="R1930" s="3">
        <v>1.112720403</v>
      </c>
      <c r="S1930" s="3">
        <v>3.5589123869999999</v>
      </c>
      <c r="T1930" s="3">
        <v>2.8427102240000002</v>
      </c>
      <c r="U1930" s="3">
        <v>0.73976700299999998</v>
      </c>
      <c r="V1930" s="3">
        <v>0.269132653</v>
      </c>
      <c r="W1930" s="3">
        <v>0.65328467199999996</v>
      </c>
      <c r="X1930" s="3">
        <v>11.474358970000001</v>
      </c>
      <c r="Y1930" s="3">
        <v>15.38461538</v>
      </c>
      <c r="Z1930" s="3">
        <v>3.8427102240000002</v>
      </c>
      <c r="AA1930" s="3">
        <v>0.110922467</v>
      </c>
      <c r="AB1930" s="3">
        <v>9.1250219260000005</v>
      </c>
      <c r="AC1930" s="3">
        <v>17.564102559999998</v>
      </c>
      <c r="AD1930" s="3">
        <v>0.116298812</v>
      </c>
      <c r="AE1930" s="3">
        <v>13.86075949</v>
      </c>
      <c r="AF1930" s="4">
        <v>42720</v>
      </c>
      <c r="AG1930" s="5">
        <f>YEAR(AF1930)</f>
        <v>2016</v>
      </c>
      <c r="AH1930" s="5" t="str">
        <f>"Q"&amp;ROUNDUP(MONTH(AF1930)/3,0)</f>
        <v>Q4</v>
      </c>
      <c r="AI1930" s="5">
        <f>INDEX(RatingLookup!$B$2:$B$11,MATCH(A1930,RatingLookup!$A$2:$A$11,0))</f>
        <v>7</v>
      </c>
      <c r="AJ1930" s="5" t="str">
        <f>INDEX(RatingLookup!$C$2:$C$11,MATCH(A1930,RatingLookup!$A$2:$A$11,0))</f>
        <v>Investment Grade</v>
      </c>
    </row>
    <row r="1931" spans="1:36" x14ac:dyDescent="0.3">
      <c r="A1931" s="3" t="s">
        <v>109</v>
      </c>
      <c r="B1931" s="3" t="s">
        <v>2005</v>
      </c>
      <c r="C1931" s="3" t="s">
        <v>2006</v>
      </c>
      <c r="D1931" s="3" t="s">
        <v>60</v>
      </c>
      <c r="E1931" s="3" t="s">
        <v>46</v>
      </c>
      <c r="F1931" s="3" t="s">
        <v>59</v>
      </c>
      <c r="G1931" s="3">
        <v>1.9240952039999999</v>
      </c>
      <c r="H1931" s="3">
        <v>1.0007577110000001</v>
      </c>
      <c r="I1931" s="3">
        <v>0.396327331</v>
      </c>
      <c r="J1931" s="3">
        <v>45.663723750000003</v>
      </c>
      <c r="K1931" s="3">
        <v>5.5684711999999997E-2</v>
      </c>
      <c r="L1931" s="3">
        <v>7.3563600000000007E-2</v>
      </c>
      <c r="M1931" s="3">
        <v>0.29309199600000002</v>
      </c>
      <c r="N1931" s="3">
        <v>0.121148382</v>
      </c>
      <c r="O1931" s="3">
        <v>6.118353E-2</v>
      </c>
      <c r="P1931" s="3">
        <v>0.104620956</v>
      </c>
      <c r="Q1931" s="3">
        <v>0.34731572599999999</v>
      </c>
      <c r="R1931" s="3">
        <v>1.098749164</v>
      </c>
      <c r="S1931" s="3">
        <v>6.8083663090000002</v>
      </c>
      <c r="T1931" s="3">
        <v>4.6766212100000004</v>
      </c>
      <c r="U1931" s="3">
        <v>0.82383887099999997</v>
      </c>
      <c r="V1931" s="3">
        <v>0.36280411299999998</v>
      </c>
      <c r="W1931" s="3">
        <v>0.65953449500000005</v>
      </c>
      <c r="X1931" s="3">
        <v>1.845163428</v>
      </c>
      <c r="Y1931" s="3">
        <v>2.5964857100000001</v>
      </c>
      <c r="Z1931" s="3">
        <v>5.6766212100000004</v>
      </c>
      <c r="AA1931" s="3">
        <v>7.3563600000000007E-2</v>
      </c>
      <c r="AB1931" s="3">
        <v>5.538746025</v>
      </c>
      <c r="AC1931" s="3">
        <v>2.7976753919999999</v>
      </c>
      <c r="AD1931" s="3">
        <v>8.8388869999999994E-2</v>
      </c>
      <c r="AE1931" s="3">
        <v>5.2151364600000001</v>
      </c>
      <c r="AF1931" s="4">
        <v>41075</v>
      </c>
      <c r="AG1931" s="5">
        <f>YEAR(AF1931)</f>
        <v>2012</v>
      </c>
      <c r="AH1931" s="5" t="str">
        <f>"Q"&amp;ROUNDUP(MONTH(AF1931)/3,0)</f>
        <v>Q2</v>
      </c>
      <c r="AI1931" s="5">
        <f>INDEX(RatingLookup!$B$2:$B$11,MATCH(A1931,RatingLookup!$A$2:$A$11,0))</f>
        <v>5</v>
      </c>
      <c r="AJ1931" s="5" t="str">
        <f>INDEX(RatingLookup!$C$2:$C$11,MATCH(A1931,RatingLookup!$A$2:$A$11,0))</f>
        <v>Speculative Grade</v>
      </c>
    </row>
    <row r="1932" spans="1:36" x14ac:dyDescent="0.3">
      <c r="A1932" s="3" t="s">
        <v>42</v>
      </c>
      <c r="B1932" s="3" t="s">
        <v>2007</v>
      </c>
      <c r="C1932" s="3" t="s">
        <v>2008</v>
      </c>
      <c r="D1932" s="3" t="s">
        <v>60</v>
      </c>
      <c r="E1932" s="3" t="s">
        <v>238</v>
      </c>
      <c r="F1932" s="3" t="s">
        <v>113</v>
      </c>
      <c r="G1932" s="3">
        <v>4.9936342590000002</v>
      </c>
      <c r="H1932" s="3">
        <v>3.8920717589999998</v>
      </c>
      <c r="I1932" s="3">
        <v>1.2164351849999999</v>
      </c>
      <c r="J1932" s="3">
        <v>53.978244930000002</v>
      </c>
      <c r="K1932" s="3">
        <v>0.191493522</v>
      </c>
      <c r="L1932" s="3">
        <v>0.107357614</v>
      </c>
      <c r="M1932" s="3">
        <v>0.74461012000000004</v>
      </c>
      <c r="N1932" s="3">
        <v>0.191493522</v>
      </c>
      <c r="O1932" s="3">
        <v>0.143758946</v>
      </c>
      <c r="P1932" s="3">
        <v>9.2303811999999999E-2</v>
      </c>
      <c r="Q1932" s="3">
        <v>0.25121857399999997</v>
      </c>
      <c r="R1932" s="3">
        <v>0.75072485</v>
      </c>
      <c r="S1932" s="3">
        <v>4.8517552180000001</v>
      </c>
      <c r="T1932" s="3">
        <v>0.74749871700000003</v>
      </c>
      <c r="U1932" s="3">
        <v>0.427753514</v>
      </c>
      <c r="V1932" s="3">
        <v>0.56284153000000003</v>
      </c>
      <c r="W1932" s="3">
        <v>0.767082716</v>
      </c>
      <c r="X1932" s="3">
        <v>3.2461951660000001</v>
      </c>
      <c r="Y1932" s="3">
        <v>9.3339301700000004</v>
      </c>
      <c r="Z1932" s="3">
        <v>1.747498717</v>
      </c>
      <c r="AA1932" s="3">
        <v>0.107357614</v>
      </c>
      <c r="AB1932" s="3">
        <v>8.3183275410000004</v>
      </c>
      <c r="AC1932" s="3">
        <v>4.2318710829999997</v>
      </c>
      <c r="AD1932" s="3">
        <v>0.23109264199999999</v>
      </c>
      <c r="AE1932" s="3">
        <v>10.79338843</v>
      </c>
      <c r="AF1932" s="4">
        <v>41541</v>
      </c>
      <c r="AG1932" s="5">
        <f>YEAR(AF1932)</f>
        <v>2013</v>
      </c>
      <c r="AH1932" s="5" t="str">
        <f>"Q"&amp;ROUNDUP(MONTH(AF1932)/3,0)</f>
        <v>Q3</v>
      </c>
      <c r="AI1932" s="5">
        <f>INDEX(RatingLookup!$B$2:$B$11,MATCH(A1932,RatingLookup!$A$2:$A$11,0))</f>
        <v>7</v>
      </c>
      <c r="AJ1932" s="5" t="str">
        <f>INDEX(RatingLookup!$C$2:$C$11,MATCH(A1932,RatingLookup!$A$2:$A$11,0))</f>
        <v>Investment Grade</v>
      </c>
    </row>
    <row r="1933" spans="1:36" x14ac:dyDescent="0.3">
      <c r="A1933" s="3" t="s">
        <v>92</v>
      </c>
      <c r="B1933" s="3" t="s">
        <v>2009</v>
      </c>
      <c r="C1933" s="3" t="s">
        <v>2010</v>
      </c>
      <c r="D1933" s="3" t="s">
        <v>39</v>
      </c>
      <c r="E1933" s="3" t="s">
        <v>441</v>
      </c>
      <c r="F1933" s="3" t="s">
        <v>53</v>
      </c>
      <c r="G1933" s="3">
        <v>3.1263525689999998</v>
      </c>
      <c r="H1933" s="3">
        <v>1.4522356279999999</v>
      </c>
      <c r="I1933" s="3">
        <v>0.68586558900000005</v>
      </c>
      <c r="J1933" s="3">
        <v>37.391717999999997</v>
      </c>
      <c r="K1933" s="3">
        <v>-1.8070892000000002E-2</v>
      </c>
      <c r="L1933" s="3">
        <v>-2.7995197999999999E-2</v>
      </c>
      <c r="M1933" s="3">
        <v>0.176719653</v>
      </c>
      <c r="N1933" s="3">
        <v>-2.1778815E-2</v>
      </c>
      <c r="O1933" s="3">
        <v>-2.3250994000000001E-2</v>
      </c>
      <c r="P1933" s="3">
        <v>-4.4458711999999997E-2</v>
      </c>
      <c r="Q1933" s="3">
        <v>-5.0389406999999997E-2</v>
      </c>
      <c r="R1933" s="3">
        <v>1.286654494</v>
      </c>
      <c r="S1933" s="3">
        <v>6.4851337940000002</v>
      </c>
      <c r="T1933" s="3">
        <v>1.1671936620000001</v>
      </c>
      <c r="U1933" s="3">
        <v>0.53857376999999995</v>
      </c>
      <c r="V1933" s="3">
        <v>0.35450029700000002</v>
      </c>
      <c r="W1933" s="3">
        <v>0.72093052199999996</v>
      </c>
      <c r="X1933" s="3">
        <v>2.4577079620000002</v>
      </c>
      <c r="Y1933" s="3">
        <v>4.4138259980000001</v>
      </c>
      <c r="Z1933" s="3">
        <v>2.1671936619999999</v>
      </c>
      <c r="AA1933" s="3">
        <v>-2.7995197999999999E-2</v>
      </c>
      <c r="AB1933" s="3">
        <v>64.757195339999996</v>
      </c>
      <c r="AC1933" s="3">
        <v>3.4090774189999999</v>
      </c>
      <c r="AD1933" s="3">
        <v>8.6342642999999997E-2</v>
      </c>
      <c r="AE1933" s="3">
        <v>10.577607220000001</v>
      </c>
      <c r="AF1933" s="4">
        <v>41775</v>
      </c>
      <c r="AG1933" s="5">
        <f>YEAR(AF1933)</f>
        <v>2014</v>
      </c>
      <c r="AH1933" s="5" t="str">
        <f>"Q"&amp;ROUNDUP(MONTH(AF1933)/3,0)</f>
        <v>Q2</v>
      </c>
      <c r="AI1933" s="5">
        <f>INDEX(RatingLookup!$B$2:$B$11,MATCH(A1933,RatingLookup!$A$2:$A$11,0))</f>
        <v>6</v>
      </c>
      <c r="AJ1933" s="5" t="str">
        <f>INDEX(RatingLookup!$C$2:$C$11,MATCH(A1933,RatingLookup!$A$2:$A$11,0))</f>
        <v>Speculative Grade</v>
      </c>
    </row>
    <row r="1934" spans="1:36" x14ac:dyDescent="0.3">
      <c r="A1934" s="3" t="s">
        <v>92</v>
      </c>
      <c r="B1934" s="3" t="s">
        <v>2009</v>
      </c>
      <c r="C1934" s="3" t="s">
        <v>2010</v>
      </c>
      <c r="D1934" s="3" t="s">
        <v>39</v>
      </c>
      <c r="E1934" s="3" t="s">
        <v>1760</v>
      </c>
      <c r="F1934" s="3" t="s">
        <v>53</v>
      </c>
      <c r="G1934" s="3">
        <v>2.8706211019999999</v>
      </c>
      <c r="H1934" s="3">
        <v>1.4591489740000001</v>
      </c>
      <c r="I1934" s="3">
        <v>0.642072384</v>
      </c>
      <c r="J1934" s="3">
        <v>43.309710279999997</v>
      </c>
      <c r="K1934" s="3">
        <v>1.5248029E-2</v>
      </c>
      <c r="L1934" s="3">
        <v>1.9974611E-2</v>
      </c>
      <c r="M1934" s="3">
        <v>0.186536744</v>
      </c>
      <c r="N1934" s="3">
        <v>2.4882466999999998E-2</v>
      </c>
      <c r="O1934" s="3">
        <v>1.9553620000000001E-2</v>
      </c>
      <c r="P1934" s="3">
        <v>3.2388473000000001E-2</v>
      </c>
      <c r="Q1934" s="3">
        <v>4.2155810000000002E-2</v>
      </c>
      <c r="R1934" s="3">
        <v>1.2823703559999999</v>
      </c>
      <c r="S1934" s="3">
        <v>6.2593137539999999</v>
      </c>
      <c r="T1934" s="3">
        <v>1.1559082380000001</v>
      </c>
      <c r="U1934" s="3">
        <v>0.536158366</v>
      </c>
      <c r="V1934" s="3">
        <v>0.23662950399999999</v>
      </c>
      <c r="W1934" s="3">
        <v>0.52493330900000001</v>
      </c>
      <c r="X1934" s="3">
        <v>1.438726653</v>
      </c>
      <c r="Y1934" s="3">
        <v>4.7837855329999996</v>
      </c>
      <c r="Z1934" s="3">
        <v>2.1559082379999999</v>
      </c>
      <c r="AA1934" s="3">
        <v>1.9974611E-2</v>
      </c>
      <c r="AB1934" s="3">
        <v>9.2607140710000007</v>
      </c>
      <c r="AC1934" s="3">
        <v>2.740779882</v>
      </c>
      <c r="AD1934" s="3">
        <v>6.8356588999999995E-2</v>
      </c>
      <c r="AE1934" s="3">
        <v>8.8995516069999994</v>
      </c>
      <c r="AF1934" s="4">
        <v>42027</v>
      </c>
      <c r="AG1934" s="5">
        <f>YEAR(AF1934)</f>
        <v>2015</v>
      </c>
      <c r="AH1934" s="5" t="str">
        <f>"Q"&amp;ROUNDUP(MONTH(AF1934)/3,0)</f>
        <v>Q1</v>
      </c>
      <c r="AI1934" s="5">
        <f>INDEX(RatingLookup!$B$2:$B$11,MATCH(A1934,RatingLookup!$A$2:$A$11,0))</f>
        <v>6</v>
      </c>
      <c r="AJ1934" s="5" t="str">
        <f>INDEX(RatingLookup!$C$2:$C$11,MATCH(A1934,RatingLookup!$A$2:$A$11,0))</f>
        <v>Speculative Grade</v>
      </c>
    </row>
    <row r="1935" spans="1:36" x14ac:dyDescent="0.3">
      <c r="A1935" s="3" t="s">
        <v>92</v>
      </c>
      <c r="B1935" s="3" t="s">
        <v>2009</v>
      </c>
      <c r="C1935" s="3" t="s">
        <v>2010</v>
      </c>
      <c r="D1935" s="3" t="s">
        <v>39</v>
      </c>
      <c r="E1935" s="3" t="s">
        <v>1333</v>
      </c>
      <c r="F1935" s="3" t="s">
        <v>53</v>
      </c>
      <c r="G1935" s="3">
        <v>2.3730379930000001</v>
      </c>
      <c r="H1935" s="3">
        <v>1.0892049319999999</v>
      </c>
      <c r="I1935" s="3">
        <v>0.353280655</v>
      </c>
      <c r="J1935" s="3">
        <v>41.579081670000001</v>
      </c>
      <c r="K1935" s="3">
        <v>2.4112416000000001E-2</v>
      </c>
      <c r="L1935" s="3">
        <v>3.0060957999999999E-2</v>
      </c>
      <c r="M1935" s="3">
        <v>0.189523156</v>
      </c>
      <c r="N1935" s="3">
        <v>3.4929674000000001E-2</v>
      </c>
      <c r="O1935" s="3">
        <v>3.1314728999999999E-2</v>
      </c>
      <c r="P1935" s="3">
        <v>5.0681321000000001E-2</v>
      </c>
      <c r="Q1935" s="3">
        <v>7.9559425000000003E-2</v>
      </c>
      <c r="R1935" s="3">
        <v>1.298697293</v>
      </c>
      <c r="S1935" s="3">
        <v>6.0181744259999999</v>
      </c>
      <c r="T1935" s="3">
        <v>1.5406390940000001</v>
      </c>
      <c r="U1935" s="3">
        <v>0.60639824799999997</v>
      </c>
      <c r="V1935" s="3">
        <v>0.19788264999999999</v>
      </c>
      <c r="W1935" s="3">
        <v>0.51578705700000005</v>
      </c>
      <c r="X1935" s="3">
        <v>1.7207154440000001</v>
      </c>
      <c r="Y1935" s="3">
        <v>3.3602676159999998</v>
      </c>
      <c r="Z1935" s="3">
        <v>2.5406390939999999</v>
      </c>
      <c r="AA1935" s="3">
        <v>3.0060957999999999E-2</v>
      </c>
      <c r="AB1935" s="3">
        <v>7.6576729730000004</v>
      </c>
      <c r="AC1935" s="3">
        <v>3.3360965939999998</v>
      </c>
      <c r="AD1935" s="3">
        <v>7.8161234999999996E-2</v>
      </c>
      <c r="AE1935" s="3">
        <v>8.2734623050000007</v>
      </c>
      <c r="AF1935" s="4">
        <v>42241</v>
      </c>
      <c r="AG1935" s="5">
        <f>YEAR(AF1935)</f>
        <v>2015</v>
      </c>
      <c r="AH1935" s="5" t="str">
        <f>"Q"&amp;ROUNDUP(MONTH(AF1935)/3,0)</f>
        <v>Q3</v>
      </c>
      <c r="AI1935" s="5">
        <f>INDEX(RatingLookup!$B$2:$B$11,MATCH(A1935,RatingLookup!$A$2:$A$11,0))</f>
        <v>6</v>
      </c>
      <c r="AJ1935" s="5" t="str">
        <f>INDEX(RatingLookup!$C$2:$C$11,MATCH(A1935,RatingLookup!$A$2:$A$11,0))</f>
        <v>Speculative Grade</v>
      </c>
    </row>
    <row r="1936" spans="1:36" x14ac:dyDescent="0.3">
      <c r="A1936" s="3" t="s">
        <v>92</v>
      </c>
      <c r="B1936" s="3" t="s">
        <v>2011</v>
      </c>
      <c r="C1936" s="3" t="s">
        <v>2012</v>
      </c>
      <c r="D1936" s="3" t="s">
        <v>60</v>
      </c>
      <c r="E1936" s="3" t="s">
        <v>563</v>
      </c>
      <c r="F1936" s="3" t="s">
        <v>59</v>
      </c>
      <c r="G1936" s="3">
        <v>3.1512244069999999</v>
      </c>
      <c r="H1936" s="3">
        <v>1.1975221620000001</v>
      </c>
      <c r="I1936" s="3">
        <v>4.470557E-2</v>
      </c>
      <c r="J1936" s="3">
        <v>38.374264969999999</v>
      </c>
      <c r="K1936" s="3">
        <v>0.13344387199999999</v>
      </c>
      <c r="L1936" s="3">
        <v>0.191738989</v>
      </c>
      <c r="M1936" s="3">
        <v>0.20255235699999999</v>
      </c>
      <c r="N1936" s="3">
        <v>0.13344387199999999</v>
      </c>
      <c r="O1936" s="3">
        <v>8.1009324999999993E-2</v>
      </c>
      <c r="P1936" s="3">
        <v>0.12435977300000001</v>
      </c>
      <c r="Q1936" s="3">
        <v>0.14664820200000001</v>
      </c>
      <c r="R1936" s="3">
        <v>0.60706665599999998</v>
      </c>
      <c r="S1936" s="3">
        <v>0.91092326899999998</v>
      </c>
      <c r="T1936" s="3">
        <v>0.81026322100000003</v>
      </c>
      <c r="U1936" s="3">
        <v>0.44759414600000003</v>
      </c>
      <c r="V1936" s="3">
        <v>0.30403371499999998</v>
      </c>
      <c r="W1936" s="3">
        <v>0.66300180200000003</v>
      </c>
      <c r="X1936" s="3">
        <v>3.5617521540000001</v>
      </c>
      <c r="Y1936" s="3">
        <v>0.48891114499999999</v>
      </c>
      <c r="Z1936" s="3">
        <v>1.810263221</v>
      </c>
      <c r="AA1936" s="3">
        <v>0.191738989</v>
      </c>
      <c r="AB1936" s="3">
        <v>16.696737070000001</v>
      </c>
      <c r="AC1936" s="3">
        <v>5.37216059</v>
      </c>
      <c r="AD1936" s="3">
        <v>0.232417017</v>
      </c>
      <c r="AE1936" s="3">
        <v>13.68893926</v>
      </c>
      <c r="AF1936" s="4">
        <v>42576</v>
      </c>
      <c r="AG1936" s="5">
        <f>YEAR(AF1936)</f>
        <v>2016</v>
      </c>
      <c r="AH1936" s="5" t="str">
        <f>"Q"&amp;ROUNDUP(MONTH(AF1936)/3,0)</f>
        <v>Q3</v>
      </c>
      <c r="AI1936" s="5">
        <f>INDEX(RatingLookup!$B$2:$B$11,MATCH(A1936,RatingLookup!$A$2:$A$11,0))</f>
        <v>6</v>
      </c>
      <c r="AJ1936" s="5" t="str">
        <f>INDEX(RatingLookup!$C$2:$C$11,MATCH(A1936,RatingLookup!$A$2:$A$11,0))</f>
        <v>Speculative Grade</v>
      </c>
    </row>
    <row r="1937" spans="1:36" x14ac:dyDescent="0.3">
      <c r="A1937" s="3" t="s">
        <v>42</v>
      </c>
      <c r="B1937" s="3" t="s">
        <v>2013</v>
      </c>
      <c r="C1937" s="3" t="s">
        <v>2014</v>
      </c>
      <c r="D1937" s="3" t="s">
        <v>60</v>
      </c>
      <c r="E1937" s="3" t="s">
        <v>46</v>
      </c>
      <c r="F1937" s="3" t="s">
        <v>113</v>
      </c>
      <c r="G1937" s="3">
        <v>1.3988962439999999</v>
      </c>
      <c r="H1937" s="3">
        <v>0.76323381800000001</v>
      </c>
      <c r="I1937" s="3">
        <v>0.106519646</v>
      </c>
      <c r="J1937" s="3">
        <v>61.517388850000003</v>
      </c>
      <c r="K1937" s="3">
        <v>9.6354283999999998E-2</v>
      </c>
      <c r="L1937" s="3">
        <v>1.3392347000000001E-2</v>
      </c>
      <c r="M1937" s="3">
        <v>0.50180516500000005</v>
      </c>
      <c r="N1937" s="3">
        <v>0.118503317</v>
      </c>
      <c r="O1937" s="3">
        <v>5.1419461E-2</v>
      </c>
      <c r="P1937" s="3">
        <v>8.4304789999999994E-3</v>
      </c>
      <c r="Q1937" s="3">
        <v>0.132310504</v>
      </c>
      <c r="R1937" s="3">
        <v>0.53364997000000003</v>
      </c>
      <c r="S1937" s="3">
        <v>4.2907083500000001</v>
      </c>
      <c r="T1937" s="3">
        <v>1.573160101</v>
      </c>
      <c r="U1937" s="3">
        <v>0.61137280199999999</v>
      </c>
      <c r="V1937" s="3">
        <v>0.32413346700000001</v>
      </c>
      <c r="W1937" s="3">
        <v>0.81128373499999995</v>
      </c>
      <c r="X1937" s="3">
        <v>2.257755365</v>
      </c>
      <c r="Y1937" s="3">
        <v>0.88359526399999999</v>
      </c>
      <c r="Z1937" s="3">
        <v>2.573160101</v>
      </c>
      <c r="AA1937" s="3">
        <v>1.3392347000000001E-2</v>
      </c>
      <c r="AB1937" s="3">
        <v>17.87678902</v>
      </c>
      <c r="AC1937" s="3">
        <v>2.782941734</v>
      </c>
      <c r="AD1937" s="3">
        <v>0.155048354</v>
      </c>
      <c r="AE1937" s="3">
        <v>8.4784296890000004</v>
      </c>
      <c r="AF1937" s="4">
        <v>41075</v>
      </c>
      <c r="AG1937" s="5">
        <f>YEAR(AF1937)</f>
        <v>2012</v>
      </c>
      <c r="AH1937" s="5" t="str">
        <f>"Q"&amp;ROUNDUP(MONTH(AF1937)/3,0)</f>
        <v>Q2</v>
      </c>
      <c r="AI1937" s="5">
        <f>INDEX(RatingLookup!$B$2:$B$11,MATCH(A1937,RatingLookup!$A$2:$A$11,0))</f>
        <v>7</v>
      </c>
      <c r="AJ1937" s="5" t="str">
        <f>INDEX(RatingLookup!$C$2:$C$11,MATCH(A1937,RatingLookup!$A$2:$A$11,0))</f>
        <v>Investment Grade</v>
      </c>
    </row>
    <row r="1938" spans="1:36" x14ac:dyDescent="0.3">
      <c r="A1938" s="3" t="s">
        <v>36</v>
      </c>
      <c r="B1938" s="3" t="s">
        <v>2015</v>
      </c>
      <c r="C1938" s="3" t="s">
        <v>2016</v>
      </c>
      <c r="D1938" s="3" t="s">
        <v>47</v>
      </c>
      <c r="E1938" s="3" t="s">
        <v>48</v>
      </c>
      <c r="F1938" s="3" t="s">
        <v>66</v>
      </c>
      <c r="G1938" s="3">
        <v>1.042425776</v>
      </c>
      <c r="H1938" s="3">
        <v>0.56528340099999996</v>
      </c>
      <c r="I1938" s="3">
        <v>0.185897436</v>
      </c>
      <c r="J1938" s="3">
        <v>115.8029016</v>
      </c>
      <c r="K1938" s="3">
        <v>0.328945506</v>
      </c>
      <c r="L1938" s="3">
        <v>0.428450106</v>
      </c>
      <c r="M1938" s="3">
        <v>0.73581033299999998</v>
      </c>
      <c r="N1938" s="3">
        <v>0.58733191799999995</v>
      </c>
      <c r="O1938" s="3">
        <v>0.116863199</v>
      </c>
      <c r="P1938" s="3">
        <v>0.21685711199999999</v>
      </c>
      <c r="Q1938" s="3">
        <v>0.56807626499999997</v>
      </c>
      <c r="R1938" s="3">
        <v>0.35526613499999998</v>
      </c>
      <c r="S1938" s="3">
        <v>3.8596012019999999</v>
      </c>
      <c r="T1938" s="3">
        <v>3.8336592519999999</v>
      </c>
      <c r="U1938" s="3">
        <v>0.78865059199999998</v>
      </c>
      <c r="V1938" s="3">
        <v>0.23224314500000001</v>
      </c>
      <c r="W1938" s="3">
        <v>0.88125894100000002</v>
      </c>
      <c r="X1938" s="3">
        <v>2.8559317540000002</v>
      </c>
      <c r="Y1938" s="3">
        <v>1.469692153</v>
      </c>
      <c r="Z1938" s="3">
        <v>4.8610364209999997</v>
      </c>
      <c r="AA1938" s="3">
        <v>0.428450106</v>
      </c>
      <c r="AB1938" s="3">
        <v>14.89716511</v>
      </c>
      <c r="AC1938" s="3">
        <v>3.2407407410000002</v>
      </c>
      <c r="AD1938" s="3">
        <v>0.34628450100000002</v>
      </c>
      <c r="AE1938" s="3">
        <v>0.445731343</v>
      </c>
      <c r="AF1938" s="4">
        <v>42667</v>
      </c>
      <c r="AG1938" s="5">
        <f>YEAR(AF1938)</f>
        <v>2016</v>
      </c>
      <c r="AH1938" s="5" t="str">
        <f>"Q"&amp;ROUNDUP(MONTH(AF1938)/3,0)</f>
        <v>Q4</v>
      </c>
      <c r="AI1938" s="5">
        <f>INDEX(RatingLookup!$B$2:$B$11,MATCH(A1938,RatingLookup!$A$2:$A$11,0))</f>
        <v>8</v>
      </c>
      <c r="AJ1938" s="5" t="str">
        <f>INDEX(RatingLookup!$C$2:$C$11,MATCH(A1938,RatingLookup!$A$2:$A$11,0))</f>
        <v>Investment Grade</v>
      </c>
    </row>
    <row r="1939" spans="1:36" x14ac:dyDescent="0.3">
      <c r="A1939" s="3" t="s">
        <v>92</v>
      </c>
      <c r="B1939" s="3" t="s">
        <v>2017</v>
      </c>
      <c r="C1939" s="3" t="s">
        <v>2018</v>
      </c>
      <c r="D1939" s="3" t="s">
        <v>47</v>
      </c>
      <c r="E1939" s="3" t="s">
        <v>1634</v>
      </c>
      <c r="F1939" s="3" t="s">
        <v>113</v>
      </c>
      <c r="G1939" s="3">
        <v>3.803698802</v>
      </c>
      <c r="H1939" s="3">
        <v>2.1359180840000001</v>
      </c>
      <c r="I1939" s="3">
        <v>0.93760934900000004</v>
      </c>
      <c r="J1939" s="3">
        <v>0</v>
      </c>
      <c r="K1939" s="3">
        <v>-0.29149924199999999</v>
      </c>
      <c r="L1939" s="3">
        <v>-0.293330119</v>
      </c>
      <c r="M1939" s="3">
        <v>0.67285762999999998</v>
      </c>
      <c r="N1939" s="3">
        <v>-0.226374889</v>
      </c>
      <c r="O1939" s="3">
        <v>-7.9206140999999994E-2</v>
      </c>
      <c r="P1939" s="3">
        <v>-8.4983280999999994E-2</v>
      </c>
      <c r="Q1939" s="3">
        <v>-0.133135485</v>
      </c>
      <c r="R1939" s="3">
        <v>0.27171988600000002</v>
      </c>
      <c r="S1939" s="3">
        <v>1.2870740439999999</v>
      </c>
      <c r="T1939" s="3">
        <v>0.68087326599999998</v>
      </c>
      <c r="U1939" s="3">
        <v>0.40507114999999999</v>
      </c>
      <c r="V1939" s="3">
        <v>6.2416950000000002E-3</v>
      </c>
      <c r="W1939" s="3">
        <v>7.8444802579999999</v>
      </c>
      <c r="X1939" s="3">
        <v>-0.16974420700000001</v>
      </c>
      <c r="Y1939" s="3">
        <v>1.6603633760000001</v>
      </c>
      <c r="Z1939" s="3">
        <v>1.6808732660000001</v>
      </c>
      <c r="AA1939" s="3">
        <v>-0.293330119</v>
      </c>
      <c r="AB1939" s="3">
        <v>434.05582079999999</v>
      </c>
      <c r="AC1939" s="3">
        <v>-2.1638681E-2</v>
      </c>
      <c r="AD1939" s="3">
        <v>-6.3644779999999998E-3</v>
      </c>
      <c r="AE1939" s="3">
        <v>1.611769462</v>
      </c>
      <c r="AF1939" s="4">
        <v>41159</v>
      </c>
      <c r="AG1939" s="5">
        <f>YEAR(AF1939)</f>
        <v>2012</v>
      </c>
      <c r="AH1939" s="5" t="str">
        <f>"Q"&amp;ROUNDUP(MONTH(AF1939)/3,0)</f>
        <v>Q3</v>
      </c>
      <c r="AI1939" s="5">
        <f>INDEX(RatingLookup!$B$2:$B$11,MATCH(A1939,RatingLookup!$A$2:$A$11,0))</f>
        <v>6</v>
      </c>
      <c r="AJ1939" s="5" t="str">
        <f>INDEX(RatingLookup!$C$2:$C$11,MATCH(A1939,RatingLookup!$A$2:$A$11,0))</f>
        <v>Speculative Grade</v>
      </c>
    </row>
    <row r="1940" spans="1:36" x14ac:dyDescent="0.3">
      <c r="A1940" s="3" t="s">
        <v>92</v>
      </c>
      <c r="B1940" s="3" t="s">
        <v>2017</v>
      </c>
      <c r="C1940" s="3" t="s">
        <v>2018</v>
      </c>
      <c r="D1940" s="3" t="s">
        <v>47</v>
      </c>
      <c r="E1940" s="3" t="s">
        <v>325</v>
      </c>
      <c r="F1940" s="3" t="s">
        <v>113</v>
      </c>
      <c r="G1940" s="3">
        <v>6.714501233</v>
      </c>
      <c r="H1940" s="3">
        <v>4.8334839409999999</v>
      </c>
      <c r="I1940" s="3">
        <v>1.7158873349999999</v>
      </c>
      <c r="J1940" s="3">
        <v>0</v>
      </c>
      <c r="K1940" s="3">
        <v>-4.8580371999999997E-2</v>
      </c>
      <c r="L1940" s="3">
        <v>-2.2671701999999998E-2</v>
      </c>
      <c r="M1940" s="3">
        <v>0.71584498100000005</v>
      </c>
      <c r="N1940" s="3">
        <v>-0.140829911</v>
      </c>
      <c r="O1940" s="3">
        <v>-1.5646404999999999E-2</v>
      </c>
      <c r="P1940" s="3">
        <v>-7.83441E-3</v>
      </c>
      <c r="Q1940" s="3">
        <v>-2.1520764000000001E-2</v>
      </c>
      <c r="R1940" s="3">
        <v>0.32207256400000001</v>
      </c>
      <c r="S1940" s="3">
        <v>2.328550463</v>
      </c>
      <c r="T1940" s="3">
        <v>0.37544466500000001</v>
      </c>
      <c r="U1940" s="3">
        <v>0.272962392</v>
      </c>
      <c r="V1940" s="3">
        <v>-1.1427756790000001</v>
      </c>
      <c r="W1940" s="3">
        <v>-2.0210072719999999</v>
      </c>
      <c r="X1940" s="3">
        <v>-0.154962347</v>
      </c>
      <c r="Y1940" s="3">
        <v>4.3446590580000004</v>
      </c>
      <c r="Z1940" s="3">
        <v>1.3754446650000001</v>
      </c>
      <c r="AA1940" s="3">
        <v>-2.2671701999999998E-2</v>
      </c>
      <c r="AB1940" s="3">
        <v>971.39289959999996</v>
      </c>
      <c r="AC1940" s="3">
        <v>7.6675799000000003E-2</v>
      </c>
      <c r="AD1940" s="3">
        <v>1.800129E-2</v>
      </c>
      <c r="AE1940" s="3">
        <v>1.4500651499999999</v>
      </c>
      <c r="AF1940" s="4">
        <v>41878</v>
      </c>
      <c r="AG1940" s="5">
        <f>YEAR(AF1940)</f>
        <v>2014</v>
      </c>
      <c r="AH1940" s="5" t="str">
        <f>"Q"&amp;ROUNDUP(MONTH(AF1940)/3,0)</f>
        <v>Q3</v>
      </c>
      <c r="AI1940" s="5">
        <f>INDEX(RatingLookup!$B$2:$B$11,MATCH(A1940,RatingLookup!$A$2:$A$11,0))</f>
        <v>6</v>
      </c>
      <c r="AJ1940" s="5" t="str">
        <f>INDEX(RatingLookup!$C$2:$C$11,MATCH(A1940,RatingLookup!$A$2:$A$11,0))</f>
        <v>Speculative Grade</v>
      </c>
    </row>
    <row r="1941" spans="1:36" x14ac:dyDescent="0.3">
      <c r="A1941" s="3" t="s">
        <v>92</v>
      </c>
      <c r="B1941" s="3" t="s">
        <v>2017</v>
      </c>
      <c r="C1941" s="3" t="s">
        <v>2018</v>
      </c>
      <c r="D1941" s="3" t="s">
        <v>47</v>
      </c>
      <c r="E1941" s="3" t="s">
        <v>495</v>
      </c>
      <c r="F1941" s="3" t="s">
        <v>113</v>
      </c>
      <c r="G1941" s="3">
        <v>3.1961880890000001</v>
      </c>
      <c r="H1941" s="3">
        <v>2.264022658</v>
      </c>
      <c r="I1941" s="3">
        <v>0.76673849599999999</v>
      </c>
      <c r="J1941" s="3">
        <v>0</v>
      </c>
      <c r="K1941" s="3">
        <v>-0.361531667</v>
      </c>
      <c r="L1941" s="3">
        <v>-0.35650568599999999</v>
      </c>
      <c r="M1941" s="3">
        <v>0.77879793399999997</v>
      </c>
      <c r="N1941" s="3">
        <v>-0.356976772</v>
      </c>
      <c r="O1941" s="3">
        <v>-0.122410742</v>
      </c>
      <c r="P1941" s="3">
        <v>-0.13831422199999999</v>
      </c>
      <c r="Q1941" s="3">
        <v>-0.17284282200000001</v>
      </c>
      <c r="R1941" s="3">
        <v>0.33858926700000003</v>
      </c>
      <c r="S1941" s="3">
        <v>2.4658090640000001</v>
      </c>
      <c r="T1941" s="3">
        <v>0.41199064099999999</v>
      </c>
      <c r="U1941" s="3">
        <v>0.29178000799999998</v>
      </c>
      <c r="V1941" s="3">
        <v>-1.40979E-2</v>
      </c>
      <c r="W1941" s="3">
        <v>2.3101337960000001</v>
      </c>
      <c r="X1941" s="3">
        <v>-0.62488773900000005</v>
      </c>
      <c r="Y1941" s="3">
        <v>3.5841588139999998</v>
      </c>
      <c r="Z1941" s="3">
        <v>1.411990641</v>
      </c>
      <c r="AA1941" s="3">
        <v>-0.35650568599999999</v>
      </c>
      <c r="AB1941" s="3">
        <v>-35.650618649999998</v>
      </c>
      <c r="AC1941" s="3">
        <v>-0.270498505</v>
      </c>
      <c r="AD1941" s="3">
        <v>-6.4233251000000005E-2</v>
      </c>
      <c r="AE1941" s="3">
        <v>0.823711737</v>
      </c>
      <c r="AF1941" s="4">
        <v>42438</v>
      </c>
      <c r="AG1941" s="5">
        <f>YEAR(AF1941)</f>
        <v>2016</v>
      </c>
      <c r="AH1941" s="5" t="str">
        <f>"Q"&amp;ROUNDUP(MONTH(AF1941)/3,0)</f>
        <v>Q1</v>
      </c>
      <c r="AI1941" s="5">
        <f>INDEX(RatingLookup!$B$2:$B$11,MATCH(A1941,RatingLookup!$A$2:$A$11,0))</f>
        <v>6</v>
      </c>
      <c r="AJ1941" s="5" t="str">
        <f>INDEX(RatingLookup!$C$2:$C$11,MATCH(A1941,RatingLookup!$A$2:$A$11,0))</f>
        <v>Speculative Grade</v>
      </c>
    </row>
    <row r="1942" spans="1:36" x14ac:dyDescent="0.3">
      <c r="A1942" s="3" t="s">
        <v>109</v>
      </c>
      <c r="B1942" s="3" t="s">
        <v>2019</v>
      </c>
      <c r="C1942" s="3" t="s">
        <v>2020</v>
      </c>
      <c r="D1942" s="3" t="s">
        <v>60</v>
      </c>
      <c r="E1942" s="3" t="s">
        <v>1853</v>
      </c>
      <c r="F1942" s="3" t="s">
        <v>219</v>
      </c>
      <c r="G1942" s="3">
        <v>1.5472190509999999</v>
      </c>
      <c r="H1942" s="3">
        <v>1.180394715</v>
      </c>
      <c r="I1942" s="3">
        <v>0.116457348</v>
      </c>
      <c r="J1942" s="3">
        <v>23.147521959999999</v>
      </c>
      <c r="K1942" s="3">
        <v>5.2975303000000001E-2</v>
      </c>
      <c r="L1942" s="3">
        <v>8.0921597999999997E-2</v>
      </c>
      <c r="M1942" s="3">
        <v>0.35302502899999999</v>
      </c>
      <c r="N1942" s="3">
        <v>9.7662853999999993E-2</v>
      </c>
      <c r="O1942" s="3">
        <v>6.3232035000000006E-2</v>
      </c>
      <c r="P1942" s="3">
        <v>0.12752729700000001</v>
      </c>
      <c r="Q1942" s="3">
        <v>0.25745126499999998</v>
      </c>
      <c r="R1942" s="3">
        <v>1.193613485</v>
      </c>
      <c r="S1942" s="3">
        <v>6.6486665199999999</v>
      </c>
      <c r="T1942" s="3">
        <v>3.071532141</v>
      </c>
      <c r="U1942" s="3">
        <v>0.75439221300000003</v>
      </c>
      <c r="V1942" s="3">
        <v>0.34985661600000001</v>
      </c>
      <c r="W1942" s="3">
        <v>-0.46496557300000002</v>
      </c>
      <c r="X1942" s="3">
        <v>-1.87888707</v>
      </c>
      <c r="Y1942" s="3">
        <v>8.7135842879999998</v>
      </c>
      <c r="Z1942" s="3">
        <v>4.0715321409999996</v>
      </c>
      <c r="AA1942" s="3">
        <v>8.0921597999999997E-2</v>
      </c>
      <c r="AB1942" s="3">
        <v>14.83894798</v>
      </c>
      <c r="AC1942" s="3">
        <v>4.0409165299999996</v>
      </c>
      <c r="AD1942" s="3">
        <v>8.1849826000000001E-2</v>
      </c>
      <c r="AE1942" s="3">
        <v>9.8281960589999997</v>
      </c>
      <c r="AF1942" s="4">
        <v>42292</v>
      </c>
      <c r="AG1942" s="5">
        <f>YEAR(AF1942)</f>
        <v>2015</v>
      </c>
      <c r="AH1942" s="5" t="str">
        <f>"Q"&amp;ROUNDUP(MONTH(AF1942)/3,0)</f>
        <v>Q4</v>
      </c>
      <c r="AI1942" s="5">
        <f>INDEX(RatingLookup!$B$2:$B$11,MATCH(A1942,RatingLookup!$A$2:$A$11,0))</f>
        <v>5</v>
      </c>
      <c r="AJ1942" s="5" t="str">
        <f>INDEX(RatingLookup!$C$2:$C$11,MATCH(A1942,RatingLookup!$A$2:$A$11,0))</f>
        <v>Speculative Grade</v>
      </c>
    </row>
    <row r="1943" spans="1:36" x14ac:dyDescent="0.3">
      <c r="A1943" s="3" t="s">
        <v>109</v>
      </c>
      <c r="B1943" s="3" t="s">
        <v>2019</v>
      </c>
      <c r="C1943" s="3" t="s">
        <v>2020</v>
      </c>
      <c r="D1943" s="3" t="s">
        <v>60</v>
      </c>
      <c r="E1943" s="3" t="s">
        <v>46</v>
      </c>
      <c r="F1943" s="3" t="s">
        <v>219</v>
      </c>
      <c r="G1943" s="3">
        <v>2.1180110970000001</v>
      </c>
      <c r="H1943" s="3">
        <v>2.6641058470000001</v>
      </c>
      <c r="I1943" s="3">
        <v>0.27934272300000001</v>
      </c>
      <c r="J1943" s="3">
        <v>41.639630429999997</v>
      </c>
      <c r="K1943" s="3">
        <v>5.9209365999999999E-2</v>
      </c>
      <c r="L1943" s="3">
        <v>6.8695560000000003E-2</v>
      </c>
      <c r="M1943" s="3">
        <v>0.35370455299999998</v>
      </c>
      <c r="N1943" s="3">
        <v>8.7103712999999999E-2</v>
      </c>
      <c r="O1943" s="3">
        <v>8.1814637999999995E-2</v>
      </c>
      <c r="P1943" s="3">
        <v>0.123010861</v>
      </c>
      <c r="Q1943" s="3">
        <v>0.29992854600000002</v>
      </c>
      <c r="R1943" s="3">
        <v>1.3817854009999999</v>
      </c>
      <c r="S1943" s="3">
        <v>7.184443881</v>
      </c>
      <c r="T1943" s="3">
        <v>2.6659521260000001</v>
      </c>
      <c r="U1943" s="3">
        <v>0.72721956899999995</v>
      </c>
      <c r="V1943" s="3">
        <v>0.37422997899999999</v>
      </c>
      <c r="W1943" s="3">
        <v>0.40458640499999998</v>
      </c>
      <c r="X1943" s="3">
        <v>0.76352395699999998</v>
      </c>
      <c r="Y1943" s="3">
        <v>14.29520866</v>
      </c>
      <c r="Z1943" s="3">
        <v>3.6659521260000001</v>
      </c>
      <c r="AA1943" s="3">
        <v>6.8695560000000003E-2</v>
      </c>
      <c r="AB1943" s="3">
        <v>12.62232588</v>
      </c>
      <c r="AC1943" s="3">
        <v>1.8871715609999999</v>
      </c>
      <c r="AD1943" s="3">
        <v>4.3058151000000003E-2</v>
      </c>
      <c r="AE1943" s="3">
        <v>12.074666669999999</v>
      </c>
      <c r="AF1943" s="4">
        <v>41075</v>
      </c>
      <c r="AG1943" s="5">
        <f>YEAR(AF1943)</f>
        <v>2012</v>
      </c>
      <c r="AH1943" s="5" t="str">
        <f>"Q"&amp;ROUNDUP(MONTH(AF1943)/3,0)</f>
        <v>Q2</v>
      </c>
      <c r="AI1943" s="5">
        <f>INDEX(RatingLookup!$B$2:$B$11,MATCH(A1943,RatingLookup!$A$2:$A$11,0))</f>
        <v>5</v>
      </c>
      <c r="AJ1943" s="5" t="str">
        <f>INDEX(RatingLookup!$C$2:$C$11,MATCH(A1943,RatingLookup!$A$2:$A$11,0))</f>
        <v>Speculative Grade</v>
      </c>
    </row>
    <row r="1944" spans="1:36" x14ac:dyDescent="0.3">
      <c r="A1944" s="3" t="s">
        <v>109</v>
      </c>
      <c r="B1944" s="3" t="s">
        <v>2019</v>
      </c>
      <c r="C1944" s="3" t="s">
        <v>2020</v>
      </c>
      <c r="D1944" s="3" t="s">
        <v>60</v>
      </c>
      <c r="E1944" s="3" t="s">
        <v>1531</v>
      </c>
      <c r="F1944" s="3" t="s">
        <v>219</v>
      </c>
      <c r="G1944" s="3">
        <v>1.6720620470000001</v>
      </c>
      <c r="H1944" s="3">
        <v>1.777946383</v>
      </c>
      <c r="I1944" s="3">
        <v>8.4471421000000005E-2</v>
      </c>
      <c r="J1944" s="3">
        <v>25.27625965</v>
      </c>
      <c r="K1944" s="3">
        <v>0.11117379500000001</v>
      </c>
      <c r="L1944" s="3">
        <v>0.138464793</v>
      </c>
      <c r="M1944" s="3">
        <v>0.35097493000000002</v>
      </c>
      <c r="N1944" s="3">
        <v>0.161947745</v>
      </c>
      <c r="O1944" s="3">
        <v>0.11225434300000001</v>
      </c>
      <c r="P1944" s="3">
        <v>0.17723518499999999</v>
      </c>
      <c r="Q1944" s="3">
        <v>0.44085570499999999</v>
      </c>
      <c r="R1944" s="3">
        <v>1.009719453</v>
      </c>
      <c r="S1944" s="3">
        <v>6.0240016990000003</v>
      </c>
      <c r="T1944" s="3">
        <v>2.9272930650000002</v>
      </c>
      <c r="U1944" s="3">
        <v>0.74537168899999995</v>
      </c>
      <c r="V1944" s="3">
        <v>0.35497835500000002</v>
      </c>
      <c r="W1944" s="3">
        <v>0.75442291500000003</v>
      </c>
      <c r="X1944" s="3">
        <v>2.9312602289999998</v>
      </c>
      <c r="Y1944" s="3">
        <v>14.04418985</v>
      </c>
      <c r="Z1944" s="3">
        <v>3.9272930650000002</v>
      </c>
      <c r="AA1944" s="3">
        <v>0.138464793</v>
      </c>
      <c r="AB1944" s="3">
        <v>12.49868056</v>
      </c>
      <c r="AC1944" s="3">
        <v>3.885433715</v>
      </c>
      <c r="AD1944" s="3">
        <v>8.3706498000000004E-2</v>
      </c>
      <c r="AE1944" s="3">
        <v>11.048824590000001</v>
      </c>
      <c r="AF1944" s="4">
        <v>42716</v>
      </c>
      <c r="AG1944" s="5">
        <f>YEAR(AF1944)</f>
        <v>2016</v>
      </c>
      <c r="AH1944" s="5" t="str">
        <f>"Q"&amp;ROUNDUP(MONTH(AF1944)/3,0)</f>
        <v>Q4</v>
      </c>
      <c r="AI1944" s="5">
        <f>INDEX(RatingLookup!$B$2:$B$11,MATCH(A1944,RatingLookup!$A$2:$A$11,0))</f>
        <v>5</v>
      </c>
      <c r="AJ1944" s="5" t="str">
        <f>INDEX(RatingLookup!$C$2:$C$11,MATCH(A1944,RatingLookup!$A$2:$A$11,0))</f>
        <v>Speculative Grade</v>
      </c>
    </row>
    <row r="1945" spans="1:36" x14ac:dyDescent="0.3">
      <c r="A1945" s="3" t="s">
        <v>92</v>
      </c>
      <c r="B1945" s="3" t="s">
        <v>2021</v>
      </c>
      <c r="C1945" s="3" t="s">
        <v>2022</v>
      </c>
      <c r="D1945" s="3" t="s">
        <v>60</v>
      </c>
      <c r="E1945" s="3" t="s">
        <v>1670</v>
      </c>
      <c r="F1945" s="3" t="s">
        <v>79</v>
      </c>
      <c r="G1945" s="3">
        <v>2.585530409</v>
      </c>
      <c r="H1945" s="3">
        <v>1.7933479779999999</v>
      </c>
      <c r="I1945" s="3">
        <v>0.70509191500000001</v>
      </c>
      <c r="J1945" s="3">
        <v>16.25092991</v>
      </c>
      <c r="K1945" s="3">
        <v>1.9872587000000001E-2</v>
      </c>
      <c r="L1945" s="3">
        <v>2.9578929E-2</v>
      </c>
      <c r="M1945" s="3">
        <v>8.8844724999999999E-2</v>
      </c>
      <c r="N1945" s="3">
        <v>3.9145056999999997E-2</v>
      </c>
      <c r="O1945" s="3">
        <v>7.2585409000000004E-2</v>
      </c>
      <c r="P1945" s="3">
        <v>0.19950443300000001</v>
      </c>
      <c r="Q1945" s="3">
        <v>0.18923325899999999</v>
      </c>
      <c r="R1945" s="3">
        <v>3.652539526</v>
      </c>
      <c r="S1945" s="3">
        <v>13.91004496</v>
      </c>
      <c r="T1945" s="3">
        <v>1.6033815309999999</v>
      </c>
      <c r="U1945" s="3">
        <v>0.61501928699999997</v>
      </c>
      <c r="V1945" s="3">
        <v>0.328150569</v>
      </c>
      <c r="W1945" s="3">
        <v>0.77369311500000004</v>
      </c>
      <c r="X1945" s="3">
        <v>2.2260013590000001</v>
      </c>
      <c r="Y1945" s="3">
        <v>3.1507592450000002</v>
      </c>
      <c r="Z1945" s="3">
        <v>2.6070426819999999</v>
      </c>
      <c r="AA1945" s="3">
        <v>4.4512019E-2</v>
      </c>
      <c r="AB1945" s="3">
        <v>3.5013148940000001</v>
      </c>
      <c r="AC1945" s="3">
        <v>2.8771114990000002</v>
      </c>
      <c r="AD1945" s="3">
        <v>4.2319309999999999E-2</v>
      </c>
      <c r="AE1945" s="3">
        <v>41.723305750000002</v>
      </c>
      <c r="AF1945" s="4">
        <v>42425</v>
      </c>
      <c r="AG1945" s="5">
        <f>YEAR(AF1945)</f>
        <v>2016</v>
      </c>
      <c r="AH1945" s="5" t="str">
        <f>"Q"&amp;ROUNDUP(MONTH(AF1945)/3,0)</f>
        <v>Q1</v>
      </c>
      <c r="AI1945" s="5">
        <f>INDEX(RatingLookup!$B$2:$B$11,MATCH(A1945,RatingLookup!$A$2:$A$11,0))</f>
        <v>6</v>
      </c>
      <c r="AJ1945" s="5" t="str">
        <f>INDEX(RatingLookup!$C$2:$C$11,MATCH(A1945,RatingLookup!$A$2:$A$11,0))</f>
        <v>Speculative Grade</v>
      </c>
    </row>
    <row r="1946" spans="1:36" x14ac:dyDescent="0.3">
      <c r="A1946" s="3" t="s">
        <v>42</v>
      </c>
      <c r="B1946" s="3" t="s">
        <v>2021</v>
      </c>
      <c r="C1946" s="3" t="s">
        <v>2022</v>
      </c>
      <c r="D1946" s="3" t="s">
        <v>60</v>
      </c>
      <c r="E1946" s="3" t="s">
        <v>46</v>
      </c>
      <c r="F1946" s="3" t="s">
        <v>79</v>
      </c>
      <c r="G1946" s="3">
        <v>1.5768223539999999</v>
      </c>
      <c r="H1946" s="3">
        <v>1.1627080160000001</v>
      </c>
      <c r="I1946" s="3">
        <v>0.43238642900000002</v>
      </c>
      <c r="J1946" s="3">
        <v>16.232770949999999</v>
      </c>
      <c r="K1946" s="3">
        <v>1.7567465000000001E-2</v>
      </c>
      <c r="L1946" s="3">
        <v>2.3771723000000002E-2</v>
      </c>
      <c r="M1946" s="3">
        <v>7.2064828999999997E-2</v>
      </c>
      <c r="N1946" s="3">
        <v>2.9934729E-2</v>
      </c>
      <c r="O1946" s="3">
        <v>6.2366889000000002E-2</v>
      </c>
      <c r="P1946" s="3">
        <v>0.18436941400000001</v>
      </c>
      <c r="Q1946" s="3">
        <v>0.15418801200000001</v>
      </c>
      <c r="R1946" s="3">
        <v>3.5501359680000002</v>
      </c>
      <c r="S1946" s="3">
        <v>11.439560200000001</v>
      </c>
      <c r="T1946" s="3">
        <v>1.467551107</v>
      </c>
      <c r="U1946" s="3">
        <v>0.59360384600000005</v>
      </c>
      <c r="V1946" s="3">
        <v>0.26099319399999998</v>
      </c>
      <c r="W1946" s="3">
        <v>0.64426463499999997</v>
      </c>
      <c r="X1946" s="3">
        <v>0.99041853499999999</v>
      </c>
      <c r="Y1946" s="3">
        <v>2.374105428</v>
      </c>
      <c r="Z1946" s="3">
        <v>2.4722735810000001</v>
      </c>
      <c r="AA1946" s="3">
        <v>3.6452259000000001E-2</v>
      </c>
      <c r="AB1946" s="3">
        <v>5.7892861910000004</v>
      </c>
      <c r="AC1946" s="3">
        <v>1.537285273</v>
      </c>
      <c r="AD1946" s="3">
        <v>3.4418912000000003E-2</v>
      </c>
      <c r="AE1946" s="3">
        <v>37.207341159999999</v>
      </c>
      <c r="AF1946" s="4">
        <v>41075</v>
      </c>
      <c r="AG1946" s="5">
        <f>YEAR(AF1946)</f>
        <v>2012</v>
      </c>
      <c r="AH1946" s="5" t="str">
        <f>"Q"&amp;ROUNDUP(MONTH(AF1946)/3,0)</f>
        <v>Q2</v>
      </c>
      <c r="AI1946" s="5">
        <f>INDEX(RatingLookup!$B$2:$B$11,MATCH(A1946,RatingLookup!$A$2:$A$11,0))</f>
        <v>7</v>
      </c>
      <c r="AJ1946" s="5" t="str">
        <f>INDEX(RatingLookup!$C$2:$C$11,MATCH(A1946,RatingLookup!$A$2:$A$11,0))</f>
        <v>Investment Grade</v>
      </c>
    </row>
    <row r="1947" spans="1:36" x14ac:dyDescent="0.3">
      <c r="A1947" s="3" t="s">
        <v>42</v>
      </c>
      <c r="B1947" s="3" t="s">
        <v>2021</v>
      </c>
      <c r="C1947" s="3" t="s">
        <v>2022</v>
      </c>
      <c r="D1947" s="3" t="s">
        <v>60</v>
      </c>
      <c r="E1947" s="3" t="s">
        <v>579</v>
      </c>
      <c r="F1947" s="3" t="s">
        <v>79</v>
      </c>
      <c r="G1947" s="3">
        <v>1.916839234</v>
      </c>
      <c r="H1947" s="3">
        <v>1.4669562650000001</v>
      </c>
      <c r="I1947" s="3">
        <v>0.54312771199999998</v>
      </c>
      <c r="J1947" s="3">
        <v>16.780801329999999</v>
      </c>
      <c r="K1947" s="3">
        <v>1.8933234E-2</v>
      </c>
      <c r="L1947" s="3">
        <v>2.6753550000000001E-2</v>
      </c>
      <c r="M1947" s="3">
        <v>7.6125315999999998E-2</v>
      </c>
      <c r="N1947" s="3">
        <v>3.1704548999999999E-2</v>
      </c>
      <c r="O1947" s="3">
        <v>6.6881496999999998E-2</v>
      </c>
      <c r="P1947" s="3">
        <v>0.16651738199999999</v>
      </c>
      <c r="Q1947" s="3">
        <v>0.170536988</v>
      </c>
      <c r="R1947" s="3">
        <v>3.5324919010000002</v>
      </c>
      <c r="S1947" s="3">
        <v>11.54246736</v>
      </c>
      <c r="T1947" s="3">
        <v>1.545577473</v>
      </c>
      <c r="U1947" s="3">
        <v>0.60614730100000003</v>
      </c>
      <c r="V1947" s="3">
        <v>0.29230945400000002</v>
      </c>
      <c r="W1947" s="3">
        <v>0.71847761099999996</v>
      </c>
      <c r="X1947" s="3">
        <v>1.612570367</v>
      </c>
      <c r="Y1947" s="3">
        <v>2.7391492240000002</v>
      </c>
      <c r="Z1947" s="3">
        <v>2.5498380850000002</v>
      </c>
      <c r="AA1947" s="3">
        <v>3.5635813000000002E-2</v>
      </c>
      <c r="AB1947" s="3">
        <v>5.9393254740000003</v>
      </c>
      <c r="AC1947" s="3">
        <v>2.2444267450000002</v>
      </c>
      <c r="AD1947" s="3">
        <v>4.5363072999999997E-2</v>
      </c>
      <c r="AE1947" s="3">
        <v>34.234245430000001</v>
      </c>
      <c r="AF1947" s="4">
        <v>41418</v>
      </c>
      <c r="AG1947" s="5">
        <f>YEAR(AF1947)</f>
        <v>2013</v>
      </c>
      <c r="AH1947" s="5" t="str">
        <f>"Q"&amp;ROUNDUP(MONTH(AF1947)/3,0)</f>
        <v>Q2</v>
      </c>
      <c r="AI1947" s="5">
        <f>INDEX(RatingLookup!$B$2:$B$11,MATCH(A1947,RatingLookup!$A$2:$A$11,0))</f>
        <v>7</v>
      </c>
      <c r="AJ1947" s="5" t="str">
        <f>INDEX(RatingLookup!$C$2:$C$11,MATCH(A1947,RatingLookup!$A$2:$A$11,0))</f>
        <v>Investment Grade</v>
      </c>
    </row>
    <row r="1948" spans="1:36" x14ac:dyDescent="0.3">
      <c r="A1948" s="3" t="s">
        <v>42</v>
      </c>
      <c r="B1948" s="3" t="s">
        <v>2023</v>
      </c>
      <c r="C1948" s="3" t="s">
        <v>2024</v>
      </c>
      <c r="D1948" s="3" t="s">
        <v>60</v>
      </c>
      <c r="E1948" s="3" t="s">
        <v>981</v>
      </c>
      <c r="F1948" s="3" t="s">
        <v>59</v>
      </c>
      <c r="G1948" s="3">
        <v>1.4506611899999999</v>
      </c>
      <c r="H1948" s="3">
        <v>0.94784831599999997</v>
      </c>
      <c r="I1948" s="3">
        <v>0.25516386800000002</v>
      </c>
      <c r="J1948" s="3">
        <v>53.90668513</v>
      </c>
      <c r="K1948" s="3">
        <v>9.5648225000000003E-2</v>
      </c>
      <c r="L1948" s="3">
        <v>0.110511493</v>
      </c>
      <c r="M1948" s="3">
        <v>0.52611746599999998</v>
      </c>
      <c r="N1948" s="3">
        <v>0.11001895</v>
      </c>
      <c r="O1948" s="3">
        <v>5.9136573999999997E-2</v>
      </c>
      <c r="P1948" s="3">
        <v>8.0946268000000002E-2</v>
      </c>
      <c r="Q1948" s="3">
        <v>9.8543117E-2</v>
      </c>
      <c r="R1948" s="3">
        <v>0.61827152799999996</v>
      </c>
      <c r="S1948" s="3">
        <v>16.00366498</v>
      </c>
      <c r="T1948" s="3">
        <v>0.66636498799999999</v>
      </c>
      <c r="U1948" s="3">
        <v>0.39989137600000002</v>
      </c>
      <c r="V1948" s="3">
        <v>0.137220008</v>
      </c>
      <c r="W1948" s="3">
        <v>0.82906170499999998</v>
      </c>
      <c r="X1948" s="3">
        <v>1.3394142950000001</v>
      </c>
      <c r="Y1948" s="3">
        <v>0.814216359</v>
      </c>
      <c r="Z1948" s="3">
        <v>1.666364988</v>
      </c>
      <c r="AA1948" s="3">
        <v>0.110511493</v>
      </c>
      <c r="AB1948" s="3">
        <v>20.186671709999999</v>
      </c>
      <c r="AC1948" s="3">
        <v>1.6155785359999999</v>
      </c>
      <c r="AD1948" s="3">
        <v>0.18121176999999999</v>
      </c>
      <c r="AE1948" s="3">
        <v>9.6363555569999999</v>
      </c>
      <c r="AF1948" s="4">
        <v>41962</v>
      </c>
      <c r="AG1948" s="5">
        <f>YEAR(AF1948)</f>
        <v>2014</v>
      </c>
      <c r="AH1948" s="5" t="str">
        <f>"Q"&amp;ROUNDUP(MONTH(AF1948)/3,0)</f>
        <v>Q4</v>
      </c>
      <c r="AI1948" s="5">
        <f>INDEX(RatingLookup!$B$2:$B$11,MATCH(A1948,RatingLookup!$A$2:$A$11,0))</f>
        <v>7</v>
      </c>
      <c r="AJ1948" s="5" t="str">
        <f>INDEX(RatingLookup!$C$2:$C$11,MATCH(A1948,RatingLookup!$A$2:$A$11,0))</f>
        <v>Investment Grade</v>
      </c>
    </row>
    <row r="1949" spans="1:36" x14ac:dyDescent="0.3">
      <c r="A1949" s="3" t="s">
        <v>109</v>
      </c>
      <c r="B1949" s="3" t="s">
        <v>2025</v>
      </c>
      <c r="C1949" s="3" t="s">
        <v>2026</v>
      </c>
      <c r="D1949" s="3" t="s">
        <v>60</v>
      </c>
      <c r="E1949" s="3" t="s">
        <v>1255</v>
      </c>
      <c r="F1949" s="3" t="s">
        <v>53</v>
      </c>
      <c r="G1949" s="3">
        <v>0.95891114499999996</v>
      </c>
      <c r="H1949" s="3">
        <v>1.584232152</v>
      </c>
      <c r="I1949" s="3">
        <v>0.40729327199999998</v>
      </c>
      <c r="J1949" s="3">
        <v>1700.688406</v>
      </c>
      <c r="K1949" s="3">
        <v>-2.3913043479999998</v>
      </c>
      <c r="L1949" s="3">
        <v>-2.6884057970000002</v>
      </c>
      <c r="M1949" s="3">
        <v>1</v>
      </c>
      <c r="N1949" s="3">
        <v>-2.6884057970000002</v>
      </c>
      <c r="O1949" s="3">
        <v>-9.720177E-3</v>
      </c>
      <c r="P1949" s="3">
        <v>-1.2343625E-2</v>
      </c>
      <c r="Q1949" s="3">
        <v>-3.9778206000000003E-2</v>
      </c>
      <c r="R1949" s="3">
        <v>4.0648009999999998E-3</v>
      </c>
      <c r="S1949" s="3">
        <v>7.610014E-3</v>
      </c>
      <c r="T1949" s="3">
        <v>3.092333655</v>
      </c>
      <c r="U1949" s="3">
        <v>0.75564064799999997</v>
      </c>
      <c r="V1949" s="3">
        <v>0.52560646899999997</v>
      </c>
      <c r="W1949" s="3">
        <v>0.95734908100000005</v>
      </c>
      <c r="X1949" s="3">
        <v>1.216847373</v>
      </c>
      <c r="Y1949" s="3">
        <v>4.6088407010000001</v>
      </c>
      <c r="Z1949" s="3">
        <v>4.092333655</v>
      </c>
      <c r="AA1949" s="3">
        <v>-2.6884057970000002</v>
      </c>
      <c r="AB1949" s="3">
        <v>12.11548457</v>
      </c>
      <c r="AC1949" s="3">
        <v>1.271059216</v>
      </c>
      <c r="AD1949" s="3">
        <v>11.043478260000001</v>
      </c>
      <c r="AE1949" s="3">
        <v>14.14285714</v>
      </c>
      <c r="AF1949" s="4">
        <v>41493</v>
      </c>
      <c r="AG1949" s="5">
        <f>YEAR(AF1949)</f>
        <v>2013</v>
      </c>
      <c r="AH1949" s="5" t="str">
        <f>"Q"&amp;ROUNDUP(MONTH(AF1949)/3,0)</f>
        <v>Q3</v>
      </c>
      <c r="AI1949" s="5">
        <f>INDEX(RatingLookup!$B$2:$B$11,MATCH(A1949,RatingLookup!$A$2:$A$11,0))</f>
        <v>5</v>
      </c>
      <c r="AJ1949" s="5" t="str">
        <f>INDEX(RatingLookup!$C$2:$C$11,MATCH(A1949,RatingLookup!$A$2:$A$11,0))</f>
        <v>Speculative Grade</v>
      </c>
    </row>
    <row r="1950" spans="1:36" x14ac:dyDescent="0.3">
      <c r="A1950" s="3" t="s">
        <v>109</v>
      </c>
      <c r="B1950" s="3" t="s">
        <v>2025</v>
      </c>
      <c r="C1950" s="3" t="s">
        <v>2026</v>
      </c>
      <c r="D1950" s="3" t="s">
        <v>60</v>
      </c>
      <c r="E1950" s="3" t="s">
        <v>46</v>
      </c>
      <c r="F1950" s="3" t="s">
        <v>53</v>
      </c>
      <c r="G1950" s="3">
        <v>3.2872166859999998</v>
      </c>
      <c r="H1950" s="3">
        <v>3.1904247250000002</v>
      </c>
      <c r="I1950" s="3">
        <v>0.31514543699999997</v>
      </c>
      <c r="J1950" s="3">
        <v>219.53015329999999</v>
      </c>
      <c r="K1950" s="3">
        <v>-0.27131895099999997</v>
      </c>
      <c r="L1950" s="3">
        <v>-0.33468583000000002</v>
      </c>
      <c r="M1950" s="3">
        <v>0.28447344000000002</v>
      </c>
      <c r="N1950" s="3">
        <v>-0.33468583000000002</v>
      </c>
      <c r="O1950" s="3">
        <v>-1.0971771999999999E-2</v>
      </c>
      <c r="P1950" s="3">
        <v>-1.438658E-2</v>
      </c>
      <c r="Q1950" s="3">
        <v>-3.2029541000000002E-2</v>
      </c>
      <c r="R1950" s="3">
        <v>4.0438649E-2</v>
      </c>
      <c r="S1950" s="3">
        <v>9.4623894E-2</v>
      </c>
      <c r="T1950" s="3">
        <v>1.916547593</v>
      </c>
      <c r="U1950" s="3">
        <v>0.65651652299999996</v>
      </c>
      <c r="V1950" s="3">
        <v>0.189332424</v>
      </c>
      <c r="W1950" s="3">
        <v>-4.4880980780000002</v>
      </c>
      <c r="X1950" s="3">
        <v>-1.2145199179999999</v>
      </c>
      <c r="Y1950" s="3">
        <v>6.9062814650000002</v>
      </c>
      <c r="Z1950" s="3">
        <v>2.9192678710000002</v>
      </c>
      <c r="AA1950" s="3">
        <v>-0.33468583000000002</v>
      </c>
      <c r="AB1950" s="3">
        <v>64.339471639999999</v>
      </c>
      <c r="AC1950" s="3">
        <v>0.27060904099999999</v>
      </c>
      <c r="AD1950" s="3">
        <v>0.15958191899999999</v>
      </c>
      <c r="AE1950" s="3">
        <v>5.186679174</v>
      </c>
      <c r="AF1950" s="4">
        <v>41075</v>
      </c>
      <c r="AG1950" s="5">
        <f>YEAR(AF1950)</f>
        <v>2012</v>
      </c>
      <c r="AH1950" s="5" t="str">
        <f>"Q"&amp;ROUNDUP(MONTH(AF1950)/3,0)</f>
        <v>Q2</v>
      </c>
      <c r="AI1950" s="5">
        <f>INDEX(RatingLookup!$B$2:$B$11,MATCH(A1950,RatingLookup!$A$2:$A$11,0))</f>
        <v>5</v>
      </c>
      <c r="AJ1950" s="5" t="str">
        <f>INDEX(RatingLookup!$C$2:$C$11,MATCH(A1950,RatingLookup!$A$2:$A$11,0))</f>
        <v>Speculative Grade</v>
      </c>
    </row>
    <row r="1951" spans="1:36" x14ac:dyDescent="0.3">
      <c r="A1951" s="3" t="s">
        <v>42</v>
      </c>
      <c r="B1951" s="3" t="s">
        <v>2027</v>
      </c>
      <c r="C1951" s="3" t="s">
        <v>2028</v>
      </c>
      <c r="D1951" s="3" t="s">
        <v>60</v>
      </c>
      <c r="E1951" s="3" t="s">
        <v>651</v>
      </c>
      <c r="F1951" s="3" t="s">
        <v>232</v>
      </c>
      <c r="G1951" s="3">
        <v>3.3670243389999999</v>
      </c>
      <c r="H1951" s="3">
        <v>3.3723723589999999</v>
      </c>
      <c r="I1951" s="3">
        <v>8.9821694999999993E-2</v>
      </c>
      <c r="J1951" s="3">
        <v>1.215630363</v>
      </c>
      <c r="K1951" s="3">
        <v>0.17893257000000001</v>
      </c>
      <c r="L1951" s="3">
        <v>0.248959398</v>
      </c>
      <c r="M1951" s="3">
        <v>0.63180182600000001</v>
      </c>
      <c r="N1951" s="3">
        <v>0.248959398</v>
      </c>
      <c r="O1951" s="3">
        <v>4.6073254000000001E-2</v>
      </c>
      <c r="P1951" s="3">
        <v>7.6346812999999999E-2</v>
      </c>
      <c r="Q1951" s="3">
        <v>0.152304196</v>
      </c>
      <c r="R1951" s="3">
        <v>0.25748948100000002</v>
      </c>
      <c r="S1951" s="3">
        <v>17.525670000000002</v>
      </c>
      <c r="T1951" s="3">
        <v>2.3056964940000002</v>
      </c>
      <c r="U1951" s="3">
        <v>0.69749189</v>
      </c>
      <c r="V1951" s="3">
        <v>0.281278107</v>
      </c>
      <c r="W1951" s="3">
        <v>0.81175259</v>
      </c>
      <c r="X1951" s="3">
        <v>2.5631433650000002</v>
      </c>
      <c r="Y1951" s="3">
        <v>34.613536400000001</v>
      </c>
      <c r="Z1951" s="3">
        <v>3.3056964940000002</v>
      </c>
      <c r="AA1951" s="3">
        <v>0.248959398</v>
      </c>
      <c r="AB1951" s="3">
        <v>11.616924389999999</v>
      </c>
      <c r="AC1951" s="3">
        <v>3.1575425789999998</v>
      </c>
      <c r="AD1951" s="3">
        <v>0.19127807399999999</v>
      </c>
      <c r="AE1951" s="3">
        <v>5.488676216</v>
      </c>
      <c r="AF1951" s="4">
        <v>41542</v>
      </c>
      <c r="AG1951" s="5">
        <f>YEAR(AF1951)</f>
        <v>2013</v>
      </c>
      <c r="AH1951" s="5" t="str">
        <f>"Q"&amp;ROUNDUP(MONTH(AF1951)/3,0)</f>
        <v>Q3</v>
      </c>
      <c r="AI1951" s="5">
        <f>INDEX(RatingLookup!$B$2:$B$11,MATCH(A1951,RatingLookup!$A$2:$A$11,0))</f>
        <v>7</v>
      </c>
      <c r="AJ1951" s="5" t="str">
        <f>INDEX(RatingLookup!$C$2:$C$11,MATCH(A1951,RatingLookup!$A$2:$A$11,0))</f>
        <v>Investment Grade</v>
      </c>
    </row>
    <row r="1952" spans="1:36" x14ac:dyDescent="0.3">
      <c r="A1952" s="3" t="s">
        <v>92</v>
      </c>
      <c r="B1952" s="3" t="s">
        <v>2029</v>
      </c>
      <c r="C1952" s="3" t="s">
        <v>2030</v>
      </c>
      <c r="D1952" s="3" t="s">
        <v>39</v>
      </c>
      <c r="E1952" s="3" t="s">
        <v>796</v>
      </c>
      <c r="F1952" s="3" t="s">
        <v>113</v>
      </c>
      <c r="G1952" s="3">
        <v>1.8748375530000001</v>
      </c>
      <c r="H1952" s="3">
        <v>0.881942534</v>
      </c>
      <c r="I1952" s="3">
        <v>5.5488099999999999E-2</v>
      </c>
      <c r="J1952" s="3">
        <v>62.840154130000002</v>
      </c>
      <c r="K1952" s="3">
        <v>-1.8739255E-2</v>
      </c>
      <c r="L1952" s="3">
        <v>-9.8508100000000006E-4</v>
      </c>
      <c r="M1952" s="3">
        <v>1</v>
      </c>
      <c r="N1952" s="3">
        <v>2.6953858000000001E-2</v>
      </c>
      <c r="O1952" s="3">
        <v>-1.4563408999999999E-2</v>
      </c>
      <c r="P1952" s="3">
        <v>-9.1345E-4</v>
      </c>
      <c r="Q1952" s="3">
        <v>-3.9223553000000001E-2</v>
      </c>
      <c r="R1952" s="3">
        <v>0.77716049600000003</v>
      </c>
      <c r="S1952" s="3">
        <v>9.0084557190000005</v>
      </c>
      <c r="T1952" s="3">
        <v>1.693294812</v>
      </c>
      <c r="U1952" s="3">
        <v>0.62870756100000003</v>
      </c>
      <c r="V1952" s="3">
        <v>-2.029087262</v>
      </c>
      <c r="W1952" s="3">
        <v>0.45391886199999998</v>
      </c>
      <c r="X1952" s="3">
        <v>0.63787405699999999</v>
      </c>
      <c r="Y1952" s="3">
        <v>0.33132747000000001</v>
      </c>
      <c r="Z1952" s="3">
        <v>2.693294812</v>
      </c>
      <c r="AA1952" s="3">
        <v>-9.8508100000000006E-4</v>
      </c>
      <c r="AB1952" s="3">
        <v>18.574508290000001</v>
      </c>
      <c r="AC1952" s="3">
        <v>1.4052600829999999</v>
      </c>
      <c r="AD1952" s="3">
        <v>4.9025788000000001E-2</v>
      </c>
      <c r="AE1952" s="3">
        <v>0</v>
      </c>
      <c r="AF1952" s="4">
        <v>41893</v>
      </c>
      <c r="AG1952" s="5">
        <f>YEAR(AF1952)</f>
        <v>2014</v>
      </c>
      <c r="AH1952" s="5" t="str">
        <f>"Q"&amp;ROUNDUP(MONTH(AF1952)/3,0)</f>
        <v>Q3</v>
      </c>
      <c r="AI1952" s="5">
        <f>INDEX(RatingLookup!$B$2:$B$11,MATCH(A1952,RatingLookup!$A$2:$A$11,0))</f>
        <v>6</v>
      </c>
      <c r="AJ1952" s="5" t="str">
        <f>INDEX(RatingLookup!$C$2:$C$11,MATCH(A1952,RatingLookup!$A$2:$A$11,0))</f>
        <v>Speculative Grade</v>
      </c>
    </row>
    <row r="1953" spans="1:36" x14ac:dyDescent="0.3">
      <c r="A1953" s="3" t="s">
        <v>92</v>
      </c>
      <c r="B1953" s="3" t="s">
        <v>2029</v>
      </c>
      <c r="C1953" s="3" t="s">
        <v>2030</v>
      </c>
      <c r="D1953" s="3" t="s">
        <v>39</v>
      </c>
      <c r="E1953" s="3" t="s">
        <v>131</v>
      </c>
      <c r="F1953" s="3" t="s">
        <v>113</v>
      </c>
      <c r="G1953" s="3">
        <v>3.3048611050000001</v>
      </c>
      <c r="H1953" s="3">
        <v>1.688217882</v>
      </c>
      <c r="I1953" s="3">
        <v>8.5088756000000002E-2</v>
      </c>
      <c r="J1953" s="3">
        <v>64.796657800000006</v>
      </c>
      <c r="K1953" s="3">
        <v>6.0762319000000002E-2</v>
      </c>
      <c r="L1953" s="3">
        <v>9.6273261999999998E-2</v>
      </c>
      <c r="M1953" s="3">
        <v>1</v>
      </c>
      <c r="N1953" s="3">
        <v>0.127923489</v>
      </c>
      <c r="O1953" s="3">
        <v>5.0000785999999998E-2</v>
      </c>
      <c r="P1953" s="3">
        <v>8.7165302E-2</v>
      </c>
      <c r="Q1953" s="3">
        <v>0.10958601900000001</v>
      </c>
      <c r="R1953" s="3">
        <v>0.822891339</v>
      </c>
      <c r="S1953" s="3">
        <v>8.252795785</v>
      </c>
      <c r="T1953" s="3">
        <v>1.1916859120000001</v>
      </c>
      <c r="U1953" s="3">
        <v>0.54373024199999997</v>
      </c>
      <c r="V1953" s="3">
        <v>0.36885571299999997</v>
      </c>
      <c r="W1953" s="3">
        <v>0.60310688599999995</v>
      </c>
      <c r="X1953" s="3">
        <v>1.4941604989999999</v>
      </c>
      <c r="Y1953" s="3">
        <v>0.28318511699999999</v>
      </c>
      <c r="Z1953" s="3">
        <v>2.1916859120000001</v>
      </c>
      <c r="AA1953" s="3">
        <v>9.6273261999999998E-2</v>
      </c>
      <c r="AB1953" s="3">
        <v>10.466313380000001</v>
      </c>
      <c r="AC1953" s="3">
        <v>2.477438963</v>
      </c>
      <c r="AD1953" s="3">
        <v>8.2432021999999994E-2</v>
      </c>
      <c r="AE1953" s="3">
        <v>0</v>
      </c>
      <c r="AF1953" s="4">
        <v>41619</v>
      </c>
      <c r="AG1953" s="5">
        <f>YEAR(AF1953)</f>
        <v>2013</v>
      </c>
      <c r="AH1953" s="5" t="str">
        <f>"Q"&amp;ROUNDUP(MONTH(AF1953)/3,0)</f>
        <v>Q4</v>
      </c>
      <c r="AI1953" s="5">
        <f>INDEX(RatingLookup!$B$2:$B$11,MATCH(A1953,RatingLookup!$A$2:$A$11,0))</f>
        <v>6</v>
      </c>
      <c r="AJ1953" s="5" t="str">
        <f>INDEX(RatingLookup!$C$2:$C$11,MATCH(A1953,RatingLookup!$A$2:$A$11,0))</f>
        <v>Speculative Grade</v>
      </c>
    </row>
    <row r="1954" spans="1:36" x14ac:dyDescent="0.3">
      <c r="A1954" s="3" t="s">
        <v>109</v>
      </c>
      <c r="B1954" s="3" t="s">
        <v>2031</v>
      </c>
      <c r="C1954" s="3" t="s">
        <v>2032</v>
      </c>
      <c r="D1954" s="3" t="s">
        <v>47</v>
      </c>
      <c r="E1954" s="3" t="s">
        <v>914</v>
      </c>
      <c r="F1954" s="3" t="s">
        <v>53</v>
      </c>
      <c r="G1954" s="3">
        <v>1.75913801</v>
      </c>
      <c r="H1954" s="3">
        <v>1.1753690969999999</v>
      </c>
      <c r="I1954" s="3">
        <v>2.5676300000000002E-4</v>
      </c>
      <c r="J1954" s="3">
        <v>29.82274056</v>
      </c>
      <c r="K1954" s="3">
        <v>-7.1278899999999996E-3</v>
      </c>
      <c r="L1954" s="3">
        <v>-3.1848670000000001E-3</v>
      </c>
      <c r="M1954" s="3">
        <v>0.220154664</v>
      </c>
      <c r="N1954" s="3">
        <v>4.1330799000000001E-2</v>
      </c>
      <c r="O1954" s="3">
        <v>-7.5325679999999999E-3</v>
      </c>
      <c r="P1954" s="3">
        <v>-3.7616590000000001E-3</v>
      </c>
      <c r="Q1954" s="3">
        <v>-2.4100677000000001E-2</v>
      </c>
      <c r="R1954" s="3">
        <v>1.056773873</v>
      </c>
      <c r="S1954" s="3">
        <v>1.644975292</v>
      </c>
      <c r="T1954" s="3">
        <v>2.1995301349999998</v>
      </c>
      <c r="U1954" s="3">
        <v>0.68745410799999995</v>
      </c>
      <c r="V1954" s="3">
        <v>-0.21739961799999999</v>
      </c>
      <c r="W1954" s="3">
        <v>0.270574494</v>
      </c>
      <c r="X1954" s="3">
        <v>1.0158507210000001</v>
      </c>
      <c r="Y1954" s="3">
        <v>1.886890822</v>
      </c>
      <c r="Z1954" s="3">
        <v>3.1995301349999998</v>
      </c>
      <c r="AA1954" s="3">
        <v>-3.1848670000000001E-3</v>
      </c>
      <c r="AB1954" s="3">
        <v>12.6342216</v>
      </c>
      <c r="AC1954" s="3">
        <v>3.754421588</v>
      </c>
      <c r="AD1954" s="3">
        <v>7.0383724999999994E-2</v>
      </c>
      <c r="AE1954" s="3">
        <v>10.217789550000001</v>
      </c>
      <c r="AF1954" s="4">
        <v>41991</v>
      </c>
      <c r="AG1954" s="5">
        <f>YEAR(AF1954)</f>
        <v>2014</v>
      </c>
      <c r="AH1954" s="5" t="str">
        <f>"Q"&amp;ROUNDUP(MONTH(AF1954)/3,0)</f>
        <v>Q4</v>
      </c>
      <c r="AI1954" s="5">
        <f>INDEX(RatingLookup!$B$2:$B$11,MATCH(A1954,RatingLookup!$A$2:$A$11,0))</f>
        <v>5</v>
      </c>
      <c r="AJ1954" s="5" t="str">
        <f>INDEX(RatingLookup!$C$2:$C$11,MATCH(A1954,RatingLookup!$A$2:$A$11,0))</f>
        <v>Speculative Grade</v>
      </c>
    </row>
    <row r="1955" spans="1:36" x14ac:dyDescent="0.3">
      <c r="A1955" s="3" t="s">
        <v>42</v>
      </c>
      <c r="B1955" s="3" t="s">
        <v>2033</v>
      </c>
      <c r="C1955" s="3" t="s">
        <v>2034</v>
      </c>
      <c r="D1955" s="3" t="s">
        <v>47</v>
      </c>
      <c r="E1955" s="3" t="s">
        <v>932</v>
      </c>
      <c r="F1955" s="3" t="s">
        <v>96</v>
      </c>
      <c r="G1955" s="3">
        <v>1.3542045869999999</v>
      </c>
      <c r="H1955" s="3">
        <v>1.2315252999999999</v>
      </c>
      <c r="I1955" s="3">
        <v>0.75282126000000005</v>
      </c>
      <c r="J1955" s="3">
        <v>29.264673309999999</v>
      </c>
      <c r="K1955" s="3">
        <v>0.19379845000000001</v>
      </c>
      <c r="L1955" s="3">
        <v>0.20487264699999999</v>
      </c>
      <c r="M1955" s="3">
        <v>0.68349944600000001</v>
      </c>
      <c r="N1955" s="3">
        <v>0.20996677699999999</v>
      </c>
      <c r="O1955" s="3">
        <v>0.14234585999999999</v>
      </c>
      <c r="P1955" s="3">
        <v>0.27205882399999998</v>
      </c>
      <c r="Q1955" s="3">
        <v>0.28820816900000001</v>
      </c>
      <c r="R1955" s="3">
        <v>0.73450463600000004</v>
      </c>
      <c r="S1955" s="3">
        <v>9.8366013070000005</v>
      </c>
      <c r="T1955" s="3">
        <v>1.024703557</v>
      </c>
      <c r="U1955" s="3">
        <v>0.50610053700000002</v>
      </c>
      <c r="V1955" s="3">
        <v>5.4054053999999997E-2</v>
      </c>
      <c r="W1955" s="3">
        <v>1</v>
      </c>
      <c r="X1955" s="3">
        <v>3.4308681669999999</v>
      </c>
      <c r="Y1955" s="3">
        <v>9.7138263669999994</v>
      </c>
      <c r="Z1955" s="3">
        <v>2.024703557</v>
      </c>
      <c r="AA1955" s="3">
        <v>0.20487264699999999</v>
      </c>
      <c r="AB1955" s="3">
        <v>14.21232021</v>
      </c>
      <c r="AC1955" s="3">
        <v>3.4308681669999999</v>
      </c>
      <c r="AD1955" s="3">
        <v>0.23632336700000001</v>
      </c>
      <c r="AE1955" s="3">
        <v>21.014705880000001</v>
      </c>
      <c r="AF1955" s="4">
        <v>42417</v>
      </c>
      <c r="AG1955" s="5">
        <f>YEAR(AF1955)</f>
        <v>2016</v>
      </c>
      <c r="AH1955" s="5" t="str">
        <f>"Q"&amp;ROUNDUP(MONTH(AF1955)/3,0)</f>
        <v>Q1</v>
      </c>
      <c r="AI1955" s="5">
        <f>INDEX(RatingLookup!$B$2:$B$11,MATCH(A1955,RatingLookup!$A$2:$A$11,0))</f>
        <v>7</v>
      </c>
      <c r="AJ1955" s="5" t="str">
        <f>INDEX(RatingLookup!$C$2:$C$11,MATCH(A1955,RatingLookup!$A$2:$A$11,0))</f>
        <v>Investment Grade</v>
      </c>
    </row>
    <row r="1956" spans="1:36" x14ac:dyDescent="0.3">
      <c r="A1956" s="3" t="s">
        <v>42</v>
      </c>
      <c r="B1956" s="3" t="s">
        <v>2033</v>
      </c>
      <c r="C1956" s="3" t="s">
        <v>2034</v>
      </c>
      <c r="D1956" s="3" t="s">
        <v>47</v>
      </c>
      <c r="E1956" s="3" t="s">
        <v>1074</v>
      </c>
      <c r="F1956" s="3" t="s">
        <v>96</v>
      </c>
      <c r="G1956" s="3">
        <v>1.8006617039999999</v>
      </c>
      <c r="H1956" s="3">
        <v>1.6819685689999999</v>
      </c>
      <c r="I1956" s="3">
        <v>1.03101737</v>
      </c>
      <c r="J1956" s="3">
        <v>19.345996360000001</v>
      </c>
      <c r="K1956" s="3">
        <v>0.262966333</v>
      </c>
      <c r="L1956" s="3">
        <v>0.199499545</v>
      </c>
      <c r="M1956" s="3">
        <v>0.69199272099999998</v>
      </c>
      <c r="N1956" s="3">
        <v>0.20427661499999999</v>
      </c>
      <c r="O1956" s="3">
        <v>0.16397163100000001</v>
      </c>
      <c r="P1956" s="3">
        <v>0.18933506</v>
      </c>
      <c r="Q1956" s="3">
        <v>0.34040047099999998</v>
      </c>
      <c r="R1956" s="3">
        <v>0.62354609900000002</v>
      </c>
      <c r="S1956" s="3">
        <v>10.01366743</v>
      </c>
      <c r="T1956" s="3">
        <v>1.0759717310000001</v>
      </c>
      <c r="U1956" s="3">
        <v>0.51829787199999999</v>
      </c>
      <c r="V1956" s="3">
        <v>-0.318129989</v>
      </c>
      <c r="W1956" s="3">
        <v>1</v>
      </c>
      <c r="X1956" s="3">
        <v>3.9451612900000002</v>
      </c>
      <c r="Y1956" s="3">
        <v>12.36774194</v>
      </c>
      <c r="Z1956" s="3">
        <v>2.0759717310000001</v>
      </c>
      <c r="AA1956" s="3">
        <v>0.199499545</v>
      </c>
      <c r="AB1956" s="3">
        <v>16.283561639999999</v>
      </c>
      <c r="AC1956" s="3">
        <v>3.9451612900000002</v>
      </c>
      <c r="AD1956" s="3">
        <v>0.27820746099999999</v>
      </c>
      <c r="AE1956" s="3">
        <v>15.21348315</v>
      </c>
      <c r="AF1956" s="4">
        <v>42600</v>
      </c>
      <c r="AG1956" s="5">
        <f>YEAR(AF1956)</f>
        <v>2016</v>
      </c>
      <c r="AH1956" s="5" t="str">
        <f>"Q"&amp;ROUNDUP(MONTH(AF1956)/3,0)</f>
        <v>Q3</v>
      </c>
      <c r="AI1956" s="5">
        <f>INDEX(RatingLookup!$B$2:$B$11,MATCH(A1956,RatingLookup!$A$2:$A$11,0))</f>
        <v>7</v>
      </c>
      <c r="AJ1956" s="5" t="str">
        <f>INDEX(RatingLookup!$C$2:$C$11,MATCH(A1956,RatingLookup!$A$2:$A$11,0))</f>
        <v>Investment Grade</v>
      </c>
    </row>
    <row r="1957" spans="1:36" x14ac:dyDescent="0.3">
      <c r="A1957" s="3" t="s">
        <v>42</v>
      </c>
      <c r="B1957" s="3" t="s">
        <v>2035</v>
      </c>
      <c r="C1957" s="3" t="s">
        <v>2036</v>
      </c>
      <c r="D1957" s="3" t="s">
        <v>60</v>
      </c>
      <c r="E1957" s="3" t="s">
        <v>524</v>
      </c>
      <c r="F1957" s="3" t="s">
        <v>59</v>
      </c>
      <c r="G1957" s="3">
        <v>1.5316107750000001</v>
      </c>
      <c r="H1957" s="3">
        <v>1.141011545</v>
      </c>
      <c r="I1957" s="3">
        <v>0.39348543200000002</v>
      </c>
      <c r="J1957" s="3">
        <v>61.779890459999997</v>
      </c>
      <c r="K1957" s="3">
        <v>6.2643929000000001E-2</v>
      </c>
      <c r="L1957" s="3">
        <v>8.4770025999999998E-2</v>
      </c>
      <c r="M1957" s="3">
        <v>0.14237256500000001</v>
      </c>
      <c r="N1957" s="3">
        <v>7.7519139000000001E-2</v>
      </c>
      <c r="O1957" s="3">
        <v>0.102250216</v>
      </c>
      <c r="P1957" s="3">
        <v>0.223027959</v>
      </c>
      <c r="Q1957" s="3">
        <v>0.224514834</v>
      </c>
      <c r="R1957" s="3">
        <v>1.632244628</v>
      </c>
      <c r="S1957" s="3">
        <v>5.4024882310000004</v>
      </c>
      <c r="T1957" s="3">
        <v>1.178898059</v>
      </c>
      <c r="U1957" s="3">
        <v>0.53690252500000002</v>
      </c>
      <c r="V1957" s="3">
        <v>0.26101321599999999</v>
      </c>
      <c r="W1957" s="3">
        <v>0.41252144099999999</v>
      </c>
      <c r="X1957" s="3">
        <v>2.3444814890000001</v>
      </c>
      <c r="Y1957" s="3">
        <v>6.9773913749999998</v>
      </c>
      <c r="Z1957" s="3">
        <v>2.19573946</v>
      </c>
      <c r="AA1957" s="3">
        <v>8.6139292000000006E-2</v>
      </c>
      <c r="AB1957" s="3">
        <v>6.7002310879999998</v>
      </c>
      <c r="AC1957" s="3">
        <v>5.6832960840000002</v>
      </c>
      <c r="AD1957" s="3">
        <v>7.2571107999999995E-2</v>
      </c>
      <c r="AE1957" s="3">
        <v>5.806784661</v>
      </c>
      <c r="AF1957" s="4">
        <v>42325</v>
      </c>
      <c r="AG1957" s="5">
        <f>YEAR(AF1957)</f>
        <v>2015</v>
      </c>
      <c r="AH1957" s="5" t="str">
        <f>"Q"&amp;ROUNDUP(MONTH(AF1957)/3,0)</f>
        <v>Q4</v>
      </c>
      <c r="AI1957" s="5">
        <f>INDEX(RatingLookup!$B$2:$B$11,MATCH(A1957,RatingLookup!$A$2:$A$11,0))</f>
        <v>7</v>
      </c>
      <c r="AJ1957" s="5" t="str">
        <f>INDEX(RatingLookup!$C$2:$C$11,MATCH(A1957,RatingLookup!$A$2:$A$11,0))</f>
        <v>Investment Grade</v>
      </c>
    </row>
    <row r="1958" spans="1:36" x14ac:dyDescent="0.3">
      <c r="A1958" s="3" t="s">
        <v>92</v>
      </c>
      <c r="B1958" s="3" t="s">
        <v>2037</v>
      </c>
      <c r="C1958" s="3" t="s">
        <v>2038</v>
      </c>
      <c r="D1958" s="3" t="s">
        <v>47</v>
      </c>
      <c r="E1958" s="3" t="s">
        <v>787</v>
      </c>
      <c r="F1958" s="3" t="s">
        <v>66</v>
      </c>
      <c r="G1958" s="3">
        <v>2.0187944080000002</v>
      </c>
      <c r="H1958" s="3">
        <v>1.2807701119999999</v>
      </c>
      <c r="I1958" s="3">
        <v>0.56108182399999995</v>
      </c>
      <c r="J1958" s="3">
        <v>27.752066119999999</v>
      </c>
      <c r="K1958" s="3">
        <v>3.8925620000000001E-2</v>
      </c>
      <c r="L1958" s="3">
        <v>5.1198346999999998E-2</v>
      </c>
      <c r="M1958" s="3">
        <v>0.249090909</v>
      </c>
      <c r="N1958" s="3">
        <v>7.7438016999999998E-2</v>
      </c>
      <c r="O1958" s="3">
        <v>3.4993871000000003E-2</v>
      </c>
      <c r="P1958" s="3">
        <v>5.4929951999999997E-2</v>
      </c>
      <c r="Q1958" s="3">
        <v>0.12252861600000001</v>
      </c>
      <c r="R1958" s="3">
        <v>0.89899327600000001</v>
      </c>
      <c r="S1958" s="3">
        <v>2.2074249749999999</v>
      </c>
      <c r="T1958" s="3">
        <v>2.5014308010000001</v>
      </c>
      <c r="U1958" s="3">
        <v>0.71440246699999999</v>
      </c>
      <c r="V1958" s="3">
        <v>0.57546408400000004</v>
      </c>
      <c r="W1958" s="3">
        <v>0.16200294600000001</v>
      </c>
      <c r="X1958" s="3">
        <v>0.594594595</v>
      </c>
      <c r="Y1958" s="3">
        <v>6.7531531530000004</v>
      </c>
      <c r="Z1958" s="3">
        <v>3.5014308010000001</v>
      </c>
      <c r="AA1958" s="3">
        <v>5.1198346999999998E-2</v>
      </c>
      <c r="AB1958" s="3">
        <v>9.5025842330000003</v>
      </c>
      <c r="AC1958" s="3">
        <v>3.6702702700000001</v>
      </c>
      <c r="AD1958" s="3">
        <v>8.4173553999999998E-2</v>
      </c>
      <c r="AE1958" s="3">
        <v>4.777076761</v>
      </c>
      <c r="AF1958" s="4">
        <v>42403</v>
      </c>
      <c r="AG1958" s="5">
        <f>YEAR(AF1958)</f>
        <v>2016</v>
      </c>
      <c r="AH1958" s="5" t="str">
        <f>"Q"&amp;ROUNDUP(MONTH(AF1958)/3,0)</f>
        <v>Q1</v>
      </c>
      <c r="AI1958" s="5">
        <f>INDEX(RatingLookup!$B$2:$B$11,MATCH(A1958,RatingLookup!$A$2:$A$11,0))</f>
        <v>6</v>
      </c>
      <c r="AJ1958" s="5" t="str">
        <f>INDEX(RatingLookup!$C$2:$C$11,MATCH(A1958,RatingLookup!$A$2:$A$11,0))</f>
        <v>Speculative Grade</v>
      </c>
    </row>
    <row r="1959" spans="1:36" x14ac:dyDescent="0.3">
      <c r="A1959" s="3" t="s">
        <v>92</v>
      </c>
      <c r="B1959" s="3" t="s">
        <v>2039</v>
      </c>
      <c r="C1959" s="3" t="s">
        <v>2040</v>
      </c>
      <c r="D1959" s="3" t="s">
        <v>47</v>
      </c>
      <c r="E1959" s="3" t="s">
        <v>1097</v>
      </c>
      <c r="F1959" s="3" t="s">
        <v>41</v>
      </c>
      <c r="G1959" s="3">
        <v>1.332605676</v>
      </c>
      <c r="H1959" s="3">
        <v>0.33478864899999999</v>
      </c>
      <c r="I1959" s="3">
        <v>2.778329E-3</v>
      </c>
      <c r="J1959" s="3">
        <v>6.6924699849999998</v>
      </c>
      <c r="K1959" s="3">
        <v>2.5681890999999998E-2</v>
      </c>
      <c r="L1959" s="3">
        <v>4.1497806999999998E-2</v>
      </c>
      <c r="M1959" s="3">
        <v>0.16101270400000001</v>
      </c>
      <c r="N1959" s="3">
        <v>4.5778121999999997E-2</v>
      </c>
      <c r="O1959" s="3">
        <v>7.3376989000000004E-2</v>
      </c>
      <c r="P1959" s="3">
        <v>0.210615515</v>
      </c>
      <c r="Q1959" s="3">
        <v>0.53799682000000004</v>
      </c>
      <c r="R1959" s="3">
        <v>2.857149052</v>
      </c>
      <c r="S1959" s="3">
        <v>8.5252329190000005</v>
      </c>
      <c r="T1959" s="3">
        <v>6.3319554849999999</v>
      </c>
      <c r="U1959" s="3">
        <v>0.86361073799999999</v>
      </c>
      <c r="V1959" s="3">
        <v>0.38039502600000002</v>
      </c>
      <c r="W1959" s="3">
        <v>0.53861003900000004</v>
      </c>
      <c r="X1959" s="3">
        <v>3.1825095060000002</v>
      </c>
      <c r="Y1959" s="3">
        <v>8.2357414450000004</v>
      </c>
      <c r="Z1959" s="3">
        <v>7.3319554849999999</v>
      </c>
      <c r="AA1959" s="3">
        <v>4.1497806999999998E-2</v>
      </c>
      <c r="AB1959" s="3">
        <v>6.2545101399999998</v>
      </c>
      <c r="AC1959" s="3">
        <v>5.9087452469999997</v>
      </c>
      <c r="AD1959" s="3">
        <v>2.3587268000000002E-2</v>
      </c>
      <c r="AE1959" s="3">
        <v>19.621938230000001</v>
      </c>
      <c r="AF1959" s="4">
        <v>42528</v>
      </c>
      <c r="AG1959" s="5">
        <f>YEAR(AF1959)</f>
        <v>2016</v>
      </c>
      <c r="AH1959" s="5" t="str">
        <f>"Q"&amp;ROUNDUP(MONTH(AF1959)/3,0)</f>
        <v>Q2</v>
      </c>
      <c r="AI1959" s="5">
        <f>INDEX(RatingLookup!$B$2:$B$11,MATCH(A1959,RatingLookup!$A$2:$A$11,0))</f>
        <v>6</v>
      </c>
      <c r="AJ1959" s="5" t="str">
        <f>INDEX(RatingLookup!$C$2:$C$11,MATCH(A1959,RatingLookup!$A$2:$A$11,0))</f>
        <v>Speculative Grade</v>
      </c>
    </row>
    <row r="1960" spans="1:36" x14ac:dyDescent="0.3">
      <c r="A1960" s="3" t="s">
        <v>109</v>
      </c>
      <c r="B1960" s="3" t="s">
        <v>2039</v>
      </c>
      <c r="C1960" s="3" t="s">
        <v>2040</v>
      </c>
      <c r="D1960" s="3" t="s">
        <v>47</v>
      </c>
      <c r="E1960" s="3" t="s">
        <v>981</v>
      </c>
      <c r="F1960" s="3" t="s">
        <v>41</v>
      </c>
      <c r="G1960" s="3">
        <v>1.226299107</v>
      </c>
      <c r="H1960" s="3">
        <v>0.105561425</v>
      </c>
      <c r="I1960" s="3">
        <v>2.7855150000000001E-3</v>
      </c>
      <c r="J1960" s="3">
        <v>6.6559299210000002</v>
      </c>
      <c r="K1960" s="3">
        <v>1.9019377000000001E-2</v>
      </c>
      <c r="L1960" s="3">
        <v>3.1187689000000001E-2</v>
      </c>
      <c r="M1960" s="3">
        <v>0.164834603</v>
      </c>
      <c r="N1960" s="3">
        <v>4.5707857999999997E-2</v>
      </c>
      <c r="O1960" s="3">
        <v>5.0912408999999999E-2</v>
      </c>
      <c r="P1960" s="3">
        <v>0.15900599500000001</v>
      </c>
      <c r="Q1960" s="3">
        <v>0.25084288599999999</v>
      </c>
      <c r="R1960" s="3">
        <v>2.6768704379999999</v>
      </c>
      <c r="S1960" s="3">
        <v>7.912216828</v>
      </c>
      <c r="T1960" s="3">
        <v>3.9269498760000001</v>
      </c>
      <c r="U1960" s="3">
        <v>0.797034672</v>
      </c>
      <c r="V1960" s="3">
        <v>0.38797814200000003</v>
      </c>
      <c r="W1960" s="3">
        <v>0.31710213799999998</v>
      </c>
      <c r="X1960" s="3">
        <v>0.89297658899999999</v>
      </c>
      <c r="Y1960" s="3">
        <v>9.6989966999999996E-2</v>
      </c>
      <c r="Z1960" s="3">
        <v>4.9269498760000001</v>
      </c>
      <c r="AA1960" s="3">
        <v>3.1187689000000001E-2</v>
      </c>
      <c r="AB1960" s="3">
        <v>9.4730362929999998</v>
      </c>
      <c r="AC1960" s="3">
        <v>2.8160535119999999</v>
      </c>
      <c r="AD1960" s="3">
        <v>1.4349745000000001E-2</v>
      </c>
      <c r="AE1960" s="3">
        <v>19.953175900000002</v>
      </c>
      <c r="AF1960" s="4">
        <v>41962</v>
      </c>
      <c r="AG1960" s="5">
        <f>YEAR(AF1960)</f>
        <v>2014</v>
      </c>
      <c r="AH1960" s="5" t="str">
        <f>"Q"&amp;ROUNDUP(MONTH(AF1960)/3,0)</f>
        <v>Q4</v>
      </c>
      <c r="AI1960" s="5">
        <f>INDEX(RatingLookup!$B$2:$B$11,MATCH(A1960,RatingLookup!$A$2:$A$11,0))</f>
        <v>5</v>
      </c>
      <c r="AJ1960" s="5" t="str">
        <f>INDEX(RatingLookup!$C$2:$C$11,MATCH(A1960,RatingLookup!$A$2:$A$11,0))</f>
        <v>Speculative Grade</v>
      </c>
    </row>
    <row r="1961" spans="1:36" x14ac:dyDescent="0.3">
      <c r="A1961" s="3" t="s">
        <v>109</v>
      </c>
      <c r="B1961" s="3" t="s">
        <v>2041</v>
      </c>
      <c r="C1961" s="3" t="s">
        <v>2042</v>
      </c>
      <c r="D1961" s="3" t="s">
        <v>60</v>
      </c>
      <c r="E1961" s="3" t="s">
        <v>122</v>
      </c>
      <c r="F1961" s="3" t="s">
        <v>59</v>
      </c>
      <c r="G1961" s="3">
        <v>1.951885595</v>
      </c>
      <c r="H1961" s="3">
        <v>0.98818103499999999</v>
      </c>
      <c r="I1961" s="3">
        <v>0.26204559900000002</v>
      </c>
      <c r="J1961" s="3">
        <v>36.232665349999998</v>
      </c>
      <c r="K1961" s="3">
        <v>2.4929980000000001E-2</v>
      </c>
      <c r="L1961" s="3">
        <v>3.5866763000000003E-2</v>
      </c>
      <c r="M1961" s="3">
        <v>0.22683911500000001</v>
      </c>
      <c r="N1961" s="3">
        <v>3.8224523000000003E-2</v>
      </c>
      <c r="O1961" s="3">
        <v>2.8133090999999999E-2</v>
      </c>
      <c r="P1961" s="3">
        <v>4.7858233999999999E-2</v>
      </c>
      <c r="Q1961" s="3">
        <v>4.0711366999999998E-2</v>
      </c>
      <c r="R1961" s="3">
        <v>1.128484295</v>
      </c>
      <c r="S1961" s="3">
        <v>4.5888876249999999</v>
      </c>
      <c r="T1961" s="3">
        <v>0.44709900200000002</v>
      </c>
      <c r="U1961" s="3">
        <v>0.30896227700000001</v>
      </c>
      <c r="V1961" s="3">
        <v>0.32561655099999998</v>
      </c>
      <c r="W1961" s="3">
        <v>0.55308778199999997</v>
      </c>
      <c r="X1961" s="3">
        <v>1.0915482599999999</v>
      </c>
      <c r="Y1961" s="3">
        <v>0.68028711799999997</v>
      </c>
      <c r="Z1961" s="3">
        <v>1.4470990020000001</v>
      </c>
      <c r="AA1961" s="3">
        <v>3.5866763000000003E-2</v>
      </c>
      <c r="AB1961" s="3">
        <v>11.1342304</v>
      </c>
      <c r="AC1961" s="3">
        <v>1.9735533789999999</v>
      </c>
      <c r="AD1961" s="3">
        <v>0.103925779</v>
      </c>
      <c r="AE1961" s="3">
        <v>10.446167689999999</v>
      </c>
      <c r="AF1961" s="4">
        <v>42261</v>
      </c>
      <c r="AG1961" s="5">
        <f>YEAR(AF1961)</f>
        <v>2015</v>
      </c>
      <c r="AH1961" s="5" t="str">
        <f>"Q"&amp;ROUNDUP(MONTH(AF1961)/3,0)</f>
        <v>Q3</v>
      </c>
      <c r="AI1961" s="5">
        <f>INDEX(RatingLookup!$B$2:$B$11,MATCH(A1961,RatingLookup!$A$2:$A$11,0))</f>
        <v>5</v>
      </c>
      <c r="AJ1961" s="5" t="str">
        <f>INDEX(RatingLookup!$C$2:$C$11,MATCH(A1961,RatingLookup!$A$2:$A$11,0))</f>
        <v>Speculative Grade</v>
      </c>
    </row>
    <row r="1962" spans="1:36" x14ac:dyDescent="0.3">
      <c r="A1962" s="3" t="s">
        <v>92</v>
      </c>
      <c r="B1962" s="3" t="s">
        <v>2043</v>
      </c>
      <c r="C1962" s="3" t="s">
        <v>2044</v>
      </c>
      <c r="D1962" s="3" t="s">
        <v>44</v>
      </c>
      <c r="E1962" s="3" t="s">
        <v>1401</v>
      </c>
      <c r="F1962" s="3" t="s">
        <v>96</v>
      </c>
      <c r="G1962" s="3">
        <v>1.018730385</v>
      </c>
      <c r="H1962" s="3">
        <v>0.34391999499999998</v>
      </c>
      <c r="I1962" s="3">
        <v>0.13733672</v>
      </c>
      <c r="J1962" s="3">
        <v>51.204914479999999</v>
      </c>
      <c r="K1962" s="3">
        <v>2.2878800000000001E-2</v>
      </c>
      <c r="L1962" s="3">
        <v>3.0722960000000001E-2</v>
      </c>
      <c r="M1962" s="3">
        <v>0.146223833</v>
      </c>
      <c r="N1962" s="3">
        <v>-1.4909861999999999E-2</v>
      </c>
      <c r="O1962" s="3">
        <v>1.2073192999999999E-2</v>
      </c>
      <c r="P1962" s="3">
        <v>5.2004106000000001E-2</v>
      </c>
      <c r="Q1962" s="3">
        <v>7.3783658000000002E-2</v>
      </c>
      <c r="R1962" s="3">
        <v>0.52770222200000005</v>
      </c>
      <c r="S1962" s="3">
        <v>6.1708853780000004</v>
      </c>
      <c r="T1962" s="3">
        <v>5.0947358429999996</v>
      </c>
      <c r="U1962" s="3">
        <v>0.83364979800000005</v>
      </c>
      <c r="V1962" s="3">
        <v>-0.20507672099999999</v>
      </c>
      <c r="W1962" s="3">
        <v>1</v>
      </c>
      <c r="X1962" s="3">
        <v>-4.8340051620000004</v>
      </c>
      <c r="Y1962" s="3">
        <v>15.289143040000001</v>
      </c>
      <c r="Z1962" s="3">
        <v>6.111362175</v>
      </c>
      <c r="AA1962" s="3">
        <v>3.0722960000000001E-2</v>
      </c>
      <c r="AB1962" s="3">
        <v>-53.089167609999997</v>
      </c>
      <c r="AC1962" s="3">
        <v>-4.8340051620000004</v>
      </c>
      <c r="AD1962" s="3">
        <v>-9.7464211999999995E-2</v>
      </c>
      <c r="AE1962" s="3">
        <v>5.5346545000000003</v>
      </c>
      <c r="AF1962" s="4">
        <v>42635</v>
      </c>
      <c r="AG1962" s="5">
        <f>YEAR(AF1962)</f>
        <v>2016</v>
      </c>
      <c r="AH1962" s="5" t="str">
        <f>"Q"&amp;ROUNDUP(MONTH(AF1962)/3,0)</f>
        <v>Q3</v>
      </c>
      <c r="AI1962" s="5">
        <f>INDEX(RatingLookup!$B$2:$B$11,MATCH(A1962,RatingLookup!$A$2:$A$11,0))</f>
        <v>6</v>
      </c>
      <c r="AJ1962" s="5" t="str">
        <f>INDEX(RatingLookup!$C$2:$C$11,MATCH(A1962,RatingLookup!$A$2:$A$11,0))</f>
        <v>Speculative Grade</v>
      </c>
    </row>
    <row r="1963" spans="1:36" x14ac:dyDescent="0.3">
      <c r="A1963" s="3" t="s">
        <v>92</v>
      </c>
      <c r="B1963" s="3" t="s">
        <v>2043</v>
      </c>
      <c r="C1963" s="3" t="s">
        <v>2044</v>
      </c>
      <c r="D1963" s="3" t="s">
        <v>60</v>
      </c>
      <c r="E1963" s="3" t="s">
        <v>1628</v>
      </c>
      <c r="F1963" s="3" t="s">
        <v>96</v>
      </c>
      <c r="G1963" s="3">
        <v>0.85234067800000002</v>
      </c>
      <c r="H1963" s="3">
        <v>0.43933383100000001</v>
      </c>
      <c r="I1963" s="3">
        <v>0.208212176</v>
      </c>
      <c r="J1963" s="3">
        <v>44.924999120000003</v>
      </c>
      <c r="K1963" s="3">
        <v>4.9981168999999999E-2</v>
      </c>
      <c r="L1963" s="3">
        <v>6.4444954999999998E-2</v>
      </c>
      <c r="M1963" s="3">
        <v>0.16632993300000001</v>
      </c>
      <c r="N1963" s="3">
        <v>7.1337278000000004E-2</v>
      </c>
      <c r="O1963" s="3">
        <v>3.9236141000000002E-2</v>
      </c>
      <c r="P1963" s="3">
        <v>0.12690510099999999</v>
      </c>
      <c r="Q1963" s="3">
        <v>0.21162731600000001</v>
      </c>
      <c r="R1963" s="3">
        <v>0.78501847499999999</v>
      </c>
      <c r="S1963" s="3">
        <v>10.474565930000001</v>
      </c>
      <c r="T1963" s="3">
        <v>4.3771478249999998</v>
      </c>
      <c r="U1963" s="3">
        <v>0.81153223200000002</v>
      </c>
      <c r="V1963" s="3">
        <v>-0.22155894900000001</v>
      </c>
      <c r="W1963" s="3">
        <v>1</v>
      </c>
      <c r="X1963" s="3">
        <v>5.5767830199999997</v>
      </c>
      <c r="Y1963" s="3">
        <v>13.282335740000001</v>
      </c>
      <c r="Z1963" s="3">
        <v>5.3936832700000004</v>
      </c>
      <c r="AA1963" s="3">
        <v>6.4444954999999998E-2</v>
      </c>
      <c r="AB1963" s="3">
        <v>9.4345095800000003</v>
      </c>
      <c r="AC1963" s="3">
        <v>5.5767830199999997</v>
      </c>
      <c r="AD1963" s="3">
        <v>8.9625581999999995E-2</v>
      </c>
      <c r="AE1963" s="3">
        <v>5.640584574</v>
      </c>
      <c r="AF1963" s="4">
        <v>42270</v>
      </c>
      <c r="AG1963" s="5">
        <f>YEAR(AF1963)</f>
        <v>2015</v>
      </c>
      <c r="AH1963" s="5" t="str">
        <f>"Q"&amp;ROUNDUP(MONTH(AF1963)/3,0)</f>
        <v>Q3</v>
      </c>
      <c r="AI1963" s="5">
        <f>INDEX(RatingLookup!$B$2:$B$11,MATCH(A1963,RatingLookup!$A$2:$A$11,0))</f>
        <v>6</v>
      </c>
      <c r="AJ1963" s="5" t="str">
        <f>INDEX(RatingLookup!$C$2:$C$11,MATCH(A1963,RatingLookup!$A$2:$A$11,0))</f>
        <v>Speculative Grade</v>
      </c>
    </row>
    <row r="1964" spans="1:36" x14ac:dyDescent="0.3">
      <c r="A1964" s="3" t="s">
        <v>92</v>
      </c>
      <c r="B1964" s="3" t="s">
        <v>2045</v>
      </c>
      <c r="C1964" s="3" t="s">
        <v>2046</v>
      </c>
      <c r="D1964" s="3" t="s">
        <v>60</v>
      </c>
      <c r="E1964" s="3" t="s">
        <v>2047</v>
      </c>
      <c r="F1964" s="3" t="s">
        <v>96</v>
      </c>
      <c r="G1964" s="3">
        <v>0.77770847799999998</v>
      </c>
      <c r="H1964" s="3">
        <v>0.72091719200000004</v>
      </c>
      <c r="I1964" s="3">
        <v>0.32097536399999999</v>
      </c>
      <c r="J1964" s="3">
        <v>46.324823629999997</v>
      </c>
      <c r="K1964" s="3">
        <v>0.184228693</v>
      </c>
      <c r="L1964" s="3">
        <v>0.119526995</v>
      </c>
      <c r="M1964" s="3">
        <v>0.34342509799999998</v>
      </c>
      <c r="N1964" s="3">
        <v>0.15528036100000001</v>
      </c>
      <c r="O1964" s="3">
        <v>0.10113454299999999</v>
      </c>
      <c r="P1964" s="3">
        <v>8.0559026000000006E-2</v>
      </c>
      <c r="Q1964" s="3">
        <v>1.1267030200000001</v>
      </c>
      <c r="R1964" s="3">
        <v>0.548961951</v>
      </c>
      <c r="S1964" s="3">
        <v>4.718341304</v>
      </c>
      <c r="T1964" s="3">
        <v>10.14063494</v>
      </c>
      <c r="U1964" s="3">
        <v>0.91023850900000003</v>
      </c>
      <c r="V1964" s="3">
        <v>0.33724113999999999</v>
      </c>
      <c r="W1964" s="3">
        <v>0.45825168599999999</v>
      </c>
      <c r="X1964" s="3">
        <v>0.88786295599999998</v>
      </c>
      <c r="Y1964" s="3">
        <v>1.2648504970000001</v>
      </c>
      <c r="Z1964" s="3">
        <v>11.14063494</v>
      </c>
      <c r="AA1964" s="3">
        <v>0.119526995</v>
      </c>
      <c r="AB1964" s="3">
        <v>11.64629025</v>
      </c>
      <c r="AC1964" s="3">
        <v>1.9375006859999999</v>
      </c>
      <c r="AD1964" s="3">
        <v>0.17873204600000001</v>
      </c>
      <c r="AE1964" s="3">
        <v>14.04447302</v>
      </c>
      <c r="AF1964" s="4">
        <v>42473</v>
      </c>
      <c r="AG1964" s="5">
        <f>YEAR(AF1964)</f>
        <v>2016</v>
      </c>
      <c r="AH1964" s="5" t="str">
        <f>"Q"&amp;ROUNDUP(MONTH(AF1964)/3,0)</f>
        <v>Q2</v>
      </c>
      <c r="AI1964" s="5">
        <f>INDEX(RatingLookup!$B$2:$B$11,MATCH(A1964,RatingLookup!$A$2:$A$11,0))</f>
        <v>6</v>
      </c>
      <c r="AJ1964" s="5" t="str">
        <f>INDEX(RatingLookup!$C$2:$C$11,MATCH(A1964,RatingLookup!$A$2:$A$11,0))</f>
        <v>Speculative Grade</v>
      </c>
    </row>
    <row r="1965" spans="1:36" x14ac:dyDescent="0.3">
      <c r="A1965" s="3" t="s">
        <v>36</v>
      </c>
      <c r="B1965" s="3" t="s">
        <v>2048</v>
      </c>
      <c r="C1965" s="3" t="s">
        <v>2049</v>
      </c>
      <c r="D1965" s="3" t="s">
        <v>60</v>
      </c>
      <c r="E1965" s="3" t="s">
        <v>1304</v>
      </c>
      <c r="F1965" s="3" t="s">
        <v>215</v>
      </c>
      <c r="G1965" s="3">
        <v>1.7522730900000001</v>
      </c>
      <c r="H1965" s="3">
        <v>1.2469293349999999</v>
      </c>
      <c r="I1965" s="3">
        <v>0.91673313099999998</v>
      </c>
      <c r="J1965" s="3">
        <v>40.740146889999998</v>
      </c>
      <c r="K1965" s="3">
        <v>0.39391745099999997</v>
      </c>
      <c r="L1965" s="3">
        <v>0.51287886599999999</v>
      </c>
      <c r="M1965" s="3">
        <v>1</v>
      </c>
      <c r="N1965" s="3">
        <v>0.525292231</v>
      </c>
      <c r="O1965" s="3">
        <v>0.234064786</v>
      </c>
      <c r="P1965" s="3">
        <v>0.49580000000000002</v>
      </c>
      <c r="Q1965" s="3">
        <v>0.63171864600000005</v>
      </c>
      <c r="R1965" s="3">
        <v>0.59419755399999996</v>
      </c>
      <c r="S1965" s="3">
        <v>14.321481479999999</v>
      </c>
      <c r="T1965" s="3">
        <v>1.698905109</v>
      </c>
      <c r="U1965" s="3">
        <v>0.62947937799999998</v>
      </c>
      <c r="V1965" s="3">
        <v>0.23194836599999999</v>
      </c>
      <c r="W1965" s="3">
        <v>0.95622062799999996</v>
      </c>
      <c r="X1965" s="3">
        <v>3.4091710759999998</v>
      </c>
      <c r="Y1965" s="3">
        <v>5.9417989420000001</v>
      </c>
      <c r="Z1965" s="3">
        <v>2.698905109</v>
      </c>
      <c r="AA1965" s="3">
        <v>0.51287886599999999</v>
      </c>
      <c r="AB1965" s="3">
        <v>15.957477450000001</v>
      </c>
      <c r="AC1965" s="3">
        <v>3.5652557319999998</v>
      </c>
      <c r="AD1965" s="3">
        <v>0.41822695799999998</v>
      </c>
      <c r="AE1965" s="3">
        <v>0</v>
      </c>
      <c r="AF1965" s="4">
        <v>42331</v>
      </c>
      <c r="AG1965" s="5">
        <f>YEAR(AF1965)</f>
        <v>2015</v>
      </c>
      <c r="AH1965" s="5" t="str">
        <f>"Q"&amp;ROUNDUP(MONTH(AF1965)/3,0)</f>
        <v>Q4</v>
      </c>
      <c r="AI1965" s="5">
        <f>INDEX(RatingLookup!$B$2:$B$11,MATCH(A1965,RatingLookup!$A$2:$A$11,0))</f>
        <v>8</v>
      </c>
      <c r="AJ1965" s="5" t="str">
        <f>INDEX(RatingLookup!$C$2:$C$11,MATCH(A1965,RatingLookup!$A$2:$A$11,0))</f>
        <v>Investment Grade</v>
      </c>
    </row>
    <row r="1966" spans="1:36" x14ac:dyDescent="0.3">
      <c r="A1966" s="3" t="s">
        <v>109</v>
      </c>
      <c r="B1966" s="3" t="s">
        <v>2050</v>
      </c>
      <c r="C1966" s="3" t="s">
        <v>2051</v>
      </c>
      <c r="D1966" s="3" t="s">
        <v>60</v>
      </c>
      <c r="E1966" s="3" t="s">
        <v>46</v>
      </c>
      <c r="F1966" s="3" t="s">
        <v>219</v>
      </c>
      <c r="G1966" s="3">
        <v>2.1183838380000002</v>
      </c>
      <c r="H1966" s="3">
        <v>1.0901010099999999</v>
      </c>
      <c r="I1966" s="3">
        <v>0.2</v>
      </c>
      <c r="J1966" s="3">
        <v>52.243967249999997</v>
      </c>
      <c r="K1966" s="3">
        <v>9.7313990000000003E-2</v>
      </c>
      <c r="L1966" s="3">
        <v>0.12604136699999999</v>
      </c>
      <c r="M1966" s="3">
        <v>0.24569089299999999</v>
      </c>
      <c r="N1966" s="3">
        <v>0.13789141099999999</v>
      </c>
      <c r="O1966" s="3">
        <v>9.8466681E-2</v>
      </c>
      <c r="P1966" s="3">
        <v>0.15550239199999999</v>
      </c>
      <c r="Q1966" s="3">
        <v>0.16891049599999999</v>
      </c>
      <c r="R1966" s="3">
        <v>1.011845069</v>
      </c>
      <c r="S1966" s="3">
        <v>1.9282647829999999</v>
      </c>
      <c r="T1966" s="3">
        <v>0.71540762899999999</v>
      </c>
      <c r="U1966" s="3">
        <v>0.41704817999999999</v>
      </c>
      <c r="V1966" s="3">
        <v>0.23703703700000001</v>
      </c>
      <c r="W1966" s="3">
        <v>7.3313782999999993E-2</v>
      </c>
      <c r="X1966" s="3">
        <v>0.12651821899999999</v>
      </c>
      <c r="Y1966" s="3">
        <v>0.71356275300000005</v>
      </c>
      <c r="Z1966" s="3">
        <v>1.715407629</v>
      </c>
      <c r="AA1966" s="3">
        <v>0.12604136699999999</v>
      </c>
      <c r="AB1966" s="3">
        <v>10.51243711</v>
      </c>
      <c r="AC1966" s="3">
        <v>1.725708502</v>
      </c>
      <c r="AD1966" s="3">
        <v>0.122450445</v>
      </c>
      <c r="AE1966" s="3">
        <v>7.4121383200000004</v>
      </c>
      <c r="AF1966" s="4">
        <v>41075</v>
      </c>
      <c r="AG1966" s="5">
        <f>YEAR(AF1966)</f>
        <v>2012</v>
      </c>
      <c r="AH1966" s="5" t="str">
        <f>"Q"&amp;ROUNDUP(MONTH(AF1966)/3,0)</f>
        <v>Q2</v>
      </c>
      <c r="AI1966" s="5">
        <f>INDEX(RatingLookup!$B$2:$B$11,MATCH(A1966,RatingLookup!$A$2:$A$11,0))</f>
        <v>5</v>
      </c>
      <c r="AJ1966" s="5" t="str">
        <f>INDEX(RatingLookup!$C$2:$C$11,MATCH(A1966,RatingLookup!$A$2:$A$11,0))</f>
        <v>Speculative Grade</v>
      </c>
    </row>
    <row r="1967" spans="1:36" x14ac:dyDescent="0.3">
      <c r="A1967" s="3" t="s">
        <v>42</v>
      </c>
      <c r="B1967" s="3" t="s">
        <v>2050</v>
      </c>
      <c r="C1967" s="3" t="s">
        <v>2051</v>
      </c>
      <c r="D1967" s="3" t="s">
        <v>47</v>
      </c>
      <c r="E1967" s="3" t="s">
        <v>2047</v>
      </c>
      <c r="F1967" s="3" t="s">
        <v>219</v>
      </c>
      <c r="G1967" s="3">
        <v>2.1660970609999999</v>
      </c>
      <c r="H1967" s="3">
        <v>1.079289132</v>
      </c>
      <c r="I1967" s="3">
        <v>0.17703349299999999</v>
      </c>
      <c r="J1967" s="3">
        <v>45.88974855</v>
      </c>
      <c r="K1967" s="3">
        <v>0.12744465899999999</v>
      </c>
      <c r="L1967" s="3">
        <v>8.8276381000000001E-2</v>
      </c>
      <c r="M1967" s="3">
        <v>0.28626692500000001</v>
      </c>
      <c r="N1967" s="3">
        <v>0.17859445500000001</v>
      </c>
      <c r="O1967" s="3">
        <v>0.108439243</v>
      </c>
      <c r="P1967" s="3">
        <v>8.6710998999999997E-2</v>
      </c>
      <c r="Q1967" s="3">
        <v>0.20108511400000001</v>
      </c>
      <c r="R1967" s="3">
        <v>0.85087318300000003</v>
      </c>
      <c r="S1967" s="3">
        <v>1.3055555560000001</v>
      </c>
      <c r="T1967" s="3">
        <v>0.85435740900000001</v>
      </c>
      <c r="U1967" s="3">
        <v>0.46072963300000003</v>
      </c>
      <c r="V1967" s="3">
        <v>0.50517346299999999</v>
      </c>
      <c r="W1967" s="3">
        <v>-1.4285714E-2</v>
      </c>
      <c r="X1967" s="3">
        <v>-4.4885176999999998E-2</v>
      </c>
      <c r="Y1967" s="3">
        <v>0.85386221299999998</v>
      </c>
      <c r="Z1967" s="3">
        <v>1.8543574089999999</v>
      </c>
      <c r="AA1967" s="3">
        <v>8.8276381000000001E-2</v>
      </c>
      <c r="AB1967" s="3">
        <v>10.95121737</v>
      </c>
      <c r="AC1967" s="3">
        <v>3.1419624220000002</v>
      </c>
      <c r="AD1967" s="3">
        <v>0.16172361900000001</v>
      </c>
      <c r="AE1967" s="3">
        <v>8.9214237740000009</v>
      </c>
      <c r="AF1967" s="4">
        <v>42473</v>
      </c>
      <c r="AG1967" s="5">
        <f>YEAR(AF1967)</f>
        <v>2016</v>
      </c>
      <c r="AH1967" s="5" t="str">
        <f>"Q"&amp;ROUNDUP(MONTH(AF1967)/3,0)</f>
        <v>Q2</v>
      </c>
      <c r="AI1967" s="5">
        <f>INDEX(RatingLookup!$B$2:$B$11,MATCH(A1967,RatingLookup!$A$2:$A$11,0))</f>
        <v>7</v>
      </c>
      <c r="AJ1967" s="5" t="str">
        <f>INDEX(RatingLookup!$C$2:$C$11,MATCH(A1967,RatingLookup!$A$2:$A$11,0))</f>
        <v>Investment Grade</v>
      </c>
    </row>
    <row r="1968" spans="1:36" x14ac:dyDescent="0.3">
      <c r="A1968" s="3" t="s">
        <v>92</v>
      </c>
      <c r="B1968" s="3" t="s">
        <v>2052</v>
      </c>
      <c r="C1968" s="3" t="s">
        <v>2053</v>
      </c>
      <c r="D1968" s="3" t="s">
        <v>47</v>
      </c>
      <c r="E1968" s="3" t="s">
        <v>1992</v>
      </c>
      <c r="F1968" s="3" t="s">
        <v>174</v>
      </c>
      <c r="G1968" s="3">
        <v>0.19498153500000001</v>
      </c>
      <c r="H1968" s="3">
        <v>2.9241803E-2</v>
      </c>
      <c r="I1968" s="3">
        <v>2.8318169000000001E-2</v>
      </c>
      <c r="J1968" s="3">
        <v>0</v>
      </c>
      <c r="K1968" s="3">
        <v>8.022377E-2</v>
      </c>
      <c r="L1968" s="3">
        <v>8.7041517999999998E-2</v>
      </c>
      <c r="M1968" s="3">
        <v>0.38554674900000002</v>
      </c>
      <c r="N1968" s="3">
        <v>0.105421641</v>
      </c>
      <c r="O1968" s="3">
        <v>3.1822369000000003E-2</v>
      </c>
      <c r="P1968" s="3">
        <v>4.3439941000000003E-2</v>
      </c>
      <c r="Q1968" s="3">
        <v>8.2572216000000004E-2</v>
      </c>
      <c r="R1968" s="3">
        <v>0.39667008500000001</v>
      </c>
      <c r="S1968" s="3">
        <v>0.441962515</v>
      </c>
      <c r="T1968" s="3">
        <v>1.594785291</v>
      </c>
      <c r="U1968" s="3">
        <v>0.61461165799999995</v>
      </c>
      <c r="V1968" s="3">
        <v>7.8327546999999997E-2</v>
      </c>
      <c r="W1968" s="3">
        <v>0.171101427</v>
      </c>
      <c r="X1968" s="3">
        <v>1.510610094</v>
      </c>
      <c r="Y1968" s="3">
        <v>0.56940564699999996</v>
      </c>
      <c r="Z1968" s="3">
        <v>2.594785291</v>
      </c>
      <c r="AA1968" s="3">
        <v>8.7041517999999998E-2</v>
      </c>
      <c r="AB1968" s="3">
        <v>15.6378559</v>
      </c>
      <c r="AC1968" s="3">
        <v>8.8287404760000001</v>
      </c>
      <c r="AD1968" s="3">
        <v>0.23452809299999999</v>
      </c>
      <c r="AE1968" s="3">
        <v>16.88138258</v>
      </c>
      <c r="AF1968" s="4">
        <v>42516</v>
      </c>
      <c r="AG1968" s="5">
        <f>YEAR(AF1968)</f>
        <v>2016</v>
      </c>
      <c r="AH1968" s="5" t="str">
        <f>"Q"&amp;ROUNDUP(MONTH(AF1968)/3,0)</f>
        <v>Q2</v>
      </c>
      <c r="AI1968" s="5">
        <f>INDEX(RatingLookup!$B$2:$B$11,MATCH(A1968,RatingLookup!$A$2:$A$11,0))</f>
        <v>6</v>
      </c>
      <c r="AJ1968" s="5" t="str">
        <f>INDEX(RatingLookup!$C$2:$C$11,MATCH(A1968,RatingLookup!$A$2:$A$11,0))</f>
        <v>Speculative Grade</v>
      </c>
    </row>
    <row r="1969" spans="1:36" x14ac:dyDescent="0.3">
      <c r="A1969" s="3" t="s">
        <v>92</v>
      </c>
      <c r="B1969" s="3" t="s">
        <v>2052</v>
      </c>
      <c r="C1969" s="3" t="s">
        <v>2053</v>
      </c>
      <c r="D1969" s="3" t="s">
        <v>60</v>
      </c>
      <c r="E1969" s="3" t="s">
        <v>46</v>
      </c>
      <c r="F1969" s="3" t="s">
        <v>174</v>
      </c>
      <c r="G1969" s="3">
        <v>0.315971681</v>
      </c>
      <c r="H1969" s="3">
        <v>0.113060129</v>
      </c>
      <c r="I1969" s="3">
        <v>8.5468251999999995E-2</v>
      </c>
      <c r="J1969" s="3">
        <v>0</v>
      </c>
      <c r="K1969" s="3">
        <v>8.0589068E-2</v>
      </c>
      <c r="L1969" s="3">
        <v>8.0589068E-2</v>
      </c>
      <c r="M1969" s="3">
        <v>0.34424379199999999</v>
      </c>
      <c r="N1969" s="3">
        <v>0.123602958</v>
      </c>
      <c r="O1969" s="3">
        <v>3.0671005000000001E-2</v>
      </c>
      <c r="P1969" s="3">
        <v>3.6292620999999997E-2</v>
      </c>
      <c r="Q1969" s="3">
        <v>7.2244742000000001E-2</v>
      </c>
      <c r="R1969" s="3">
        <v>0.38058517800000002</v>
      </c>
      <c r="S1969" s="3">
        <v>0.44507496000000002</v>
      </c>
      <c r="T1969" s="3">
        <v>1.3554735870000001</v>
      </c>
      <c r="U1969" s="3">
        <v>0.57545692500000001</v>
      </c>
      <c r="V1969" s="3">
        <v>0</v>
      </c>
      <c r="W1969" s="3">
        <v>0.193793668</v>
      </c>
      <c r="X1969" s="3">
        <v>1.3007612399999999</v>
      </c>
      <c r="Y1969" s="3">
        <v>1.5991479280000001</v>
      </c>
      <c r="Z1969" s="3">
        <v>2.3554735870000001</v>
      </c>
      <c r="AA1969" s="3">
        <v>8.0589068E-2</v>
      </c>
      <c r="AB1969" s="3">
        <v>8.6463158129999993</v>
      </c>
      <c r="AC1969" s="3">
        <v>6.7120936169999998</v>
      </c>
      <c r="AD1969" s="3">
        <v>0.19313894200000001</v>
      </c>
      <c r="AE1969" s="3">
        <v>16.22532442</v>
      </c>
      <c r="AF1969" s="4">
        <v>41075</v>
      </c>
      <c r="AG1969" s="5">
        <f>YEAR(AF1969)</f>
        <v>2012</v>
      </c>
      <c r="AH1969" s="5" t="str">
        <f>"Q"&amp;ROUNDUP(MONTH(AF1969)/3,0)</f>
        <v>Q2</v>
      </c>
      <c r="AI1969" s="5">
        <f>INDEX(RatingLookup!$B$2:$B$11,MATCH(A1969,RatingLookup!$A$2:$A$11,0))</f>
        <v>6</v>
      </c>
      <c r="AJ1969" s="5" t="str">
        <f>INDEX(RatingLookup!$C$2:$C$11,MATCH(A1969,RatingLookup!$A$2:$A$11,0))</f>
        <v>Speculative Grade</v>
      </c>
    </row>
    <row r="1970" spans="1:36" x14ac:dyDescent="0.3">
      <c r="A1970" s="3" t="s">
        <v>92</v>
      </c>
      <c r="B1970" s="3" t="s">
        <v>2052</v>
      </c>
      <c r="C1970" s="3" t="s">
        <v>2053</v>
      </c>
      <c r="D1970" s="3" t="s">
        <v>47</v>
      </c>
      <c r="E1970" s="3" t="s">
        <v>1710</v>
      </c>
      <c r="F1970" s="3" t="s">
        <v>174</v>
      </c>
      <c r="G1970" s="3">
        <v>0.16847641199999999</v>
      </c>
      <c r="H1970" s="3">
        <v>3.0659889999999999E-2</v>
      </c>
      <c r="I1970" s="3">
        <v>2.9854775E-2</v>
      </c>
      <c r="J1970" s="3">
        <v>0</v>
      </c>
      <c r="K1970" s="3">
        <v>0.15105078</v>
      </c>
      <c r="L1970" s="3">
        <v>0.15105078</v>
      </c>
      <c r="M1970" s="3">
        <v>0.40968664300000002</v>
      </c>
      <c r="N1970" s="3">
        <v>0.17386243900000001</v>
      </c>
      <c r="O1970" s="3">
        <v>5.7524400000000003E-2</v>
      </c>
      <c r="P1970" s="3">
        <v>7.1823152000000001E-2</v>
      </c>
      <c r="Q1970" s="3">
        <v>0.14070058499999999</v>
      </c>
      <c r="R1970" s="3">
        <v>0.38082822100000002</v>
      </c>
      <c r="S1970" s="3">
        <v>0.42141863299999999</v>
      </c>
      <c r="T1970" s="3">
        <v>1.445928766</v>
      </c>
      <c r="U1970" s="3">
        <v>0.59115734900000005</v>
      </c>
      <c r="V1970" s="3">
        <v>0</v>
      </c>
      <c r="W1970" s="3">
        <v>8.8715730000000007E-3</v>
      </c>
      <c r="X1970" s="3">
        <v>0.103163743</v>
      </c>
      <c r="Y1970" s="3">
        <v>0.62922629100000005</v>
      </c>
      <c r="Z1970" s="3">
        <v>2.4459287660000002</v>
      </c>
      <c r="AA1970" s="3">
        <v>0.15105078</v>
      </c>
      <c r="AB1970" s="3">
        <v>12.24173135</v>
      </c>
      <c r="AC1970" s="3">
        <v>11.62857352</v>
      </c>
      <c r="AD1970" s="3">
        <v>0.29620659399999999</v>
      </c>
      <c r="AE1970" s="3">
        <v>16.42753175</v>
      </c>
      <c r="AF1970" s="4">
        <v>42727</v>
      </c>
      <c r="AG1970" s="5">
        <f>YEAR(AF1970)</f>
        <v>2016</v>
      </c>
      <c r="AH1970" s="5" t="str">
        <f>"Q"&amp;ROUNDUP(MONTH(AF1970)/3,0)</f>
        <v>Q4</v>
      </c>
      <c r="AI1970" s="5">
        <f>INDEX(RatingLookup!$B$2:$B$11,MATCH(A1970,RatingLookup!$A$2:$A$11,0))</f>
        <v>6</v>
      </c>
      <c r="AJ1970" s="5" t="str">
        <f>INDEX(RatingLookup!$C$2:$C$11,MATCH(A1970,RatingLookup!$A$2:$A$11,0))</f>
        <v>Speculative Grade</v>
      </c>
    </row>
    <row r="1971" spans="1:36" x14ac:dyDescent="0.3">
      <c r="A1971" s="3" t="s">
        <v>109</v>
      </c>
      <c r="B1971" s="3" t="s">
        <v>2054</v>
      </c>
      <c r="C1971" s="3" t="s">
        <v>2055</v>
      </c>
      <c r="D1971" s="3" t="s">
        <v>60</v>
      </c>
      <c r="E1971" s="3" t="s">
        <v>46</v>
      </c>
      <c r="F1971" s="3" t="s">
        <v>174</v>
      </c>
      <c r="G1971" s="3">
        <v>1.458362231</v>
      </c>
      <c r="H1971" s="3">
        <v>1.107233863</v>
      </c>
      <c r="I1971" s="3">
        <v>0.34122008599999998</v>
      </c>
      <c r="J1971" s="3">
        <v>45.299788970000002</v>
      </c>
      <c r="K1971" s="3">
        <v>-1.7073677999999998E-2</v>
      </c>
      <c r="L1971" s="3">
        <v>-1.60024E-3</v>
      </c>
      <c r="M1971" s="3">
        <v>0.58790282000000005</v>
      </c>
      <c r="N1971" s="3">
        <v>2.4406892999999999E-2</v>
      </c>
      <c r="O1971" s="3">
        <v>-1.3757478E-2</v>
      </c>
      <c r="P1971" s="3">
        <v>-1.5686820000000001E-3</v>
      </c>
      <c r="Q1971" s="3">
        <v>-7.8341495999999997E-2</v>
      </c>
      <c r="R1971" s="3">
        <v>0.80577121200000001</v>
      </c>
      <c r="S1971" s="3">
        <v>2.1410084870000001</v>
      </c>
      <c r="T1971" s="3">
        <v>4.6944663880000004</v>
      </c>
      <c r="U1971" s="3">
        <v>0.824390921</v>
      </c>
      <c r="V1971" s="3">
        <v>-9.8187197420000007</v>
      </c>
      <c r="W1971" s="3">
        <v>0.39281994399999998</v>
      </c>
      <c r="X1971" s="3">
        <v>0.19729601199999999</v>
      </c>
      <c r="Y1971" s="3">
        <v>1.902282764</v>
      </c>
      <c r="Z1971" s="3">
        <v>5.6944663880000004</v>
      </c>
      <c r="AA1971" s="3">
        <v>-1.60024E-3</v>
      </c>
      <c r="AB1971" s="3">
        <v>10.2110146</v>
      </c>
      <c r="AC1971" s="3">
        <v>0.50225558800000003</v>
      </c>
      <c r="AD1971" s="3">
        <v>3.1818442000000002E-2</v>
      </c>
      <c r="AE1971" s="3">
        <v>9.2158064950000007</v>
      </c>
      <c r="AF1971" s="4">
        <v>41075</v>
      </c>
      <c r="AG1971" s="5">
        <f>YEAR(AF1971)</f>
        <v>2012</v>
      </c>
      <c r="AH1971" s="5" t="str">
        <f>"Q"&amp;ROUNDUP(MONTH(AF1971)/3,0)</f>
        <v>Q2</v>
      </c>
      <c r="AI1971" s="5">
        <f>INDEX(RatingLookup!$B$2:$B$11,MATCH(A1971,RatingLookup!$A$2:$A$11,0))</f>
        <v>5</v>
      </c>
      <c r="AJ1971" s="5" t="str">
        <f>INDEX(RatingLookup!$C$2:$C$11,MATCH(A1971,RatingLookup!$A$2:$A$11,0))</f>
        <v>Speculative Grade</v>
      </c>
    </row>
    <row r="1972" spans="1:36" x14ac:dyDescent="0.3">
      <c r="A1972" s="3" t="s">
        <v>42</v>
      </c>
      <c r="B1972" s="3" t="s">
        <v>2056</v>
      </c>
      <c r="C1972" s="3" t="s">
        <v>2057</v>
      </c>
      <c r="D1972" s="3" t="s">
        <v>60</v>
      </c>
      <c r="E1972" s="3" t="s">
        <v>675</v>
      </c>
      <c r="F1972" s="3" t="s">
        <v>96</v>
      </c>
      <c r="G1972" s="3">
        <v>1.407295382</v>
      </c>
      <c r="H1972" s="3">
        <v>0.85048079099999996</v>
      </c>
      <c r="I1972" s="3">
        <v>0.44431402599999997</v>
      </c>
      <c r="J1972" s="3">
        <v>59.807127639999997</v>
      </c>
      <c r="K1972" s="3">
        <v>4.7229739E-2</v>
      </c>
      <c r="L1972" s="3">
        <v>2.8211180999999998E-2</v>
      </c>
      <c r="M1972" s="3">
        <v>0.75093557499999997</v>
      </c>
      <c r="N1972" s="3">
        <v>2.9228318999999999E-2</v>
      </c>
      <c r="O1972" s="3">
        <v>3.0281776999999999E-2</v>
      </c>
      <c r="P1972" s="3">
        <v>2.4865103E-2</v>
      </c>
      <c r="Q1972" s="3">
        <v>7.3386014999999999E-2</v>
      </c>
      <c r="R1972" s="3">
        <v>0.64115909900000001</v>
      </c>
      <c r="S1972" s="3">
        <v>5.2707869709999997</v>
      </c>
      <c r="T1972" s="3">
        <v>1.423438199</v>
      </c>
      <c r="U1972" s="3">
        <v>0.58736311100000005</v>
      </c>
      <c r="V1972" s="3">
        <v>-0.67414965999999998</v>
      </c>
      <c r="W1972" s="3">
        <v>8.6588364000000001E-2</v>
      </c>
      <c r="X1972" s="3">
        <v>0.17284623800000001</v>
      </c>
      <c r="Y1972" s="3">
        <v>5.6166848419999997</v>
      </c>
      <c r="Z1972" s="3">
        <v>2.423438199</v>
      </c>
      <c r="AA1972" s="3">
        <v>2.8211180999999998E-2</v>
      </c>
      <c r="AB1972" s="3">
        <v>3.984965265</v>
      </c>
      <c r="AC1972" s="3">
        <v>1.996183206</v>
      </c>
      <c r="AD1972" s="3">
        <v>7.0259273999999997E-2</v>
      </c>
      <c r="AE1972" s="3">
        <v>2.2268359640000002</v>
      </c>
      <c r="AF1972" s="4">
        <v>42277</v>
      </c>
      <c r="AG1972" s="5">
        <f>YEAR(AF1972)</f>
        <v>2015</v>
      </c>
      <c r="AH1972" s="5" t="str">
        <f>"Q"&amp;ROUNDUP(MONTH(AF1972)/3,0)</f>
        <v>Q3</v>
      </c>
      <c r="AI1972" s="5">
        <f>INDEX(RatingLookup!$B$2:$B$11,MATCH(A1972,RatingLookup!$A$2:$A$11,0))</f>
        <v>7</v>
      </c>
      <c r="AJ1972" s="5" t="str">
        <f>INDEX(RatingLookup!$C$2:$C$11,MATCH(A1972,RatingLookup!$A$2:$A$11,0))</f>
        <v>Investment Grade</v>
      </c>
    </row>
    <row r="1973" spans="1:36" x14ac:dyDescent="0.3">
      <c r="A1973" s="3" t="s">
        <v>42</v>
      </c>
      <c r="B1973" s="3" t="s">
        <v>2058</v>
      </c>
      <c r="C1973" s="3" t="s">
        <v>2059</v>
      </c>
      <c r="D1973" s="3" t="s">
        <v>60</v>
      </c>
      <c r="E1973" s="3" t="s">
        <v>2060</v>
      </c>
      <c r="F1973" s="3" t="s">
        <v>113</v>
      </c>
      <c r="G1973" s="3">
        <v>1.5088125219999999</v>
      </c>
      <c r="H1973" s="3">
        <v>1.405473942</v>
      </c>
      <c r="I1973" s="3">
        <v>0.18172612799999999</v>
      </c>
      <c r="J1973" s="3">
        <v>142.235882</v>
      </c>
      <c r="K1973" s="3">
        <v>0.152090378</v>
      </c>
      <c r="L1973" s="3">
        <v>0.17705009199999999</v>
      </c>
      <c r="M1973" s="3">
        <v>0.42286241499999999</v>
      </c>
      <c r="N1973" s="3">
        <v>0.178755513</v>
      </c>
      <c r="O1973" s="3">
        <v>0.139493213</v>
      </c>
      <c r="P1973" s="3">
        <v>0.24693537400000001</v>
      </c>
      <c r="Q1973" s="3">
        <v>0.31390414799999999</v>
      </c>
      <c r="R1973" s="3">
        <v>0.91717315700000002</v>
      </c>
      <c r="S1973" s="3">
        <v>10.48461569</v>
      </c>
      <c r="T1973" s="3">
        <v>1.25031844</v>
      </c>
      <c r="U1973" s="3">
        <v>0.55561844800000004</v>
      </c>
      <c r="V1973" s="3">
        <v>0.14097543500000001</v>
      </c>
      <c r="W1973" s="3">
        <v>0.82180289699999998</v>
      </c>
      <c r="X1973" s="3">
        <v>3.8155928499999998</v>
      </c>
      <c r="Y1973" s="3">
        <v>3.1593939980000001</v>
      </c>
      <c r="Z1973" s="3">
        <v>2.25031844</v>
      </c>
      <c r="AA1973" s="3">
        <v>0.179584731</v>
      </c>
      <c r="AB1973" s="3">
        <v>13.92987611</v>
      </c>
      <c r="AC1973" s="3">
        <v>4.6429537569999999</v>
      </c>
      <c r="AD1973" s="3">
        <v>0.17719168099999999</v>
      </c>
      <c r="AE1973" s="3">
        <v>2.790693176</v>
      </c>
      <c r="AF1973" s="4">
        <v>42374</v>
      </c>
      <c r="AG1973" s="5">
        <f>YEAR(AF1973)</f>
        <v>2016</v>
      </c>
      <c r="AH1973" s="5" t="str">
        <f>"Q"&amp;ROUNDUP(MONTH(AF1973)/3,0)</f>
        <v>Q1</v>
      </c>
      <c r="AI1973" s="5">
        <f>INDEX(RatingLookup!$B$2:$B$11,MATCH(A1973,RatingLookup!$A$2:$A$11,0))</f>
        <v>7</v>
      </c>
      <c r="AJ1973" s="5" t="str">
        <f>INDEX(RatingLookup!$C$2:$C$11,MATCH(A1973,RatingLookup!$A$2:$A$11,0))</f>
        <v>Investment Grade</v>
      </c>
    </row>
    <row r="1974" spans="1:36" x14ac:dyDescent="0.3">
      <c r="A1974" s="3" t="s">
        <v>92</v>
      </c>
      <c r="B1974" s="3" t="s">
        <v>2061</v>
      </c>
      <c r="C1974" s="3" t="s">
        <v>2062</v>
      </c>
      <c r="D1974" s="3" t="s">
        <v>47</v>
      </c>
      <c r="E1974" s="3" t="s">
        <v>2063</v>
      </c>
      <c r="F1974" s="3" t="s">
        <v>96</v>
      </c>
      <c r="G1974" s="3">
        <v>2.2186600900000002</v>
      </c>
      <c r="H1974" s="3">
        <v>1.2030415130000001</v>
      </c>
      <c r="I1974" s="3">
        <v>0.77846280300000004</v>
      </c>
      <c r="J1974" s="3">
        <v>39.697304699999997</v>
      </c>
      <c r="K1974" s="3">
        <v>2.1057065E-2</v>
      </c>
      <c r="L1974" s="3">
        <v>-6.8540745E-2</v>
      </c>
      <c r="M1974" s="3">
        <v>0.42840598000000002</v>
      </c>
      <c r="N1974" s="3">
        <v>-1.6740366E-2</v>
      </c>
      <c r="O1974" s="3">
        <v>8.0327739999999995E-3</v>
      </c>
      <c r="P1974" s="3">
        <v>-1.0238148000000001E-2</v>
      </c>
      <c r="Q1974" s="3">
        <v>1.8289895E-2</v>
      </c>
      <c r="R1974" s="3">
        <v>0.38147642399999998</v>
      </c>
      <c r="S1974" s="3">
        <v>4.0382653060000004</v>
      </c>
      <c r="T1974" s="3">
        <v>1.2566986739999999</v>
      </c>
      <c r="U1974" s="3">
        <v>0.55193188199999998</v>
      </c>
      <c r="V1974" s="3">
        <v>1.3072196620000001</v>
      </c>
      <c r="W1974" s="3">
        <v>0.83152409900000002</v>
      </c>
      <c r="X1974" s="3">
        <v>5.5346362999999998</v>
      </c>
      <c r="Y1974" s="3">
        <v>5.4739431610000002</v>
      </c>
      <c r="Z1974" s="3">
        <v>2.2769090080000001</v>
      </c>
      <c r="AA1974" s="3">
        <v>-2.4215624000000002E-2</v>
      </c>
      <c r="AB1974" s="3">
        <v>20.817610009999999</v>
      </c>
      <c r="AC1974" s="3">
        <v>6.6560143079999996</v>
      </c>
      <c r="AD1974" s="3">
        <v>0.242472099</v>
      </c>
      <c r="AE1974" s="3">
        <v>5.5796505649999997</v>
      </c>
      <c r="AF1974" s="4">
        <v>42671</v>
      </c>
      <c r="AG1974" s="5">
        <f>YEAR(AF1974)</f>
        <v>2016</v>
      </c>
      <c r="AH1974" s="5" t="str">
        <f>"Q"&amp;ROUNDUP(MONTH(AF1974)/3,0)</f>
        <v>Q4</v>
      </c>
      <c r="AI1974" s="5">
        <f>INDEX(RatingLookup!$B$2:$B$11,MATCH(A1974,RatingLookup!$A$2:$A$11,0))</f>
        <v>6</v>
      </c>
      <c r="AJ1974" s="5" t="str">
        <f>INDEX(RatingLookup!$C$2:$C$11,MATCH(A1974,RatingLookup!$A$2:$A$11,0))</f>
        <v>Speculative Grade</v>
      </c>
    </row>
    <row r="1975" spans="1:36" x14ac:dyDescent="0.3">
      <c r="A1975" s="3" t="s">
        <v>92</v>
      </c>
      <c r="B1975" s="3" t="s">
        <v>2061</v>
      </c>
      <c r="C1975" s="3" t="s">
        <v>2062</v>
      </c>
      <c r="D1975" s="3" t="s">
        <v>47</v>
      </c>
      <c r="E1975" s="3" t="s">
        <v>1000</v>
      </c>
      <c r="F1975" s="3" t="s">
        <v>96</v>
      </c>
      <c r="G1975" s="3">
        <v>1.888540031</v>
      </c>
      <c r="H1975" s="3">
        <v>1.044348509</v>
      </c>
      <c r="I1975" s="3">
        <v>0.63343799099999998</v>
      </c>
      <c r="J1975" s="3">
        <v>62.638092120000003</v>
      </c>
      <c r="K1975" s="3">
        <v>0.25012293099999999</v>
      </c>
      <c r="L1975" s="3">
        <v>0.233076545</v>
      </c>
      <c r="M1975" s="3">
        <v>0.456810359</v>
      </c>
      <c r="N1975" s="3">
        <v>0.123258482</v>
      </c>
      <c r="O1975" s="3">
        <v>5.7903924000000002E-2</v>
      </c>
      <c r="P1975" s="3">
        <v>8.1954129000000001E-2</v>
      </c>
      <c r="Q1975" s="3">
        <v>0.132522796</v>
      </c>
      <c r="R1975" s="3">
        <v>0.231501859</v>
      </c>
      <c r="S1975" s="3">
        <v>2.0879534569999998</v>
      </c>
      <c r="T1975" s="3">
        <v>1.263656101</v>
      </c>
      <c r="U1975" s="3">
        <v>0.55213629799999997</v>
      </c>
      <c r="V1975" s="3">
        <v>-7.3136428000000003E-2</v>
      </c>
      <c r="W1975" s="3">
        <v>0.74887218</v>
      </c>
      <c r="X1975" s="3">
        <v>3.956282286</v>
      </c>
      <c r="Y1975" s="3">
        <v>6.4110839459999998</v>
      </c>
      <c r="Z1975" s="3">
        <v>2.2886669560000001</v>
      </c>
      <c r="AA1975" s="3">
        <v>0.31978364199999998</v>
      </c>
      <c r="AB1975" s="3">
        <v>12.67637708</v>
      </c>
      <c r="AC1975" s="3">
        <v>5.2829873899999997</v>
      </c>
      <c r="AD1975" s="3">
        <v>0.21799705</v>
      </c>
      <c r="AE1975" s="3">
        <v>3.2682445759999998</v>
      </c>
      <c r="AF1975" s="4">
        <v>42345</v>
      </c>
      <c r="AG1975" s="5">
        <f>YEAR(AF1975)</f>
        <v>2015</v>
      </c>
      <c r="AH1975" s="5" t="str">
        <f>"Q"&amp;ROUNDUP(MONTH(AF1975)/3,0)</f>
        <v>Q4</v>
      </c>
      <c r="AI1975" s="5">
        <f>INDEX(RatingLookup!$B$2:$B$11,MATCH(A1975,RatingLookup!$A$2:$A$11,0))</f>
        <v>6</v>
      </c>
      <c r="AJ1975" s="5" t="str">
        <f>INDEX(RatingLookup!$C$2:$C$11,MATCH(A1975,RatingLookup!$A$2:$A$11,0))</f>
        <v>Speculative Grade</v>
      </c>
    </row>
    <row r="1976" spans="1:36" x14ac:dyDescent="0.3">
      <c r="A1976" s="3" t="s">
        <v>109</v>
      </c>
      <c r="B1976" s="3" t="s">
        <v>2061</v>
      </c>
      <c r="C1976" s="3" t="s">
        <v>2062</v>
      </c>
      <c r="D1976" s="3" t="s">
        <v>60</v>
      </c>
      <c r="E1976" s="3" t="s">
        <v>1424</v>
      </c>
      <c r="F1976" s="3" t="s">
        <v>96</v>
      </c>
      <c r="G1976" s="3">
        <v>1.992424242</v>
      </c>
      <c r="H1976" s="3">
        <v>1.346969697</v>
      </c>
      <c r="I1976" s="3">
        <v>0.89772727299999999</v>
      </c>
      <c r="J1976" s="3">
        <v>38.329201349999998</v>
      </c>
      <c r="K1976" s="3">
        <v>9.5448910999999997E-2</v>
      </c>
      <c r="L1976" s="3">
        <v>0.102532318</v>
      </c>
      <c r="M1976" s="3">
        <v>0.46750487000000002</v>
      </c>
      <c r="N1976" s="3">
        <v>0.1839915</v>
      </c>
      <c r="O1976" s="3">
        <v>7.8686131000000006E-2</v>
      </c>
      <c r="P1976" s="3">
        <v>0.178300181</v>
      </c>
      <c r="Q1976" s="3">
        <v>1.001858736</v>
      </c>
      <c r="R1976" s="3">
        <v>0.82437956199999995</v>
      </c>
      <c r="S1976" s="3">
        <v>5.0284951019999999</v>
      </c>
      <c r="T1976" s="3">
        <v>11.243494419999999</v>
      </c>
      <c r="U1976" s="3">
        <v>0.88306569300000004</v>
      </c>
      <c r="V1976" s="3">
        <v>6.9084628999999995E-2</v>
      </c>
      <c r="W1976" s="3">
        <v>0.778610354</v>
      </c>
      <c r="X1976" s="3">
        <v>4.5401914190000001</v>
      </c>
      <c r="Y1976" s="3">
        <v>4.7070226000000002</v>
      </c>
      <c r="Z1976" s="3">
        <v>12.73234201</v>
      </c>
      <c r="AA1976" s="3">
        <v>0.17460598499999999</v>
      </c>
      <c r="AB1976" s="3">
        <v>15.72530828</v>
      </c>
      <c r="AC1976" s="3">
        <v>5.8311469840000001</v>
      </c>
      <c r="AD1976" s="3">
        <v>0.259961041</v>
      </c>
      <c r="AE1976" s="3">
        <v>4.1248285320000004</v>
      </c>
      <c r="AF1976" s="4">
        <v>41967</v>
      </c>
      <c r="AG1976" s="5">
        <f>YEAR(AF1976)</f>
        <v>2014</v>
      </c>
      <c r="AH1976" s="5" t="str">
        <f>"Q"&amp;ROUNDUP(MONTH(AF1976)/3,0)</f>
        <v>Q4</v>
      </c>
      <c r="AI1976" s="5">
        <f>INDEX(RatingLookup!$B$2:$B$11,MATCH(A1976,RatingLookup!$A$2:$A$11,0))</f>
        <v>5</v>
      </c>
      <c r="AJ1976" s="5" t="str">
        <f>INDEX(RatingLookup!$C$2:$C$11,MATCH(A1976,RatingLookup!$A$2:$A$11,0))</f>
        <v>Speculative Grade</v>
      </c>
    </row>
    <row r="1977" spans="1:36" x14ac:dyDescent="0.3">
      <c r="A1977" s="3" t="s">
        <v>109</v>
      </c>
      <c r="B1977" s="3" t="s">
        <v>2064</v>
      </c>
      <c r="C1977" s="3" t="s">
        <v>2065</v>
      </c>
      <c r="D1977" s="3" t="s">
        <v>60</v>
      </c>
      <c r="E1977" s="3" t="s">
        <v>150</v>
      </c>
      <c r="F1977" s="3" t="s">
        <v>219</v>
      </c>
      <c r="G1977" s="3">
        <v>1.5476775250000001</v>
      </c>
      <c r="H1977" s="3">
        <v>1.0446581960000001</v>
      </c>
      <c r="I1977" s="3">
        <v>0.66478248900000003</v>
      </c>
      <c r="J1977" s="3">
        <v>12.819723440000001</v>
      </c>
      <c r="K1977" s="3">
        <v>1.4268609999999999E-2</v>
      </c>
      <c r="L1977" s="3">
        <v>2.376874E-2</v>
      </c>
      <c r="M1977" s="3">
        <v>5.6895552000000002E-2</v>
      </c>
      <c r="N1977" s="3">
        <v>3.5465508E-2</v>
      </c>
      <c r="O1977" s="3">
        <v>2.8322275000000001E-2</v>
      </c>
      <c r="P1977" s="3">
        <v>6.4372916000000002E-2</v>
      </c>
      <c r="Q1977" s="3">
        <v>7.9564250000000003E-2</v>
      </c>
      <c r="R1977" s="3">
        <v>1.9849358210000001</v>
      </c>
      <c r="S1977" s="3">
        <v>3.772751183</v>
      </c>
      <c r="T1977" s="3">
        <v>1.8092464029999999</v>
      </c>
      <c r="U1977" s="3">
        <v>0.64403264900000001</v>
      </c>
      <c r="V1977" s="3">
        <v>0.39969009799999999</v>
      </c>
      <c r="W1977" s="3">
        <v>0.81586792900000005</v>
      </c>
      <c r="X1977" s="3">
        <v>2.90136832</v>
      </c>
      <c r="Y1977" s="3">
        <v>10.62396051</v>
      </c>
      <c r="Z1977" s="3">
        <v>2.8092464029999999</v>
      </c>
      <c r="AA1977" s="3">
        <v>2.376874E-2</v>
      </c>
      <c r="AB1977" s="3">
        <v>5.6697000859999998</v>
      </c>
      <c r="AC1977" s="3">
        <v>3.5561740049999999</v>
      </c>
      <c r="AD1977" s="3">
        <v>3.5296156000000002E-2</v>
      </c>
      <c r="AE1977" s="3">
        <v>25.606833869999999</v>
      </c>
      <c r="AF1977" s="4">
        <v>41766</v>
      </c>
      <c r="AG1977" s="5">
        <f>YEAR(AF1977)</f>
        <v>2014</v>
      </c>
      <c r="AH1977" s="5" t="str">
        <f>"Q"&amp;ROUNDUP(MONTH(AF1977)/3,0)</f>
        <v>Q2</v>
      </c>
      <c r="AI1977" s="5">
        <f>INDEX(RatingLookup!$B$2:$B$11,MATCH(A1977,RatingLookup!$A$2:$A$11,0))</f>
        <v>5</v>
      </c>
      <c r="AJ1977" s="5" t="str">
        <f>INDEX(RatingLookup!$C$2:$C$11,MATCH(A1977,RatingLookup!$A$2:$A$11,0))</f>
        <v>Speculative Grade</v>
      </c>
    </row>
    <row r="1978" spans="1:36" x14ac:dyDescent="0.3">
      <c r="A1978" s="3" t="s">
        <v>109</v>
      </c>
      <c r="B1978" s="3" t="s">
        <v>2066</v>
      </c>
      <c r="C1978" s="3" t="s">
        <v>2067</v>
      </c>
      <c r="D1978" s="3" t="s">
        <v>47</v>
      </c>
      <c r="E1978" s="3" t="s">
        <v>2068</v>
      </c>
      <c r="F1978" s="3" t="s">
        <v>96</v>
      </c>
      <c r="G1978" s="3">
        <v>1.6307148810000001</v>
      </c>
      <c r="H1978" s="3">
        <v>1.1449197449999999</v>
      </c>
      <c r="I1978" s="3">
        <v>0.60514080800000003</v>
      </c>
      <c r="J1978" s="3">
        <v>38.138955170000003</v>
      </c>
      <c r="K1978" s="3">
        <v>-0.16790171600000001</v>
      </c>
      <c r="L1978" s="3">
        <v>-0.16572044799999999</v>
      </c>
      <c r="M1978" s="3">
        <v>0.21893162299999999</v>
      </c>
      <c r="N1978" s="3">
        <v>-0.11046120299999999</v>
      </c>
      <c r="O1978" s="3">
        <v>-0.22214347800000001</v>
      </c>
      <c r="P1978" s="3">
        <v>-0.32279653400000002</v>
      </c>
      <c r="Q1978" s="3">
        <v>6.3361798719999998</v>
      </c>
      <c r="R1978" s="3">
        <v>1.323056633</v>
      </c>
      <c r="S1978" s="3">
        <v>3.1203042459999999</v>
      </c>
      <c r="T1978" s="3">
        <v>-29.522916439999999</v>
      </c>
      <c r="U1978" s="3">
        <v>1.0350595279999999</v>
      </c>
      <c r="V1978" s="3">
        <v>-1.316233E-2</v>
      </c>
      <c r="W1978" s="3">
        <v>1.4904587789999999</v>
      </c>
      <c r="X1978" s="3">
        <v>-1.6398519680000001</v>
      </c>
      <c r="Y1978" s="3">
        <v>3.5485297199999999</v>
      </c>
      <c r="Z1978" s="3">
        <v>-28.522916439999999</v>
      </c>
      <c r="AA1978" s="3">
        <v>-0.16572044799999999</v>
      </c>
      <c r="AB1978" s="3">
        <v>-13.279007740000001</v>
      </c>
      <c r="AC1978" s="3">
        <v>-1.1002330220000001</v>
      </c>
      <c r="AD1978" s="3">
        <v>-5.3663755E-2</v>
      </c>
      <c r="AE1978" s="3">
        <v>7.7063603089999999</v>
      </c>
      <c r="AF1978" s="4">
        <v>42052</v>
      </c>
      <c r="AG1978" s="5">
        <f>YEAR(AF1978)</f>
        <v>2015</v>
      </c>
      <c r="AH1978" s="5" t="str">
        <f>"Q"&amp;ROUNDUP(MONTH(AF1978)/3,0)</f>
        <v>Q1</v>
      </c>
      <c r="AI1978" s="5">
        <f>INDEX(RatingLookup!$B$2:$B$11,MATCH(A1978,RatingLookup!$A$2:$A$11,0))</f>
        <v>5</v>
      </c>
      <c r="AJ1978" s="5" t="str">
        <f>INDEX(RatingLookup!$C$2:$C$11,MATCH(A1978,RatingLookup!$A$2:$A$11,0))</f>
        <v>Speculative Grade</v>
      </c>
    </row>
    <row r="1979" spans="1:36" x14ac:dyDescent="0.3">
      <c r="A1979" s="3" t="s">
        <v>109</v>
      </c>
      <c r="B1979" s="3" t="s">
        <v>2066</v>
      </c>
      <c r="C1979" s="3" t="s">
        <v>2067</v>
      </c>
      <c r="D1979" s="3" t="s">
        <v>60</v>
      </c>
      <c r="E1979" s="3" t="s">
        <v>184</v>
      </c>
      <c r="F1979" s="3" t="s">
        <v>96</v>
      </c>
      <c r="G1979" s="3">
        <v>2.0615194790000002</v>
      </c>
      <c r="H1979" s="3">
        <v>1.464671952</v>
      </c>
      <c r="I1979" s="3">
        <v>0.947629477</v>
      </c>
      <c r="J1979" s="3">
        <v>39.224560289999999</v>
      </c>
      <c r="K1979" s="3">
        <v>-8.7448939000000003E-2</v>
      </c>
      <c r="L1979" s="3">
        <v>-8.2041524000000005E-2</v>
      </c>
      <c r="M1979" s="3">
        <v>0.21121337200000001</v>
      </c>
      <c r="N1979" s="3">
        <v>-3.6459872999999997E-2</v>
      </c>
      <c r="O1979" s="3">
        <v>-0.10269358100000001</v>
      </c>
      <c r="P1979" s="3">
        <v>-0.130066185</v>
      </c>
      <c r="Q1979" s="3">
        <v>-0.78737077099999997</v>
      </c>
      <c r="R1979" s="3">
        <v>1.1743262050000001</v>
      </c>
      <c r="S1979" s="3">
        <v>2.887084787</v>
      </c>
      <c r="T1979" s="3">
        <v>6.6671858329999996</v>
      </c>
      <c r="U1979" s="3">
        <v>0.86957404900000002</v>
      </c>
      <c r="V1979" s="3">
        <v>-6.5910712999999996E-2</v>
      </c>
      <c r="W1979" s="3">
        <v>0.37331103199999999</v>
      </c>
      <c r="X1979" s="3">
        <v>0.72850983999999996</v>
      </c>
      <c r="Y1979" s="3">
        <v>4.4992372600000001</v>
      </c>
      <c r="Z1979" s="3">
        <v>7.6671858329999996</v>
      </c>
      <c r="AA1979" s="3">
        <v>-8.2041524000000005E-2</v>
      </c>
      <c r="AB1979" s="3">
        <v>93.032349370000006</v>
      </c>
      <c r="AC1979" s="3">
        <v>1.951482215</v>
      </c>
      <c r="AD1979" s="3">
        <v>9.3649078999999996E-2</v>
      </c>
      <c r="AE1979" s="3">
        <v>7.7153838979999998</v>
      </c>
      <c r="AF1979" s="4">
        <v>41817</v>
      </c>
      <c r="AG1979" s="5">
        <f>YEAR(AF1979)</f>
        <v>2014</v>
      </c>
      <c r="AH1979" s="5" t="str">
        <f>"Q"&amp;ROUNDUP(MONTH(AF1979)/3,0)</f>
        <v>Q2</v>
      </c>
      <c r="AI1979" s="5">
        <f>INDEX(RatingLookup!$B$2:$B$11,MATCH(A1979,RatingLookup!$A$2:$A$11,0))</f>
        <v>5</v>
      </c>
      <c r="AJ1979" s="5" t="str">
        <f>INDEX(RatingLookup!$C$2:$C$11,MATCH(A1979,RatingLookup!$A$2:$A$11,0))</f>
        <v>Speculative Grade</v>
      </c>
    </row>
    <row r="1980" spans="1:36" x14ac:dyDescent="0.3">
      <c r="A1980" s="3" t="s">
        <v>109</v>
      </c>
      <c r="B1980" s="3" t="s">
        <v>2066</v>
      </c>
      <c r="C1980" s="3" t="s">
        <v>2067</v>
      </c>
      <c r="D1980" s="3" t="s">
        <v>60</v>
      </c>
      <c r="E1980" s="3" t="s">
        <v>46</v>
      </c>
      <c r="F1980" s="3" t="s">
        <v>96</v>
      </c>
      <c r="G1980" s="3">
        <v>2.7600897999999998</v>
      </c>
      <c r="H1980" s="3">
        <v>2.1879772449999999</v>
      </c>
      <c r="I1980" s="3">
        <v>1.177798444</v>
      </c>
      <c r="J1980" s="3">
        <v>59.471643870000001</v>
      </c>
      <c r="K1980" s="3">
        <v>2.8198920999999998E-2</v>
      </c>
      <c r="L1980" s="3">
        <v>3.8575057000000003E-2</v>
      </c>
      <c r="M1980" s="3">
        <v>0.30319177200000003</v>
      </c>
      <c r="N1980" s="3">
        <v>9.4380272000000001E-2</v>
      </c>
      <c r="O1980" s="3">
        <v>3.6160451000000003E-2</v>
      </c>
      <c r="P1980" s="3">
        <v>6.4106864999999999E-2</v>
      </c>
      <c r="Q1980" s="3">
        <v>0.130755385</v>
      </c>
      <c r="R1980" s="3">
        <v>1.282334592</v>
      </c>
      <c r="S1980" s="3">
        <v>4.2309115689999999</v>
      </c>
      <c r="T1980" s="3">
        <v>2.6159776799999999</v>
      </c>
      <c r="U1980" s="3">
        <v>0.72344962000000002</v>
      </c>
      <c r="V1980" s="3">
        <v>0.268985643</v>
      </c>
      <c r="W1980" s="3">
        <v>0.53915106499999998</v>
      </c>
      <c r="X1980" s="3">
        <v>1.4534382180000001</v>
      </c>
      <c r="Y1980" s="3">
        <v>4.5190483239999999</v>
      </c>
      <c r="Z1980" s="3">
        <v>3.6159776799999999</v>
      </c>
      <c r="AA1980" s="3">
        <v>3.8575057000000003E-2</v>
      </c>
      <c r="AB1980" s="3">
        <v>3.336249257</v>
      </c>
      <c r="AC1980" s="3">
        <v>2.6957903110000001</v>
      </c>
      <c r="AD1980" s="3">
        <v>0.13525725499999999</v>
      </c>
      <c r="AE1980" s="3">
        <v>6.9175187539999996</v>
      </c>
      <c r="AF1980" s="4">
        <v>41075</v>
      </c>
      <c r="AG1980" s="5">
        <f>YEAR(AF1980)</f>
        <v>2012</v>
      </c>
      <c r="AH1980" s="5" t="str">
        <f>"Q"&amp;ROUNDUP(MONTH(AF1980)/3,0)</f>
        <v>Q2</v>
      </c>
      <c r="AI1980" s="5">
        <f>INDEX(RatingLookup!$B$2:$B$11,MATCH(A1980,RatingLookup!$A$2:$A$11,0))</f>
        <v>5</v>
      </c>
      <c r="AJ1980" s="5" t="str">
        <f>INDEX(RatingLookup!$C$2:$C$11,MATCH(A1980,RatingLookup!$A$2:$A$11,0))</f>
        <v>Speculative Grade</v>
      </c>
    </row>
    <row r="1981" spans="1:36" x14ac:dyDescent="0.3">
      <c r="A1981" s="3" t="s">
        <v>116</v>
      </c>
      <c r="B1981" s="3" t="s">
        <v>2066</v>
      </c>
      <c r="C1981" s="3" t="s">
        <v>2067</v>
      </c>
      <c r="D1981" s="3" t="s">
        <v>60</v>
      </c>
      <c r="E1981" s="3" t="s">
        <v>87</v>
      </c>
      <c r="F1981" s="3" t="s">
        <v>96</v>
      </c>
      <c r="G1981" s="3">
        <v>1.581669827</v>
      </c>
      <c r="H1981" s="3">
        <v>1.1767975959999999</v>
      </c>
      <c r="I1981" s="3">
        <v>0.54323811799999999</v>
      </c>
      <c r="J1981" s="3">
        <v>32.77455089</v>
      </c>
      <c r="K1981" s="3">
        <v>-4.3046998000000003E-2</v>
      </c>
      <c r="L1981" s="3">
        <v>-3.7604892000000001E-2</v>
      </c>
      <c r="M1981" s="3">
        <v>0.227082906</v>
      </c>
      <c r="N1981" s="3">
        <v>3.978377E-3</v>
      </c>
      <c r="O1981" s="3">
        <v>-6.7009539000000007E-2</v>
      </c>
      <c r="P1981" s="3">
        <v>-8.9670758000000003E-2</v>
      </c>
      <c r="Q1981" s="3">
        <v>0.410669218</v>
      </c>
      <c r="R1981" s="3">
        <v>1.5566599990000001</v>
      </c>
      <c r="S1981" s="3">
        <v>3.8264504179999999</v>
      </c>
      <c r="T1981" s="3">
        <v>-7.128518734</v>
      </c>
      <c r="U1981" s="3">
        <v>1.1631715659999999</v>
      </c>
      <c r="V1981" s="3">
        <v>-0.144718024</v>
      </c>
      <c r="W1981" s="3">
        <v>-1.5915345299999999</v>
      </c>
      <c r="X1981" s="3">
        <v>-0.34865394500000002</v>
      </c>
      <c r="Y1981" s="3">
        <v>3.4102920289999998</v>
      </c>
      <c r="Z1981" s="3">
        <v>-6.128518734</v>
      </c>
      <c r="AA1981" s="3">
        <v>-3.7604892000000001E-2</v>
      </c>
      <c r="AB1981" s="3">
        <v>15.20974069</v>
      </c>
      <c r="AC1981" s="3">
        <v>0.21906778499999999</v>
      </c>
      <c r="AD1981" s="3">
        <v>1.1092070000000001E-2</v>
      </c>
      <c r="AE1981" s="3">
        <v>10.323302719999999</v>
      </c>
      <c r="AF1981" s="4">
        <v>42592</v>
      </c>
      <c r="AG1981" s="5">
        <f>YEAR(AF1981)</f>
        <v>2016</v>
      </c>
      <c r="AH1981" s="5" t="str">
        <f>"Q"&amp;ROUNDUP(MONTH(AF1981)/3,0)</f>
        <v>Q3</v>
      </c>
      <c r="AI1981" s="5">
        <f>INDEX(RatingLookup!$B$2:$B$11,MATCH(A1981,RatingLookup!$A$2:$A$11,0))</f>
        <v>4</v>
      </c>
      <c r="AJ1981" s="5" t="str">
        <f>INDEX(RatingLookup!$C$2:$C$11,MATCH(A1981,RatingLookup!$A$2:$A$11,0))</f>
        <v>Speculative Grade</v>
      </c>
    </row>
    <row r="1982" spans="1:36" x14ac:dyDescent="0.3">
      <c r="A1982" s="3" t="s">
        <v>109</v>
      </c>
      <c r="B1982" s="3" t="s">
        <v>2066</v>
      </c>
      <c r="C1982" s="3" t="s">
        <v>2067</v>
      </c>
      <c r="D1982" s="3" t="s">
        <v>60</v>
      </c>
      <c r="E1982" s="3" t="s">
        <v>2069</v>
      </c>
      <c r="F1982" s="3" t="s">
        <v>96</v>
      </c>
      <c r="G1982" s="3">
        <v>3.080521933</v>
      </c>
      <c r="H1982" s="3">
        <v>2.1988806099999998</v>
      </c>
      <c r="I1982" s="3">
        <v>1.2288883639999999</v>
      </c>
      <c r="J1982" s="3">
        <v>63.831534470000001</v>
      </c>
      <c r="K1982" s="3">
        <v>0.235850277</v>
      </c>
      <c r="L1982" s="3">
        <v>0.17238699299999999</v>
      </c>
      <c r="M1982" s="3">
        <v>0.32150265</v>
      </c>
      <c r="N1982" s="3">
        <v>0.12909716099999999</v>
      </c>
      <c r="O1982" s="3">
        <v>0.24469534100000001</v>
      </c>
      <c r="P1982" s="3">
        <v>0.220186045</v>
      </c>
      <c r="Q1982" s="3">
        <v>0.62293069199999995</v>
      </c>
      <c r="R1982" s="3">
        <v>1.0375028799999999</v>
      </c>
      <c r="S1982" s="3">
        <v>3.4399637360000002</v>
      </c>
      <c r="T1982" s="3">
        <v>1.5457398920000001</v>
      </c>
      <c r="U1982" s="3">
        <v>0.60718689199999998</v>
      </c>
      <c r="V1982" s="3">
        <v>-0.36814427399999999</v>
      </c>
      <c r="W1982" s="3">
        <v>0.49198616099999998</v>
      </c>
      <c r="X1982" s="3">
        <v>1.6293347970000001</v>
      </c>
      <c r="Y1982" s="3">
        <v>4.9976367110000002</v>
      </c>
      <c r="Z1982" s="3">
        <v>2.5457398919999998</v>
      </c>
      <c r="AA1982" s="3">
        <v>0.17238699299999999</v>
      </c>
      <c r="AB1982" s="3">
        <v>4.4167393710000002</v>
      </c>
      <c r="AC1982" s="3">
        <v>3.3117492479999999</v>
      </c>
      <c r="AD1982" s="3">
        <v>0.147760105</v>
      </c>
      <c r="AE1982" s="3">
        <v>7.0181609370000002</v>
      </c>
      <c r="AF1982" s="4">
        <v>41449</v>
      </c>
      <c r="AG1982" s="5">
        <f>YEAR(AF1982)</f>
        <v>2013</v>
      </c>
      <c r="AH1982" s="5" t="str">
        <f>"Q"&amp;ROUNDUP(MONTH(AF1982)/3,0)</f>
        <v>Q2</v>
      </c>
      <c r="AI1982" s="5">
        <f>INDEX(RatingLookup!$B$2:$B$11,MATCH(A1982,RatingLookup!$A$2:$A$11,0))</f>
        <v>5</v>
      </c>
      <c r="AJ1982" s="5" t="str">
        <f>INDEX(RatingLookup!$C$2:$C$11,MATCH(A1982,RatingLookup!$A$2:$A$11,0))</f>
        <v>Speculative Grade</v>
      </c>
    </row>
    <row r="1983" spans="1:36" x14ac:dyDescent="0.3">
      <c r="A1983" s="3" t="s">
        <v>109</v>
      </c>
      <c r="B1983" s="3" t="s">
        <v>2070</v>
      </c>
      <c r="C1983" s="3" t="s">
        <v>2071</v>
      </c>
      <c r="D1983" s="3" t="s">
        <v>60</v>
      </c>
      <c r="E1983" s="3" t="s">
        <v>1189</v>
      </c>
      <c r="F1983" s="3" t="s">
        <v>219</v>
      </c>
      <c r="G1983" s="3">
        <v>2.9782812380000001</v>
      </c>
      <c r="H1983" s="3">
        <v>2.2544032340000002</v>
      </c>
      <c r="I1983" s="3">
        <v>2.010633034</v>
      </c>
      <c r="J1983" s="3">
        <v>19.952404380000001</v>
      </c>
      <c r="K1983" s="3">
        <v>4.6564926E-2</v>
      </c>
      <c r="L1983" s="3">
        <v>7.4213045000000005E-2</v>
      </c>
      <c r="M1983" s="3">
        <v>0.44689126000000001</v>
      </c>
      <c r="N1983" s="3">
        <v>0.11791009</v>
      </c>
      <c r="O1983" s="3">
        <v>1.0849676000000001E-2</v>
      </c>
      <c r="P1983" s="3">
        <v>1.8571608E-2</v>
      </c>
      <c r="Q1983" s="3">
        <v>1.3141163000000001E-2</v>
      </c>
      <c r="R1983" s="3">
        <v>0.23300103799999999</v>
      </c>
      <c r="S1983" s="3">
        <v>0.322219535</v>
      </c>
      <c r="T1983" s="3">
        <v>0.21120329400000001</v>
      </c>
      <c r="U1983" s="3">
        <v>0.17437476900000001</v>
      </c>
      <c r="V1983" s="3">
        <v>0.372550665</v>
      </c>
      <c r="W1983" s="3">
        <v>-0.63869247699999998</v>
      </c>
      <c r="X1983" s="3">
        <v>-0.15446342499999999</v>
      </c>
      <c r="Y1983" s="3">
        <v>0.68886202399999996</v>
      </c>
      <c r="Z1983" s="3">
        <v>1.2112032939999999</v>
      </c>
      <c r="AA1983" s="3">
        <v>7.4213045000000005E-2</v>
      </c>
      <c r="AB1983" s="3">
        <v>14.973187729999999</v>
      </c>
      <c r="AC1983" s="3">
        <v>0.24184318899999999</v>
      </c>
      <c r="AD1983" s="3">
        <v>0.21490737800000001</v>
      </c>
      <c r="AE1983" s="3">
        <v>4.1153560999999996</v>
      </c>
      <c r="AF1983" s="4">
        <v>41366</v>
      </c>
      <c r="AG1983" s="5">
        <f>YEAR(AF1983)</f>
        <v>2013</v>
      </c>
      <c r="AH1983" s="5" t="str">
        <f>"Q"&amp;ROUNDUP(MONTH(AF1983)/3,0)</f>
        <v>Q2</v>
      </c>
      <c r="AI1983" s="5">
        <f>INDEX(RatingLookup!$B$2:$B$11,MATCH(A1983,RatingLookup!$A$2:$A$11,0))</f>
        <v>5</v>
      </c>
      <c r="AJ1983" s="5" t="str">
        <f>INDEX(RatingLookup!$C$2:$C$11,MATCH(A1983,RatingLookup!$A$2:$A$11,0))</f>
        <v>Speculative Grade</v>
      </c>
    </row>
    <row r="1984" spans="1:36" x14ac:dyDescent="0.3">
      <c r="A1984" s="3" t="s">
        <v>42</v>
      </c>
      <c r="B1984" s="3" t="s">
        <v>2072</v>
      </c>
      <c r="C1984" s="3" t="s">
        <v>2073</v>
      </c>
      <c r="D1984" s="3" t="s">
        <v>39</v>
      </c>
      <c r="E1984" s="3" t="s">
        <v>1698</v>
      </c>
      <c r="F1984" s="3" t="s">
        <v>53</v>
      </c>
      <c r="G1984" s="3">
        <v>0.25386546799999998</v>
      </c>
      <c r="H1984" s="3">
        <v>0.23404255299999999</v>
      </c>
      <c r="I1984" s="3">
        <v>0.15038985099999999</v>
      </c>
      <c r="J1984" s="3">
        <v>43.380585809999999</v>
      </c>
      <c r="K1984" s="3">
        <v>-4.0022530979999997</v>
      </c>
      <c r="L1984" s="3">
        <v>-4.0022530979999997</v>
      </c>
      <c r="M1984" s="3">
        <v>0.65640255400000003</v>
      </c>
      <c r="N1984" s="3">
        <v>-1.9006759289999999</v>
      </c>
      <c r="O1984" s="3">
        <v>-0.35072478099999999</v>
      </c>
      <c r="P1984" s="3">
        <v>-0.13929712499999999</v>
      </c>
      <c r="Q1984" s="3">
        <v>-1.4175699939999999</v>
      </c>
      <c r="R1984" s="3">
        <v>8.7631834000000006E-2</v>
      </c>
      <c r="S1984" s="3">
        <v>9.0629095000000007E-2</v>
      </c>
      <c r="T1984" s="3">
        <v>3.0418301520000002</v>
      </c>
      <c r="U1984" s="3">
        <v>0.75258732699999997</v>
      </c>
      <c r="V1984" s="3">
        <v>0</v>
      </c>
      <c r="W1984" s="3">
        <v>1.030843943</v>
      </c>
      <c r="X1984" s="3">
        <v>-1.736208593</v>
      </c>
      <c r="Y1984" s="3">
        <v>0.251566766</v>
      </c>
      <c r="Z1984" s="3">
        <v>4.0418301520000002</v>
      </c>
      <c r="AA1984" s="3">
        <v>-1.3916635369999999</v>
      </c>
      <c r="AB1984" s="3">
        <v>-20.689437609999999</v>
      </c>
      <c r="AC1984" s="3">
        <v>-1.684259392</v>
      </c>
      <c r="AD1984" s="3">
        <v>-1.430529478</v>
      </c>
      <c r="AE1984" s="3">
        <v>0.47470817100000001</v>
      </c>
      <c r="AF1984" s="4">
        <v>42361</v>
      </c>
      <c r="AG1984" s="5">
        <f>YEAR(AF1984)</f>
        <v>2015</v>
      </c>
      <c r="AH1984" s="5" t="str">
        <f>"Q"&amp;ROUNDUP(MONTH(AF1984)/3,0)</f>
        <v>Q4</v>
      </c>
      <c r="AI1984" s="5">
        <f>INDEX(RatingLookup!$B$2:$B$11,MATCH(A1984,RatingLookup!$A$2:$A$11,0))</f>
        <v>7</v>
      </c>
      <c r="AJ1984" s="5" t="str">
        <f>INDEX(RatingLookup!$C$2:$C$11,MATCH(A1984,RatingLookup!$A$2:$A$11,0))</f>
        <v>Investment Grade</v>
      </c>
    </row>
    <row r="1985" spans="1:36" x14ac:dyDescent="0.3">
      <c r="A1985" s="3" t="s">
        <v>92</v>
      </c>
      <c r="B1985" s="3" t="s">
        <v>2074</v>
      </c>
      <c r="C1985" s="3" t="s">
        <v>2075</v>
      </c>
      <c r="D1985" s="3" t="s">
        <v>44</v>
      </c>
      <c r="E1985" s="3" t="s">
        <v>2076</v>
      </c>
      <c r="F1985" s="3" t="s">
        <v>174</v>
      </c>
      <c r="G1985" s="3">
        <v>3.981177899</v>
      </c>
      <c r="H1985" s="3">
        <v>1.66614624</v>
      </c>
      <c r="I1985" s="3">
        <v>0.11943793900000001</v>
      </c>
      <c r="J1985" s="3">
        <v>97.872736709999998</v>
      </c>
      <c r="K1985" s="3">
        <v>7.1432933000000004E-2</v>
      </c>
      <c r="L1985" s="3">
        <v>0.100424415</v>
      </c>
      <c r="M1985" s="3">
        <v>0.37256877700000002</v>
      </c>
      <c r="N1985" s="3">
        <v>0.107431834</v>
      </c>
      <c r="O1985" s="3">
        <v>7.2269244999999996E-2</v>
      </c>
      <c r="P1985" s="3">
        <v>0.123611764</v>
      </c>
      <c r="Q1985" s="3">
        <v>0.15287352600000001</v>
      </c>
      <c r="R1985" s="3">
        <v>1.0117076490000001</v>
      </c>
      <c r="S1985" s="3">
        <v>9.0024738870000007</v>
      </c>
      <c r="T1985" s="3">
        <v>1.1153330939999999</v>
      </c>
      <c r="U1985" s="3">
        <v>0.52726121299999995</v>
      </c>
      <c r="V1985" s="3">
        <v>0.28868957099999998</v>
      </c>
      <c r="W1985" s="3">
        <v>0.48905932800000002</v>
      </c>
      <c r="X1985" s="3">
        <v>2.7270440250000001</v>
      </c>
      <c r="Y1985" s="3">
        <v>2.0691823899999999</v>
      </c>
      <c r="Z1985" s="3">
        <v>2.1153330939999999</v>
      </c>
      <c r="AA1985" s="3">
        <v>0.100424415</v>
      </c>
      <c r="AB1985" s="3">
        <v>10.82881598</v>
      </c>
      <c r="AC1985" s="3">
        <v>5.5761006289999999</v>
      </c>
      <c r="AD1985" s="3">
        <v>6.7677322999999998E-2</v>
      </c>
      <c r="AE1985" s="3">
        <v>15.27238945</v>
      </c>
      <c r="AF1985" s="4">
        <v>42607</v>
      </c>
      <c r="AG1985" s="5">
        <f>YEAR(AF1985)</f>
        <v>2016</v>
      </c>
      <c r="AH1985" s="5" t="str">
        <f>"Q"&amp;ROUNDUP(MONTH(AF1985)/3,0)</f>
        <v>Q3</v>
      </c>
      <c r="AI1985" s="5">
        <f>INDEX(RatingLookup!$B$2:$B$11,MATCH(A1985,RatingLookup!$A$2:$A$11,0))</f>
        <v>6</v>
      </c>
      <c r="AJ1985" s="5" t="str">
        <f>INDEX(RatingLookup!$C$2:$C$11,MATCH(A1985,RatingLookup!$A$2:$A$11,0))</f>
        <v>Speculative Grade</v>
      </c>
    </row>
    <row r="1986" spans="1:36" x14ac:dyDescent="0.3">
      <c r="A1986" s="3" t="s">
        <v>92</v>
      </c>
      <c r="B1986" s="3" t="s">
        <v>2077</v>
      </c>
      <c r="C1986" s="3" t="s">
        <v>2078</v>
      </c>
      <c r="D1986" s="3" t="s">
        <v>47</v>
      </c>
      <c r="E1986" s="3" t="s">
        <v>1670</v>
      </c>
      <c r="F1986" s="3" t="s">
        <v>59</v>
      </c>
      <c r="G1986" s="3">
        <v>3.4589785389999999</v>
      </c>
      <c r="H1986" s="3">
        <v>2.1953934890000002</v>
      </c>
      <c r="I1986" s="3">
        <v>0.85722868900000004</v>
      </c>
      <c r="J1986" s="3">
        <v>64.880179839999997</v>
      </c>
      <c r="K1986" s="3">
        <v>3.8171961999999997E-2</v>
      </c>
      <c r="L1986" s="3">
        <v>7.3939217000000002E-2</v>
      </c>
      <c r="M1986" s="3">
        <v>0.25387225000000002</v>
      </c>
      <c r="N1986" s="3">
        <v>8.8390497999999998E-2</v>
      </c>
      <c r="O1986" s="3">
        <v>3.0907177000000001E-2</v>
      </c>
      <c r="P1986" s="3">
        <v>6.8005114000000005E-2</v>
      </c>
      <c r="Q1986" s="3">
        <v>4.8234920000000001E-2</v>
      </c>
      <c r="R1986" s="3">
        <v>0.80968270499999995</v>
      </c>
      <c r="S1986" s="3">
        <v>10.93041704</v>
      </c>
      <c r="T1986" s="3">
        <v>0.56063815100000003</v>
      </c>
      <c r="U1986" s="3">
        <v>0.359236477</v>
      </c>
      <c r="V1986" s="3">
        <v>0.48373862400000001</v>
      </c>
      <c r="W1986" s="3">
        <v>0.72016612899999999</v>
      </c>
      <c r="X1986" s="3">
        <v>1.7477357069999999</v>
      </c>
      <c r="Y1986" s="3">
        <v>4.8061670550000004</v>
      </c>
      <c r="Z1986" s="3">
        <v>1.560638151</v>
      </c>
      <c r="AA1986" s="3">
        <v>7.3939217000000002E-2</v>
      </c>
      <c r="AB1986" s="3">
        <v>11.333151470000001</v>
      </c>
      <c r="AC1986" s="3">
        <v>2.4268507449999999</v>
      </c>
      <c r="AD1986" s="3">
        <v>7.4079372000000004E-2</v>
      </c>
      <c r="AE1986" s="3">
        <v>11.563414959999999</v>
      </c>
      <c r="AF1986" s="4">
        <v>42425</v>
      </c>
      <c r="AG1986" s="5">
        <f>YEAR(AF1986)</f>
        <v>2016</v>
      </c>
      <c r="AH1986" s="5" t="str">
        <f>"Q"&amp;ROUNDUP(MONTH(AF1986)/3,0)</f>
        <v>Q1</v>
      </c>
      <c r="AI1986" s="5">
        <f>INDEX(RatingLookup!$B$2:$B$11,MATCH(A1986,RatingLookup!$A$2:$A$11,0))</f>
        <v>6</v>
      </c>
      <c r="AJ1986" s="5" t="str">
        <f>INDEX(RatingLookup!$C$2:$C$11,MATCH(A1986,RatingLookup!$A$2:$A$11,0))</f>
        <v>Speculative Grade</v>
      </c>
    </row>
    <row r="1987" spans="1:36" x14ac:dyDescent="0.3">
      <c r="A1987" s="3" t="s">
        <v>92</v>
      </c>
      <c r="B1987" s="3" t="s">
        <v>2077</v>
      </c>
      <c r="C1987" s="3" t="s">
        <v>2078</v>
      </c>
      <c r="D1987" s="3" t="s">
        <v>47</v>
      </c>
      <c r="E1987" s="3" t="s">
        <v>2076</v>
      </c>
      <c r="F1987" s="3" t="s">
        <v>59</v>
      </c>
      <c r="G1987" s="3">
        <v>2.8453812809999999</v>
      </c>
      <c r="H1987" s="3">
        <v>1.5724815059999999</v>
      </c>
      <c r="I1987" s="3">
        <v>0.411199753</v>
      </c>
      <c r="J1987" s="3">
        <v>71.695619129999997</v>
      </c>
      <c r="K1987" s="3">
        <v>6.4753070999999995E-2</v>
      </c>
      <c r="L1987" s="3">
        <v>0.104991161</v>
      </c>
      <c r="M1987" s="3">
        <v>0.27279505199999998</v>
      </c>
      <c r="N1987" s="3">
        <v>0.11571500699999999</v>
      </c>
      <c r="O1987" s="3">
        <v>4.9967817999999997E-2</v>
      </c>
      <c r="P1987" s="3">
        <v>9.2630821000000002E-2</v>
      </c>
      <c r="Q1987" s="3">
        <v>8.8567595999999998E-2</v>
      </c>
      <c r="R1987" s="3">
        <v>0.77166715299999999</v>
      </c>
      <c r="S1987" s="3">
        <v>11.15922058</v>
      </c>
      <c r="T1987" s="3">
        <v>0.77249276700000002</v>
      </c>
      <c r="U1987" s="3">
        <v>0.43582280400000001</v>
      </c>
      <c r="V1987" s="3">
        <v>0.38325217</v>
      </c>
      <c r="W1987" s="3">
        <v>0.79027484599999998</v>
      </c>
      <c r="X1987" s="3">
        <v>2.5152464999999999</v>
      </c>
      <c r="Y1987" s="3">
        <v>2.154892222</v>
      </c>
      <c r="Z1987" s="3">
        <v>1.7724927669999999</v>
      </c>
      <c r="AA1987" s="3">
        <v>0.104991161</v>
      </c>
      <c r="AB1987" s="3">
        <v>10.36921796</v>
      </c>
      <c r="AC1987" s="3">
        <v>3.1827490319999998</v>
      </c>
      <c r="AD1987" s="3">
        <v>8.7197356000000004E-2</v>
      </c>
      <c r="AE1987" s="3">
        <v>11.17714468</v>
      </c>
      <c r="AF1987" s="4">
        <v>42607</v>
      </c>
      <c r="AG1987" s="5">
        <f>YEAR(AF1987)</f>
        <v>2016</v>
      </c>
      <c r="AH1987" s="5" t="str">
        <f>"Q"&amp;ROUNDUP(MONTH(AF1987)/3,0)</f>
        <v>Q3</v>
      </c>
      <c r="AI1987" s="5">
        <f>INDEX(RatingLookup!$B$2:$B$11,MATCH(A1987,RatingLookup!$A$2:$A$11,0))</f>
        <v>6</v>
      </c>
      <c r="AJ1987" s="5" t="str">
        <f>INDEX(RatingLookup!$C$2:$C$11,MATCH(A1987,RatingLookup!$A$2:$A$11,0))</f>
        <v>Speculative Grade</v>
      </c>
    </row>
    <row r="1988" spans="1:36" x14ac:dyDescent="0.3">
      <c r="A1988" s="3" t="s">
        <v>109</v>
      </c>
      <c r="B1988" s="3" t="s">
        <v>2079</v>
      </c>
      <c r="C1988" s="3" t="s">
        <v>2080</v>
      </c>
      <c r="D1988" s="3" t="s">
        <v>60</v>
      </c>
      <c r="E1988" s="3" t="s">
        <v>263</v>
      </c>
      <c r="F1988" s="3" t="s">
        <v>219</v>
      </c>
      <c r="G1988" s="3">
        <v>2.932505012</v>
      </c>
      <c r="H1988" s="3">
        <v>0.49624521500000002</v>
      </c>
      <c r="I1988" s="3">
        <v>0.42559693799999998</v>
      </c>
      <c r="J1988" s="3">
        <v>0</v>
      </c>
      <c r="K1988" s="3">
        <v>-1.0182422999999999E-2</v>
      </c>
      <c r="L1988" s="3">
        <v>-5.3990519999999997E-3</v>
      </c>
      <c r="M1988" s="3">
        <v>0.221003532</v>
      </c>
      <c r="N1988" s="3">
        <v>-5.3990519999999997E-3</v>
      </c>
      <c r="O1988" s="3">
        <v>-9.6412560000000008E-3</v>
      </c>
      <c r="P1988" s="3">
        <v>-6.0186830000000004E-3</v>
      </c>
      <c r="Q1988" s="3">
        <v>-2.9366672E-2</v>
      </c>
      <c r="R1988" s="3">
        <v>0.94685275000000002</v>
      </c>
      <c r="S1988" s="3">
        <v>1.9986091610000001</v>
      </c>
      <c r="T1988" s="3">
        <v>2.045938563</v>
      </c>
      <c r="U1988" s="3">
        <v>0.671693969</v>
      </c>
      <c r="V1988" s="3">
        <v>-1.2429287499999999</v>
      </c>
      <c r="W1988" s="3">
        <v>0.425722457</v>
      </c>
      <c r="X1988" s="3">
        <v>1.445999869</v>
      </c>
      <c r="Y1988" s="3">
        <v>2.6714528679999998</v>
      </c>
      <c r="Z1988" s="3">
        <v>3.045938563</v>
      </c>
      <c r="AA1988" s="3">
        <v>-5.3990519999999997E-3</v>
      </c>
      <c r="AB1988" s="3">
        <v>13.79596216</v>
      </c>
      <c r="AC1988" s="3">
        <v>3.3965787920000001</v>
      </c>
      <c r="AD1988" s="3">
        <v>0.100371535</v>
      </c>
      <c r="AE1988" s="3">
        <v>13.582924650000001</v>
      </c>
      <c r="AF1988" s="4">
        <v>42339</v>
      </c>
      <c r="AG1988" s="5">
        <f>YEAR(AF1988)</f>
        <v>2015</v>
      </c>
      <c r="AH1988" s="5" t="str">
        <f>"Q"&amp;ROUNDUP(MONTH(AF1988)/3,0)</f>
        <v>Q4</v>
      </c>
      <c r="AI1988" s="5">
        <f>INDEX(RatingLookup!$B$2:$B$11,MATCH(A1988,RatingLookup!$A$2:$A$11,0))</f>
        <v>5</v>
      </c>
      <c r="AJ1988" s="5" t="str">
        <f>INDEX(RatingLookup!$C$2:$C$11,MATCH(A1988,RatingLookup!$A$2:$A$11,0))</f>
        <v>Speculative Grade</v>
      </c>
    </row>
    <row r="1989" spans="1:36" x14ac:dyDescent="0.3">
      <c r="A1989" s="3" t="s">
        <v>109</v>
      </c>
      <c r="B1989" s="3" t="s">
        <v>2081</v>
      </c>
      <c r="C1989" s="3" t="s">
        <v>2082</v>
      </c>
      <c r="D1989" s="3" t="s">
        <v>60</v>
      </c>
      <c r="E1989" s="3" t="s">
        <v>2083</v>
      </c>
      <c r="F1989" s="3" t="s">
        <v>96</v>
      </c>
      <c r="G1989" s="3">
        <v>1.045227363</v>
      </c>
      <c r="H1989" s="3">
        <v>0.79669598699999999</v>
      </c>
      <c r="I1989" s="3">
        <v>0.393012166</v>
      </c>
      <c r="J1989" s="3">
        <v>72.171455109999997</v>
      </c>
      <c r="K1989" s="3">
        <v>4.7266460000000003E-2</v>
      </c>
      <c r="L1989" s="3">
        <v>5.8975426999999997E-2</v>
      </c>
      <c r="M1989" s="3">
        <v>0.65711149800000002</v>
      </c>
      <c r="N1989" s="3">
        <v>0.110494117</v>
      </c>
      <c r="O1989" s="3">
        <v>2.4614936E-2</v>
      </c>
      <c r="P1989" s="3">
        <v>4.1229424000000001E-2</v>
      </c>
      <c r="Q1989" s="3">
        <v>0.26157327200000002</v>
      </c>
      <c r="R1989" s="3">
        <v>0.52076962199999999</v>
      </c>
      <c r="S1989" s="3">
        <v>27.666159990000001</v>
      </c>
      <c r="T1989" s="3">
        <v>9.6266077429999992</v>
      </c>
      <c r="U1989" s="3">
        <v>0.90589659199999994</v>
      </c>
      <c r="V1989" s="3">
        <v>0.11985181</v>
      </c>
      <c r="W1989" s="3">
        <v>0.87718079199999999</v>
      </c>
      <c r="X1989" s="3">
        <v>2.4315573019999999</v>
      </c>
      <c r="Y1989" s="3">
        <v>3.9215492329999999</v>
      </c>
      <c r="Z1989" s="3">
        <v>10.626607740000001</v>
      </c>
      <c r="AA1989" s="3">
        <v>5.8975426999999997E-2</v>
      </c>
      <c r="AB1989" s="3">
        <v>10.868145760000001</v>
      </c>
      <c r="AC1989" s="3">
        <v>2.7720138470000002</v>
      </c>
      <c r="AD1989" s="3">
        <v>0.136073944</v>
      </c>
      <c r="AE1989" s="3">
        <v>5.4311995299999998</v>
      </c>
      <c r="AF1989" s="4">
        <v>41320</v>
      </c>
      <c r="AG1989" s="5">
        <f>YEAR(AF1989)</f>
        <v>2013</v>
      </c>
      <c r="AH1989" s="5" t="str">
        <f>"Q"&amp;ROUNDUP(MONTH(AF1989)/3,0)</f>
        <v>Q1</v>
      </c>
      <c r="AI1989" s="5">
        <f>INDEX(RatingLookup!$B$2:$B$11,MATCH(A1989,RatingLookup!$A$2:$A$11,0))</f>
        <v>5</v>
      </c>
      <c r="AJ1989" s="5" t="str">
        <f>INDEX(RatingLookup!$C$2:$C$11,MATCH(A1989,RatingLookup!$A$2:$A$11,0))</f>
        <v>Speculative Grade</v>
      </c>
    </row>
    <row r="1990" spans="1:36" x14ac:dyDescent="0.3">
      <c r="A1990" s="3" t="s">
        <v>92</v>
      </c>
      <c r="B1990" s="3" t="s">
        <v>2081</v>
      </c>
      <c r="C1990" s="3" t="s">
        <v>2082</v>
      </c>
      <c r="D1990" s="3" t="s">
        <v>47</v>
      </c>
      <c r="E1990" s="3" t="s">
        <v>366</v>
      </c>
      <c r="F1990" s="3" t="s">
        <v>96</v>
      </c>
      <c r="G1990" s="3">
        <v>1.2725527000000001</v>
      </c>
      <c r="H1990" s="3">
        <v>0.994345653</v>
      </c>
      <c r="I1990" s="3">
        <v>0.53264250000000002</v>
      </c>
      <c r="J1990" s="3">
        <v>73.220249850000002</v>
      </c>
      <c r="K1990" s="3">
        <v>6.4323167000000001E-2</v>
      </c>
      <c r="L1990" s="3">
        <v>8.0715438E-2</v>
      </c>
      <c r="M1990" s="3">
        <v>0.66409780600000001</v>
      </c>
      <c r="N1990" s="3">
        <v>0.11858013100000001</v>
      </c>
      <c r="O1990" s="3">
        <v>3.4522194999999999E-2</v>
      </c>
      <c r="P1990" s="3">
        <v>5.7915028E-2</v>
      </c>
      <c r="Q1990" s="3">
        <v>0.24022028300000001</v>
      </c>
      <c r="R1990" s="3">
        <v>0.53669925100000004</v>
      </c>
      <c r="S1990" s="3">
        <v>22</v>
      </c>
      <c r="T1990" s="3">
        <v>5.9584300849999998</v>
      </c>
      <c r="U1990" s="3">
        <v>0.85628942299999999</v>
      </c>
      <c r="V1990" s="3">
        <v>0.1322236</v>
      </c>
      <c r="W1990" s="3">
        <v>0.86995988199999996</v>
      </c>
      <c r="X1990" s="3">
        <v>2.7005132330000001</v>
      </c>
      <c r="Y1990" s="3">
        <v>5.624584885</v>
      </c>
      <c r="Z1990" s="3">
        <v>6.9584300849999998</v>
      </c>
      <c r="AA1990" s="3">
        <v>8.0715438E-2</v>
      </c>
      <c r="AB1990" s="3">
        <v>11.031503349999999</v>
      </c>
      <c r="AC1990" s="3">
        <v>3.104181342</v>
      </c>
      <c r="AD1990" s="3">
        <v>0.14696703699999999</v>
      </c>
      <c r="AE1990" s="3">
        <v>5.955105058</v>
      </c>
      <c r="AF1990" s="4">
        <v>41801</v>
      </c>
      <c r="AG1990" s="5">
        <f>YEAR(AF1990)</f>
        <v>2014</v>
      </c>
      <c r="AH1990" s="5" t="str">
        <f>"Q"&amp;ROUNDUP(MONTH(AF1990)/3,0)</f>
        <v>Q2</v>
      </c>
      <c r="AI1990" s="5">
        <f>INDEX(RatingLookup!$B$2:$B$11,MATCH(A1990,RatingLookup!$A$2:$A$11,0))</f>
        <v>6</v>
      </c>
      <c r="AJ1990" s="5" t="str">
        <f>INDEX(RatingLookup!$C$2:$C$11,MATCH(A1990,RatingLookup!$A$2:$A$11,0))</f>
        <v>Speculative Grade</v>
      </c>
    </row>
    <row r="1991" spans="1:36" x14ac:dyDescent="0.3">
      <c r="A1991" s="3" t="s">
        <v>109</v>
      </c>
      <c r="B1991" s="3" t="s">
        <v>2081</v>
      </c>
      <c r="C1991" s="3" t="s">
        <v>2082</v>
      </c>
      <c r="D1991" s="3" t="s">
        <v>60</v>
      </c>
      <c r="E1991" s="3" t="s">
        <v>46</v>
      </c>
      <c r="F1991" s="3" t="s">
        <v>96</v>
      </c>
      <c r="G1991" s="3">
        <v>1.1677561430000001</v>
      </c>
      <c r="H1991" s="3">
        <v>0.931647695</v>
      </c>
      <c r="I1991" s="3">
        <v>0.49362293099999999</v>
      </c>
      <c r="J1991" s="3">
        <v>75.71651172</v>
      </c>
      <c r="K1991" s="3">
        <v>3.9329994E-2</v>
      </c>
      <c r="L1991" s="3">
        <v>5.3006402000000001E-2</v>
      </c>
      <c r="M1991" s="3">
        <v>0.67206339000000004</v>
      </c>
      <c r="N1991" s="3">
        <v>0.10058489299999999</v>
      </c>
      <c r="O1991" s="3">
        <v>2.0772064999999999E-2</v>
      </c>
      <c r="P1991" s="3">
        <v>3.7333140000000001E-2</v>
      </c>
      <c r="Q1991" s="3">
        <v>0.37411493699999998</v>
      </c>
      <c r="R1991" s="3">
        <v>0.52814820100000004</v>
      </c>
      <c r="S1991" s="3">
        <v>31.359984470000001</v>
      </c>
      <c r="T1991" s="3">
        <v>13.256612609999999</v>
      </c>
      <c r="U1991" s="3">
        <v>0.73604979800000003</v>
      </c>
      <c r="V1991" s="3">
        <v>0.25801427599999999</v>
      </c>
      <c r="W1991" s="3">
        <v>0.87895632400000001</v>
      </c>
      <c r="X1991" s="3">
        <v>1.794349236</v>
      </c>
      <c r="Y1991" s="3">
        <v>4.9185386749999997</v>
      </c>
      <c r="Z1991" s="3">
        <v>18.01048333</v>
      </c>
      <c r="AA1991" s="3">
        <v>5.3006402000000001E-2</v>
      </c>
      <c r="AB1991" s="3">
        <v>9.6933394509999999</v>
      </c>
      <c r="AC1991" s="3">
        <v>2.041454377</v>
      </c>
      <c r="AD1991" s="3">
        <v>9.7028201999999994E-2</v>
      </c>
      <c r="AE1991" s="3">
        <v>6.4660209980000003</v>
      </c>
      <c r="AF1991" s="4">
        <v>41075</v>
      </c>
      <c r="AG1991" s="5">
        <f>YEAR(AF1991)</f>
        <v>2012</v>
      </c>
      <c r="AH1991" s="5" t="str">
        <f>"Q"&amp;ROUNDUP(MONTH(AF1991)/3,0)</f>
        <v>Q2</v>
      </c>
      <c r="AI1991" s="5">
        <f>INDEX(RatingLookup!$B$2:$B$11,MATCH(A1991,RatingLookup!$A$2:$A$11,0))</f>
        <v>5</v>
      </c>
      <c r="AJ1991" s="5" t="str">
        <f>INDEX(RatingLookup!$C$2:$C$11,MATCH(A1991,RatingLookup!$A$2:$A$11,0))</f>
        <v>Speculative Grade</v>
      </c>
    </row>
    <row r="1992" spans="1:36" x14ac:dyDescent="0.3">
      <c r="A1992" s="3" t="s">
        <v>109</v>
      </c>
      <c r="B1992" s="3" t="s">
        <v>2084</v>
      </c>
      <c r="C1992" s="3" t="s">
        <v>2085</v>
      </c>
      <c r="D1992" s="3" t="s">
        <v>47</v>
      </c>
      <c r="E1992" s="3" t="s">
        <v>1097</v>
      </c>
      <c r="F1992" s="3" t="s">
        <v>174</v>
      </c>
      <c r="G1992" s="3">
        <v>3.2587933100000002</v>
      </c>
      <c r="H1992" s="3">
        <v>2.6530053090000001</v>
      </c>
      <c r="I1992" s="3">
        <v>1.1109994860000001</v>
      </c>
      <c r="J1992" s="3">
        <v>74.223151689999995</v>
      </c>
      <c r="K1992" s="3">
        <v>6.5791587999999998E-2</v>
      </c>
      <c r="L1992" s="3">
        <v>0.11006669400000001</v>
      </c>
      <c r="M1992" s="3">
        <v>0.37360301099999998</v>
      </c>
      <c r="N1992" s="3">
        <v>0.234461527</v>
      </c>
      <c r="O1992" s="3">
        <v>1.8337866000000001E-2</v>
      </c>
      <c r="P1992" s="3">
        <v>3.1985837000000003E-2</v>
      </c>
      <c r="Q1992" s="3">
        <v>9.1552249000000002E-2</v>
      </c>
      <c r="R1992" s="3">
        <v>0.27872660999999999</v>
      </c>
      <c r="S1992" s="3">
        <v>2.5476319439999999</v>
      </c>
      <c r="T1992" s="3">
        <v>3.9925245880000002</v>
      </c>
      <c r="U1992" s="3">
        <v>0.79970053600000002</v>
      </c>
      <c r="V1992" s="3">
        <v>0.40225706900000002</v>
      </c>
      <c r="W1992" s="3">
        <v>0.77065540600000004</v>
      </c>
      <c r="X1992" s="3">
        <v>1.1911605439999999</v>
      </c>
      <c r="Y1992" s="3">
        <v>1.6232547930000001</v>
      </c>
      <c r="Z1992" s="3">
        <v>4.9925245880000002</v>
      </c>
      <c r="AA1992" s="3">
        <v>0.11006669400000001</v>
      </c>
      <c r="AB1992" s="3">
        <v>9.8851617629999993</v>
      </c>
      <c r="AC1992" s="3">
        <v>1.5456461290000001</v>
      </c>
      <c r="AD1992" s="3">
        <v>0.176802443</v>
      </c>
      <c r="AE1992" s="3">
        <v>82.564430709999996</v>
      </c>
      <c r="AF1992" s="4">
        <v>42528</v>
      </c>
      <c r="AG1992" s="5">
        <f>YEAR(AF1992)</f>
        <v>2016</v>
      </c>
      <c r="AH1992" s="5" t="str">
        <f>"Q"&amp;ROUNDUP(MONTH(AF1992)/3,0)</f>
        <v>Q2</v>
      </c>
      <c r="AI1992" s="5">
        <f>INDEX(RatingLookup!$B$2:$B$11,MATCH(A1992,RatingLookup!$A$2:$A$11,0))</f>
        <v>5</v>
      </c>
      <c r="AJ1992" s="5" t="str">
        <f>INDEX(RatingLookup!$C$2:$C$11,MATCH(A1992,RatingLookup!$A$2:$A$11,0))</f>
        <v>Speculative Grade</v>
      </c>
    </row>
    <row r="1993" spans="1:36" x14ac:dyDescent="0.3">
      <c r="A1993" s="3" t="s">
        <v>109</v>
      </c>
      <c r="B1993" s="3" t="s">
        <v>2084</v>
      </c>
      <c r="C1993" s="3" t="s">
        <v>2085</v>
      </c>
      <c r="D1993" s="3" t="s">
        <v>47</v>
      </c>
      <c r="E1993" s="3" t="s">
        <v>682</v>
      </c>
      <c r="F1993" s="3" t="s">
        <v>174</v>
      </c>
      <c r="G1993" s="3">
        <v>4.4914535999999998</v>
      </c>
      <c r="H1993" s="3">
        <v>4.0918790359999999</v>
      </c>
      <c r="I1993" s="3">
        <v>2.7233663020000001</v>
      </c>
      <c r="J1993" s="3">
        <v>65.954859589999998</v>
      </c>
      <c r="K1993" s="3">
        <v>7.6646993999999996E-2</v>
      </c>
      <c r="L1993" s="3">
        <v>0.13008683500000001</v>
      </c>
      <c r="M1993" s="3">
        <v>0.41519819299999999</v>
      </c>
      <c r="N1993" s="3">
        <v>0.28818349100000001</v>
      </c>
      <c r="O1993" s="3">
        <v>2.2373552000000001E-2</v>
      </c>
      <c r="P1993" s="3">
        <v>3.9674930999999997E-2</v>
      </c>
      <c r="Q1993" s="3">
        <v>0.126350026</v>
      </c>
      <c r="R1993" s="3">
        <v>0.29190383800000003</v>
      </c>
      <c r="S1993" s="3">
        <v>2.491513157</v>
      </c>
      <c r="T1993" s="3">
        <v>4.6472940649999996</v>
      </c>
      <c r="U1993" s="3">
        <v>0.82292404299999999</v>
      </c>
      <c r="V1993" s="3">
        <v>0.41080129799999998</v>
      </c>
      <c r="W1993" s="3">
        <v>0.78897852700000004</v>
      </c>
      <c r="X1993" s="3">
        <v>2.269081951</v>
      </c>
      <c r="Y1993" s="3">
        <v>4.7570983189999998</v>
      </c>
      <c r="Z1993" s="3">
        <v>5.6472940649999996</v>
      </c>
      <c r="AA1993" s="3">
        <v>0.13008683500000001</v>
      </c>
      <c r="AB1993" s="3">
        <v>7.1282708499999998</v>
      </c>
      <c r="AC1993" s="3">
        <v>2.8759742789999998</v>
      </c>
      <c r="AD1993" s="3">
        <v>0.25432849400000002</v>
      </c>
      <c r="AE1993" s="3">
        <v>90.380635339999998</v>
      </c>
      <c r="AF1993" s="4">
        <v>42620</v>
      </c>
      <c r="AG1993" s="5">
        <f>YEAR(AF1993)</f>
        <v>2016</v>
      </c>
      <c r="AH1993" s="5" t="str">
        <f>"Q"&amp;ROUNDUP(MONTH(AF1993)/3,0)</f>
        <v>Q3</v>
      </c>
      <c r="AI1993" s="5">
        <f>INDEX(RatingLookup!$B$2:$B$11,MATCH(A1993,RatingLookup!$A$2:$A$11,0))</f>
        <v>5</v>
      </c>
      <c r="AJ1993" s="5" t="str">
        <f>INDEX(RatingLookup!$C$2:$C$11,MATCH(A1993,RatingLookup!$A$2:$A$11,0))</f>
        <v>Speculative Grade</v>
      </c>
    </row>
    <row r="1994" spans="1:36" x14ac:dyDescent="0.3">
      <c r="A1994" s="3" t="s">
        <v>42</v>
      </c>
      <c r="B1994" s="3" t="s">
        <v>2086</v>
      </c>
      <c r="C1994" s="3" t="s">
        <v>2087</v>
      </c>
      <c r="D1994" s="3" t="s">
        <v>44</v>
      </c>
      <c r="E1994" s="3" t="s">
        <v>99</v>
      </c>
      <c r="F1994" s="3" t="s">
        <v>215</v>
      </c>
      <c r="G1994" s="3">
        <v>1.5246474699999999</v>
      </c>
      <c r="H1994" s="3">
        <v>0.30744164000000002</v>
      </c>
      <c r="I1994" s="3">
        <v>9.4205474999999997E-2</v>
      </c>
      <c r="J1994" s="3">
        <v>7.2043903340000002</v>
      </c>
      <c r="K1994" s="3">
        <v>0.12921970099999999</v>
      </c>
      <c r="L1994" s="3">
        <v>0.150433499</v>
      </c>
      <c r="M1994" s="3">
        <v>1</v>
      </c>
      <c r="N1994" s="3">
        <v>0.14628297400000001</v>
      </c>
      <c r="O1994" s="3">
        <v>4.2322447999999999E-2</v>
      </c>
      <c r="P1994" s="3">
        <v>0.10052388299999999</v>
      </c>
      <c r="Q1994" s="3">
        <v>9.5228384999999999E-2</v>
      </c>
      <c r="R1994" s="3">
        <v>0.32752318499999999</v>
      </c>
      <c r="S1994" s="3">
        <v>7.3157894739999998</v>
      </c>
      <c r="T1994" s="3">
        <v>1.2500679720000001</v>
      </c>
      <c r="U1994" s="3">
        <v>0.55556898200000004</v>
      </c>
      <c r="V1994" s="3">
        <v>0.14101778100000001</v>
      </c>
      <c r="W1994" s="3">
        <v>0.78815706100000005</v>
      </c>
      <c r="X1994" s="3">
        <v>2.0570247930000001</v>
      </c>
      <c r="Y1994" s="3">
        <v>4.1115702479999996</v>
      </c>
      <c r="Z1994" s="3">
        <v>2.2500679720000001</v>
      </c>
      <c r="AA1994" s="3">
        <v>0.150433499</v>
      </c>
      <c r="AB1994" s="3">
        <v>20.822337659999999</v>
      </c>
      <c r="AC1994" s="3">
        <v>2.6099173549999999</v>
      </c>
      <c r="AD1994" s="3">
        <v>0.29127467299999998</v>
      </c>
      <c r="AE1994" s="3">
        <v>0</v>
      </c>
      <c r="AF1994" s="4">
        <v>42642</v>
      </c>
      <c r="AG1994" s="5">
        <f>YEAR(AF1994)</f>
        <v>2016</v>
      </c>
      <c r="AH1994" s="5" t="str">
        <f>"Q"&amp;ROUNDUP(MONTH(AF1994)/3,0)</f>
        <v>Q3</v>
      </c>
      <c r="AI1994" s="5">
        <f>INDEX(RatingLookup!$B$2:$B$11,MATCH(A1994,RatingLookup!$A$2:$A$11,0))</f>
        <v>7</v>
      </c>
      <c r="AJ1994" s="5" t="str">
        <f>INDEX(RatingLookup!$C$2:$C$11,MATCH(A1994,RatingLookup!$A$2:$A$11,0))</f>
        <v>Investment Grade</v>
      </c>
    </row>
    <row r="1995" spans="1:36" x14ac:dyDescent="0.3">
      <c r="A1995" s="3" t="s">
        <v>42</v>
      </c>
      <c r="B1995" s="3" t="s">
        <v>2088</v>
      </c>
      <c r="C1995" s="3" t="s">
        <v>2089</v>
      </c>
      <c r="D1995" s="3" t="s">
        <v>60</v>
      </c>
      <c r="E1995" s="3" t="s">
        <v>2090</v>
      </c>
      <c r="F1995" s="3" t="s">
        <v>215</v>
      </c>
      <c r="G1995" s="3">
        <v>1.692670466</v>
      </c>
      <c r="H1995" s="3">
        <v>1.5103163690000001</v>
      </c>
      <c r="I1995" s="3">
        <v>0.63686382399999997</v>
      </c>
      <c r="J1995" s="3">
        <v>60.219174520000003</v>
      </c>
      <c r="K1995" s="3">
        <v>0.106562245</v>
      </c>
      <c r="L1995" s="3">
        <v>0.16290550100000001</v>
      </c>
      <c r="M1995" s="3">
        <v>0.32143122299999999</v>
      </c>
      <c r="N1995" s="3">
        <v>0.16290550100000001</v>
      </c>
      <c r="O1995" s="3">
        <v>0.121236434</v>
      </c>
      <c r="P1995" s="3">
        <v>0.23606927699999999</v>
      </c>
      <c r="Q1995" s="3">
        <v>0.30944168999999999</v>
      </c>
      <c r="R1995" s="3">
        <v>1.137705333</v>
      </c>
      <c r="S1995" s="3">
        <v>27.68961973</v>
      </c>
      <c r="T1995" s="3">
        <v>1.552381979</v>
      </c>
      <c r="U1995" s="3">
        <v>0.60820911300000002</v>
      </c>
      <c r="V1995" s="3">
        <v>0.34586466199999999</v>
      </c>
      <c r="W1995" s="3">
        <v>0.84700973599999996</v>
      </c>
      <c r="X1995" s="3">
        <v>3.0475396159999999</v>
      </c>
      <c r="Y1995" s="3">
        <v>2.703085905</v>
      </c>
      <c r="Z1995" s="3">
        <v>2.5523819790000002</v>
      </c>
      <c r="AA1995" s="3">
        <v>0.16290550100000001</v>
      </c>
      <c r="AB1995" s="3">
        <v>12.660289029999999</v>
      </c>
      <c r="AC1995" s="3">
        <v>3.597998332</v>
      </c>
      <c r="AD1995" s="3">
        <v>0.16012174300000001</v>
      </c>
      <c r="AE1995" s="3">
        <v>15.77394305</v>
      </c>
      <c r="AF1995" s="4">
        <v>42542</v>
      </c>
      <c r="AG1995" s="5">
        <f>YEAR(AF1995)</f>
        <v>2016</v>
      </c>
      <c r="AH1995" s="5" t="str">
        <f>"Q"&amp;ROUNDUP(MONTH(AF1995)/3,0)</f>
        <v>Q2</v>
      </c>
      <c r="AI1995" s="5">
        <f>INDEX(RatingLookup!$B$2:$B$11,MATCH(A1995,RatingLookup!$A$2:$A$11,0))</f>
        <v>7</v>
      </c>
      <c r="AJ1995" s="5" t="str">
        <f>INDEX(RatingLookup!$C$2:$C$11,MATCH(A1995,RatingLookup!$A$2:$A$11,0))</f>
        <v>Investment Grade</v>
      </c>
    </row>
    <row r="1996" spans="1:36" x14ac:dyDescent="0.3">
      <c r="A1996" s="3" t="s">
        <v>42</v>
      </c>
      <c r="B1996" s="3" t="s">
        <v>2088</v>
      </c>
      <c r="C1996" s="3" t="s">
        <v>2089</v>
      </c>
      <c r="D1996" s="3" t="s">
        <v>60</v>
      </c>
      <c r="E1996" s="3" t="s">
        <v>426</v>
      </c>
      <c r="F1996" s="3" t="s">
        <v>215</v>
      </c>
      <c r="G1996" s="3">
        <v>1.7188498400000001</v>
      </c>
      <c r="H1996" s="3">
        <v>1.5088391910000001</v>
      </c>
      <c r="I1996" s="3">
        <v>0.56656017000000003</v>
      </c>
      <c r="J1996" s="3">
        <v>66.429159119999994</v>
      </c>
      <c r="K1996" s="3">
        <v>8.7255225000000006E-2</v>
      </c>
      <c r="L1996" s="3">
        <v>0.13296034200000001</v>
      </c>
      <c r="M1996" s="3">
        <v>0.27274971199999998</v>
      </c>
      <c r="N1996" s="3">
        <v>0.13296034200000001</v>
      </c>
      <c r="O1996" s="3">
        <v>0.105093648</v>
      </c>
      <c r="P1996" s="3">
        <v>0.20869115999999999</v>
      </c>
      <c r="Q1996" s="3">
        <v>0.25992647099999999</v>
      </c>
      <c r="R1996" s="3">
        <v>1.2044395999999999</v>
      </c>
      <c r="S1996" s="3">
        <v>30.04697157</v>
      </c>
      <c r="T1996" s="3">
        <v>1.473284314</v>
      </c>
      <c r="U1996" s="3">
        <v>0.59567931799999996</v>
      </c>
      <c r="V1996" s="3">
        <v>0.34375</v>
      </c>
      <c r="W1996" s="3">
        <v>0.81210778900000002</v>
      </c>
      <c r="X1996" s="3">
        <v>1.8047579979999999</v>
      </c>
      <c r="Y1996" s="3">
        <v>2.1821164890000002</v>
      </c>
      <c r="Z1996" s="3">
        <v>2.4732843139999998</v>
      </c>
      <c r="AA1996" s="3">
        <v>0.13296034200000001</v>
      </c>
      <c r="AB1996" s="3">
        <v>8.9656457029999999</v>
      </c>
      <c r="AC1996" s="3">
        <v>2.2223133719999999</v>
      </c>
      <c r="AD1996" s="3">
        <v>0.111444792</v>
      </c>
      <c r="AE1996" s="3">
        <v>12.35359888</v>
      </c>
      <c r="AF1996" s="4">
        <v>41500</v>
      </c>
      <c r="AG1996" s="5">
        <f>YEAR(AF1996)</f>
        <v>2013</v>
      </c>
      <c r="AH1996" s="5" t="str">
        <f>"Q"&amp;ROUNDUP(MONTH(AF1996)/3,0)</f>
        <v>Q3</v>
      </c>
      <c r="AI1996" s="5">
        <f>INDEX(RatingLookup!$B$2:$B$11,MATCH(A1996,RatingLookup!$A$2:$A$11,0))</f>
        <v>7</v>
      </c>
      <c r="AJ1996" s="5" t="str">
        <f>INDEX(RatingLookup!$C$2:$C$11,MATCH(A1996,RatingLookup!$A$2:$A$11,0))</f>
        <v>Investment Grade</v>
      </c>
    </row>
    <row r="1997" spans="1:36" x14ac:dyDescent="0.3">
      <c r="A1997" s="3" t="s">
        <v>42</v>
      </c>
      <c r="B1997" s="3" t="s">
        <v>2088</v>
      </c>
      <c r="C1997" s="3" t="s">
        <v>2089</v>
      </c>
      <c r="D1997" s="3" t="s">
        <v>44</v>
      </c>
      <c r="E1997" s="3" t="s">
        <v>46</v>
      </c>
      <c r="F1997" s="3" t="s">
        <v>215</v>
      </c>
      <c r="G1997" s="3">
        <v>0.960010221</v>
      </c>
      <c r="H1997" s="3">
        <v>0.82803117400000004</v>
      </c>
      <c r="I1997" s="3">
        <v>0.30854733600000001</v>
      </c>
      <c r="J1997" s="3">
        <v>68.489085790000004</v>
      </c>
      <c r="K1997" s="3">
        <v>7.8268493999999994E-2</v>
      </c>
      <c r="L1997" s="3">
        <v>0.12446351899999999</v>
      </c>
      <c r="M1997" s="3">
        <v>0.25372652200000001</v>
      </c>
      <c r="N1997" s="3">
        <v>0.12446351899999999</v>
      </c>
      <c r="O1997" s="3">
        <v>8.9075630000000003E-2</v>
      </c>
      <c r="P1997" s="3">
        <v>0.240524391</v>
      </c>
      <c r="Q1997" s="3">
        <v>0.212717923</v>
      </c>
      <c r="R1997" s="3">
        <v>1.1380777310000001</v>
      </c>
      <c r="S1997" s="3">
        <v>26.07581227</v>
      </c>
      <c r="T1997" s="3">
        <v>1.388059701</v>
      </c>
      <c r="U1997" s="3">
        <v>0.58125000000000004</v>
      </c>
      <c r="V1997" s="3">
        <v>0.362995921</v>
      </c>
      <c r="W1997" s="3">
        <v>0.75222629600000002</v>
      </c>
      <c r="X1997" s="3">
        <v>1.150641026</v>
      </c>
      <c r="Y1997" s="3">
        <v>1.935096154</v>
      </c>
      <c r="Z1997" s="3">
        <v>2.388059701</v>
      </c>
      <c r="AA1997" s="3">
        <v>0.12446351899999999</v>
      </c>
      <c r="AB1997" s="3">
        <v>9.2417777779999994</v>
      </c>
      <c r="AC1997" s="3">
        <v>1.5296474360000001</v>
      </c>
      <c r="AD1997" s="3">
        <v>8.8098204999999999E-2</v>
      </c>
      <c r="AE1997" s="3">
        <v>13.58907563</v>
      </c>
      <c r="AF1997" s="4">
        <v>41075</v>
      </c>
      <c r="AG1997" s="5">
        <f>YEAR(AF1997)</f>
        <v>2012</v>
      </c>
      <c r="AH1997" s="5" t="str">
        <f>"Q"&amp;ROUNDUP(MONTH(AF1997)/3,0)</f>
        <v>Q2</v>
      </c>
      <c r="AI1997" s="5">
        <f>INDEX(RatingLookup!$B$2:$B$11,MATCH(A1997,RatingLookup!$A$2:$A$11,0))</f>
        <v>7</v>
      </c>
      <c r="AJ1997" s="5" t="str">
        <f>INDEX(RatingLookup!$C$2:$C$11,MATCH(A1997,RatingLookup!$A$2:$A$11,0))</f>
        <v>Investment Grade</v>
      </c>
    </row>
    <row r="1998" spans="1:36" x14ac:dyDescent="0.3">
      <c r="A1998" s="3" t="s">
        <v>116</v>
      </c>
      <c r="B1998" s="3" t="s">
        <v>2091</v>
      </c>
      <c r="C1998" s="3" t="s">
        <v>2092</v>
      </c>
      <c r="D1998" s="3" t="s">
        <v>60</v>
      </c>
      <c r="E1998" s="3" t="s">
        <v>46</v>
      </c>
      <c r="F1998" s="3" t="s">
        <v>174</v>
      </c>
      <c r="G1998" s="3">
        <v>2.5927129120000001</v>
      </c>
      <c r="H1998" s="3">
        <v>2.3206892159999999</v>
      </c>
      <c r="I1998" s="3">
        <v>0.115453214</v>
      </c>
      <c r="J1998" s="3">
        <v>65.854630060000005</v>
      </c>
      <c r="K1998" s="3">
        <v>0.17900487800000001</v>
      </c>
      <c r="L1998" s="3">
        <v>0.13603952699999999</v>
      </c>
      <c r="M1998" s="3">
        <v>0.31172872600000001</v>
      </c>
      <c r="N1998" s="3">
        <v>0.207649317</v>
      </c>
      <c r="O1998" s="3">
        <v>7.4524581000000006E-2</v>
      </c>
      <c r="P1998" s="3">
        <v>5.8639750999999997E-2</v>
      </c>
      <c r="Q1998" s="3">
        <v>0.272791705</v>
      </c>
      <c r="R1998" s="3">
        <v>0.41632709400000001</v>
      </c>
      <c r="S1998" s="3">
        <v>6.5543301420000004</v>
      </c>
      <c r="T1998" s="3">
        <v>2.660425891</v>
      </c>
      <c r="U1998" s="3">
        <v>0.72680774599999998</v>
      </c>
      <c r="V1998" s="3">
        <v>-0.31582990799999999</v>
      </c>
      <c r="W1998" s="3">
        <v>0.93321251100000002</v>
      </c>
      <c r="X1998" s="3">
        <v>2.1945089999999999E-3</v>
      </c>
      <c r="Y1998" s="3">
        <v>1.04813E-4</v>
      </c>
      <c r="Z1998" s="3">
        <v>3.660425891</v>
      </c>
      <c r="AA1998" s="3">
        <v>0.13603952699999999</v>
      </c>
      <c r="AB1998" s="3">
        <v>3044.1647830000002</v>
      </c>
      <c r="AC1998" s="3">
        <v>2.351564E-3</v>
      </c>
      <c r="AD1998" s="3">
        <v>0.223462154</v>
      </c>
      <c r="AE1998" s="3">
        <v>614.03263400000003</v>
      </c>
      <c r="AF1998" s="4">
        <v>41075</v>
      </c>
      <c r="AG1998" s="5">
        <f>YEAR(AF1998)</f>
        <v>2012</v>
      </c>
      <c r="AH1998" s="5" t="str">
        <f>"Q"&amp;ROUNDUP(MONTH(AF1998)/3,0)</f>
        <v>Q2</v>
      </c>
      <c r="AI1998" s="5">
        <f>INDEX(RatingLookup!$B$2:$B$11,MATCH(A1998,RatingLookup!$A$2:$A$11,0))</f>
        <v>4</v>
      </c>
      <c r="AJ1998" s="5" t="str">
        <f>INDEX(RatingLookup!$C$2:$C$11,MATCH(A1998,RatingLookup!$A$2:$A$11,0))</f>
        <v>Speculative Grade</v>
      </c>
    </row>
    <row r="1999" spans="1:36" x14ac:dyDescent="0.3">
      <c r="A1999" s="3" t="s">
        <v>42</v>
      </c>
      <c r="B1999" s="3" t="s">
        <v>2093</v>
      </c>
      <c r="C1999" s="3" t="s">
        <v>2094</v>
      </c>
      <c r="D1999" s="3" t="s">
        <v>60</v>
      </c>
      <c r="E1999" s="3" t="s">
        <v>815</v>
      </c>
      <c r="F1999" s="3" t="s">
        <v>232</v>
      </c>
      <c r="G1999" s="3">
        <v>14.17009198</v>
      </c>
      <c r="H1999" s="3">
        <v>14.17009198</v>
      </c>
      <c r="I1999" s="3">
        <v>0.437994035</v>
      </c>
      <c r="J1999" s="3">
        <v>56.9080613</v>
      </c>
      <c r="K1999" s="3">
        <v>0.40196142000000001</v>
      </c>
      <c r="L1999" s="3">
        <v>0.53657228400000001</v>
      </c>
      <c r="M1999" s="3">
        <v>0.69634196100000001</v>
      </c>
      <c r="N1999" s="3">
        <v>0.53657228400000001</v>
      </c>
      <c r="O1999" s="3">
        <v>5.7761462999999999E-2</v>
      </c>
      <c r="P1999" s="3">
        <v>8.179583E-2</v>
      </c>
      <c r="Q1999" s="3">
        <v>0.124257125</v>
      </c>
      <c r="R1999" s="3">
        <v>0.14369902200000001</v>
      </c>
      <c r="S1999" s="3">
        <v>18.048719819999999</v>
      </c>
      <c r="T1999" s="3">
        <v>1.1512115279999999</v>
      </c>
      <c r="U1999" s="3">
        <v>0.53514566699999999</v>
      </c>
      <c r="V1999" s="3">
        <v>0.250871817</v>
      </c>
      <c r="W1999" s="3">
        <v>1</v>
      </c>
      <c r="X1999" s="3">
        <v>0.62502226299999997</v>
      </c>
      <c r="Y1999" s="3">
        <v>65.906121990000003</v>
      </c>
      <c r="Z1999" s="3">
        <v>2.1512115280000002</v>
      </c>
      <c r="AA1999" s="3">
        <v>0.53657228400000001</v>
      </c>
      <c r="AB1999" s="3">
        <v>6.468845043</v>
      </c>
      <c r="AC1999" s="3">
        <v>0.62502226299999997</v>
      </c>
      <c r="AD1999" s="3">
        <v>5.2152320000000002E-2</v>
      </c>
      <c r="AE1999" s="3">
        <v>6.5487893709999998</v>
      </c>
      <c r="AF1999" s="4">
        <v>41596</v>
      </c>
      <c r="AG1999" s="5">
        <f>YEAR(AF1999)</f>
        <v>2013</v>
      </c>
      <c r="AH1999" s="5" t="str">
        <f>"Q"&amp;ROUNDUP(MONTH(AF1999)/3,0)</f>
        <v>Q4</v>
      </c>
      <c r="AI1999" s="5">
        <f>INDEX(RatingLookup!$B$2:$B$11,MATCH(A1999,RatingLookup!$A$2:$A$11,0))</f>
        <v>7</v>
      </c>
      <c r="AJ1999" s="5" t="str">
        <f>INDEX(RatingLookup!$C$2:$C$11,MATCH(A1999,RatingLookup!$A$2:$A$11,0))</f>
        <v>Investment Grade</v>
      </c>
    </row>
    <row r="2000" spans="1:36" x14ac:dyDescent="0.3">
      <c r="A2000" s="3" t="s">
        <v>109</v>
      </c>
      <c r="B2000" s="3" t="s">
        <v>2095</v>
      </c>
      <c r="C2000" s="3" t="s">
        <v>2096</v>
      </c>
      <c r="D2000" s="3" t="s">
        <v>60</v>
      </c>
      <c r="E2000" s="3" t="s">
        <v>2097</v>
      </c>
      <c r="F2000" s="3" t="s">
        <v>215</v>
      </c>
      <c r="G2000" s="3">
        <v>2.635294118</v>
      </c>
      <c r="H2000" s="3">
        <v>2.0376470590000002</v>
      </c>
      <c r="I2000" s="3">
        <v>1.0188235290000001</v>
      </c>
      <c r="J2000" s="3">
        <v>62.922877509999999</v>
      </c>
      <c r="K2000" s="3">
        <v>9.7213219999999993E-3</v>
      </c>
      <c r="L2000" s="3">
        <v>5.0550875000000002E-2</v>
      </c>
      <c r="M2000" s="3">
        <v>0.24821775800000001</v>
      </c>
      <c r="N2000" s="3">
        <v>9.0732339999999995E-2</v>
      </c>
      <c r="O2000" s="3">
        <v>8.4459459999999993E-3</v>
      </c>
      <c r="P2000" s="3">
        <v>5.7735011000000003E-2</v>
      </c>
      <c r="Q2000" s="3">
        <v>-0.20547945200000001</v>
      </c>
      <c r="R2000" s="3">
        <v>0.86880630599999997</v>
      </c>
      <c r="S2000" s="3">
        <v>5.1778523490000001</v>
      </c>
      <c r="T2000" s="3">
        <v>-25.328767119999998</v>
      </c>
      <c r="U2000" s="3">
        <v>1.0411036039999999</v>
      </c>
      <c r="V2000" s="3">
        <v>0.41025641000000002</v>
      </c>
      <c r="W2000" s="3">
        <v>4.153846154</v>
      </c>
      <c r="X2000" s="3">
        <v>-1.2796208529999999</v>
      </c>
      <c r="Y2000" s="3">
        <v>14.218009479999999</v>
      </c>
      <c r="Z2000" s="3">
        <v>-24.328767119999998</v>
      </c>
      <c r="AA2000" s="3">
        <v>5.0550875000000002E-2</v>
      </c>
      <c r="AB2000" s="3">
        <v>2.288081633</v>
      </c>
      <c r="AC2000" s="3">
        <v>-0.30805687199999998</v>
      </c>
      <c r="AD2000" s="3">
        <v>-8.4251459999999997E-3</v>
      </c>
      <c r="AE2000" s="3">
        <v>6.0103626940000003</v>
      </c>
      <c r="AF2000" s="4">
        <v>42683</v>
      </c>
      <c r="AG2000" s="5">
        <f>YEAR(AF2000)</f>
        <v>2016</v>
      </c>
      <c r="AH2000" s="5" t="str">
        <f>"Q"&amp;ROUNDUP(MONTH(AF2000)/3,0)</f>
        <v>Q4</v>
      </c>
      <c r="AI2000" s="5">
        <f>INDEX(RatingLookup!$B$2:$B$11,MATCH(A2000,RatingLookup!$A$2:$A$11,0))</f>
        <v>5</v>
      </c>
      <c r="AJ2000" s="5" t="str">
        <f>INDEX(RatingLookup!$C$2:$C$11,MATCH(A2000,RatingLookup!$A$2:$A$11,0))</f>
        <v>Speculative Grade</v>
      </c>
    </row>
    <row r="2001" spans="1:36" x14ac:dyDescent="0.3">
      <c r="A2001" s="3" t="s">
        <v>92</v>
      </c>
      <c r="B2001" s="3" t="s">
        <v>2098</v>
      </c>
      <c r="C2001" s="3" t="s">
        <v>2099</v>
      </c>
      <c r="D2001" s="3" t="s">
        <v>60</v>
      </c>
      <c r="E2001" s="3" t="s">
        <v>46</v>
      </c>
      <c r="F2001" s="3" t="s">
        <v>41</v>
      </c>
      <c r="G2001" s="3">
        <v>1.375</v>
      </c>
      <c r="H2001" s="3">
        <v>1.0366847830000001</v>
      </c>
      <c r="I2001" s="3">
        <v>0.192934783</v>
      </c>
      <c r="J2001" s="3">
        <v>40.58883874</v>
      </c>
      <c r="K2001" s="3">
        <v>8.2068120000000008E-3</v>
      </c>
      <c r="L2001" s="3">
        <v>2.0927370000000001E-2</v>
      </c>
      <c r="M2001" s="3">
        <v>0.29421419799999998</v>
      </c>
      <c r="N2001" s="3">
        <v>2.0927370000000001E-2</v>
      </c>
      <c r="O2001" s="3">
        <v>1.0020039999999999E-2</v>
      </c>
      <c r="P2001" s="3">
        <v>4.0476190000000002E-2</v>
      </c>
      <c r="Q2001" s="3">
        <v>2.7855153000000001E-2</v>
      </c>
      <c r="R2001" s="3">
        <v>1.2209418839999999</v>
      </c>
      <c r="S2001" s="3">
        <v>7.0637681160000003</v>
      </c>
      <c r="T2001" s="3">
        <v>0.75348189399999999</v>
      </c>
      <c r="U2001" s="3">
        <v>0.27104208400000002</v>
      </c>
      <c r="V2001" s="3">
        <v>0.60784313700000003</v>
      </c>
      <c r="W2001" s="3">
        <v>1</v>
      </c>
      <c r="X2001" s="3">
        <v>0.54000000100000001</v>
      </c>
      <c r="Y2001" s="3">
        <v>3.6900000089999998</v>
      </c>
      <c r="Z2001" s="3">
        <v>2.77994429</v>
      </c>
      <c r="AA2001" s="3">
        <v>2.0927370000000001E-2</v>
      </c>
      <c r="AB2001" s="3">
        <v>15.698550689999999</v>
      </c>
      <c r="AC2001" s="3">
        <v>0.54000000100000001</v>
      </c>
      <c r="AD2001" s="3">
        <v>2.9544522E-2</v>
      </c>
      <c r="AE2001" s="3">
        <v>8.6820512819999998</v>
      </c>
      <c r="AF2001" s="4">
        <v>41075</v>
      </c>
      <c r="AG2001" s="5">
        <f>YEAR(AF2001)</f>
        <v>2012</v>
      </c>
      <c r="AH2001" s="5" t="str">
        <f>"Q"&amp;ROUNDUP(MONTH(AF2001)/3,0)</f>
        <v>Q2</v>
      </c>
      <c r="AI2001" s="5">
        <f>INDEX(RatingLookup!$B$2:$B$11,MATCH(A2001,RatingLookup!$A$2:$A$11,0))</f>
        <v>6</v>
      </c>
      <c r="AJ2001" s="5" t="str">
        <f>INDEX(RatingLookup!$C$2:$C$11,MATCH(A2001,RatingLookup!$A$2:$A$11,0))</f>
        <v>Speculative Grade</v>
      </c>
    </row>
    <row r="2002" spans="1:36" x14ac:dyDescent="0.3">
      <c r="A2002" s="3" t="s">
        <v>42</v>
      </c>
      <c r="B2002" s="3" t="s">
        <v>2098</v>
      </c>
      <c r="C2002" s="3" t="s">
        <v>2099</v>
      </c>
      <c r="D2002" s="3" t="s">
        <v>60</v>
      </c>
      <c r="E2002" s="3" t="s">
        <v>732</v>
      </c>
      <c r="F2002" s="3" t="s">
        <v>41</v>
      </c>
      <c r="G2002" s="3">
        <v>1.606023102</v>
      </c>
      <c r="H2002" s="3">
        <v>1.26299505</v>
      </c>
      <c r="I2002" s="3">
        <v>0.31023102299999999</v>
      </c>
      <c r="J2002" s="3">
        <v>36.554711189999999</v>
      </c>
      <c r="K2002" s="3">
        <v>1.3525290000000001E-2</v>
      </c>
      <c r="L2002" s="3">
        <v>2.9211838E-2</v>
      </c>
      <c r="M2002" s="3">
        <v>0.30187890000000001</v>
      </c>
      <c r="N2002" s="3">
        <v>2.0671384000000001E-2</v>
      </c>
      <c r="O2002" s="3">
        <v>2.2964015000000001E-2</v>
      </c>
      <c r="P2002" s="3">
        <v>6.9555113000000002E-2</v>
      </c>
      <c r="Q2002" s="3">
        <v>5.8083832000000002E-2</v>
      </c>
      <c r="R2002" s="3">
        <v>1.697857481</v>
      </c>
      <c r="S2002" s="3">
        <v>8.1220271799999999</v>
      </c>
      <c r="T2002" s="3">
        <v>1.5293413170000001</v>
      </c>
      <c r="U2002" s="3">
        <v>0.60464015199999999</v>
      </c>
      <c r="V2002" s="3">
        <v>0.19212410499999999</v>
      </c>
      <c r="W2002" s="3">
        <v>0.604911906</v>
      </c>
      <c r="X2002" s="3">
        <v>0.902070064</v>
      </c>
      <c r="Y2002" s="3">
        <v>2.5875796179999999</v>
      </c>
      <c r="Z2002" s="3">
        <v>2.5293413170000001</v>
      </c>
      <c r="AA2002" s="3">
        <v>2.9211838E-2</v>
      </c>
      <c r="AB2002" s="3">
        <v>17.19897959</v>
      </c>
      <c r="AC2002" s="3">
        <v>1.491242038</v>
      </c>
      <c r="AD2002" s="3">
        <v>6.5290898E-2</v>
      </c>
      <c r="AE2002" s="3">
        <v>10.00906344</v>
      </c>
      <c r="AF2002" s="4">
        <v>41653</v>
      </c>
      <c r="AG2002" s="5">
        <f>YEAR(AF2002)</f>
        <v>2014</v>
      </c>
      <c r="AH2002" s="5" t="str">
        <f>"Q"&amp;ROUNDUP(MONTH(AF2002)/3,0)</f>
        <v>Q1</v>
      </c>
      <c r="AI2002" s="5">
        <f>INDEX(RatingLookup!$B$2:$B$11,MATCH(A2002,RatingLookup!$A$2:$A$11,0))</f>
        <v>7</v>
      </c>
      <c r="AJ2002" s="5" t="str">
        <f>INDEX(RatingLookup!$C$2:$C$11,MATCH(A2002,RatingLookup!$A$2:$A$11,0))</f>
        <v>Investment Grade</v>
      </c>
    </row>
    <row r="2003" spans="1:36" x14ac:dyDescent="0.3">
      <c r="A2003" s="3" t="s">
        <v>109</v>
      </c>
      <c r="B2003" s="3" t="s">
        <v>2100</v>
      </c>
      <c r="C2003" s="3" t="s">
        <v>2101</v>
      </c>
      <c r="D2003" s="3" t="s">
        <v>60</v>
      </c>
      <c r="E2003" s="3" t="s">
        <v>737</v>
      </c>
      <c r="F2003" s="3" t="s">
        <v>66</v>
      </c>
      <c r="G2003" s="3">
        <v>4.0487724299999996</v>
      </c>
      <c r="H2003" s="3">
        <v>2.810680718</v>
      </c>
      <c r="I2003" s="3">
        <v>1.9927371119999999</v>
      </c>
      <c r="J2003" s="3">
        <v>47.74145077</v>
      </c>
      <c r="K2003" s="3">
        <v>7.4271058000000001E-2</v>
      </c>
      <c r="L2003" s="3">
        <v>8.5267975999999995E-2</v>
      </c>
      <c r="M2003" s="3">
        <v>0.43494761500000001</v>
      </c>
      <c r="N2003" s="3">
        <v>0.109208867</v>
      </c>
      <c r="O2003" s="3">
        <v>4.8431186000000001E-2</v>
      </c>
      <c r="P2003" s="3">
        <v>6.2186738999999998E-2</v>
      </c>
      <c r="Q2003" s="3">
        <v>0.10000959</v>
      </c>
      <c r="R2003" s="3">
        <v>0.65208692700000004</v>
      </c>
      <c r="S2003" s="3">
        <v>3.3648230159999999</v>
      </c>
      <c r="T2003" s="3">
        <v>1.064983316</v>
      </c>
      <c r="U2003" s="3">
        <v>0.51573458599999999</v>
      </c>
      <c r="V2003" s="3">
        <v>0.110668764</v>
      </c>
      <c r="W2003" s="3">
        <v>0.40474536500000002</v>
      </c>
      <c r="X2003" s="3">
        <v>0.34869935099999999</v>
      </c>
      <c r="Y2003" s="3">
        <v>2.5080048160000001</v>
      </c>
      <c r="Z2003" s="3">
        <v>2.0649833160000002</v>
      </c>
      <c r="AA2003" s="3">
        <v>8.5267975999999995E-2</v>
      </c>
      <c r="AB2003" s="3">
        <v>8.7596405550000007</v>
      </c>
      <c r="AC2003" s="3">
        <v>0.86152771900000003</v>
      </c>
      <c r="AD2003" s="3">
        <v>0.11184502</v>
      </c>
      <c r="AE2003" s="3">
        <v>16.548109220000001</v>
      </c>
      <c r="AF2003" s="4">
        <v>42432</v>
      </c>
      <c r="AG2003" s="5">
        <f>YEAR(AF2003)</f>
        <v>2016</v>
      </c>
      <c r="AH2003" s="5" t="str">
        <f>"Q"&amp;ROUNDUP(MONTH(AF2003)/3,0)</f>
        <v>Q1</v>
      </c>
      <c r="AI2003" s="5">
        <f>INDEX(RatingLookup!$B$2:$B$11,MATCH(A2003,RatingLookup!$A$2:$A$11,0))</f>
        <v>5</v>
      </c>
      <c r="AJ2003" s="5" t="str">
        <f>INDEX(RatingLookup!$C$2:$C$11,MATCH(A2003,RatingLookup!$A$2:$A$11,0))</f>
        <v>Speculative Grade</v>
      </c>
    </row>
    <row r="2004" spans="1:36" x14ac:dyDescent="0.3">
      <c r="A2004" s="3" t="s">
        <v>42</v>
      </c>
      <c r="B2004" s="3" t="s">
        <v>2102</v>
      </c>
      <c r="C2004" s="3" t="s">
        <v>2103</v>
      </c>
      <c r="D2004" s="3" t="s">
        <v>47</v>
      </c>
      <c r="E2004" s="3" t="s">
        <v>1260</v>
      </c>
      <c r="F2004" s="3" t="s">
        <v>96</v>
      </c>
      <c r="G2004" s="3">
        <v>1</v>
      </c>
      <c r="H2004" s="3">
        <v>8.1285329740000005</v>
      </c>
      <c r="I2004" s="3">
        <v>0.197846568</v>
      </c>
      <c r="J2004" s="3">
        <v>57.495065140000001</v>
      </c>
      <c r="K2004" s="3">
        <v>0.14883537299999999</v>
      </c>
      <c r="L2004" s="3">
        <v>0.22463482000000001</v>
      </c>
      <c r="M2004" s="3">
        <v>0.85846822</v>
      </c>
      <c r="N2004" s="3">
        <v>0.238847217</v>
      </c>
      <c r="O2004" s="3">
        <v>8.0753989999999998E-2</v>
      </c>
      <c r="P2004" s="3">
        <v>0.14494968799999999</v>
      </c>
      <c r="Q2004" s="3">
        <v>0.22883156299999999</v>
      </c>
      <c r="R2004" s="3">
        <v>0.54257256099999995</v>
      </c>
      <c r="S2004" s="3">
        <v>15.981072559999999</v>
      </c>
      <c r="T2004" s="3">
        <v>1.833687405</v>
      </c>
      <c r="U2004" s="3">
        <v>0.64710292400000002</v>
      </c>
      <c r="V2004" s="3">
        <v>0.33743409499999999</v>
      </c>
      <c r="W2004" s="3">
        <v>0.77658760500000001</v>
      </c>
      <c r="X2004" s="3">
        <v>4.0828640390000004</v>
      </c>
      <c r="Y2004" s="3">
        <v>45.378117459999999</v>
      </c>
      <c r="Z2004" s="3">
        <v>2.833687405</v>
      </c>
      <c r="AA2004" s="3">
        <v>0.22463482000000001</v>
      </c>
      <c r="AB2004" s="3">
        <v>7.7591301120000002</v>
      </c>
      <c r="AC2004" s="3">
        <v>5.2574416729999998</v>
      </c>
      <c r="AD2004" s="3">
        <v>0.257994473</v>
      </c>
      <c r="AE2004" s="3">
        <v>0.79226519299999998</v>
      </c>
      <c r="AF2004" s="4">
        <v>42143</v>
      </c>
      <c r="AG2004" s="5">
        <f>YEAR(AF2004)</f>
        <v>2015</v>
      </c>
      <c r="AH2004" s="5" t="str">
        <f>"Q"&amp;ROUNDUP(MONTH(AF2004)/3,0)</f>
        <v>Q2</v>
      </c>
      <c r="AI2004" s="5">
        <f>INDEX(RatingLookup!$B$2:$B$11,MATCH(A2004,RatingLookup!$A$2:$A$11,0))</f>
        <v>7</v>
      </c>
      <c r="AJ2004" s="5" t="str">
        <f>INDEX(RatingLookup!$C$2:$C$11,MATCH(A2004,RatingLookup!$A$2:$A$11,0))</f>
        <v>Investment Grade</v>
      </c>
    </row>
    <row r="2005" spans="1:36" x14ac:dyDescent="0.3">
      <c r="A2005" s="3" t="s">
        <v>42</v>
      </c>
      <c r="B2005" s="3" t="s">
        <v>2102</v>
      </c>
      <c r="C2005" s="3" t="s">
        <v>2103</v>
      </c>
      <c r="D2005" s="3" t="s">
        <v>47</v>
      </c>
      <c r="E2005" s="3" t="s">
        <v>1217</v>
      </c>
      <c r="F2005" s="3" t="s">
        <v>96</v>
      </c>
      <c r="G2005" s="3">
        <v>1.0026631159999999</v>
      </c>
      <c r="H2005" s="3">
        <v>0.71704394100000002</v>
      </c>
      <c r="I2005" s="3">
        <v>0.183089214</v>
      </c>
      <c r="J2005" s="3">
        <v>55.715645219999999</v>
      </c>
      <c r="K2005" s="3">
        <v>0.13551579699999999</v>
      </c>
      <c r="L2005" s="3">
        <v>0.201180053</v>
      </c>
      <c r="M2005" s="3">
        <v>0.86086790999999996</v>
      </c>
      <c r="N2005" s="3">
        <v>0.24952417199999999</v>
      </c>
      <c r="O2005" s="3">
        <v>7.6231262999999994E-2</v>
      </c>
      <c r="P2005" s="3">
        <v>0.13485583100000001</v>
      </c>
      <c r="Q2005" s="3">
        <v>0.26766917299999998</v>
      </c>
      <c r="R2005" s="3">
        <v>0.56252676700000004</v>
      </c>
      <c r="S2005" s="3">
        <v>13.26767677</v>
      </c>
      <c r="T2005" s="3">
        <v>2.511278195</v>
      </c>
      <c r="U2005" s="3">
        <v>0.71520342599999998</v>
      </c>
      <c r="V2005" s="3">
        <v>0.35666982000000003</v>
      </c>
      <c r="W2005" s="3">
        <v>0.73328380400000004</v>
      </c>
      <c r="X2005" s="3">
        <v>4.2197520309999996</v>
      </c>
      <c r="Y2005" s="3">
        <v>1.175716118</v>
      </c>
      <c r="Z2005" s="3">
        <v>3.511278195</v>
      </c>
      <c r="AA2005" s="3">
        <v>0.201180053</v>
      </c>
      <c r="AB2005" s="3">
        <v>8.7249953700000002</v>
      </c>
      <c r="AC2005" s="3">
        <v>5.7545959809999996</v>
      </c>
      <c r="AD2005" s="3">
        <v>0.25618576300000001</v>
      </c>
      <c r="AE2005" s="3">
        <v>0.71386718800000004</v>
      </c>
      <c r="AF2005" s="4">
        <v>42447</v>
      </c>
      <c r="AG2005" s="5">
        <f>YEAR(AF2005)</f>
        <v>2016</v>
      </c>
      <c r="AH2005" s="5" t="str">
        <f>"Q"&amp;ROUNDUP(MONTH(AF2005)/3,0)</f>
        <v>Q1</v>
      </c>
      <c r="AI2005" s="5">
        <f>INDEX(RatingLookup!$B$2:$B$11,MATCH(A2005,RatingLookup!$A$2:$A$11,0))</f>
        <v>7</v>
      </c>
      <c r="AJ2005" s="5" t="str">
        <f>INDEX(RatingLookup!$C$2:$C$11,MATCH(A2005,RatingLookup!$A$2:$A$11,0))</f>
        <v>Investment Grade</v>
      </c>
    </row>
    <row r="2006" spans="1:36" x14ac:dyDescent="0.3">
      <c r="A2006" s="3" t="s">
        <v>92</v>
      </c>
      <c r="B2006" s="3" t="s">
        <v>2104</v>
      </c>
      <c r="C2006" s="3" t="s">
        <v>2105</v>
      </c>
      <c r="D2006" s="3" t="s">
        <v>47</v>
      </c>
      <c r="E2006" s="3" t="s">
        <v>2106</v>
      </c>
      <c r="F2006" s="3" t="s">
        <v>53</v>
      </c>
      <c r="G2006" s="3">
        <v>8.5609481140000003</v>
      </c>
      <c r="H2006" s="3">
        <v>8.2230178370000004</v>
      </c>
      <c r="I2006" s="3">
        <v>7.9610111679999997</v>
      </c>
      <c r="J2006" s="3">
        <v>8380.3475849999995</v>
      </c>
      <c r="K2006" s="3">
        <v>-53.862271540000002</v>
      </c>
      <c r="L2006" s="3">
        <v>-53.758485640000004</v>
      </c>
      <c r="M2006" s="3">
        <v>1</v>
      </c>
      <c r="N2006" s="3">
        <v>-22.394582249999999</v>
      </c>
      <c r="O2006" s="3">
        <v>-3.0849321999999998E-2</v>
      </c>
      <c r="P2006" s="3">
        <v>-3.2043807000000001E-2</v>
      </c>
      <c r="Q2006" s="3">
        <v>-4.4634400999999997E-2</v>
      </c>
      <c r="R2006" s="3">
        <v>5.7274500000000005E-4</v>
      </c>
      <c r="S2006" s="3">
        <v>9.0360600000000005E-4</v>
      </c>
      <c r="T2006" s="3">
        <v>0.44685192200000001</v>
      </c>
      <c r="U2006" s="3">
        <v>0.30884426700000001</v>
      </c>
      <c r="V2006" s="3">
        <v>-1.1656430000000001E-3</v>
      </c>
      <c r="W2006" s="3">
        <v>1</v>
      </c>
      <c r="X2006" s="3">
        <v>4.4231921889999999</v>
      </c>
      <c r="Y2006" s="3">
        <v>21.991741810000001</v>
      </c>
      <c r="Z2006" s="3">
        <v>1.446851922</v>
      </c>
      <c r="AA2006" s="3">
        <v>-53.758485640000004</v>
      </c>
      <c r="AB2006" s="3">
        <v>65.079815370000006</v>
      </c>
      <c r="AC2006" s="3">
        <v>4.4231921889999999</v>
      </c>
      <c r="AD2006" s="3">
        <v>108.381201</v>
      </c>
      <c r="AE2006" s="3">
        <v>0</v>
      </c>
      <c r="AF2006" s="4">
        <v>42719</v>
      </c>
      <c r="AG2006" s="5">
        <f>YEAR(AF2006)</f>
        <v>2016</v>
      </c>
      <c r="AH2006" s="5" t="str">
        <f>"Q"&amp;ROUNDUP(MONTH(AF2006)/3,0)</f>
        <v>Q4</v>
      </c>
      <c r="AI2006" s="5">
        <f>INDEX(RatingLookup!$B$2:$B$11,MATCH(A2006,RatingLookup!$A$2:$A$11,0))</f>
        <v>6</v>
      </c>
      <c r="AJ2006" s="5" t="str">
        <f>INDEX(RatingLookup!$C$2:$C$11,MATCH(A2006,RatingLookup!$A$2:$A$11,0))</f>
        <v>Speculative Grade</v>
      </c>
    </row>
    <row r="2007" spans="1:36" x14ac:dyDescent="0.3">
      <c r="A2007" s="3" t="s">
        <v>42</v>
      </c>
      <c r="B2007" s="3" t="s">
        <v>2107</v>
      </c>
      <c r="C2007" s="3" t="s">
        <v>2108</v>
      </c>
      <c r="D2007" s="3" t="s">
        <v>44</v>
      </c>
      <c r="E2007" s="3" t="s">
        <v>2109</v>
      </c>
      <c r="F2007" s="3" t="s">
        <v>53</v>
      </c>
      <c r="G2007" s="3">
        <v>1.260941828</v>
      </c>
      <c r="H2007" s="3">
        <v>1.1412742380000001</v>
      </c>
      <c r="I2007" s="3">
        <v>0.56952908599999996</v>
      </c>
      <c r="J2007" s="3">
        <v>52.425789979999998</v>
      </c>
      <c r="K2007" s="3">
        <v>-0.77912543899999998</v>
      </c>
      <c r="L2007" s="3">
        <v>-0.70826683700000004</v>
      </c>
      <c r="M2007" s="3">
        <v>1</v>
      </c>
      <c r="N2007" s="3">
        <v>-0.78902010899999997</v>
      </c>
      <c r="O2007" s="3">
        <v>-0.100884444</v>
      </c>
      <c r="P2007" s="3">
        <v>-9.9102317999999995E-2</v>
      </c>
      <c r="Q2007" s="3">
        <v>-0.23539055</v>
      </c>
      <c r="R2007" s="3">
        <v>0.12948421199999999</v>
      </c>
      <c r="S2007" s="3">
        <v>0.147089202</v>
      </c>
      <c r="T2007" s="3">
        <v>1.333269045</v>
      </c>
      <c r="U2007" s="3">
        <v>0.57141676299999999</v>
      </c>
      <c r="V2007" s="3">
        <v>-0.100045065</v>
      </c>
      <c r="W2007" s="3">
        <v>1.029582929</v>
      </c>
      <c r="X2007" s="3">
        <v>5.2810945269999996</v>
      </c>
      <c r="Y2007" s="3">
        <v>4.0049751240000004</v>
      </c>
      <c r="Z2007" s="3">
        <v>2.3332690450000002</v>
      </c>
      <c r="AA2007" s="3">
        <v>-0.70826683700000004</v>
      </c>
      <c r="AB2007" s="3">
        <v>-90.516403510000004</v>
      </c>
      <c r="AC2007" s="3">
        <v>5.1293532339999999</v>
      </c>
      <c r="AD2007" s="3">
        <v>0.65815512300000001</v>
      </c>
      <c r="AE2007" s="3">
        <v>0</v>
      </c>
      <c r="AF2007" s="4">
        <v>42453</v>
      </c>
      <c r="AG2007" s="5">
        <f>YEAR(AF2007)</f>
        <v>2016</v>
      </c>
      <c r="AH2007" s="5" t="str">
        <f>"Q"&amp;ROUNDUP(MONTH(AF2007)/3,0)</f>
        <v>Q1</v>
      </c>
      <c r="AI2007" s="5">
        <f>INDEX(RatingLookup!$B$2:$B$11,MATCH(A2007,RatingLookup!$A$2:$A$11,0))</f>
        <v>7</v>
      </c>
      <c r="AJ2007" s="5" t="str">
        <f>INDEX(RatingLookup!$C$2:$C$11,MATCH(A2007,RatingLookup!$A$2:$A$11,0))</f>
        <v>Investment Grade</v>
      </c>
    </row>
    <row r="2008" spans="1:36" x14ac:dyDescent="0.3">
      <c r="A2008" s="3" t="s">
        <v>42</v>
      </c>
      <c r="B2008" s="3" t="s">
        <v>2110</v>
      </c>
      <c r="C2008" s="3" t="s">
        <v>2111</v>
      </c>
      <c r="D2008" s="3" t="s">
        <v>44</v>
      </c>
      <c r="E2008" s="3" t="s">
        <v>46</v>
      </c>
      <c r="F2008" s="3" t="s">
        <v>59</v>
      </c>
      <c r="G2008" s="3">
        <v>3.916567744</v>
      </c>
      <c r="H2008" s="3">
        <v>2.6394018930000001</v>
      </c>
      <c r="I2008" s="3">
        <v>1.2507345649999999</v>
      </c>
      <c r="J2008" s="3">
        <v>70.177947840000002</v>
      </c>
      <c r="K2008" s="3">
        <v>8.5951534999999996E-2</v>
      </c>
      <c r="L2008" s="3">
        <v>0.11370084499999999</v>
      </c>
      <c r="M2008" s="3">
        <v>0.56806005599999998</v>
      </c>
      <c r="N2008" s="3">
        <v>0.14234476600000001</v>
      </c>
      <c r="O2008" s="3">
        <v>5.7550641999999999E-2</v>
      </c>
      <c r="P2008" s="3">
        <v>8.9382064999999997E-2</v>
      </c>
      <c r="Q2008" s="3">
        <v>0.102195779</v>
      </c>
      <c r="R2008" s="3">
        <v>0.66957084499999997</v>
      </c>
      <c r="S2008" s="3">
        <v>5.9328270879999998</v>
      </c>
      <c r="T2008" s="3">
        <v>0.77575394099999995</v>
      </c>
      <c r="U2008" s="3">
        <v>0.43685891500000001</v>
      </c>
      <c r="V2008" s="3">
        <v>0.244903759</v>
      </c>
      <c r="W2008" s="3">
        <v>1.000900637</v>
      </c>
      <c r="X2008" s="3">
        <v>9.2772287819999999</v>
      </c>
      <c r="Y2008" s="3">
        <v>29.00770575</v>
      </c>
      <c r="Z2008" s="3">
        <v>1.7757539410000001</v>
      </c>
      <c r="AA2008" s="3">
        <v>0.11370084499999999</v>
      </c>
      <c r="AB2008" s="3">
        <v>8.2385125489999993</v>
      </c>
      <c r="AC2008" s="3">
        <v>9.2688808819999995</v>
      </c>
      <c r="AD2008" s="3">
        <v>0.125301358</v>
      </c>
      <c r="AE2008" s="3">
        <v>6.9362783060000002</v>
      </c>
      <c r="AF2008" s="4">
        <v>41075</v>
      </c>
      <c r="AG2008" s="5">
        <f>YEAR(AF2008)</f>
        <v>2012</v>
      </c>
      <c r="AH2008" s="5" t="str">
        <f>"Q"&amp;ROUNDUP(MONTH(AF2008)/3,0)</f>
        <v>Q2</v>
      </c>
      <c r="AI2008" s="5">
        <f>INDEX(RatingLookup!$B$2:$B$11,MATCH(A2008,RatingLookup!$A$2:$A$11,0))</f>
        <v>7</v>
      </c>
      <c r="AJ2008" s="5" t="str">
        <f>INDEX(RatingLookup!$C$2:$C$11,MATCH(A2008,RatingLookup!$A$2:$A$11,0))</f>
        <v>Investment Grade</v>
      </c>
    </row>
    <row r="2009" spans="1:36" x14ac:dyDescent="0.3">
      <c r="A2009" s="3" t="s">
        <v>42</v>
      </c>
      <c r="B2009" s="3" t="s">
        <v>2110</v>
      </c>
      <c r="C2009" s="3" t="s">
        <v>2111</v>
      </c>
      <c r="D2009" s="3" t="s">
        <v>44</v>
      </c>
      <c r="E2009" s="3" t="s">
        <v>499</v>
      </c>
      <c r="F2009" s="3" t="s">
        <v>59</v>
      </c>
      <c r="G2009" s="3">
        <v>3.8418013210000002</v>
      </c>
      <c r="H2009" s="3">
        <v>2.4068237830000001</v>
      </c>
      <c r="I2009" s="3">
        <v>0.92499345300000002</v>
      </c>
      <c r="J2009" s="3">
        <v>63.372786939999997</v>
      </c>
      <c r="K2009" s="3">
        <v>4.084745E-2</v>
      </c>
      <c r="L2009" s="3">
        <v>6.0484753000000002E-2</v>
      </c>
      <c r="M2009" s="3">
        <v>0.54183593500000005</v>
      </c>
      <c r="N2009" s="3">
        <v>6.8956766000000003E-2</v>
      </c>
      <c r="O2009" s="3">
        <v>2.6590124999999999E-2</v>
      </c>
      <c r="P2009" s="3">
        <v>4.5450415000000001E-2</v>
      </c>
      <c r="Q2009" s="3">
        <v>4.0658443000000002E-2</v>
      </c>
      <c r="R2009" s="3">
        <v>0.65096169800000003</v>
      </c>
      <c r="S2009" s="3">
        <v>5.0719715699999997</v>
      </c>
      <c r="T2009" s="3">
        <v>0.52908054599999998</v>
      </c>
      <c r="U2009" s="3">
        <v>0.34601221399999998</v>
      </c>
      <c r="V2009" s="3">
        <v>0.32466535400000002</v>
      </c>
      <c r="W2009" s="3">
        <v>1.0008232349999999</v>
      </c>
      <c r="X2009" s="3">
        <v>9.4728147939999996</v>
      </c>
      <c r="Y2009" s="3">
        <v>24.159682780000001</v>
      </c>
      <c r="Z2009" s="3">
        <v>1.5290805460000001</v>
      </c>
      <c r="AA2009" s="3">
        <v>6.0484753000000002E-2</v>
      </c>
      <c r="AB2009" s="3">
        <v>19.96900149</v>
      </c>
      <c r="AC2009" s="3">
        <v>9.4650228559999992</v>
      </c>
      <c r="AD2009" s="3">
        <v>0.125658148</v>
      </c>
      <c r="AE2009" s="3">
        <v>7.74856152</v>
      </c>
      <c r="AF2009" s="4">
        <v>41953</v>
      </c>
      <c r="AG2009" s="5">
        <f>YEAR(AF2009)</f>
        <v>2014</v>
      </c>
      <c r="AH2009" s="5" t="str">
        <f>"Q"&amp;ROUNDUP(MONTH(AF2009)/3,0)</f>
        <v>Q4</v>
      </c>
      <c r="AI2009" s="5">
        <f>INDEX(RatingLookup!$B$2:$B$11,MATCH(A2009,RatingLookup!$A$2:$A$11,0))</f>
        <v>7</v>
      </c>
      <c r="AJ2009" s="5" t="str">
        <f>INDEX(RatingLookup!$C$2:$C$11,MATCH(A2009,RatingLookup!$A$2:$A$11,0))</f>
        <v>Investment Grade</v>
      </c>
    </row>
    <row r="2010" spans="1:36" x14ac:dyDescent="0.3">
      <c r="A2010" s="3" t="s">
        <v>92</v>
      </c>
      <c r="B2010" s="3" t="s">
        <v>2112</v>
      </c>
      <c r="C2010" s="3" t="s">
        <v>2113</v>
      </c>
      <c r="D2010" s="3" t="s">
        <v>60</v>
      </c>
      <c r="E2010" s="3" t="s">
        <v>46</v>
      </c>
      <c r="F2010" s="3" t="s">
        <v>232</v>
      </c>
      <c r="G2010" s="3">
        <v>0.14366779199999999</v>
      </c>
      <c r="H2010" s="3">
        <v>0.14366779199999999</v>
      </c>
      <c r="I2010" s="3">
        <v>0.110984086</v>
      </c>
      <c r="J2010" s="3">
        <v>6.2528026839999997</v>
      </c>
      <c r="K2010" s="3">
        <v>0.219619336</v>
      </c>
      <c r="L2010" s="3">
        <v>0.30109492599999998</v>
      </c>
      <c r="M2010" s="3">
        <v>1</v>
      </c>
      <c r="N2010" s="3">
        <v>0.219619336</v>
      </c>
      <c r="O2010" s="3">
        <v>9.4098436999999993E-2</v>
      </c>
      <c r="P2010" s="3">
        <v>0.16637028600000001</v>
      </c>
      <c r="Q2010" s="3">
        <v>0.169257819</v>
      </c>
      <c r="R2010" s="3">
        <v>0.42846153100000001</v>
      </c>
      <c r="S2010" s="3">
        <v>17.838652</v>
      </c>
      <c r="T2010" s="3">
        <v>0.79873146100000003</v>
      </c>
      <c r="U2010" s="3">
        <v>0.444052644</v>
      </c>
      <c r="V2010" s="3">
        <v>0.270597686</v>
      </c>
      <c r="W2010" s="3">
        <v>0.94432018500000003</v>
      </c>
      <c r="X2010" s="3">
        <v>9.5494447690000008</v>
      </c>
      <c r="Y2010" s="3">
        <v>1.560315605</v>
      </c>
      <c r="Z2010" s="3">
        <v>1.798731461</v>
      </c>
      <c r="AA2010" s="3">
        <v>0.30109492599999998</v>
      </c>
      <c r="AB2010" s="3">
        <v>4.996143633</v>
      </c>
      <c r="AC2010" s="3">
        <v>10.11250731</v>
      </c>
      <c r="AD2010" s="3">
        <v>0.37701417399999998</v>
      </c>
      <c r="AE2010" s="3">
        <v>0</v>
      </c>
      <c r="AF2010" s="4">
        <v>41075</v>
      </c>
      <c r="AG2010" s="5">
        <f>YEAR(AF2010)</f>
        <v>2012</v>
      </c>
      <c r="AH2010" s="5" t="str">
        <f>"Q"&amp;ROUNDUP(MONTH(AF2010)/3,0)</f>
        <v>Q2</v>
      </c>
      <c r="AI2010" s="5">
        <f>INDEX(RatingLookup!$B$2:$B$11,MATCH(A2010,RatingLookup!$A$2:$A$11,0))</f>
        <v>6</v>
      </c>
      <c r="AJ2010" s="5" t="str">
        <f>INDEX(RatingLookup!$C$2:$C$11,MATCH(A2010,RatingLookup!$A$2:$A$11,0))</f>
        <v>Speculative Grade</v>
      </c>
    </row>
    <row r="2011" spans="1:36" x14ac:dyDescent="0.3">
      <c r="A2011" s="3" t="s">
        <v>42</v>
      </c>
      <c r="B2011" s="3" t="s">
        <v>2114</v>
      </c>
      <c r="C2011" s="3" t="s">
        <v>2115</v>
      </c>
      <c r="D2011" s="3" t="s">
        <v>44</v>
      </c>
      <c r="E2011" s="3" t="s">
        <v>1351</v>
      </c>
      <c r="F2011" s="3" t="s">
        <v>96</v>
      </c>
      <c r="G2011" s="3">
        <v>1.3292275950000001</v>
      </c>
      <c r="H2011" s="3">
        <v>0.73405542099999999</v>
      </c>
      <c r="I2011" s="3">
        <v>0.66913144899999999</v>
      </c>
      <c r="J2011" s="3">
        <v>0</v>
      </c>
      <c r="K2011" s="3">
        <v>0.10050906699999999</v>
      </c>
      <c r="L2011" s="3">
        <v>0.114490693</v>
      </c>
      <c r="M2011" s="3">
        <v>1</v>
      </c>
      <c r="N2011" s="3">
        <v>0.13071023900000001</v>
      </c>
      <c r="O2011" s="3">
        <v>4.9507782E-2</v>
      </c>
      <c r="P2011" s="3">
        <v>0.11376161899999999</v>
      </c>
      <c r="Q2011" s="3">
        <v>0.119151993</v>
      </c>
      <c r="R2011" s="3">
        <v>0.49257031200000001</v>
      </c>
      <c r="S2011" s="3">
        <v>6.8702718679999997</v>
      </c>
      <c r="T2011" s="3">
        <v>1.4067325850000001</v>
      </c>
      <c r="U2011" s="3">
        <v>0.58449891499999995</v>
      </c>
      <c r="V2011" s="3">
        <v>0.122120198</v>
      </c>
      <c r="W2011" s="3">
        <v>0.87430617399999999</v>
      </c>
      <c r="X2011" s="3">
        <v>0.97728243299999995</v>
      </c>
      <c r="Y2011" s="3">
        <v>3.6089980910000001</v>
      </c>
      <c r="Z2011" s="3">
        <v>2.4067325849999999</v>
      </c>
      <c r="AA2011" s="3">
        <v>0.13071023900000001</v>
      </c>
      <c r="AB2011" s="3">
        <v>14.09236422</v>
      </c>
      <c r="AC2011" s="3">
        <v>1.1177805460000001</v>
      </c>
      <c r="AD2011" s="3">
        <v>0.20033878799999999</v>
      </c>
      <c r="AE2011" s="3">
        <v>0</v>
      </c>
      <c r="AF2011" s="4">
        <v>42404</v>
      </c>
      <c r="AG2011" s="5">
        <f>YEAR(AF2011)</f>
        <v>2016</v>
      </c>
      <c r="AH2011" s="5" t="str">
        <f>"Q"&amp;ROUNDUP(MONTH(AF2011)/3,0)</f>
        <v>Q1</v>
      </c>
      <c r="AI2011" s="5">
        <f>INDEX(RatingLookup!$B$2:$B$11,MATCH(A2011,RatingLookup!$A$2:$A$11,0))</f>
        <v>7</v>
      </c>
      <c r="AJ2011" s="5" t="str">
        <f>INDEX(RatingLookup!$C$2:$C$11,MATCH(A2011,RatingLookup!$A$2:$A$11,0))</f>
        <v>Investment Grade</v>
      </c>
    </row>
    <row r="2012" spans="1:36" x14ac:dyDescent="0.3">
      <c r="A2012" s="3" t="s">
        <v>92</v>
      </c>
      <c r="B2012" s="3" t="s">
        <v>2116</v>
      </c>
      <c r="C2012" s="3" t="s">
        <v>2117</v>
      </c>
      <c r="D2012" s="3" t="s">
        <v>47</v>
      </c>
      <c r="E2012" s="3" t="s">
        <v>726</v>
      </c>
      <c r="F2012" s="3" t="s">
        <v>96</v>
      </c>
      <c r="G2012" s="3">
        <v>1.1416242750000001</v>
      </c>
      <c r="H2012" s="3">
        <v>0.76255062699999998</v>
      </c>
      <c r="I2012" s="3">
        <v>0.44295272699999999</v>
      </c>
      <c r="J2012" s="3">
        <v>57.363739420000002</v>
      </c>
      <c r="K2012" s="3">
        <v>3.7886718E-2</v>
      </c>
      <c r="L2012" s="3">
        <v>2.1131383E-2</v>
      </c>
      <c r="M2012" s="3">
        <v>0.73333110300000004</v>
      </c>
      <c r="N2012" s="3">
        <v>3.3153766000000001E-2</v>
      </c>
      <c r="O2012" s="3">
        <v>2.1519851999999999E-2</v>
      </c>
      <c r="P2012" s="3">
        <v>1.6654601000000002E-2</v>
      </c>
      <c r="Q2012" s="3">
        <v>5.5287844000000003E-2</v>
      </c>
      <c r="R2012" s="3">
        <v>0.56800516599999995</v>
      </c>
      <c r="S2012" s="3">
        <v>19.263405049999999</v>
      </c>
      <c r="T2012" s="3">
        <v>1.5691554350000001</v>
      </c>
      <c r="U2012" s="3">
        <v>0.61076702999999999</v>
      </c>
      <c r="V2012" s="3">
        <v>-0.79291234700000002</v>
      </c>
      <c r="W2012" s="3">
        <v>0.82975270000000001</v>
      </c>
      <c r="X2012" s="3">
        <v>1.300588107</v>
      </c>
      <c r="Y2012" s="3">
        <v>2.382199956</v>
      </c>
      <c r="Z2012" s="3">
        <v>2.5691554349999999</v>
      </c>
      <c r="AA2012" s="3">
        <v>2.1131383E-2</v>
      </c>
      <c r="AB2012" s="3">
        <v>35.401581919999998</v>
      </c>
      <c r="AC2012" s="3">
        <v>1.567440645</v>
      </c>
      <c r="AD2012" s="3">
        <v>0.143321368</v>
      </c>
      <c r="AE2012" s="3">
        <v>25.053064890000002</v>
      </c>
      <c r="AF2012" s="4">
        <v>42492</v>
      </c>
      <c r="AG2012" s="5">
        <f>YEAR(AF2012)</f>
        <v>2016</v>
      </c>
      <c r="AH2012" s="5" t="str">
        <f>"Q"&amp;ROUNDUP(MONTH(AF2012)/3,0)</f>
        <v>Q2</v>
      </c>
      <c r="AI2012" s="5">
        <f>INDEX(RatingLookup!$B$2:$B$11,MATCH(A2012,RatingLookup!$A$2:$A$11,0))</f>
        <v>6</v>
      </c>
      <c r="AJ2012" s="5" t="str">
        <f>INDEX(RatingLookup!$C$2:$C$11,MATCH(A2012,RatingLookup!$A$2:$A$11,0))</f>
        <v>Speculative Grade</v>
      </c>
    </row>
    <row r="2013" spans="1:36" x14ac:dyDescent="0.3">
      <c r="A2013" s="3" t="s">
        <v>36</v>
      </c>
      <c r="B2013" s="3" t="s">
        <v>2118</v>
      </c>
      <c r="C2013" s="3" t="s">
        <v>2119</v>
      </c>
      <c r="D2013" s="3" t="s">
        <v>47</v>
      </c>
      <c r="E2013" s="3" t="s">
        <v>594</v>
      </c>
      <c r="F2013" s="3" t="s">
        <v>219</v>
      </c>
      <c r="G2013" s="3">
        <v>1.297061883</v>
      </c>
      <c r="H2013" s="3">
        <v>1.141054126</v>
      </c>
      <c r="I2013" s="3">
        <v>9.4720515000000005E-2</v>
      </c>
      <c r="J2013" s="3">
        <v>75.116282889999994</v>
      </c>
      <c r="K2013" s="3">
        <v>8.9435441000000004E-2</v>
      </c>
      <c r="L2013" s="3">
        <v>0.13761542600000001</v>
      </c>
      <c r="M2013" s="3">
        <v>0.42405358799999998</v>
      </c>
      <c r="N2013" s="3">
        <v>0.163304429</v>
      </c>
      <c r="O2013" s="3">
        <v>3.7731951E-2</v>
      </c>
      <c r="P2013" s="3">
        <v>6.3312882000000001E-2</v>
      </c>
      <c r="Q2013" s="3">
        <v>9.7822953000000004E-2</v>
      </c>
      <c r="R2013" s="3">
        <v>0.42189037000000001</v>
      </c>
      <c r="S2013" s="3">
        <v>4.486026184</v>
      </c>
      <c r="T2013" s="3">
        <v>1.5925760410000001</v>
      </c>
      <c r="U2013" s="3">
        <v>0.614283252</v>
      </c>
      <c r="V2013" s="3">
        <v>0.34775265399999999</v>
      </c>
      <c r="W2013" s="3">
        <v>0.70598829699999999</v>
      </c>
      <c r="X2013" s="3">
        <v>3.2440698779999999</v>
      </c>
      <c r="Y2013" s="3">
        <v>0.65575494999999995</v>
      </c>
      <c r="Z2013" s="3">
        <v>2.5925760410000001</v>
      </c>
      <c r="AA2013" s="3">
        <v>0.13761542600000001</v>
      </c>
      <c r="AB2013" s="3">
        <v>21.757729149999999</v>
      </c>
      <c r="AC2013" s="3">
        <v>4.5950759980000004</v>
      </c>
      <c r="AD2013" s="3">
        <v>0.130723385</v>
      </c>
      <c r="AE2013" s="3">
        <v>11.112994459999999</v>
      </c>
      <c r="AF2013" s="4">
        <v>42454</v>
      </c>
      <c r="AG2013" s="5">
        <f>YEAR(AF2013)</f>
        <v>2016</v>
      </c>
      <c r="AH2013" s="5" t="str">
        <f>"Q"&amp;ROUNDUP(MONTH(AF2013)/3,0)</f>
        <v>Q1</v>
      </c>
      <c r="AI2013" s="5">
        <f>INDEX(RatingLookup!$B$2:$B$11,MATCH(A2013,RatingLookup!$A$2:$A$11,0))</f>
        <v>8</v>
      </c>
      <c r="AJ2013" s="5" t="str">
        <f>INDEX(RatingLookup!$C$2:$C$11,MATCH(A2013,RatingLookup!$A$2:$A$11,0))</f>
        <v>Investment Grade</v>
      </c>
    </row>
    <row r="2014" spans="1:36" x14ac:dyDescent="0.3">
      <c r="A2014" s="3" t="s">
        <v>36</v>
      </c>
      <c r="B2014" s="3" t="s">
        <v>2118</v>
      </c>
      <c r="C2014" s="3" t="s">
        <v>2119</v>
      </c>
      <c r="D2014" s="3" t="s">
        <v>47</v>
      </c>
      <c r="E2014" s="3" t="s">
        <v>465</v>
      </c>
      <c r="F2014" s="3" t="s">
        <v>219</v>
      </c>
      <c r="G2014" s="3">
        <v>1.4250966650000001</v>
      </c>
      <c r="H2014" s="3">
        <v>1.251080864</v>
      </c>
      <c r="I2014" s="3">
        <v>8.1401411000000007E-2</v>
      </c>
      <c r="J2014" s="3">
        <v>65.052493560000002</v>
      </c>
      <c r="K2014" s="3">
        <v>5.7927902000000003E-2</v>
      </c>
      <c r="L2014" s="3">
        <v>9.2114962999999994E-2</v>
      </c>
      <c r="M2014" s="3">
        <v>0.42161982199999998</v>
      </c>
      <c r="N2014" s="3">
        <v>0.12176680400000001</v>
      </c>
      <c r="O2014" s="3">
        <v>2.9564067999999999E-2</v>
      </c>
      <c r="P2014" s="3">
        <v>5.0976292999999999E-2</v>
      </c>
      <c r="Q2014" s="3">
        <v>7.3548946000000004E-2</v>
      </c>
      <c r="R2014" s="3">
        <v>0.51035972299999999</v>
      </c>
      <c r="S2014" s="3">
        <v>4.9210823680000004</v>
      </c>
      <c r="T2014" s="3">
        <v>1.4877816420000001</v>
      </c>
      <c r="U2014" s="3">
        <v>0.59803546100000005</v>
      </c>
      <c r="V2014" s="3">
        <v>0.36644166500000003</v>
      </c>
      <c r="W2014" s="3">
        <v>0.75119187099999996</v>
      </c>
      <c r="X2014" s="3">
        <v>4.8401904379999996</v>
      </c>
      <c r="Y2014" s="3">
        <v>0.52101434700000004</v>
      </c>
      <c r="Z2014" s="3">
        <v>2.4877816419999998</v>
      </c>
      <c r="AA2014" s="3">
        <v>9.2114962999999994E-2</v>
      </c>
      <c r="AB2014" s="3">
        <v>13.67623936</v>
      </c>
      <c r="AC2014" s="3">
        <v>6.4433477339999996</v>
      </c>
      <c r="AD2014" s="3">
        <v>0.15362056800000001</v>
      </c>
      <c r="AE2014" s="3">
        <v>12.897887900000001</v>
      </c>
      <c r="AF2014" s="4">
        <v>42668</v>
      </c>
      <c r="AG2014" s="5">
        <f>YEAR(AF2014)</f>
        <v>2016</v>
      </c>
      <c r="AH2014" s="5" t="str">
        <f>"Q"&amp;ROUNDUP(MONTH(AF2014)/3,0)</f>
        <v>Q4</v>
      </c>
      <c r="AI2014" s="5">
        <f>INDEX(RatingLookup!$B$2:$B$11,MATCH(A2014,RatingLookup!$A$2:$A$11,0))</f>
        <v>8</v>
      </c>
      <c r="AJ2014" s="5" t="str">
        <f>INDEX(RatingLookup!$C$2:$C$11,MATCH(A2014,RatingLookup!$A$2:$A$11,0))</f>
        <v>Investment Grade</v>
      </c>
    </row>
    <row r="2015" spans="1:36" x14ac:dyDescent="0.3">
      <c r="A2015" s="3" t="s">
        <v>92</v>
      </c>
      <c r="B2015" s="3" t="s">
        <v>2120</v>
      </c>
      <c r="C2015" s="3" t="s">
        <v>2121</v>
      </c>
      <c r="D2015" s="3" t="s">
        <v>47</v>
      </c>
      <c r="E2015" s="3" t="s">
        <v>1420</v>
      </c>
      <c r="F2015" s="3" t="s">
        <v>219</v>
      </c>
      <c r="G2015" s="3">
        <v>1.825</v>
      </c>
      <c r="H2015" s="3">
        <v>1.3374999999999999</v>
      </c>
      <c r="I2015" s="3">
        <v>0.43</v>
      </c>
      <c r="J2015" s="3">
        <v>68.685847589999995</v>
      </c>
      <c r="K2015" s="3">
        <v>0.14152410600000001</v>
      </c>
      <c r="L2015" s="3">
        <v>0.21824779699999999</v>
      </c>
      <c r="M2015" s="3">
        <v>0.387765682</v>
      </c>
      <c r="N2015" s="3">
        <v>0.195438051</v>
      </c>
      <c r="O2015" s="3">
        <v>0.14958904100000001</v>
      </c>
      <c r="P2015" s="3">
        <v>0.30175438599999999</v>
      </c>
      <c r="Q2015" s="3">
        <v>-0.82727272699999999</v>
      </c>
      <c r="R2015" s="3">
        <v>1.056986301</v>
      </c>
      <c r="S2015" s="3">
        <v>5.9537037039999996</v>
      </c>
      <c r="T2015" s="3">
        <v>-6.5303030299999998</v>
      </c>
      <c r="U2015" s="3">
        <v>1.1808219179999999</v>
      </c>
      <c r="V2015" s="3">
        <v>0.35154394300000003</v>
      </c>
      <c r="W2015" s="3">
        <v>0.78778135000000005</v>
      </c>
      <c r="X2015" s="3">
        <v>1.2250000000000001</v>
      </c>
      <c r="Y2015" s="3">
        <v>0.86</v>
      </c>
      <c r="Z2015" s="3">
        <v>-5.5303030299999998</v>
      </c>
      <c r="AA2015" s="3">
        <v>0.222913427</v>
      </c>
      <c r="AB2015" s="3">
        <v>11.091880339999999</v>
      </c>
      <c r="AC2015" s="3">
        <v>1.5549999999999999</v>
      </c>
      <c r="AD2015" s="3">
        <v>0.161223432</v>
      </c>
      <c r="AE2015" s="3">
        <v>6.6723163840000002</v>
      </c>
      <c r="AF2015" s="4">
        <v>42647</v>
      </c>
      <c r="AG2015" s="5">
        <f>YEAR(AF2015)</f>
        <v>2016</v>
      </c>
      <c r="AH2015" s="5" t="str">
        <f>"Q"&amp;ROUNDUP(MONTH(AF2015)/3,0)</f>
        <v>Q4</v>
      </c>
      <c r="AI2015" s="5">
        <f>INDEX(RatingLookup!$B$2:$B$11,MATCH(A2015,RatingLookup!$A$2:$A$11,0))</f>
        <v>6</v>
      </c>
      <c r="AJ2015" s="5" t="str">
        <f>INDEX(RatingLookup!$C$2:$C$11,MATCH(A2015,RatingLookup!$A$2:$A$11,0))</f>
        <v>Speculative Grade</v>
      </c>
    </row>
    <row r="2016" spans="1:36" x14ac:dyDescent="0.3">
      <c r="A2016" s="3" t="s">
        <v>109</v>
      </c>
      <c r="B2016" s="3" t="s">
        <v>2122</v>
      </c>
      <c r="C2016" s="3" t="s">
        <v>2123</v>
      </c>
      <c r="D2016" s="3" t="s">
        <v>44</v>
      </c>
      <c r="E2016" s="3" t="s">
        <v>741</v>
      </c>
      <c r="F2016" s="3" t="s">
        <v>53</v>
      </c>
      <c r="G2016" s="3">
        <v>2.2516517330000001</v>
      </c>
      <c r="H2016" s="3">
        <v>1.737717009</v>
      </c>
      <c r="I2016" s="3">
        <v>1.2363343440000001</v>
      </c>
      <c r="J2016" s="3">
        <v>25.524917930000001</v>
      </c>
      <c r="K2016" s="3">
        <v>0.31648122099999998</v>
      </c>
      <c r="L2016" s="3">
        <v>0.65508452100000003</v>
      </c>
      <c r="M2016" s="3">
        <v>1</v>
      </c>
      <c r="N2016" s="3">
        <v>0.65508452100000003</v>
      </c>
      <c r="O2016" s="3">
        <v>9.3976452000000002E-2</v>
      </c>
      <c r="P2016" s="3">
        <v>0.229108219</v>
      </c>
      <c r="Q2016" s="3">
        <v>0.208647165</v>
      </c>
      <c r="R2016" s="3">
        <v>0.29694163600000001</v>
      </c>
      <c r="S2016" s="3">
        <v>0.49457376199999997</v>
      </c>
      <c r="T2016" s="3">
        <v>1.220206892</v>
      </c>
      <c r="U2016" s="3">
        <v>0.54959152499999997</v>
      </c>
      <c r="V2016" s="3">
        <v>0.51688490499999995</v>
      </c>
      <c r="W2016" s="3">
        <v>1</v>
      </c>
      <c r="X2016" s="3">
        <v>1.169809729</v>
      </c>
      <c r="Y2016" s="3">
        <v>1.8937644220000001</v>
      </c>
      <c r="Z2016" s="3">
        <v>2.2202068920000002</v>
      </c>
      <c r="AA2016" s="3">
        <v>0.65508452100000003</v>
      </c>
      <c r="AB2016" s="3">
        <v>4.5577536930000004</v>
      </c>
      <c r="AC2016" s="3">
        <v>1.169809729</v>
      </c>
      <c r="AD2016" s="3">
        <v>0.502511504</v>
      </c>
      <c r="AE2016" s="3">
        <v>0</v>
      </c>
      <c r="AF2016" s="4">
        <v>42108</v>
      </c>
      <c r="AG2016" s="5">
        <f>YEAR(AF2016)</f>
        <v>2015</v>
      </c>
      <c r="AH2016" s="5" t="str">
        <f>"Q"&amp;ROUNDUP(MONTH(AF2016)/3,0)</f>
        <v>Q2</v>
      </c>
      <c r="AI2016" s="5">
        <f>INDEX(RatingLookup!$B$2:$B$11,MATCH(A2016,RatingLookup!$A$2:$A$11,0))</f>
        <v>5</v>
      </c>
      <c r="AJ2016" s="5" t="str">
        <f>INDEX(RatingLookup!$C$2:$C$11,MATCH(A2016,RatingLookup!$A$2:$A$11,0))</f>
        <v>Speculative Grade</v>
      </c>
    </row>
    <row r="2017" spans="1:36" x14ac:dyDescent="0.3">
      <c r="A2017" s="3" t="s">
        <v>109</v>
      </c>
      <c r="B2017" s="3" t="s">
        <v>2124</v>
      </c>
      <c r="C2017" s="3" t="s">
        <v>2125</v>
      </c>
      <c r="D2017" s="3" t="s">
        <v>60</v>
      </c>
      <c r="E2017" s="3" t="s">
        <v>46</v>
      </c>
      <c r="F2017" s="3" t="s">
        <v>219</v>
      </c>
      <c r="G2017" s="3">
        <v>2.508215962</v>
      </c>
      <c r="H2017" s="3">
        <v>1.4471830990000001</v>
      </c>
      <c r="I2017" s="3">
        <v>0.31748826299999999</v>
      </c>
      <c r="J2017" s="3">
        <v>38.162648650000001</v>
      </c>
      <c r="K2017" s="3">
        <v>2.3978165999999999E-2</v>
      </c>
      <c r="L2017" s="3">
        <v>3.4115276999999999E-2</v>
      </c>
      <c r="M2017" s="3">
        <v>0.13191240500000001</v>
      </c>
      <c r="N2017" s="3">
        <v>5.1335368999999999E-2</v>
      </c>
      <c r="O2017" s="3">
        <v>5.0499520999999999E-2</v>
      </c>
      <c r="P2017" s="3">
        <v>9.3699803999999998E-2</v>
      </c>
      <c r="Q2017" s="3">
        <v>0.38924050599999999</v>
      </c>
      <c r="R2017" s="3">
        <v>2.10606268</v>
      </c>
      <c r="S2017" s="3">
        <v>9.8901028279999998</v>
      </c>
      <c r="T2017" s="3">
        <v>6.707805907</v>
      </c>
      <c r="U2017" s="3">
        <v>0.87026139300000005</v>
      </c>
      <c r="V2017" s="3">
        <v>0.28380952399999998</v>
      </c>
      <c r="W2017" s="3">
        <v>0.56827048099999999</v>
      </c>
      <c r="X2017" s="3">
        <v>2.121462207</v>
      </c>
      <c r="Y2017" s="3">
        <v>4.1603961360000001</v>
      </c>
      <c r="Z2017" s="3">
        <v>7.707805907</v>
      </c>
      <c r="AA2017" s="3">
        <v>3.4115276999999999E-2</v>
      </c>
      <c r="AB2017" s="3">
        <v>8.0460885760000007</v>
      </c>
      <c r="AC2017" s="3">
        <v>3.7331909319999999</v>
      </c>
      <c r="AD2017" s="3">
        <v>4.9970757999999997E-2</v>
      </c>
      <c r="AE2017" s="3">
        <v>13.084231150000001</v>
      </c>
      <c r="AF2017" s="4">
        <v>41075</v>
      </c>
      <c r="AG2017" s="5">
        <f>YEAR(AF2017)</f>
        <v>2012</v>
      </c>
      <c r="AH2017" s="5" t="str">
        <f>"Q"&amp;ROUNDUP(MONTH(AF2017)/3,0)</f>
        <v>Q2</v>
      </c>
      <c r="AI2017" s="5">
        <f>INDEX(RatingLookup!$B$2:$B$11,MATCH(A2017,RatingLookup!$A$2:$A$11,0))</f>
        <v>5</v>
      </c>
      <c r="AJ2017" s="5" t="str">
        <f>INDEX(RatingLookup!$C$2:$C$11,MATCH(A2017,RatingLookup!$A$2:$A$11,0))</f>
        <v>Speculative Grade</v>
      </c>
    </row>
    <row r="2018" spans="1:36" x14ac:dyDescent="0.3">
      <c r="A2018" s="3" t="s">
        <v>42</v>
      </c>
      <c r="B2018" s="3" t="s">
        <v>2126</v>
      </c>
      <c r="C2018" s="3" t="s">
        <v>2127</v>
      </c>
      <c r="D2018" s="3" t="s">
        <v>44</v>
      </c>
      <c r="E2018" s="3" t="s">
        <v>46</v>
      </c>
      <c r="F2018" s="3" t="s">
        <v>96</v>
      </c>
      <c r="G2018" s="3">
        <v>1.8553277509999999</v>
      </c>
      <c r="H2018" s="3">
        <v>1.3416113199999999</v>
      </c>
      <c r="I2018" s="3">
        <v>0.77302916499999996</v>
      </c>
      <c r="J2018" s="3">
        <v>49.737945490000001</v>
      </c>
      <c r="K2018" s="3">
        <v>4.6577340000000002E-2</v>
      </c>
      <c r="L2018" s="3">
        <v>9.1149390000000007E-3</v>
      </c>
      <c r="M2018" s="3">
        <v>0.19560659899999999</v>
      </c>
      <c r="N2018" s="3">
        <v>7.3466410999999995E-2</v>
      </c>
      <c r="O2018" s="3">
        <v>5.5392954000000001E-2</v>
      </c>
      <c r="P2018" s="3">
        <v>1.7355084999999999E-2</v>
      </c>
      <c r="Q2018" s="3">
        <v>0.207470564</v>
      </c>
      <c r="R2018" s="3">
        <v>1.189268293</v>
      </c>
      <c r="S2018" s="3">
        <v>4.8868596880000004</v>
      </c>
      <c r="T2018" s="3">
        <v>2.7454323999999999</v>
      </c>
      <c r="U2018" s="3">
        <v>0.73300812999999998</v>
      </c>
      <c r="V2018" s="3">
        <v>0.68</v>
      </c>
      <c r="W2018" s="3">
        <v>0.33306962000000001</v>
      </c>
      <c r="X2018" s="3">
        <v>0.93348115300000001</v>
      </c>
      <c r="Y2018" s="3">
        <v>6.9866962309999998</v>
      </c>
      <c r="Z2018" s="3">
        <v>3.7454323999999999</v>
      </c>
      <c r="AA2018" s="3">
        <v>9.1149390000000007E-3</v>
      </c>
      <c r="AB2018" s="3">
        <v>4.5508910260000004</v>
      </c>
      <c r="AC2018" s="3">
        <v>2.8026607540000001</v>
      </c>
      <c r="AD2018" s="3">
        <v>0.115212834</v>
      </c>
      <c r="AE2018" s="3">
        <v>4.2777508480000002</v>
      </c>
      <c r="AF2018" s="4">
        <v>41075</v>
      </c>
      <c r="AG2018" s="5">
        <f>YEAR(AF2018)</f>
        <v>2012</v>
      </c>
      <c r="AH2018" s="5" t="str">
        <f>"Q"&amp;ROUNDUP(MONTH(AF2018)/3,0)</f>
        <v>Q2</v>
      </c>
      <c r="AI2018" s="5">
        <f>INDEX(RatingLookup!$B$2:$B$11,MATCH(A2018,RatingLookup!$A$2:$A$11,0))</f>
        <v>7</v>
      </c>
      <c r="AJ2018" s="5" t="str">
        <f>INDEX(RatingLookup!$C$2:$C$11,MATCH(A2018,RatingLookup!$A$2:$A$11,0))</f>
        <v>Investment Grade</v>
      </c>
    </row>
    <row r="2019" spans="1:36" x14ac:dyDescent="0.3">
      <c r="A2019" s="3" t="s">
        <v>92</v>
      </c>
      <c r="B2019" s="3" t="s">
        <v>2128</v>
      </c>
      <c r="C2019" s="3" t="s">
        <v>2129</v>
      </c>
      <c r="D2019" s="3" t="s">
        <v>60</v>
      </c>
      <c r="E2019" s="3" t="s">
        <v>46</v>
      </c>
      <c r="F2019" s="3" t="s">
        <v>174</v>
      </c>
      <c r="G2019" s="3">
        <v>1.7747382</v>
      </c>
      <c r="H2019" s="3">
        <v>0.29528759399999999</v>
      </c>
      <c r="I2019" s="3">
        <v>0.29528759399999999</v>
      </c>
      <c r="J2019" s="3">
        <v>0</v>
      </c>
      <c r="K2019" s="3">
        <v>4.6448375E-2</v>
      </c>
      <c r="L2019" s="3">
        <v>7.5088275999999995E-2</v>
      </c>
      <c r="M2019" s="3">
        <v>0.14505422000000001</v>
      </c>
      <c r="N2019" s="3">
        <v>7.9217917999999998E-2</v>
      </c>
      <c r="O2019" s="3">
        <v>7.5733180999999997E-2</v>
      </c>
      <c r="P2019" s="3">
        <v>0.15701352099999999</v>
      </c>
      <c r="Q2019" s="3">
        <v>0.122382505</v>
      </c>
      <c r="R2019" s="3">
        <v>1.6304807509999999</v>
      </c>
      <c r="S2019" s="3">
        <v>60.503467899999997</v>
      </c>
      <c r="T2019" s="3">
        <v>0.61596941800000005</v>
      </c>
      <c r="U2019" s="3">
        <v>0.38117640800000002</v>
      </c>
      <c r="V2019" s="3">
        <v>0.38141641399999998</v>
      </c>
      <c r="W2019" s="3">
        <v>0.75396986700000002</v>
      </c>
      <c r="X2019" s="3">
        <v>12.61203053</v>
      </c>
      <c r="Y2019" s="3">
        <v>8.6513262300000005</v>
      </c>
      <c r="Z2019" s="3">
        <v>1.6159694179999999</v>
      </c>
      <c r="AA2019" s="3">
        <v>7.5088275999999995E-2</v>
      </c>
      <c r="AB2019" s="3">
        <v>1.933007471</v>
      </c>
      <c r="AC2019" s="3">
        <v>16.727499430000002</v>
      </c>
      <c r="AD2019" s="3">
        <v>7.7127661E-2</v>
      </c>
      <c r="AE2019" s="3">
        <v>8.7544786049999992</v>
      </c>
      <c r="AF2019" s="4">
        <v>41075</v>
      </c>
      <c r="AG2019" s="5">
        <f>YEAR(AF2019)</f>
        <v>2012</v>
      </c>
      <c r="AH2019" s="5" t="str">
        <f>"Q"&amp;ROUNDUP(MONTH(AF2019)/3,0)</f>
        <v>Q2</v>
      </c>
      <c r="AI2019" s="5">
        <f>INDEX(RatingLookup!$B$2:$B$11,MATCH(A2019,RatingLookup!$A$2:$A$11,0))</f>
        <v>6</v>
      </c>
      <c r="AJ2019" s="5" t="str">
        <f>INDEX(RatingLookup!$C$2:$C$11,MATCH(A2019,RatingLookup!$A$2:$A$11,0))</f>
        <v>Speculative Grade</v>
      </c>
    </row>
    <row r="2020" spans="1:36" x14ac:dyDescent="0.3">
      <c r="A2020" s="3" t="s">
        <v>116</v>
      </c>
      <c r="B2020" s="3" t="s">
        <v>2130</v>
      </c>
      <c r="C2020" s="3" t="s">
        <v>2131</v>
      </c>
      <c r="D2020" s="3" t="s">
        <v>47</v>
      </c>
      <c r="E2020" s="3" t="s">
        <v>829</v>
      </c>
      <c r="F2020" s="3" t="s">
        <v>53</v>
      </c>
      <c r="G2020" s="3">
        <v>1.5621774230000001</v>
      </c>
      <c r="H2020" s="3">
        <v>1.529114104</v>
      </c>
      <c r="I2020" s="3">
        <v>4.3402453000000001E-2</v>
      </c>
      <c r="J2020" s="3">
        <v>68.267327480000006</v>
      </c>
      <c r="K2020" s="3">
        <v>-3.54600347</v>
      </c>
      <c r="L2020" s="3">
        <v>-4.2819378400000003</v>
      </c>
      <c r="M2020" s="3">
        <v>0.73214821900000004</v>
      </c>
      <c r="N2020" s="3">
        <v>-4.0696531489999996</v>
      </c>
      <c r="O2020" s="3">
        <v>-1.351972138</v>
      </c>
      <c r="P2020" s="3">
        <v>-1.740075957</v>
      </c>
      <c r="Q2020" s="3">
        <v>4.9359519550000002</v>
      </c>
      <c r="R2020" s="3">
        <v>0.38126644500000001</v>
      </c>
      <c r="S2020" s="3">
        <v>0.46673663599999998</v>
      </c>
      <c r="T2020" s="3">
        <v>-4.6509272770000001</v>
      </c>
      <c r="U2020" s="3">
        <v>1.2739030179999999</v>
      </c>
      <c r="V2020" s="3">
        <v>0.171869466</v>
      </c>
      <c r="W2020" s="3">
        <v>-0.16970559299999999</v>
      </c>
      <c r="X2020" s="3">
        <v>-0.66581199999999996</v>
      </c>
      <c r="Y2020" s="3">
        <v>1.080070788</v>
      </c>
      <c r="Z2020" s="3">
        <v>-3.6509272770000001</v>
      </c>
      <c r="AA2020" s="3">
        <v>-4.0697625479999999</v>
      </c>
      <c r="AB2020" s="3">
        <v>-1.1649333230000001</v>
      </c>
      <c r="AC2020" s="3">
        <v>3.9233356260000001</v>
      </c>
      <c r="AD2020" s="3">
        <v>0.89805148400000001</v>
      </c>
      <c r="AE2020" s="3">
        <v>1.127917241</v>
      </c>
      <c r="AF2020" s="4">
        <v>42468</v>
      </c>
      <c r="AG2020" s="5">
        <f>YEAR(AF2020)</f>
        <v>2016</v>
      </c>
      <c r="AH2020" s="5" t="str">
        <f>"Q"&amp;ROUNDUP(MONTH(AF2020)/3,0)</f>
        <v>Q2</v>
      </c>
      <c r="AI2020" s="5">
        <f>INDEX(RatingLookup!$B$2:$B$11,MATCH(A2020,RatingLookup!$A$2:$A$11,0))</f>
        <v>4</v>
      </c>
      <c r="AJ2020" s="5" t="str">
        <f>INDEX(RatingLookup!$C$2:$C$11,MATCH(A2020,RatingLookup!$A$2:$A$11,0))</f>
        <v>Speculative Grade</v>
      </c>
    </row>
    <row r="2021" spans="1:36" x14ac:dyDescent="0.3">
      <c r="A2021" s="3" t="s">
        <v>109</v>
      </c>
      <c r="B2021" s="3" t="s">
        <v>2132</v>
      </c>
      <c r="C2021" s="3" t="s">
        <v>2133</v>
      </c>
      <c r="D2021" s="3" t="s">
        <v>47</v>
      </c>
      <c r="E2021" s="3" t="s">
        <v>2134</v>
      </c>
      <c r="F2021" s="3" t="s">
        <v>174</v>
      </c>
      <c r="G2021" s="3">
        <v>0.887234835</v>
      </c>
      <c r="H2021" s="3">
        <v>0.86467703200000001</v>
      </c>
      <c r="I2021" s="3">
        <v>5.3051534999999997E-2</v>
      </c>
      <c r="J2021" s="3">
        <v>228.85488910000001</v>
      </c>
      <c r="K2021" s="3">
        <v>0.26897227099999999</v>
      </c>
      <c r="L2021" s="3">
        <v>0.36408942300000002</v>
      </c>
      <c r="M2021" s="3">
        <v>0.64083302200000003</v>
      </c>
      <c r="N2021" s="3">
        <v>0.37954442100000002</v>
      </c>
      <c r="O2021" s="3">
        <v>6.3183053000000003E-2</v>
      </c>
      <c r="P2021" s="3">
        <v>0.112262138</v>
      </c>
      <c r="Q2021" s="3">
        <v>0.14811951200000001</v>
      </c>
      <c r="R2021" s="3">
        <v>0.23490545099999999</v>
      </c>
      <c r="S2021" s="3">
        <v>0.49146097300000002</v>
      </c>
      <c r="T2021" s="3">
        <v>1.109961274</v>
      </c>
      <c r="U2021" s="3">
        <v>0.47347402799999999</v>
      </c>
      <c r="V2021" s="3">
        <v>0.26124667699999998</v>
      </c>
      <c r="W2021" s="3">
        <v>0.58179398500000001</v>
      </c>
      <c r="X2021" s="3">
        <v>0.37848610599999999</v>
      </c>
      <c r="Y2021" s="3">
        <v>0.57085957799999998</v>
      </c>
      <c r="Z2021" s="3">
        <v>2.3442917859999999</v>
      </c>
      <c r="AA2021" s="3">
        <v>0.36408942300000002</v>
      </c>
      <c r="AB2021" s="3">
        <v>12.241042220000001</v>
      </c>
      <c r="AC2021" s="3">
        <v>0.65055004999999999</v>
      </c>
      <c r="AD2021" s="3">
        <v>0.28447865500000002</v>
      </c>
      <c r="AE2021" s="3">
        <v>0.70223793599999995</v>
      </c>
      <c r="AF2021" s="4">
        <v>40529</v>
      </c>
      <c r="AG2021" s="5">
        <f>YEAR(AF2021)</f>
        <v>2010</v>
      </c>
      <c r="AH2021" s="5" t="str">
        <f>"Q"&amp;ROUNDUP(MONTH(AF2021)/3,0)</f>
        <v>Q4</v>
      </c>
      <c r="AI2021" s="5">
        <f>INDEX(RatingLookup!$B$2:$B$11,MATCH(A2021,RatingLookup!$A$2:$A$11,0))</f>
        <v>5</v>
      </c>
      <c r="AJ2021" s="5" t="str">
        <f>INDEX(RatingLookup!$C$2:$C$11,MATCH(A2021,RatingLookup!$A$2:$A$11,0))</f>
        <v>Speculative Grade</v>
      </c>
    </row>
    <row r="2022" spans="1:36" x14ac:dyDescent="0.3">
      <c r="A2022" s="3" t="s">
        <v>49</v>
      </c>
      <c r="B2022" s="3" t="s">
        <v>2135</v>
      </c>
      <c r="C2022" s="3" t="s">
        <v>2136</v>
      </c>
      <c r="D2022" s="3" t="s">
        <v>39</v>
      </c>
      <c r="E2022" s="3" t="s">
        <v>504</v>
      </c>
      <c r="F2022" s="3" t="s">
        <v>174</v>
      </c>
      <c r="G2022" s="3">
        <v>0.86211099099999999</v>
      </c>
      <c r="H2022" s="3">
        <v>0.72062316999999998</v>
      </c>
      <c r="I2022" s="3">
        <v>0.28181205500000001</v>
      </c>
      <c r="J2022" s="3">
        <v>97.999540929999995</v>
      </c>
      <c r="K2022" s="3">
        <v>8.1197619999999998E-2</v>
      </c>
      <c r="L2022" s="3">
        <v>0.12584556299999999</v>
      </c>
      <c r="M2022" s="3">
        <v>0.61208771299999998</v>
      </c>
      <c r="N2022" s="3">
        <v>0.13314357099999999</v>
      </c>
      <c r="O2022" s="3">
        <v>8.0763383999999994E-2</v>
      </c>
      <c r="P2022" s="3">
        <v>0.31979901199999999</v>
      </c>
      <c r="Q2022" s="3">
        <v>-1.326548338</v>
      </c>
      <c r="R2022" s="3">
        <v>0.99465210100000001</v>
      </c>
      <c r="S2022" s="3">
        <v>19.893279870000001</v>
      </c>
      <c r="T2022" s="3">
        <v>-17.425120849999999</v>
      </c>
      <c r="U2022" s="3">
        <v>1.060882353</v>
      </c>
      <c r="V2022" s="3">
        <v>0.354783605</v>
      </c>
      <c r="W2022" s="3">
        <v>1</v>
      </c>
      <c r="X2022" s="3">
        <v>4.1210823830000001</v>
      </c>
      <c r="Y2022" s="3">
        <v>4.4480274770000001</v>
      </c>
      <c r="Z2022" s="3">
        <v>-16.425120849999999</v>
      </c>
      <c r="AA2022" s="3">
        <v>0.12584556299999999</v>
      </c>
      <c r="AB2022" s="3">
        <v>23.234839229999999</v>
      </c>
      <c r="AC2022" s="3">
        <v>4.1210823830000001</v>
      </c>
      <c r="AD2022" s="3">
        <v>0.159755919</v>
      </c>
      <c r="AE2022" s="3">
        <v>2.1642906339999999</v>
      </c>
      <c r="AF2022" s="4">
        <v>42418</v>
      </c>
      <c r="AG2022" s="5">
        <f>YEAR(AF2022)</f>
        <v>2016</v>
      </c>
      <c r="AH2022" s="5" t="str">
        <f>"Q"&amp;ROUNDUP(MONTH(AF2022)/3,0)</f>
        <v>Q1</v>
      </c>
      <c r="AI2022" s="5">
        <f>INDEX(RatingLookup!$B$2:$B$11,MATCH(A2022,RatingLookup!$A$2:$A$11,0))</f>
        <v>9</v>
      </c>
      <c r="AJ2022" s="5" t="str">
        <f>INDEX(RatingLookup!$C$2:$C$11,MATCH(A2022,RatingLookup!$A$2:$A$11,0))</f>
        <v>Investment Grade</v>
      </c>
    </row>
    <row r="2023" spans="1:36" x14ac:dyDescent="0.3">
      <c r="A2023" s="3" t="s">
        <v>109</v>
      </c>
      <c r="B2023" s="3" t="s">
        <v>2137</v>
      </c>
      <c r="C2023" s="3" t="s">
        <v>2138</v>
      </c>
      <c r="D2023" s="3" t="s">
        <v>47</v>
      </c>
      <c r="E2023" s="3" t="s">
        <v>1515</v>
      </c>
      <c r="F2023" s="3" t="s">
        <v>174</v>
      </c>
      <c r="G2023" s="3">
        <v>0.45962874100000001</v>
      </c>
      <c r="H2023" s="3">
        <v>0.26602137599999998</v>
      </c>
      <c r="I2023" s="3">
        <v>0.163322736</v>
      </c>
      <c r="J2023" s="3">
        <v>19.955102669999999</v>
      </c>
      <c r="K2023" s="3">
        <v>-4.2846545E-2</v>
      </c>
      <c r="L2023" s="3">
        <v>-4.3849712999999998E-2</v>
      </c>
      <c r="M2023" s="3">
        <v>0.68713032600000001</v>
      </c>
      <c r="N2023" s="3">
        <v>0.17599125099999999</v>
      </c>
      <c r="O2023" s="3">
        <v>-8.2422899999999993E-3</v>
      </c>
      <c r="P2023" s="3">
        <v>-9.4802180000000003E-3</v>
      </c>
      <c r="Q2023" s="3">
        <v>-0.15662276</v>
      </c>
      <c r="R2023" s="3">
        <v>0.19236766</v>
      </c>
      <c r="S2023" s="3">
        <v>0.50606722500000001</v>
      </c>
      <c r="T2023" s="3">
        <v>18.002336360000001</v>
      </c>
      <c r="U2023" s="3">
        <v>0.94737489200000002</v>
      </c>
      <c r="V2023" s="3">
        <v>2.2877416000000001E-2</v>
      </c>
      <c r="W2023" s="3">
        <v>0.660575939</v>
      </c>
      <c r="X2023" s="3">
        <v>2.5725645500000001</v>
      </c>
      <c r="Y2023" s="3">
        <v>0.99834858199999998</v>
      </c>
      <c r="Z2023" s="3">
        <v>19.002336360000001</v>
      </c>
      <c r="AA2023" s="3">
        <v>-4.3849712999999998E-2</v>
      </c>
      <c r="AB2023" s="3">
        <v>22.537465699999998</v>
      </c>
      <c r="AC2023" s="3">
        <v>3.8944266609999998</v>
      </c>
      <c r="AD2023" s="3">
        <v>0.38133187600000001</v>
      </c>
      <c r="AE2023" s="3">
        <v>16.799152329999998</v>
      </c>
      <c r="AF2023" s="4">
        <v>41514</v>
      </c>
      <c r="AG2023" s="5">
        <f>YEAR(AF2023)</f>
        <v>2013</v>
      </c>
      <c r="AH2023" s="5" t="str">
        <f>"Q"&amp;ROUNDUP(MONTH(AF2023)/3,0)</f>
        <v>Q3</v>
      </c>
      <c r="AI2023" s="5">
        <f>INDEX(RatingLookup!$B$2:$B$11,MATCH(A2023,RatingLookup!$A$2:$A$11,0))</f>
        <v>5</v>
      </c>
      <c r="AJ2023" s="5" t="str">
        <f>INDEX(RatingLookup!$C$2:$C$11,MATCH(A2023,RatingLookup!$A$2:$A$11,0))</f>
        <v>Speculative Grade</v>
      </c>
    </row>
    <row r="2024" spans="1:36" x14ac:dyDescent="0.3">
      <c r="A2024" s="3" t="s">
        <v>92</v>
      </c>
      <c r="B2024" s="3" t="s">
        <v>2139</v>
      </c>
      <c r="C2024" s="3" t="s">
        <v>2140</v>
      </c>
      <c r="D2024" s="3" t="s">
        <v>47</v>
      </c>
      <c r="E2024" s="3" t="s">
        <v>48</v>
      </c>
      <c r="F2024" s="3" t="s">
        <v>96</v>
      </c>
      <c r="G2024" s="3">
        <v>3.919105396</v>
      </c>
      <c r="H2024" s="3">
        <v>2.5259815360000002</v>
      </c>
      <c r="I2024" s="3">
        <v>1.2863555289999999</v>
      </c>
      <c r="J2024" s="3">
        <v>22.30653208</v>
      </c>
      <c r="K2024" s="3">
        <v>0.21608845600000001</v>
      </c>
      <c r="L2024" s="3">
        <v>0.34948856700000003</v>
      </c>
      <c r="M2024" s="3">
        <v>0.99787721799999995</v>
      </c>
      <c r="N2024" s="3">
        <v>0.34437616799999998</v>
      </c>
      <c r="O2024" s="3">
        <v>4.7275201000000003E-2</v>
      </c>
      <c r="P2024" s="3">
        <v>7.9895616000000003E-2</v>
      </c>
      <c r="Q2024" s="3">
        <v>0.110458166</v>
      </c>
      <c r="R2024" s="3">
        <v>0.21877707699999999</v>
      </c>
      <c r="S2024" s="3">
        <v>6.6803500189999996</v>
      </c>
      <c r="T2024" s="3">
        <v>1.3364928069999999</v>
      </c>
      <c r="U2024" s="3">
        <v>0.57200809799999996</v>
      </c>
      <c r="V2024" s="3">
        <v>0.38170093100000002</v>
      </c>
      <c r="W2024" s="3">
        <v>0.90815205399999999</v>
      </c>
      <c r="X2024" s="3">
        <v>2.6888405469999999</v>
      </c>
      <c r="Y2024" s="3">
        <v>2.297456645</v>
      </c>
      <c r="Z2024" s="3">
        <v>2.3364928069999999</v>
      </c>
      <c r="AA2024" s="3">
        <v>0.34948856700000003</v>
      </c>
      <c r="AB2024" s="3">
        <v>22.822943420000001</v>
      </c>
      <c r="AC2024" s="3">
        <v>2.9607823209999999</v>
      </c>
      <c r="AD2024" s="3">
        <v>0.56106177599999996</v>
      </c>
      <c r="AE2024" s="3">
        <v>7.3164253999999998E-2</v>
      </c>
      <c r="AF2024" s="4">
        <v>42667</v>
      </c>
      <c r="AG2024" s="5">
        <f>YEAR(AF2024)</f>
        <v>2016</v>
      </c>
      <c r="AH2024" s="5" t="str">
        <f>"Q"&amp;ROUNDUP(MONTH(AF2024)/3,0)</f>
        <v>Q4</v>
      </c>
      <c r="AI2024" s="5">
        <f>INDEX(RatingLookup!$B$2:$B$11,MATCH(A2024,RatingLookup!$A$2:$A$11,0))</f>
        <v>6</v>
      </c>
      <c r="AJ2024" s="5" t="str">
        <f>INDEX(RatingLookup!$C$2:$C$11,MATCH(A2024,RatingLookup!$A$2:$A$11,0))</f>
        <v>Speculative Grade</v>
      </c>
    </row>
    <row r="2025" spans="1:36" x14ac:dyDescent="0.3">
      <c r="A2025" s="3" t="s">
        <v>49</v>
      </c>
      <c r="B2025" s="3" t="s">
        <v>2141</v>
      </c>
      <c r="C2025" s="3" t="s">
        <v>2142</v>
      </c>
      <c r="D2025" s="3" t="s">
        <v>286</v>
      </c>
      <c r="E2025" s="3" t="s">
        <v>370</v>
      </c>
      <c r="F2025" s="3" t="s">
        <v>53</v>
      </c>
      <c r="G2025" s="3">
        <v>0.98660829299999997</v>
      </c>
      <c r="H2025" s="3">
        <v>0.88694308499999996</v>
      </c>
      <c r="I2025" s="3">
        <v>0.10069533899999999</v>
      </c>
      <c r="J2025" s="3">
        <v>26.99404109</v>
      </c>
      <c r="K2025" s="3">
        <v>7.9147473999999995E-2</v>
      </c>
      <c r="L2025" s="3">
        <v>8.9347078999999996E-2</v>
      </c>
      <c r="M2025" s="3">
        <v>1</v>
      </c>
      <c r="N2025" s="3">
        <v>8.9347078999999996E-2</v>
      </c>
      <c r="O2025" s="3">
        <v>5.1975801000000002E-2</v>
      </c>
      <c r="P2025" s="3">
        <v>6.4705727000000005E-2</v>
      </c>
      <c r="Q2025" s="3">
        <v>8.6527317000000006E-2</v>
      </c>
      <c r="R2025" s="3">
        <v>0.65669563500000006</v>
      </c>
      <c r="S2025" s="3">
        <v>0.75286929199999997</v>
      </c>
      <c r="T2025" s="3">
        <v>0.66476159999999995</v>
      </c>
      <c r="U2025" s="3">
        <v>0.39931339100000002</v>
      </c>
      <c r="V2025" s="3">
        <v>0.114157119</v>
      </c>
      <c r="W2025" s="3">
        <v>0.46749379699999999</v>
      </c>
      <c r="X2025" s="3">
        <v>1.1113732890000001</v>
      </c>
      <c r="Y2025" s="3">
        <v>1.676498348</v>
      </c>
      <c r="Z2025" s="3">
        <v>1.6647616000000001</v>
      </c>
      <c r="AA2025" s="3">
        <v>8.9347078999999996E-2</v>
      </c>
      <c r="AB2025" s="3">
        <v>7.9772190570000001</v>
      </c>
      <c r="AC2025" s="3">
        <v>2.3773006130000001</v>
      </c>
      <c r="AD2025" s="3">
        <v>7.3663814999999994E-2</v>
      </c>
      <c r="AE2025" s="3">
        <v>0</v>
      </c>
      <c r="AF2025" s="4">
        <v>42650</v>
      </c>
      <c r="AG2025" s="5">
        <f>YEAR(AF2025)</f>
        <v>2016</v>
      </c>
      <c r="AH2025" s="5" t="str">
        <f>"Q"&amp;ROUNDUP(MONTH(AF2025)/3,0)</f>
        <v>Q4</v>
      </c>
      <c r="AI2025" s="5">
        <f>INDEX(RatingLookup!$B$2:$B$11,MATCH(A2025,RatingLookup!$A$2:$A$11,0))</f>
        <v>9</v>
      </c>
      <c r="AJ2025" s="5" t="str">
        <f>INDEX(RatingLookup!$C$2:$C$11,MATCH(A2025,RatingLookup!$A$2:$A$11,0))</f>
        <v>Investment Grade</v>
      </c>
    </row>
    <row r="2026" spans="1:36" x14ac:dyDescent="0.3">
      <c r="A2026" s="3" t="s">
        <v>42</v>
      </c>
      <c r="B2026" s="3" t="s">
        <v>2143</v>
      </c>
      <c r="C2026" s="3" t="s">
        <v>2144</v>
      </c>
      <c r="D2026" s="3" t="s">
        <v>60</v>
      </c>
      <c r="E2026" s="3" t="s">
        <v>2145</v>
      </c>
      <c r="F2026" s="3" t="s">
        <v>59</v>
      </c>
      <c r="G2026" s="3">
        <v>11.75776709</v>
      </c>
      <c r="H2026" s="3">
        <v>7.1150594079999996</v>
      </c>
      <c r="I2026" s="3">
        <v>7.057419576</v>
      </c>
      <c r="J2026" s="3">
        <v>1.079762297</v>
      </c>
      <c r="K2026" s="3">
        <v>5.6705760000000001E-2</v>
      </c>
      <c r="L2026" s="3">
        <v>8.6375896999999993E-2</v>
      </c>
      <c r="M2026" s="3">
        <v>1</v>
      </c>
      <c r="N2026" s="3">
        <v>7.7844346999999994E-2</v>
      </c>
      <c r="O2026" s="3">
        <v>6.9327813000000002E-2</v>
      </c>
      <c r="P2026" s="3">
        <v>0.112672012</v>
      </c>
      <c r="Q2026" s="3">
        <v>0.121979605</v>
      </c>
      <c r="R2026" s="3">
        <v>1.2225885489999999</v>
      </c>
      <c r="S2026" s="3">
        <v>10306.310680000001</v>
      </c>
      <c r="T2026" s="3">
        <v>0.75946130899999997</v>
      </c>
      <c r="U2026" s="3">
        <v>0.43164422299999999</v>
      </c>
      <c r="V2026" s="3">
        <v>0.34350018399999999</v>
      </c>
      <c r="W2026" s="3">
        <v>0.95323090700000002</v>
      </c>
      <c r="X2026" s="3">
        <v>50.293155059999997</v>
      </c>
      <c r="Y2026" s="3">
        <v>230.1949711</v>
      </c>
      <c r="Z2026" s="3">
        <v>1.759461309</v>
      </c>
      <c r="AA2026" s="3">
        <v>8.6375896999999993E-2</v>
      </c>
      <c r="AB2026" s="3">
        <v>15.867700729999999</v>
      </c>
      <c r="AC2026" s="3">
        <v>52.760726400000003</v>
      </c>
      <c r="AD2026" s="3">
        <v>8.3018227999999999E-2</v>
      </c>
      <c r="AE2026" s="3">
        <v>15.75834832</v>
      </c>
      <c r="AF2026" s="4">
        <v>41157</v>
      </c>
      <c r="AG2026" s="5">
        <f>YEAR(AF2026)</f>
        <v>2012</v>
      </c>
      <c r="AH2026" s="5" t="str">
        <f>"Q"&amp;ROUNDUP(MONTH(AF2026)/3,0)</f>
        <v>Q3</v>
      </c>
      <c r="AI2026" s="5">
        <f>INDEX(RatingLookup!$B$2:$B$11,MATCH(A2026,RatingLookup!$A$2:$A$11,0))</f>
        <v>7</v>
      </c>
      <c r="AJ2026" s="5" t="str">
        <f>INDEX(RatingLookup!$C$2:$C$11,MATCH(A2026,RatingLookup!$A$2:$A$11,0))</f>
        <v>Investment Grade</v>
      </c>
    </row>
    <row r="2027" spans="1:36" x14ac:dyDescent="0.3">
      <c r="A2027" s="3" t="s">
        <v>92</v>
      </c>
      <c r="B2027" s="3" t="s">
        <v>2146</v>
      </c>
      <c r="C2027" s="3" t="s">
        <v>2147</v>
      </c>
      <c r="D2027" s="3" t="s">
        <v>47</v>
      </c>
      <c r="E2027" s="3" t="s">
        <v>2148</v>
      </c>
      <c r="F2027" s="3" t="s">
        <v>59</v>
      </c>
      <c r="G2027" s="3">
        <v>2.9627879500000001</v>
      </c>
      <c r="H2027" s="3">
        <v>1.2947430600000001</v>
      </c>
      <c r="I2027" s="3">
        <v>0.428233904</v>
      </c>
      <c r="J2027" s="3">
        <v>30.602413970000001</v>
      </c>
      <c r="K2027" s="3">
        <v>-0.16998347599999999</v>
      </c>
      <c r="L2027" s="3">
        <v>-0.26711689100000002</v>
      </c>
      <c r="M2027" s="3">
        <v>0.19864932799999999</v>
      </c>
      <c r="N2027" s="3">
        <v>-0.248509232</v>
      </c>
      <c r="O2027" s="3">
        <v>-0.18926485900000001</v>
      </c>
      <c r="P2027" s="3">
        <v>-0.34400444099999999</v>
      </c>
      <c r="Q2027" s="3">
        <v>-0.30552686000000001</v>
      </c>
      <c r="R2027" s="3">
        <v>1.1134309259999999</v>
      </c>
      <c r="S2027" s="3">
        <v>2.8096487689999998</v>
      </c>
      <c r="T2027" s="3">
        <v>0.61428202499999995</v>
      </c>
      <c r="U2027" s="3">
        <v>0.38052955799999999</v>
      </c>
      <c r="V2027" s="3">
        <v>0.36363636399999999</v>
      </c>
      <c r="W2027" s="3">
        <v>0.60264483599999996</v>
      </c>
      <c r="X2027" s="3">
        <v>5.5636300219999999</v>
      </c>
      <c r="Y2027" s="3">
        <v>5.958955875</v>
      </c>
      <c r="Z2027" s="3">
        <v>1.6142820250000001</v>
      </c>
      <c r="AA2027" s="3">
        <v>-0.26711689100000002</v>
      </c>
      <c r="AB2027" s="3">
        <v>-4.7299668180000003</v>
      </c>
      <c r="AC2027" s="3">
        <v>9.2320213940000002</v>
      </c>
      <c r="AD2027" s="3">
        <v>0.114088656</v>
      </c>
      <c r="AE2027" s="3">
        <v>14.54237288</v>
      </c>
      <c r="AF2027" s="4">
        <v>42488</v>
      </c>
      <c r="AG2027" s="5">
        <f>YEAR(AF2027)</f>
        <v>2016</v>
      </c>
      <c r="AH2027" s="5" t="str">
        <f>"Q"&amp;ROUNDUP(MONTH(AF2027)/3,0)</f>
        <v>Q2</v>
      </c>
      <c r="AI2027" s="5">
        <f>INDEX(RatingLookup!$B$2:$B$11,MATCH(A2027,RatingLookup!$A$2:$A$11,0))</f>
        <v>6</v>
      </c>
      <c r="AJ2027" s="5" t="str">
        <f>INDEX(RatingLookup!$C$2:$C$11,MATCH(A2027,RatingLookup!$A$2:$A$11,0))</f>
        <v>Speculative Grade</v>
      </c>
    </row>
    <row r="2028" spans="1:36" x14ac:dyDescent="0.3">
      <c r="A2028" s="3" t="s">
        <v>109</v>
      </c>
      <c r="B2028" s="3" t="s">
        <v>2149</v>
      </c>
      <c r="C2028" s="3" t="s">
        <v>2150</v>
      </c>
      <c r="D2028" s="3" t="s">
        <v>44</v>
      </c>
      <c r="E2028" s="3" t="s">
        <v>993</v>
      </c>
      <c r="F2028" s="3" t="s">
        <v>232</v>
      </c>
      <c r="G2028" s="3">
        <v>0.88387524500000003</v>
      </c>
      <c r="H2028" s="3">
        <v>0.84255281599999998</v>
      </c>
      <c r="I2028" s="3">
        <v>0.23383010600000001</v>
      </c>
      <c r="J2028" s="3">
        <v>147.59937149999999</v>
      </c>
      <c r="K2028" s="3">
        <v>-7.4580860000000001E-3</v>
      </c>
      <c r="L2028" s="3">
        <v>2.19242E-4</v>
      </c>
      <c r="M2028" s="3">
        <v>0.38438952500000001</v>
      </c>
      <c r="N2028" s="3">
        <v>0.185417832</v>
      </c>
      <c r="O2028" s="3">
        <v>-2.0657850000000001E-3</v>
      </c>
      <c r="P2028" s="3">
        <v>9.1266963000000007E-2</v>
      </c>
      <c r="Q2028" s="3">
        <v>-8.3353430000000003E-3</v>
      </c>
      <c r="R2028" s="3">
        <v>0.27698590499999998</v>
      </c>
      <c r="S2028" s="3">
        <v>1.526946693</v>
      </c>
      <c r="T2028" s="3">
        <v>2.2015164550000001</v>
      </c>
      <c r="U2028" s="3">
        <v>0.54561152700000004</v>
      </c>
      <c r="V2028" s="3">
        <v>35.017543860000004</v>
      </c>
      <c r="W2028" s="3">
        <v>0.92666470199999995</v>
      </c>
      <c r="X2028" s="3">
        <v>1.4598013139999999</v>
      </c>
      <c r="Y2028" s="3">
        <v>1.0564796510000001</v>
      </c>
      <c r="Z2028" s="3">
        <v>4.0349522420000001</v>
      </c>
      <c r="AA2028" s="3">
        <v>0.26509231799999999</v>
      </c>
      <c r="AB2028" s="3">
        <v>9.3583106219999994</v>
      </c>
      <c r="AC2028" s="3">
        <v>1.575328499</v>
      </c>
      <c r="AD2028" s="3">
        <v>0.283634206</v>
      </c>
      <c r="AE2028" s="3">
        <v>2.3001677549999999</v>
      </c>
      <c r="AF2028" s="4">
        <v>41243</v>
      </c>
      <c r="AG2028" s="5">
        <f>YEAR(AF2028)</f>
        <v>2012</v>
      </c>
      <c r="AH2028" s="5" t="str">
        <f>"Q"&amp;ROUNDUP(MONTH(AF2028)/3,0)</f>
        <v>Q4</v>
      </c>
      <c r="AI2028" s="5">
        <f>INDEX(RatingLookup!$B$2:$B$11,MATCH(A2028,RatingLookup!$A$2:$A$11,0))</f>
        <v>5</v>
      </c>
      <c r="AJ2028" s="5" t="str">
        <f>INDEX(RatingLookup!$C$2:$C$11,MATCH(A2028,RatingLookup!$A$2:$A$11,0))</f>
        <v>Speculative Grade</v>
      </c>
    </row>
    <row r="2029" spans="1:36" x14ac:dyDescent="0.3">
      <c r="A2029" s="3" t="s">
        <v>109</v>
      </c>
      <c r="B2029" s="3" t="s">
        <v>2149</v>
      </c>
      <c r="C2029" s="3" t="s">
        <v>2150</v>
      </c>
      <c r="D2029" s="3" t="s">
        <v>44</v>
      </c>
      <c r="E2029" s="3" t="s">
        <v>46</v>
      </c>
      <c r="F2029" s="3" t="s">
        <v>232</v>
      </c>
      <c r="G2029" s="3">
        <v>0.91171323199999998</v>
      </c>
      <c r="H2029" s="3">
        <v>0.74835645900000003</v>
      </c>
      <c r="I2029" s="3">
        <v>0.31064018399999999</v>
      </c>
      <c r="J2029" s="3">
        <v>131.64456630000001</v>
      </c>
      <c r="K2029" s="3">
        <v>8.7364602999999999E-2</v>
      </c>
      <c r="L2029" s="3">
        <v>0.13069242</v>
      </c>
      <c r="M2029" s="3">
        <v>0.41491582900000001</v>
      </c>
      <c r="N2029" s="3">
        <v>0.28623615699999999</v>
      </c>
      <c r="O2029" s="3">
        <v>2.1250956000000001E-2</v>
      </c>
      <c r="P2029" s="3">
        <v>4.0450374999999997E-2</v>
      </c>
      <c r="Q2029" s="3">
        <v>8.1303103000000002E-2</v>
      </c>
      <c r="R2029" s="3">
        <v>0.24324446499999999</v>
      </c>
      <c r="S2029" s="3">
        <v>1.2849502020000001</v>
      </c>
      <c r="T2029" s="3">
        <v>1.917192335</v>
      </c>
      <c r="U2029" s="3">
        <v>0.50111457599999998</v>
      </c>
      <c r="V2029" s="3">
        <v>0.33152509499999999</v>
      </c>
      <c r="W2029" s="3">
        <v>0.69280434999999996</v>
      </c>
      <c r="X2029" s="3">
        <v>0.74437709200000002</v>
      </c>
      <c r="Y2029" s="3">
        <v>1.470201321</v>
      </c>
      <c r="Z2029" s="3">
        <v>3.8258562569999999</v>
      </c>
      <c r="AA2029" s="3">
        <v>0.13069242</v>
      </c>
      <c r="AB2029" s="3">
        <v>22.440101689999999</v>
      </c>
      <c r="AC2029" s="3">
        <v>1.074440558</v>
      </c>
      <c r="AD2029" s="3">
        <v>0.217783434</v>
      </c>
      <c r="AE2029" s="3">
        <v>1.9976076460000001</v>
      </c>
      <c r="AF2029" s="4">
        <v>41075</v>
      </c>
      <c r="AG2029" s="5">
        <f>YEAR(AF2029)</f>
        <v>2012</v>
      </c>
      <c r="AH2029" s="5" t="str">
        <f>"Q"&amp;ROUNDUP(MONTH(AF2029)/3,0)</f>
        <v>Q2</v>
      </c>
      <c r="AI2029" s="5">
        <f>INDEX(RatingLookup!$B$2:$B$11,MATCH(A2029,RatingLookup!$A$2:$A$11,0))</f>
        <v>5</v>
      </c>
      <c r="AJ2029" s="5" t="str">
        <f>INDEX(RatingLookup!$C$2:$C$11,MATCH(A2029,RatingLookup!$A$2:$A$11,0))</f>
        <v>Speculative Grade</v>
      </c>
    </row>
    <row r="2030" spans="1:36" x14ac:dyDescent="0.3">
      <c r="A2030" s="3" t="s">
        <v>116</v>
      </c>
      <c r="B2030" s="3" t="s">
        <v>2149</v>
      </c>
      <c r="C2030" s="3" t="s">
        <v>2150</v>
      </c>
      <c r="D2030" s="3" t="s">
        <v>44</v>
      </c>
      <c r="E2030" s="3" t="s">
        <v>463</v>
      </c>
      <c r="F2030" s="3" t="s">
        <v>232</v>
      </c>
      <c r="G2030" s="3">
        <v>1.085007101</v>
      </c>
      <c r="H2030" s="3">
        <v>1.0263745179999999</v>
      </c>
      <c r="I2030" s="3">
        <v>0.20348955199999999</v>
      </c>
      <c r="J2030" s="3">
        <v>151.6605126</v>
      </c>
      <c r="K2030" s="3">
        <v>-0.23197219799999999</v>
      </c>
      <c r="L2030" s="3">
        <v>-0.316463944</v>
      </c>
      <c r="M2030" s="3">
        <v>0.39661164199999999</v>
      </c>
      <c r="N2030" s="3">
        <v>0.207428323</v>
      </c>
      <c r="O2030" s="3">
        <v>-3.7150410000000002E-2</v>
      </c>
      <c r="P2030" s="3">
        <v>5.8566689999999998E-2</v>
      </c>
      <c r="Q2030" s="3">
        <v>-0.146341463</v>
      </c>
      <c r="R2030" s="3">
        <v>0.16015027100000001</v>
      </c>
      <c r="S2030" s="3">
        <v>0.24764671099999999</v>
      </c>
      <c r="T2030" s="3">
        <v>2.1541518220000002</v>
      </c>
      <c r="U2030" s="3">
        <v>0.54685543299999995</v>
      </c>
      <c r="V2030" s="3">
        <v>0.26698696</v>
      </c>
      <c r="W2030" s="3">
        <v>1.1014617369999999</v>
      </c>
      <c r="X2030" s="3">
        <v>2.487816719</v>
      </c>
      <c r="Y2030" s="3">
        <v>6.1098137369999996</v>
      </c>
      <c r="Z2030" s="3">
        <v>3.939161414</v>
      </c>
      <c r="AA2030" s="3">
        <v>0.30299739399999998</v>
      </c>
      <c r="AB2030" s="3">
        <v>9.6040606529999994</v>
      </c>
      <c r="AC2030" s="3">
        <v>2.2586501509999999</v>
      </c>
      <c r="AD2030" s="3">
        <v>0.25260642900000002</v>
      </c>
      <c r="AE2030" s="3">
        <v>1.865681666</v>
      </c>
      <c r="AF2030" s="4">
        <v>41852</v>
      </c>
      <c r="AG2030" s="5">
        <f>YEAR(AF2030)</f>
        <v>2014</v>
      </c>
      <c r="AH2030" s="5" t="str">
        <f>"Q"&amp;ROUNDUP(MONTH(AF2030)/3,0)</f>
        <v>Q3</v>
      </c>
      <c r="AI2030" s="5">
        <f>INDEX(RatingLookup!$B$2:$B$11,MATCH(A2030,RatingLookup!$A$2:$A$11,0))</f>
        <v>4</v>
      </c>
      <c r="AJ2030" s="5" t="str">
        <f>INDEX(RatingLookup!$C$2:$C$11,MATCH(A2030,RatingLookup!$A$2:$A$11,0))</f>
        <v>Speculative Grade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zoomScaleNormal="100" workbookViewId="0"/>
  </sheetViews>
  <sheetFormatPr defaultColWidth="8.6640625" defaultRowHeight="14.4" x14ac:dyDescent="0.3"/>
  <cols>
    <col min="1" max="3" width="20" customWidth="1"/>
  </cols>
  <sheetData>
    <row r="1" spans="1:3" ht="15" customHeight="1" x14ac:dyDescent="0.3">
      <c r="A1" s="6" t="s">
        <v>0</v>
      </c>
      <c r="B1" s="6" t="s">
        <v>34</v>
      </c>
      <c r="C1" s="6" t="s">
        <v>35</v>
      </c>
    </row>
    <row r="2" spans="1:3" ht="15" customHeight="1" x14ac:dyDescent="0.3">
      <c r="A2" s="7" t="s">
        <v>355</v>
      </c>
      <c r="B2" s="7">
        <v>10</v>
      </c>
      <c r="C2" s="7" t="s">
        <v>2151</v>
      </c>
    </row>
    <row r="3" spans="1:3" ht="15" customHeight="1" x14ac:dyDescent="0.3">
      <c r="A3" s="7" t="s">
        <v>49</v>
      </c>
      <c r="B3" s="7">
        <v>9</v>
      </c>
      <c r="C3" s="7" t="s">
        <v>2151</v>
      </c>
    </row>
    <row r="4" spans="1:3" ht="15" customHeight="1" x14ac:dyDescent="0.3">
      <c r="A4" s="7" t="s">
        <v>36</v>
      </c>
      <c r="B4" s="7">
        <v>8</v>
      </c>
      <c r="C4" s="7" t="s">
        <v>2151</v>
      </c>
    </row>
    <row r="5" spans="1:3" ht="15" customHeight="1" x14ac:dyDescent="0.3">
      <c r="A5" s="7" t="s">
        <v>42</v>
      </c>
      <c r="B5" s="7">
        <v>7</v>
      </c>
      <c r="C5" s="7" t="s">
        <v>2151</v>
      </c>
    </row>
    <row r="6" spans="1:3" ht="15" customHeight="1" x14ac:dyDescent="0.3">
      <c r="A6" s="7" t="s">
        <v>92</v>
      </c>
      <c r="B6" s="7">
        <v>6</v>
      </c>
      <c r="C6" s="7" t="s">
        <v>2152</v>
      </c>
    </row>
    <row r="7" spans="1:3" ht="15" customHeight="1" x14ac:dyDescent="0.3">
      <c r="A7" s="7" t="s">
        <v>109</v>
      </c>
      <c r="B7" s="7">
        <v>5</v>
      </c>
      <c r="C7" s="7" t="s">
        <v>2152</v>
      </c>
    </row>
    <row r="8" spans="1:3" ht="15" customHeight="1" x14ac:dyDescent="0.3">
      <c r="A8" s="7" t="s">
        <v>116</v>
      </c>
      <c r="B8" s="7">
        <v>4</v>
      </c>
      <c r="C8" s="7" t="s">
        <v>2152</v>
      </c>
    </row>
    <row r="9" spans="1:3" ht="15" customHeight="1" x14ac:dyDescent="0.3">
      <c r="A9" s="7" t="s">
        <v>293</v>
      </c>
      <c r="B9" s="7">
        <v>3</v>
      </c>
      <c r="C9" s="7" t="s">
        <v>2152</v>
      </c>
    </row>
    <row r="10" spans="1:3" ht="15" customHeight="1" x14ac:dyDescent="0.3">
      <c r="A10" s="7" t="s">
        <v>786</v>
      </c>
      <c r="B10" s="7">
        <v>2</v>
      </c>
      <c r="C10" s="7" t="s">
        <v>2152</v>
      </c>
    </row>
    <row r="11" spans="1:3" ht="15" customHeight="1" x14ac:dyDescent="0.3">
      <c r="A11" s="7" t="s">
        <v>199</v>
      </c>
      <c r="B11" s="7">
        <v>1</v>
      </c>
      <c r="C11" s="7" t="s">
        <v>2153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100" customWidth="1"/>
  </cols>
  <sheetData>
    <row r="1" spans="1:2" ht="15" customHeight="1" x14ac:dyDescent="0.3">
      <c r="A1" s="8" t="s">
        <v>2154</v>
      </c>
      <c r="B1" s="8" t="s">
        <v>2155</v>
      </c>
    </row>
    <row r="2" spans="1:2" ht="30" customHeight="1" x14ac:dyDescent="0.3">
      <c r="A2" s="9" t="s">
        <v>2156</v>
      </c>
      <c r="B2" s="10" t="s">
        <v>2157</v>
      </c>
    </row>
    <row r="3" spans="1:2" ht="30" customHeight="1" x14ac:dyDescent="0.3">
      <c r="A3" s="9" t="s">
        <v>2158</v>
      </c>
      <c r="B3" s="10" t="s">
        <v>2159</v>
      </c>
    </row>
    <row r="4" spans="1:2" ht="30" customHeight="1" x14ac:dyDescent="0.3">
      <c r="A4" s="9" t="s">
        <v>2160</v>
      </c>
      <c r="B4" s="10" t="s">
        <v>2161</v>
      </c>
    </row>
    <row r="5" spans="1:2" ht="30" customHeight="1" x14ac:dyDescent="0.3">
      <c r="A5" s="9" t="s">
        <v>2162</v>
      </c>
      <c r="B5" s="10" t="s">
        <v>2163</v>
      </c>
    </row>
    <row r="6" spans="1:2" ht="30" customHeight="1" x14ac:dyDescent="0.3">
      <c r="A6" s="9" t="s">
        <v>2164</v>
      </c>
      <c r="B6" s="10" t="s">
        <v>2165</v>
      </c>
    </row>
    <row r="7" spans="1:2" ht="30" customHeight="1" x14ac:dyDescent="0.3">
      <c r="A7" s="9" t="s">
        <v>2166</v>
      </c>
      <c r="B7" s="10" t="s">
        <v>2167</v>
      </c>
    </row>
    <row r="8" spans="1:2" ht="30" customHeight="1" x14ac:dyDescent="0.3">
      <c r="A8" s="9" t="s">
        <v>2168</v>
      </c>
      <c r="B8" s="10" t="s">
        <v>2169</v>
      </c>
    </row>
    <row r="9" spans="1:2" ht="30" customHeight="1" x14ac:dyDescent="0.3">
      <c r="A9" s="9" t="s">
        <v>2170</v>
      </c>
      <c r="B9" s="10" t="s">
        <v>2171</v>
      </c>
    </row>
    <row r="10" spans="1:2" ht="30" customHeight="1" x14ac:dyDescent="0.3">
      <c r="A10" s="9" t="s">
        <v>2172</v>
      </c>
      <c r="B10" s="10" t="s">
        <v>2173</v>
      </c>
    </row>
    <row r="11" spans="1:2" ht="30" customHeight="1" x14ac:dyDescent="0.3">
      <c r="A11" s="9" t="s">
        <v>2174</v>
      </c>
      <c r="B11" s="10" t="s">
        <v>2175</v>
      </c>
    </row>
    <row r="12" spans="1:2" ht="30" customHeight="1" x14ac:dyDescent="0.3">
      <c r="A12" s="9" t="s">
        <v>2176</v>
      </c>
      <c r="B12" s="10" t="s">
        <v>2177</v>
      </c>
    </row>
    <row r="13" spans="1:2" ht="30" customHeight="1" x14ac:dyDescent="0.3">
      <c r="A13" s="9" t="s">
        <v>2178</v>
      </c>
      <c r="B13" s="10" t="s">
        <v>2179</v>
      </c>
    </row>
    <row r="16" spans="1:2" ht="15" customHeight="1" x14ac:dyDescent="0.3">
      <c r="A16" s="11" t="s">
        <v>2180</v>
      </c>
    </row>
    <row r="17" spans="1:2" ht="15" customHeight="1" x14ac:dyDescent="0.3">
      <c r="A17" s="12" t="s">
        <v>2181</v>
      </c>
      <c r="B17" s="12"/>
    </row>
    <row r="18" spans="1:2" ht="15" customHeight="1" x14ac:dyDescent="0.3">
      <c r="A18" s="12" t="s">
        <v>2182</v>
      </c>
      <c r="B18" s="12"/>
    </row>
    <row r="19" spans="1:2" ht="15" customHeight="1" x14ac:dyDescent="0.3">
      <c r="A19" s="12" t="s">
        <v>2183</v>
      </c>
      <c r="B19" s="12"/>
    </row>
    <row r="20" spans="1:2" ht="15" customHeight="1" x14ac:dyDescent="0.3">
      <c r="A20" s="12" t="s">
        <v>2184</v>
      </c>
      <c r="B20" s="12"/>
    </row>
  </sheetData>
  <mergeCells count="4">
    <mergeCell ref="A17:B17"/>
    <mergeCell ref="A18:B18"/>
    <mergeCell ref="A19:B19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RatingLookup</vt:lpstr>
      <vt:lpstr>DAX Measures (Reference)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 Tyagi</cp:lastModifiedBy>
  <cp:revision>0</cp:revision>
  <dcterms:created xsi:type="dcterms:W3CDTF">2026-09-23T05:34:33Z</dcterms:created>
  <dcterms:modified xsi:type="dcterms:W3CDTF">2026-09-25T05:07:25Z</dcterms:modified>
  <dc:language>en-US</dc:language>
</cp:coreProperties>
</file>